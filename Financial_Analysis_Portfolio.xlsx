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hidePivotFieldList="1" defaultThemeVersion="166925"/>
  <mc:AlternateContent xmlns:mc="http://schemas.openxmlformats.org/markup-compatibility/2006">
    <mc:Choice Requires="x15">
      <x15ac:absPath xmlns:x15ac="http://schemas.microsoft.com/office/spreadsheetml/2010/11/ac" url="https://d.docs.live.net/b80ab391e1a154dc/Desktop/"/>
    </mc:Choice>
  </mc:AlternateContent>
  <xr:revisionPtr revIDLastSave="365" documentId="13_ncr:1_{FF3AD40A-ED15-496A-AEA9-418A101A3FD1}" xr6:coauthVersionLast="47" xr6:coauthVersionMax="47" xr10:uidLastSave="{DF52612E-AD16-41AB-B9A6-1B69C158C869}"/>
  <bookViews>
    <workbookView xWindow="-108" yWindow="-108" windowWidth="23256" windowHeight="12456" tabRatio="850" firstSheet="1" activeTab="3" xr2:uid="{00000000-000D-0000-FFFF-FFFF00000000}"/>
  </bookViews>
  <sheets>
    <sheet name="1. Raw_Dataset" sheetId="10" r:id="rId1"/>
    <sheet name="2. Cleaned_Dataset" sheetId="6" r:id="rId2"/>
    <sheet name="3.1 Customer_Demographics" sheetId="4" r:id="rId3"/>
    <sheet name="3.2 Financial_Status" sheetId="12" r:id="rId4"/>
    <sheet name="3.3 Loan_&amp;_Employment" sheetId="13" r:id="rId5"/>
    <sheet name="Lookup_Tables" sheetId="11" r:id="rId6"/>
    <sheet name="Column_Dictionary" sheetId="5" r:id="rId7"/>
  </sheets>
  <definedNames>
    <definedName name="ExternalData_1" localSheetId="0" hidden="1">'1. Raw_Dataset'!$A$1:$U$1001</definedName>
    <definedName name="Slicer_Check_Acct_Balance">#N/A</definedName>
    <definedName name="Slicer_Check_Acct_Balance1">#N/A</definedName>
    <definedName name="Slicer_Gender">#N/A</definedName>
    <definedName name="Slicer_Marital_Status">#N/A</definedName>
    <definedName name="Slicer_Saving_Acct_Balance">#N/A</definedName>
    <definedName name="Slicer_Saving_Acct_Balanc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3" i="6" l="1" a="1"/>
  <c r="I3" i="6" s="1"/>
  <c r="R6" i="12"/>
  <c r="Q6" i="12"/>
  <c r="AF4" i="6" a="1"/>
  <c r="AF4" i="6" s="1"/>
  <c r="AF5" i="6" a="1"/>
  <c r="AF5" i="6"/>
  <c r="AF6" i="6" a="1"/>
  <c r="AF6" i="6"/>
  <c r="AF7" i="6" a="1"/>
  <c r="AF7" i="6"/>
  <c r="AF8" i="6" a="1"/>
  <c r="AF8" i="6"/>
  <c r="AF9" i="6" a="1"/>
  <c r="AF9" i="6"/>
  <c r="AF10" i="6" a="1"/>
  <c r="AF10" i="6" s="1"/>
  <c r="AF11" i="6" a="1"/>
  <c r="AF11" i="6"/>
  <c r="AF12" i="6" a="1"/>
  <c r="AF12" i="6"/>
  <c r="AF13" i="6" a="1"/>
  <c r="AF13" i="6"/>
  <c r="AF14" i="6" a="1"/>
  <c r="AF14" i="6"/>
  <c r="AF15" i="6" a="1"/>
  <c r="AF15" i="6"/>
  <c r="AF16" i="6" a="1"/>
  <c r="AF16" i="6" s="1"/>
  <c r="AF17" i="6" a="1"/>
  <c r="AF17" i="6"/>
  <c r="AF18" i="6" a="1"/>
  <c r="AF18" i="6"/>
  <c r="AF19" i="6" a="1"/>
  <c r="AF19" i="6"/>
  <c r="AF20" i="6" a="1"/>
  <c r="AF20" i="6"/>
  <c r="AF21" i="6" a="1"/>
  <c r="AF21" i="6"/>
  <c r="AF22" i="6" a="1"/>
  <c r="AF22" i="6" s="1"/>
  <c r="AF23" i="6" a="1"/>
  <c r="AF23" i="6"/>
  <c r="AF24" i="6" a="1"/>
  <c r="AF24" i="6" s="1"/>
  <c r="AF25" i="6" a="1"/>
  <c r="AF25" i="6"/>
  <c r="AF26" i="6" a="1"/>
  <c r="AF26" i="6"/>
  <c r="AF27" i="6" a="1"/>
  <c r="AF27" i="6"/>
  <c r="AF28" i="6" a="1"/>
  <c r="AF28" i="6" s="1"/>
  <c r="AF29" i="6" a="1"/>
  <c r="AF29" i="6"/>
  <c r="AF30" i="6" a="1"/>
  <c r="AF30" i="6" s="1"/>
  <c r="AF31" i="6" a="1"/>
  <c r="AF31" i="6"/>
  <c r="AF32" i="6" a="1"/>
  <c r="AF32" i="6"/>
  <c r="AF33" i="6" a="1"/>
  <c r="AF33" i="6"/>
  <c r="AF34" i="6" a="1"/>
  <c r="AF34" i="6" s="1"/>
  <c r="AF35" i="6" a="1"/>
  <c r="AF35" i="6"/>
  <c r="AF36" i="6" a="1"/>
  <c r="AF36" i="6"/>
  <c r="AF37" i="6" a="1"/>
  <c r="AF37" i="6" s="1"/>
  <c r="AF38" i="6" a="1"/>
  <c r="AF38" i="6" s="1"/>
  <c r="AF39" i="6" a="1"/>
  <c r="AF39" i="6"/>
  <c r="AF40" i="6" a="1"/>
  <c r="AF40" i="6" s="1"/>
  <c r="AF41" i="6" a="1"/>
  <c r="AF41" i="6"/>
  <c r="AF42" i="6" a="1"/>
  <c r="AF42" i="6"/>
  <c r="AF43" i="6" a="1"/>
  <c r="AF43" i="6" s="1"/>
  <c r="AF44" i="6" a="1"/>
  <c r="AF44" i="6"/>
  <c r="AF45" i="6" a="1"/>
  <c r="AF45" i="6" s="1"/>
  <c r="AF46" i="6" a="1"/>
  <c r="AF46" i="6" s="1"/>
  <c r="AF47" i="6" a="1"/>
  <c r="AF47" i="6"/>
  <c r="AF48" i="6" a="1"/>
  <c r="AF48" i="6"/>
  <c r="AF49" i="6" a="1"/>
  <c r="AF49" i="6"/>
  <c r="AF50" i="6" a="1"/>
  <c r="AF50" i="6" s="1"/>
  <c r="AF51" i="6" a="1"/>
  <c r="AF51" i="6"/>
  <c r="AF52" i="6" a="1"/>
  <c r="AF52" i="6" s="1"/>
  <c r="AF53" i="6" a="1"/>
  <c r="AF53" i="6"/>
  <c r="AF54" i="6" a="1"/>
  <c r="AF54" i="6"/>
  <c r="AF55" i="6" a="1"/>
  <c r="AF55" i="6"/>
  <c r="AF56" i="6" a="1"/>
  <c r="AF56" i="6" s="1"/>
  <c r="AF57" i="6" a="1"/>
  <c r="AF57" i="6"/>
  <c r="AF58" i="6" a="1"/>
  <c r="AF58" i="6" s="1"/>
  <c r="AF59" i="6" a="1"/>
  <c r="AF59" i="6"/>
  <c r="AF60" i="6" a="1"/>
  <c r="AF60" i="6"/>
  <c r="AF61" i="6" a="1"/>
  <c r="AF61" i="6"/>
  <c r="AF62" i="6" a="1"/>
  <c r="AF62" i="6"/>
  <c r="AF63" i="6" a="1"/>
  <c r="AF63" i="6"/>
  <c r="AF64" i="6" a="1"/>
  <c r="AF64" i="6" s="1"/>
  <c r="AF65" i="6" a="1"/>
  <c r="AF65" i="6"/>
  <c r="AF66" i="6" a="1"/>
  <c r="AF66" i="6" s="1"/>
  <c r="AF67" i="6" a="1"/>
  <c r="AF67" i="6"/>
  <c r="AF68" i="6" a="1"/>
  <c r="AF68" i="6"/>
  <c r="AF69" i="6" a="1"/>
  <c r="AF69" i="6" s="1"/>
  <c r="AF70" i="6" a="1"/>
  <c r="AF70" i="6" s="1"/>
  <c r="AF71" i="6" a="1"/>
  <c r="AF71" i="6"/>
  <c r="AF72" i="6" a="1"/>
  <c r="AF72" i="6"/>
  <c r="AF73" i="6" a="1"/>
  <c r="AF73" i="6" s="1"/>
  <c r="AF74" i="6" a="1"/>
  <c r="AF74" i="6"/>
  <c r="AF75" i="6" a="1"/>
  <c r="AF75" i="6"/>
  <c r="AF76" i="6" a="1"/>
  <c r="AF76" i="6" s="1"/>
  <c r="AF77" i="6" a="1"/>
  <c r="AF77" i="6"/>
  <c r="AF78" i="6" a="1"/>
  <c r="AF78" i="6"/>
  <c r="AF79" i="6" a="1"/>
  <c r="AF79" i="6"/>
  <c r="AF80" i="6" a="1"/>
  <c r="AF80" i="6"/>
  <c r="AF81" i="6" a="1"/>
  <c r="AF81" i="6"/>
  <c r="AF82" i="6" a="1"/>
  <c r="AF82" i="6" s="1"/>
  <c r="AF83" i="6" a="1"/>
  <c r="AF83" i="6"/>
  <c r="AF84" i="6" a="1"/>
  <c r="AF84" i="6"/>
  <c r="AF85" i="6" a="1"/>
  <c r="AF85" i="6"/>
  <c r="AF86" i="6" a="1"/>
  <c r="AF86" i="6" s="1"/>
  <c r="AF87" i="6" a="1"/>
  <c r="AF87" i="6"/>
  <c r="AF88" i="6" a="1"/>
  <c r="AF88" i="6" s="1"/>
  <c r="AF89" i="6" a="1"/>
  <c r="AF89" i="6" s="1"/>
  <c r="AF90" i="6" a="1"/>
  <c r="AF90" i="6"/>
  <c r="AF91" i="6" a="1"/>
  <c r="AF91" i="6"/>
  <c r="AF92" i="6" a="1"/>
  <c r="AF92" i="6"/>
  <c r="AF93" i="6" a="1"/>
  <c r="AF93" i="6" s="1"/>
  <c r="AF94" i="6" a="1"/>
  <c r="AF94" i="6" s="1"/>
  <c r="AF95" i="6" a="1"/>
  <c r="AF95" i="6"/>
  <c r="AF96" i="6" a="1"/>
  <c r="AF96" i="6"/>
  <c r="AF97" i="6" a="1"/>
  <c r="AF97" i="6"/>
  <c r="AF98" i="6" a="1"/>
  <c r="AF98" i="6"/>
  <c r="AF99" i="6" a="1"/>
  <c r="AF99" i="6"/>
  <c r="AF100" i="6" a="1"/>
  <c r="AF100" i="6" s="1"/>
  <c r="AF101" i="6" a="1"/>
  <c r="AF101" i="6"/>
  <c r="AF102" i="6" a="1"/>
  <c r="AF102" i="6" s="1"/>
  <c r="AF103" i="6" a="1"/>
  <c r="AF103" i="6"/>
  <c r="AF104" i="6" a="1"/>
  <c r="AF104" i="6"/>
  <c r="AF105" i="6" a="1"/>
  <c r="AF105" i="6"/>
  <c r="AF106" i="6" a="1"/>
  <c r="AF106" i="6" s="1"/>
  <c r="AF107" i="6" a="1"/>
  <c r="AF107" i="6" s="1"/>
  <c r="AF108" i="6" a="1"/>
  <c r="AF108" i="6"/>
  <c r="AF109" i="6" a="1"/>
  <c r="AF109" i="6"/>
  <c r="AF110" i="6" a="1"/>
  <c r="AF110" i="6"/>
  <c r="AF111" i="6" a="1"/>
  <c r="AF111" i="6"/>
  <c r="AF112" i="6" a="1"/>
  <c r="AF112" i="6" s="1"/>
  <c r="AF113" i="6" a="1"/>
  <c r="AF113" i="6"/>
  <c r="AF114" i="6" a="1"/>
  <c r="AF114" i="6"/>
  <c r="AF115" i="6" a="1"/>
  <c r="AF115" i="6" s="1"/>
  <c r="AF116" i="6" a="1"/>
  <c r="AF116" i="6"/>
  <c r="AF117" i="6" a="1"/>
  <c r="AF117" i="6"/>
  <c r="AF118" i="6" a="1"/>
  <c r="AF118" i="6" s="1"/>
  <c r="AF119" i="6" a="1"/>
  <c r="AF119" i="6"/>
  <c r="AF120" i="6" a="1"/>
  <c r="AF120" i="6"/>
  <c r="AF121" i="6" a="1"/>
  <c r="AF121" i="6"/>
  <c r="AF122" i="6" a="1"/>
  <c r="AF122" i="6"/>
  <c r="AF123" i="6" a="1"/>
  <c r="AF123" i="6"/>
  <c r="AF124" i="6" a="1"/>
  <c r="AF124" i="6" s="1"/>
  <c r="AF125" i="6" a="1"/>
  <c r="AF125" i="6"/>
  <c r="AF126" i="6" a="1"/>
  <c r="AF126" i="6"/>
  <c r="AF127" i="6" a="1"/>
  <c r="AF127" i="6" s="1"/>
  <c r="AF128" i="6" a="1"/>
  <c r="AF128" i="6" s="1"/>
  <c r="AF129" i="6" a="1"/>
  <c r="AF129" i="6"/>
  <c r="AF130" i="6" a="1"/>
  <c r="AF130" i="6" s="1"/>
  <c r="AF131" i="6" a="1"/>
  <c r="AF131" i="6"/>
  <c r="AF132" i="6" a="1"/>
  <c r="AF132" i="6"/>
  <c r="AF133" i="6" a="1"/>
  <c r="AF133" i="6"/>
  <c r="AF134" i="6" a="1"/>
  <c r="AF134" i="6" s="1"/>
  <c r="AF135" i="6" a="1"/>
  <c r="AF135" i="6"/>
  <c r="AF136" i="6" a="1"/>
  <c r="AF136" i="6" s="1"/>
  <c r="AF137" i="6" a="1"/>
  <c r="AF137" i="6"/>
  <c r="AF138" i="6" a="1"/>
  <c r="AF138" i="6"/>
  <c r="AF139" i="6" a="1"/>
  <c r="AF139" i="6"/>
  <c r="AF140" i="6" a="1"/>
  <c r="AF140" i="6"/>
  <c r="AF141" i="6" a="1"/>
  <c r="AF141" i="6" s="1"/>
  <c r="AF142" i="6" a="1"/>
  <c r="AF142" i="6" s="1"/>
  <c r="AF143" i="6" a="1"/>
  <c r="AF143" i="6"/>
  <c r="AF144" i="6" a="1"/>
  <c r="AF144" i="6"/>
  <c r="AF145" i="6" a="1"/>
  <c r="AF145" i="6"/>
  <c r="AF146" i="6" a="1"/>
  <c r="AF146" i="6"/>
  <c r="AF147" i="6" a="1"/>
  <c r="AF147" i="6"/>
  <c r="AF148" i="6" a="1"/>
  <c r="AF148" i="6" s="1"/>
  <c r="AF149" i="6" a="1"/>
  <c r="AF149" i="6"/>
  <c r="AF150" i="6" a="1"/>
  <c r="AF150" i="6"/>
  <c r="AF151" i="6" a="1"/>
  <c r="AF151" i="6"/>
  <c r="AF152" i="6" a="1"/>
  <c r="AF152" i="6"/>
  <c r="AF153" i="6" a="1"/>
  <c r="AF153" i="6"/>
  <c r="AF154" i="6" a="1"/>
  <c r="AF154" i="6" s="1"/>
  <c r="AF155" i="6" a="1"/>
  <c r="AF155" i="6"/>
  <c r="AF156" i="6" a="1"/>
  <c r="AF156" i="6"/>
  <c r="AF157" i="6" a="1"/>
  <c r="AF157" i="6"/>
  <c r="AF158" i="6" a="1"/>
  <c r="AF158" i="6"/>
  <c r="AF159" i="6" a="1"/>
  <c r="AF159" i="6"/>
  <c r="AF160" i="6" a="1"/>
  <c r="AF160" i="6" s="1"/>
  <c r="AF161" i="6" a="1"/>
  <c r="AF161" i="6" s="1"/>
  <c r="AF162" i="6" a="1"/>
  <c r="AF162" i="6"/>
  <c r="AF163" i="6" a="1"/>
  <c r="AF163" i="6"/>
  <c r="AF164" i="6" a="1"/>
  <c r="AF164" i="6"/>
  <c r="AF165" i="6" a="1"/>
  <c r="AF165" i="6"/>
  <c r="AF166" i="6" a="1"/>
  <c r="AF166" i="6" s="1"/>
  <c r="AF167" i="6" a="1"/>
  <c r="AF167" i="6"/>
  <c r="AF168" i="6" a="1"/>
  <c r="AF168" i="6"/>
  <c r="AF169" i="6" a="1"/>
  <c r="AF169" i="6"/>
  <c r="AF170" i="6" a="1"/>
  <c r="AF170" i="6"/>
  <c r="AF171" i="6" a="1"/>
  <c r="AF171" i="6"/>
  <c r="AF172" i="6" a="1"/>
  <c r="AF172" i="6" s="1"/>
  <c r="AF173" i="6" a="1"/>
  <c r="AF173" i="6"/>
  <c r="AF174" i="6" a="1"/>
  <c r="AF174" i="6" s="1"/>
  <c r="AF175" i="6" a="1"/>
  <c r="AF175" i="6"/>
  <c r="AF176" i="6" a="1"/>
  <c r="AF176" i="6"/>
  <c r="AF177" i="6" a="1"/>
  <c r="AF177" i="6"/>
  <c r="AF178" i="6" a="1"/>
  <c r="AF178" i="6" s="1"/>
  <c r="AF179" i="6" a="1"/>
  <c r="AF179" i="6"/>
  <c r="AF180" i="6" a="1"/>
  <c r="AF180" i="6"/>
  <c r="AF181" i="6" a="1"/>
  <c r="AF181" i="6"/>
  <c r="AF182" i="6" a="1"/>
  <c r="AF182" i="6"/>
  <c r="AF183" i="6" a="1"/>
  <c r="AF183" i="6"/>
  <c r="AF184" i="6" a="1"/>
  <c r="AF184" i="6" s="1"/>
  <c r="AF185" i="6" a="1"/>
  <c r="AF185" i="6"/>
  <c r="AF186" i="6" a="1"/>
  <c r="AF186" i="6"/>
  <c r="AF187" i="6" a="1"/>
  <c r="AF187" i="6" s="1"/>
  <c r="AF188" i="6" a="1"/>
  <c r="AF188" i="6"/>
  <c r="AF189" i="6" a="1"/>
  <c r="AF189" i="6"/>
  <c r="AF190" i="6" a="1"/>
  <c r="AF190" i="6" s="1"/>
  <c r="AF191" i="6" a="1"/>
  <c r="AF191" i="6"/>
  <c r="AF192" i="6" a="1"/>
  <c r="AF192" i="6"/>
  <c r="AF193" i="6" a="1"/>
  <c r="AF193" i="6"/>
  <c r="AF194" i="6" a="1"/>
  <c r="AF194" i="6"/>
  <c r="AF195" i="6" a="1"/>
  <c r="AF195" i="6" s="1"/>
  <c r="AF196" i="6" a="1"/>
  <c r="AF196" i="6" s="1"/>
  <c r="AF197" i="6" a="1"/>
  <c r="AF197" i="6"/>
  <c r="AF198" i="6" a="1"/>
  <c r="AF198" i="6"/>
  <c r="AF199" i="6" a="1"/>
  <c r="AF199" i="6"/>
  <c r="AF200" i="6" a="1"/>
  <c r="AF200" i="6" s="1"/>
  <c r="AF201" i="6" a="1"/>
  <c r="AF201" i="6"/>
  <c r="AF202" i="6" a="1"/>
  <c r="AF202" i="6" s="1"/>
  <c r="AF203" i="6" a="1"/>
  <c r="AF203" i="6"/>
  <c r="AF204" i="6" a="1"/>
  <c r="AF204" i="6"/>
  <c r="AF205" i="6" a="1"/>
  <c r="AF205" i="6"/>
  <c r="AF206" i="6" a="1"/>
  <c r="AF206" i="6"/>
  <c r="AF207" i="6" a="1"/>
  <c r="AF207" i="6"/>
  <c r="AF208" i="6" a="1"/>
  <c r="AF208" i="6" s="1"/>
  <c r="AF209" i="6" a="1"/>
  <c r="AF209" i="6" s="1"/>
  <c r="AF210" i="6" a="1"/>
  <c r="AF210" i="6"/>
  <c r="AF211" i="6" a="1"/>
  <c r="AF211" i="6"/>
  <c r="AF212" i="6" a="1"/>
  <c r="AF212" i="6"/>
  <c r="AF213" i="6" a="1"/>
  <c r="AF213" i="6" s="1"/>
  <c r="AF214" i="6" a="1"/>
  <c r="AF214" i="6" s="1"/>
  <c r="AF215" i="6" a="1"/>
  <c r="AF215" i="6"/>
  <c r="AF216" i="6" a="1"/>
  <c r="AF216" i="6" s="1"/>
  <c r="AF217" i="6" a="1"/>
  <c r="AF217" i="6"/>
  <c r="AF218" i="6" a="1"/>
  <c r="AF218" i="6"/>
  <c r="AF219" i="6" a="1"/>
  <c r="AF219" i="6"/>
  <c r="AF220" i="6" a="1"/>
  <c r="AF220" i="6" s="1"/>
  <c r="AF221" i="6" a="1"/>
  <c r="AF221" i="6"/>
  <c r="AF222" i="6" a="1"/>
  <c r="AF222" i="6"/>
  <c r="AF223" i="6" a="1"/>
  <c r="AF223" i="6"/>
  <c r="AF224" i="6" a="1"/>
  <c r="AF224" i="6"/>
  <c r="AF225" i="6" a="1"/>
  <c r="AF225" i="6"/>
  <c r="AF226" i="6" a="1"/>
  <c r="AF226" i="6" s="1"/>
  <c r="AF227" i="6" a="1"/>
  <c r="AF227" i="6"/>
  <c r="AF228" i="6" a="1"/>
  <c r="AF228" i="6"/>
  <c r="AF229" i="6" a="1"/>
  <c r="AF229" i="6" s="1"/>
  <c r="AF230" i="6" a="1"/>
  <c r="AF230" i="6"/>
  <c r="AF231" i="6" a="1"/>
  <c r="AF231" i="6"/>
  <c r="AF232" i="6" a="1"/>
  <c r="AF232" i="6" s="1"/>
  <c r="AF233" i="6" a="1"/>
  <c r="AF233" i="6" s="1"/>
  <c r="AF234" i="6" a="1"/>
  <c r="AF234" i="6"/>
  <c r="AF235" i="6" a="1"/>
  <c r="AF235" i="6"/>
  <c r="AF236" i="6" a="1"/>
  <c r="AF236" i="6" s="1"/>
  <c r="AF237" i="6" a="1"/>
  <c r="AF237" i="6"/>
  <c r="AF238" i="6" a="1"/>
  <c r="AF238" i="6" s="1"/>
  <c r="AF239" i="6" a="1"/>
  <c r="AF239" i="6"/>
  <c r="AF240" i="6" a="1"/>
  <c r="AF240" i="6"/>
  <c r="AF241" i="6" a="1"/>
  <c r="AF241" i="6"/>
  <c r="AF242" i="6" a="1"/>
  <c r="AF242" i="6"/>
  <c r="AF243" i="6" a="1"/>
  <c r="AF243" i="6"/>
  <c r="AF244" i="6" a="1"/>
  <c r="AF244" i="6" s="1"/>
  <c r="AF245" i="6" a="1"/>
  <c r="AF245" i="6"/>
  <c r="AF246" i="6" a="1"/>
  <c r="AF246" i="6" s="1"/>
  <c r="AF247" i="6" a="1"/>
  <c r="AF247" i="6"/>
  <c r="AF248" i="6" a="1"/>
  <c r="AF248" i="6"/>
  <c r="AF249" i="6" a="1"/>
  <c r="AF249" i="6"/>
  <c r="AF250" i="6" a="1"/>
  <c r="AF250" i="6" s="1"/>
  <c r="AF251" i="6" a="1"/>
  <c r="AF251" i="6"/>
  <c r="AF252" i="6" a="1"/>
  <c r="AF252" i="6"/>
  <c r="AF253" i="6" a="1"/>
  <c r="AF253" i="6"/>
  <c r="AF254" i="6" a="1"/>
  <c r="AF254" i="6"/>
  <c r="AF255" i="6" a="1"/>
  <c r="AF255" i="6"/>
  <c r="AF256" i="6" a="1"/>
  <c r="AF256" i="6" s="1"/>
  <c r="AF257" i="6" a="1"/>
  <c r="AF257" i="6"/>
  <c r="AF258" i="6" a="1"/>
  <c r="AF258" i="6"/>
  <c r="AF259" i="6" a="1"/>
  <c r="AF259" i="6" s="1"/>
  <c r="AF260" i="6" a="1"/>
  <c r="AF260" i="6"/>
  <c r="AF261" i="6" a="1"/>
  <c r="AF261" i="6"/>
  <c r="AF262" i="6" a="1"/>
  <c r="AF262" i="6" s="1"/>
  <c r="AF263" i="6" a="1"/>
  <c r="AF263" i="6"/>
  <c r="AF264" i="6" a="1"/>
  <c r="AF264" i="6"/>
  <c r="AF265" i="6" a="1"/>
  <c r="AF265" i="6"/>
  <c r="AF266" i="6" a="1"/>
  <c r="AF266" i="6"/>
  <c r="AF267" i="6" a="1"/>
  <c r="AF267" i="6"/>
  <c r="AF268" i="6" a="1"/>
  <c r="AF268" i="6" s="1"/>
  <c r="AF269" i="6" a="1"/>
  <c r="AF269" i="6"/>
  <c r="AF270" i="6" a="1"/>
  <c r="AF270" i="6" s="1"/>
  <c r="AF271" i="6" a="1"/>
  <c r="AF271" i="6"/>
  <c r="AF272" i="6" a="1"/>
  <c r="AF272" i="6" s="1"/>
  <c r="AF273" i="6" a="1"/>
  <c r="AF273" i="6"/>
  <c r="AF274" i="6" a="1"/>
  <c r="AF274" i="6" s="1"/>
  <c r="AF275" i="6" a="1"/>
  <c r="AF275" i="6"/>
  <c r="AF276" i="6" a="1"/>
  <c r="AF276" i="6"/>
  <c r="AF277" i="6" a="1"/>
  <c r="AF277" i="6" s="1"/>
  <c r="AF278" i="6" a="1"/>
  <c r="AF278" i="6"/>
  <c r="AF279" i="6" a="1"/>
  <c r="AF279" i="6"/>
  <c r="AF280" i="6" a="1"/>
  <c r="AF280" i="6" s="1"/>
  <c r="AF281" i="6" a="1"/>
  <c r="AF281" i="6"/>
  <c r="AF282" i="6" a="1"/>
  <c r="AF282" i="6"/>
  <c r="AF283" i="6" a="1"/>
  <c r="AF283" i="6"/>
  <c r="AF284" i="6" a="1"/>
  <c r="AF284" i="6"/>
  <c r="AF285" i="6" a="1"/>
  <c r="AF285" i="6" s="1"/>
  <c r="AF286" i="6" a="1"/>
  <c r="AF286" i="6" s="1"/>
  <c r="AF287" i="6" a="1"/>
  <c r="AF287" i="6"/>
  <c r="AF288" i="6" a="1"/>
  <c r="AF288" i="6"/>
  <c r="AF289" i="6" a="1"/>
  <c r="AF289" i="6"/>
  <c r="AF290" i="6" a="1"/>
  <c r="AF290" i="6"/>
  <c r="AF291" i="6" a="1"/>
  <c r="AF291" i="6"/>
  <c r="AF292" i="6" a="1"/>
  <c r="AF292" i="6" s="1"/>
  <c r="AF293" i="6" a="1"/>
  <c r="AF293" i="6"/>
  <c r="AF294" i="6" a="1"/>
  <c r="AF294" i="6"/>
  <c r="AF295" i="6" a="1"/>
  <c r="AF295" i="6"/>
  <c r="AF296" i="6" a="1"/>
  <c r="AF296" i="6"/>
  <c r="AF297" i="6" a="1"/>
  <c r="AF297" i="6" s="1"/>
  <c r="AF298" i="6" a="1"/>
  <c r="AF298" i="6" s="1"/>
  <c r="AF299" i="6" a="1"/>
  <c r="AF299" i="6"/>
  <c r="AF300" i="6" a="1"/>
  <c r="AF300" i="6"/>
  <c r="AF301" i="6" a="1"/>
  <c r="AF301" i="6"/>
  <c r="AF302" i="6" a="1"/>
  <c r="AF302" i="6"/>
  <c r="AF303" i="6" a="1"/>
  <c r="AF303" i="6"/>
  <c r="AF304" i="6" a="1"/>
  <c r="AF304" i="6" s="1"/>
  <c r="AF305" i="6" a="1"/>
  <c r="AF305" i="6" s="1"/>
  <c r="AF306" i="6" a="1"/>
  <c r="AF306" i="6"/>
  <c r="AF307" i="6" a="1"/>
  <c r="AF307" i="6"/>
  <c r="AF308" i="6" a="1"/>
  <c r="AF308" i="6"/>
  <c r="AF309" i="6" a="1"/>
  <c r="AF309" i="6"/>
  <c r="AF310" i="6" a="1"/>
  <c r="AF310" i="6" s="1"/>
  <c r="AF311" i="6" a="1"/>
  <c r="AF311" i="6" s="1"/>
  <c r="AF312" i="6" a="1"/>
  <c r="AF312" i="6"/>
  <c r="AF313" i="6" a="1"/>
  <c r="AF313" i="6"/>
  <c r="AF314" i="6" a="1"/>
  <c r="AF314" i="6"/>
  <c r="AF315" i="6" a="1"/>
  <c r="AF315" i="6"/>
  <c r="AF316" i="6" a="1"/>
  <c r="AF316" i="6" s="1"/>
  <c r="AF317" i="6" a="1"/>
  <c r="AF317" i="6"/>
  <c r="AF318" i="6" a="1"/>
  <c r="AF318" i="6" s="1"/>
  <c r="AF319" i="6" a="1"/>
  <c r="AF319" i="6"/>
  <c r="AF320" i="6" a="1"/>
  <c r="AF320" i="6"/>
  <c r="AF321" i="6" a="1"/>
  <c r="AF321" i="6"/>
  <c r="AF322" i="6" a="1"/>
  <c r="AF322" i="6" s="1"/>
  <c r="AF323" i="6" a="1"/>
  <c r="AF323" i="6"/>
  <c r="AF324" i="6" a="1"/>
  <c r="AF324" i="6"/>
  <c r="AF325" i="6" a="1"/>
  <c r="AF325" i="6"/>
  <c r="AF326" i="6" a="1"/>
  <c r="AF326" i="6"/>
  <c r="AF327" i="6" a="1"/>
  <c r="AF327" i="6"/>
  <c r="AF328" i="6" a="1"/>
  <c r="AF328" i="6" s="1"/>
  <c r="AF329" i="6" a="1"/>
  <c r="AF329" i="6"/>
  <c r="AF330" i="6" a="1"/>
  <c r="AF330" i="6"/>
  <c r="AF331" i="6" a="1"/>
  <c r="AF331" i="6" s="1"/>
  <c r="AF332" i="6" a="1"/>
  <c r="AF332" i="6"/>
  <c r="AF333" i="6" a="1"/>
  <c r="AF333" i="6"/>
  <c r="AF334" i="6" a="1"/>
  <c r="AF334" i="6" s="1"/>
  <c r="AF335" i="6" a="1"/>
  <c r="AF335" i="6"/>
  <c r="AF336" i="6" a="1"/>
  <c r="AF336" i="6"/>
  <c r="AF337" i="6" a="1"/>
  <c r="AF337" i="6"/>
  <c r="AF338" i="6" a="1"/>
  <c r="AF338" i="6"/>
  <c r="AF339" i="6" a="1"/>
  <c r="AF339" i="6"/>
  <c r="AF340" i="6" a="1"/>
  <c r="AF340" i="6" s="1"/>
  <c r="AF341" i="6" a="1"/>
  <c r="AF341" i="6"/>
  <c r="AF342" i="6" a="1"/>
  <c r="AF342" i="6"/>
  <c r="AF343" i="6" a="1"/>
  <c r="AF343" i="6"/>
  <c r="AF344" i="6" a="1"/>
  <c r="AF344" i="6" s="1"/>
  <c r="AF345" i="6" a="1"/>
  <c r="AF345" i="6"/>
  <c r="AF346" i="6" a="1"/>
  <c r="AF346" i="6" s="1"/>
  <c r="AF347" i="6" a="1"/>
  <c r="AF347" i="6"/>
  <c r="AF348" i="6" a="1"/>
  <c r="AF348" i="6"/>
  <c r="AF349" i="6" a="1"/>
  <c r="AF349" i="6"/>
  <c r="AF350" i="6" a="1"/>
  <c r="AF350" i="6"/>
  <c r="AF351" i="6" a="1"/>
  <c r="AF351" i="6"/>
  <c r="AF352" i="6" a="1"/>
  <c r="AF352" i="6" s="1"/>
  <c r="AF353" i="6" a="1"/>
  <c r="AF353" i="6"/>
  <c r="AF354" i="6" a="1"/>
  <c r="AF354" i="6"/>
  <c r="AF355" i="6" a="1"/>
  <c r="AF355" i="6"/>
  <c r="AF356" i="6" a="1"/>
  <c r="AF356" i="6"/>
  <c r="AF357" i="6" a="1"/>
  <c r="AF357" i="6" s="1"/>
  <c r="AF358" i="6" a="1"/>
  <c r="AF358" i="6" s="1"/>
  <c r="AF359" i="6" a="1"/>
  <c r="AF359" i="6" s="1"/>
  <c r="AF360" i="6" a="1"/>
  <c r="AF360" i="6"/>
  <c r="AF361" i="6" a="1"/>
  <c r="AF361" i="6"/>
  <c r="AF362" i="6" a="1"/>
  <c r="AF362" i="6"/>
  <c r="AF363" i="6" a="1"/>
  <c r="AF363" i="6"/>
  <c r="AF364" i="6" a="1"/>
  <c r="AF364" i="6" s="1"/>
  <c r="AF365" i="6" a="1"/>
  <c r="AF365" i="6"/>
  <c r="AF366" i="6" a="1"/>
  <c r="AF366" i="6"/>
  <c r="AF367" i="6" a="1"/>
  <c r="AF367" i="6"/>
  <c r="AF368" i="6" a="1"/>
  <c r="AF368" i="6"/>
  <c r="AF369" i="6" a="1"/>
  <c r="AF369" i="6"/>
  <c r="AF370" i="6" a="1"/>
  <c r="AF370" i="6" s="1"/>
  <c r="AF371" i="6" a="1"/>
  <c r="AF371" i="6"/>
  <c r="AF372" i="6" a="1"/>
  <c r="AF372" i="6" s="1"/>
  <c r="AF373" i="6" a="1"/>
  <c r="AF373" i="6"/>
  <c r="AF374" i="6" a="1"/>
  <c r="AF374" i="6"/>
  <c r="AF375" i="6" a="1"/>
  <c r="AF375" i="6"/>
  <c r="AF376" i="6" a="1"/>
  <c r="AF376" i="6" s="1"/>
  <c r="AF377" i="6" a="1"/>
  <c r="AF377" i="6" s="1"/>
  <c r="AF378" i="6" a="1"/>
  <c r="AF378" i="6"/>
  <c r="AF379" i="6" a="1"/>
  <c r="AF379" i="6" s="1"/>
  <c r="AF380" i="6" a="1"/>
  <c r="AF380" i="6"/>
  <c r="AF381" i="6" a="1"/>
  <c r="AF381" i="6"/>
  <c r="AF382" i="6" a="1"/>
  <c r="AF382" i="6" s="1"/>
  <c r="AF383" i="6" a="1"/>
  <c r="AF383" i="6"/>
  <c r="AF384" i="6" a="1"/>
  <c r="AF384" i="6"/>
  <c r="AF385" i="6" a="1"/>
  <c r="AF385" i="6"/>
  <c r="AF386" i="6" a="1"/>
  <c r="AF386" i="6"/>
  <c r="AF387" i="6" a="1"/>
  <c r="AF387" i="6"/>
  <c r="AF388" i="6" a="1"/>
  <c r="AF388" i="6" s="1"/>
  <c r="AF389" i="6" a="1"/>
  <c r="AF389" i="6"/>
  <c r="AF390" i="6" a="1"/>
  <c r="AF390" i="6" s="1"/>
  <c r="AF391" i="6" a="1"/>
  <c r="AF391" i="6"/>
  <c r="AF392" i="6" a="1"/>
  <c r="AF392" i="6"/>
  <c r="AF393" i="6" a="1"/>
  <c r="AF393" i="6"/>
  <c r="AF394" i="6" a="1"/>
  <c r="AF394" i="6" s="1"/>
  <c r="AF395" i="6" a="1"/>
  <c r="AF395" i="6"/>
  <c r="AF396" i="6" a="1"/>
  <c r="AF396" i="6"/>
  <c r="AF397" i="6" a="1"/>
  <c r="AF397" i="6" s="1"/>
  <c r="AF398" i="6" a="1"/>
  <c r="AF398" i="6"/>
  <c r="AF399" i="6" a="1"/>
  <c r="AF399" i="6"/>
  <c r="AF400" i="6" a="1"/>
  <c r="AF400" i="6" s="1"/>
  <c r="AF401" i="6" a="1"/>
  <c r="AF401" i="6"/>
  <c r="AF402" i="6" a="1"/>
  <c r="AF402" i="6"/>
  <c r="AF403" i="6" a="1"/>
  <c r="AF403" i="6" s="1"/>
  <c r="AF404" i="6" a="1"/>
  <c r="AF404" i="6"/>
  <c r="AF405" i="6" a="1"/>
  <c r="AF405" i="6"/>
  <c r="AF406" i="6" a="1"/>
  <c r="AF406" i="6" s="1"/>
  <c r="AF407" i="6" a="1"/>
  <c r="AF407" i="6" s="1"/>
  <c r="AF408" i="6" a="1"/>
  <c r="AF408" i="6"/>
  <c r="AF409" i="6" a="1"/>
  <c r="AF409" i="6"/>
  <c r="AF410" i="6" a="1"/>
  <c r="AF410" i="6" s="1"/>
  <c r="AF411" i="6" a="1"/>
  <c r="AF411" i="6"/>
  <c r="AF412" i="6" a="1"/>
  <c r="AF412" i="6" s="1"/>
  <c r="AF413" i="6" a="1"/>
  <c r="AF413" i="6"/>
  <c r="AF414" i="6" a="1"/>
  <c r="AF414" i="6" s="1"/>
  <c r="AF415" i="6" a="1"/>
  <c r="AF415" i="6"/>
  <c r="AF416" i="6" a="1"/>
  <c r="AF416" i="6" s="1"/>
  <c r="AF417" i="6" a="1"/>
  <c r="AF417" i="6"/>
  <c r="AF418" i="6" a="1"/>
  <c r="AF418" i="6" s="1"/>
  <c r="AF419" i="6" a="1"/>
  <c r="AF419" i="6"/>
  <c r="AF420" i="6" a="1"/>
  <c r="AF420" i="6"/>
  <c r="AF421" i="6" a="1"/>
  <c r="AF421" i="6" s="1"/>
  <c r="AF422" i="6" a="1"/>
  <c r="AF422" i="6"/>
  <c r="AF423" i="6" a="1"/>
  <c r="AF423" i="6" s="1"/>
  <c r="AF424" i="6" a="1"/>
  <c r="AF424" i="6" s="1"/>
  <c r="AF425" i="6" a="1"/>
  <c r="AF425" i="6"/>
  <c r="AF426" i="6" a="1"/>
  <c r="AF426" i="6"/>
  <c r="AF427" i="6" a="1"/>
  <c r="AF427" i="6"/>
  <c r="AF428" i="6" a="1"/>
  <c r="AF428" i="6" s="1"/>
  <c r="AF429" i="6" a="1"/>
  <c r="AF429" i="6" s="1"/>
  <c r="AF430" i="6" a="1"/>
  <c r="AF430" i="6" s="1"/>
  <c r="AF431" i="6" a="1"/>
  <c r="AF431" i="6"/>
  <c r="AF432" i="6" a="1"/>
  <c r="AF432" i="6"/>
  <c r="AF433" i="6" a="1"/>
  <c r="AF433" i="6"/>
  <c r="AF434" i="6" a="1"/>
  <c r="AF434" i="6"/>
  <c r="AF435" i="6" a="1"/>
  <c r="AF435" i="6" s="1"/>
  <c r="AF436" i="6" a="1"/>
  <c r="AF436" i="6" s="1"/>
  <c r="AF437" i="6" a="1"/>
  <c r="AF437" i="6"/>
  <c r="AF438" i="6" a="1"/>
  <c r="AF438" i="6"/>
  <c r="AF439" i="6" a="1"/>
  <c r="AF439" i="6"/>
  <c r="AF440" i="6" a="1"/>
  <c r="AF440" i="6"/>
  <c r="AF441" i="6" a="1"/>
  <c r="AF441" i="6"/>
  <c r="AF442" i="6" a="1"/>
  <c r="AF442" i="6" s="1"/>
  <c r="AF443" i="6" a="1"/>
  <c r="AF443" i="6" s="1"/>
  <c r="AF444" i="6" a="1"/>
  <c r="AF444" i="6"/>
  <c r="AF445" i="6" a="1"/>
  <c r="AF445" i="6"/>
  <c r="AF446" i="6" a="1"/>
  <c r="AF446" i="6"/>
  <c r="AF447" i="6" a="1"/>
  <c r="AF447" i="6"/>
  <c r="AF448" i="6" a="1"/>
  <c r="AF448" i="6" s="1"/>
  <c r="AF449" i="6" a="1"/>
  <c r="AF449" i="6" s="1"/>
  <c r="AF450" i="6" a="1"/>
  <c r="AF450" i="6"/>
  <c r="AF451" i="6" a="1"/>
  <c r="AF451" i="6"/>
  <c r="AF452" i="6" a="1"/>
  <c r="AF452" i="6"/>
  <c r="AF453" i="6" a="1"/>
  <c r="AF453" i="6"/>
  <c r="AF454" i="6" a="1"/>
  <c r="AF454" i="6" s="1"/>
  <c r="AF455" i="6" a="1"/>
  <c r="AF455" i="6"/>
  <c r="AF456" i="6" a="1"/>
  <c r="AF456" i="6" s="1"/>
  <c r="AF457" i="6" a="1"/>
  <c r="AF457" i="6"/>
  <c r="AF458" i="6" a="1"/>
  <c r="AF458" i="6"/>
  <c r="AF459" i="6" a="1"/>
  <c r="AF459" i="6"/>
  <c r="AF460" i="6" a="1"/>
  <c r="AF460" i="6" s="1"/>
  <c r="AF461" i="6" a="1"/>
  <c r="AF461" i="6"/>
  <c r="AF462" i="6" a="1"/>
  <c r="AF462" i="6" s="1"/>
  <c r="AF463" i="6" a="1"/>
  <c r="AF463" i="6"/>
  <c r="AF464" i="6" a="1"/>
  <c r="AF464" i="6"/>
  <c r="AF465" i="6" a="1"/>
  <c r="AF465" i="6"/>
  <c r="AF466" i="6" a="1"/>
  <c r="AF466" i="6" s="1"/>
  <c r="AF467" i="6" a="1"/>
  <c r="AF467" i="6"/>
  <c r="AF468" i="6" a="1"/>
  <c r="AF468" i="6"/>
  <c r="AF469" i="6" a="1"/>
  <c r="AF469" i="6" s="1"/>
  <c r="AF470" i="6" a="1"/>
  <c r="AF470" i="6"/>
  <c r="AF471" i="6" a="1"/>
  <c r="AF471" i="6"/>
  <c r="AF472" i="6" a="1"/>
  <c r="AF472" i="6" s="1"/>
  <c r="AF473" i="6" a="1"/>
  <c r="AF473" i="6"/>
  <c r="AF474" i="6" a="1"/>
  <c r="AF474" i="6"/>
  <c r="AF475" i="6" a="1"/>
  <c r="AF475" i="6" s="1"/>
  <c r="AF476" i="6" a="1"/>
  <c r="AF476" i="6"/>
  <c r="AF477" i="6" a="1"/>
  <c r="AF477" i="6"/>
  <c r="AF478" i="6" a="1"/>
  <c r="AF478" i="6" s="1"/>
  <c r="AF479" i="6" a="1"/>
  <c r="AF479" i="6"/>
  <c r="AF480" i="6" a="1"/>
  <c r="AF480" i="6"/>
  <c r="AF481" i="6" a="1"/>
  <c r="AF481" i="6"/>
  <c r="AF482" i="6" a="1"/>
  <c r="AF482" i="6" s="1"/>
  <c r="AF483" i="6" a="1"/>
  <c r="AF483" i="6"/>
  <c r="AF484" i="6" a="1"/>
  <c r="AF484" i="6" s="1"/>
  <c r="AF485" i="6" a="1"/>
  <c r="AF485" i="6" s="1"/>
  <c r="AF486" i="6" a="1"/>
  <c r="AF486" i="6"/>
  <c r="AF487" i="6" a="1"/>
  <c r="AF487" i="6"/>
  <c r="AF488" i="6" a="1"/>
  <c r="AF488" i="6" s="1"/>
  <c r="AF489" i="6" a="1"/>
  <c r="AF489" i="6"/>
  <c r="AF490" i="6" a="1"/>
  <c r="AF490" i="6" s="1"/>
  <c r="AF491" i="6" a="1"/>
  <c r="AF491" i="6"/>
  <c r="AF492" i="6" a="1"/>
  <c r="AF492" i="6" s="1"/>
  <c r="AF493" i="6" a="1"/>
  <c r="AF493" i="6"/>
  <c r="AF494" i="6" a="1"/>
  <c r="AF494" i="6"/>
  <c r="AF495" i="6" a="1"/>
  <c r="AF495" i="6" s="1"/>
  <c r="AF496" i="6" a="1"/>
  <c r="AF496" i="6" s="1"/>
  <c r="AF497" i="6" a="1"/>
  <c r="AF497" i="6"/>
  <c r="AF498" i="6" a="1"/>
  <c r="AF498" i="6"/>
  <c r="AF499" i="6" a="1"/>
  <c r="AF499" i="6" s="1"/>
  <c r="AF500" i="6" a="1"/>
  <c r="AF500" i="6"/>
  <c r="AF501" i="6" a="1"/>
  <c r="AF501" i="6" s="1"/>
  <c r="AF502" i="6" a="1"/>
  <c r="AF502" i="6" s="1"/>
  <c r="AF503" i="6" a="1"/>
  <c r="AF503" i="6"/>
  <c r="AF504" i="6" a="1"/>
  <c r="AF504" i="6"/>
  <c r="AF505" i="6" a="1"/>
  <c r="AF505" i="6"/>
  <c r="AF506" i="6" a="1"/>
  <c r="AF506" i="6" s="1"/>
  <c r="AF507" i="6" a="1"/>
  <c r="AF507" i="6"/>
  <c r="AF508" i="6" a="1"/>
  <c r="AF508" i="6" s="1"/>
  <c r="AF509" i="6" a="1"/>
  <c r="AF509" i="6"/>
  <c r="AF510" i="6" a="1"/>
  <c r="AF510" i="6"/>
  <c r="AF511" i="6" a="1"/>
  <c r="AF511" i="6"/>
  <c r="AF512" i="6" a="1"/>
  <c r="AF512" i="6"/>
  <c r="AF513" i="6" a="1"/>
  <c r="AF513" i="6"/>
  <c r="AF514" i="6" a="1"/>
  <c r="AF514" i="6" s="1"/>
  <c r="AF515" i="6" a="1"/>
  <c r="AF515" i="6"/>
  <c r="AF516" i="6" a="1"/>
  <c r="AF516" i="6"/>
  <c r="AF517" i="6" a="1"/>
  <c r="AF517" i="6"/>
  <c r="AF518" i="6" a="1"/>
  <c r="AF518" i="6"/>
  <c r="AF519" i="6" a="1"/>
  <c r="AF519" i="6" s="1"/>
  <c r="AF520" i="6" a="1"/>
  <c r="AF520" i="6" s="1"/>
  <c r="AF521" i="6" a="1"/>
  <c r="AF521" i="6"/>
  <c r="AF522" i="6" a="1"/>
  <c r="AF522" i="6"/>
  <c r="AF523" i="6" a="1"/>
  <c r="AF523" i="6"/>
  <c r="AF524" i="6" a="1"/>
  <c r="AF524" i="6"/>
  <c r="AF525" i="6" a="1"/>
  <c r="AF525" i="6"/>
  <c r="AF526" i="6" a="1"/>
  <c r="AF526" i="6" s="1"/>
  <c r="AF527" i="6" a="1"/>
  <c r="AF527" i="6"/>
  <c r="AF528" i="6" a="1"/>
  <c r="AF528" i="6"/>
  <c r="AF529" i="6" a="1"/>
  <c r="AF529" i="6"/>
  <c r="AF530" i="6" a="1"/>
  <c r="AF530" i="6"/>
  <c r="AF531" i="6" a="1"/>
  <c r="AF531" i="6"/>
  <c r="AF532" i="6" a="1"/>
  <c r="AF532" i="6" s="1"/>
  <c r="AF533" i="6" a="1"/>
  <c r="AF533" i="6"/>
  <c r="AF534" i="6" a="1"/>
  <c r="AF534" i="6"/>
  <c r="AF535" i="6" a="1"/>
  <c r="AF535" i="6"/>
  <c r="AF536" i="6" a="1"/>
  <c r="AF536" i="6"/>
  <c r="AF537" i="6" a="1"/>
  <c r="AF537" i="6"/>
  <c r="AF538" i="6" a="1"/>
  <c r="AF538" i="6" s="1"/>
  <c r="AF539" i="6" a="1"/>
  <c r="AF539" i="6"/>
  <c r="AF540" i="6" a="1"/>
  <c r="AF540" i="6"/>
  <c r="AF541" i="6" a="1"/>
  <c r="AF541" i="6"/>
  <c r="AF542" i="6" a="1"/>
  <c r="AF542" i="6"/>
  <c r="AF543" i="6" a="1"/>
  <c r="AF543" i="6"/>
  <c r="AF544" i="6" a="1"/>
  <c r="AF544" i="6" s="1"/>
  <c r="AF545" i="6" a="1"/>
  <c r="AF545" i="6"/>
  <c r="AF546" i="6" a="1"/>
  <c r="AF546" i="6"/>
  <c r="AF547" i="6" a="1"/>
  <c r="AF547" i="6"/>
  <c r="AF548" i="6" a="1"/>
  <c r="AF548" i="6"/>
  <c r="AF549" i="6" a="1"/>
  <c r="AF549" i="6"/>
  <c r="AF550" i="6" a="1"/>
  <c r="AF550" i="6" s="1"/>
  <c r="AF551" i="6" a="1"/>
  <c r="AF551" i="6"/>
  <c r="AF552" i="6" a="1"/>
  <c r="AF552" i="6" s="1"/>
  <c r="AF553" i="6" a="1"/>
  <c r="AF553" i="6"/>
  <c r="AF554" i="6" a="1"/>
  <c r="AF554" i="6"/>
  <c r="AF555" i="6" a="1"/>
  <c r="AF555" i="6"/>
  <c r="AF556" i="6" a="1"/>
  <c r="AF556" i="6" s="1"/>
  <c r="AF557" i="6" a="1"/>
  <c r="AF557" i="6"/>
  <c r="AF558" i="6" a="1"/>
  <c r="AF558" i="6"/>
  <c r="AF559" i="6" a="1"/>
  <c r="AF559" i="6"/>
  <c r="AF560" i="6" a="1"/>
  <c r="AF560" i="6"/>
  <c r="AF561" i="6" a="1"/>
  <c r="AF561" i="6"/>
  <c r="AF562" i="6" a="1"/>
  <c r="AF562" i="6" s="1"/>
  <c r="AF563" i="6" a="1"/>
  <c r="AF563" i="6"/>
  <c r="AF564" i="6" a="1"/>
  <c r="AF564" i="6"/>
  <c r="AF565" i="6" a="1"/>
  <c r="AF565" i="6" s="1"/>
  <c r="AF566" i="6" a="1"/>
  <c r="AF566" i="6"/>
  <c r="AF567" i="6" a="1"/>
  <c r="AF567" i="6"/>
  <c r="AF568" i="6" a="1"/>
  <c r="AF568" i="6" s="1"/>
  <c r="AF569" i="6" a="1"/>
  <c r="AF569" i="6"/>
  <c r="AF570" i="6" a="1"/>
  <c r="AF570" i="6"/>
  <c r="AF571" i="6" a="1"/>
  <c r="AF571" i="6"/>
  <c r="AF572" i="6" a="1"/>
  <c r="AF572" i="6"/>
  <c r="AF573" i="6" a="1"/>
  <c r="AF573" i="6"/>
  <c r="AF574" i="6" a="1"/>
  <c r="AF574" i="6" s="1"/>
  <c r="AF575" i="6" a="1"/>
  <c r="AF575" i="6"/>
  <c r="AF576" i="6" a="1"/>
  <c r="AF576" i="6"/>
  <c r="AF577" i="6" a="1"/>
  <c r="AF577" i="6"/>
  <c r="AF578" i="6" a="1"/>
  <c r="AF578" i="6" s="1"/>
  <c r="AF579" i="6" a="1"/>
  <c r="AF579" i="6"/>
  <c r="AF580" i="6" a="1"/>
  <c r="AF580" i="6" s="1"/>
  <c r="AF581" i="6" a="1"/>
  <c r="AF581" i="6"/>
  <c r="AF582" i="6" a="1"/>
  <c r="AF582" i="6"/>
  <c r="AF583" i="6" a="1"/>
  <c r="AF583" i="6"/>
  <c r="AF584" i="6" a="1"/>
  <c r="AF584" i="6"/>
  <c r="AF585" i="6" a="1"/>
  <c r="AF585" i="6"/>
  <c r="AF586" i="6" a="1"/>
  <c r="AF586" i="6" s="1"/>
  <c r="AF587" i="6" a="1"/>
  <c r="AF587" i="6"/>
  <c r="AF588" i="6" a="1"/>
  <c r="AF588" i="6"/>
  <c r="AF589" i="6" a="1"/>
  <c r="AF589" i="6"/>
  <c r="AF590" i="6" a="1"/>
  <c r="AF590" i="6"/>
  <c r="AF591" i="6" a="1"/>
  <c r="AF591" i="6" s="1"/>
  <c r="AF592" i="6" a="1"/>
  <c r="AF592" i="6" s="1"/>
  <c r="AF593" i="6" a="1"/>
  <c r="AF593" i="6"/>
  <c r="AF594" i="6" a="1"/>
  <c r="AF594" i="6"/>
  <c r="AF595" i="6" a="1"/>
  <c r="AF595" i="6"/>
  <c r="AF596" i="6" a="1"/>
  <c r="AF596" i="6"/>
  <c r="AF597" i="6" a="1"/>
  <c r="AF597" i="6"/>
  <c r="AF598" i="6" a="1"/>
  <c r="AF598" i="6" s="1"/>
  <c r="AF599" i="6" a="1"/>
  <c r="AF599" i="6"/>
  <c r="AF600" i="6" a="1"/>
  <c r="AF600" i="6"/>
  <c r="AF601" i="6" a="1"/>
  <c r="AF601" i="6"/>
  <c r="AF602" i="6" a="1"/>
  <c r="AF602" i="6"/>
  <c r="AF603" i="6" a="1"/>
  <c r="AF603" i="6"/>
  <c r="AF604" i="6" a="1"/>
  <c r="AF604" i="6" s="1"/>
  <c r="AF605" i="6" a="1"/>
  <c r="AF605" i="6"/>
  <c r="AF606" i="6" a="1"/>
  <c r="AF606" i="6"/>
  <c r="AF607" i="6" a="1"/>
  <c r="AF607" i="6"/>
  <c r="AF608" i="6" a="1"/>
  <c r="AF608" i="6"/>
  <c r="AF609" i="6" a="1"/>
  <c r="AF609" i="6"/>
  <c r="AF610" i="6" a="1"/>
  <c r="AF610" i="6" s="1"/>
  <c r="AF611" i="6" a="1"/>
  <c r="AF611" i="6" s="1"/>
  <c r="AF612" i="6" a="1"/>
  <c r="AF612" i="6"/>
  <c r="AF613" i="6" a="1"/>
  <c r="AF613" i="6"/>
  <c r="AF614" i="6" a="1"/>
  <c r="AF614" i="6"/>
  <c r="AF615" i="6" a="1"/>
  <c r="AF615" i="6"/>
  <c r="AF616" i="6" a="1"/>
  <c r="AF616" i="6" s="1"/>
  <c r="AF617" i="6" a="1"/>
  <c r="AF617" i="6"/>
  <c r="AF618" i="6" a="1"/>
  <c r="AF618" i="6"/>
  <c r="AF619" i="6" a="1"/>
  <c r="AF619" i="6"/>
  <c r="AF620" i="6" a="1"/>
  <c r="AF620" i="6"/>
  <c r="AF621" i="6" a="1"/>
  <c r="AF621" i="6"/>
  <c r="AF622" i="6" a="1"/>
  <c r="AF622" i="6" s="1"/>
  <c r="AF623" i="6" a="1"/>
  <c r="AF623" i="6"/>
  <c r="AF624" i="6" a="1"/>
  <c r="AF624" i="6" s="1"/>
  <c r="AF625" i="6" a="1"/>
  <c r="AF625" i="6"/>
  <c r="AF626" i="6" a="1"/>
  <c r="AF626" i="6"/>
  <c r="AF627" i="6" a="1"/>
  <c r="AF627" i="6"/>
  <c r="AF628" i="6" a="1"/>
  <c r="AF628" i="6" s="1"/>
  <c r="AF629" i="6" a="1"/>
  <c r="AF629" i="6"/>
  <c r="AF630" i="6" a="1"/>
  <c r="AF630" i="6"/>
  <c r="AF631" i="6" a="1"/>
  <c r="AF631" i="6"/>
  <c r="AF632" i="6" a="1"/>
  <c r="AF632" i="6"/>
  <c r="AF633" i="6" a="1"/>
  <c r="AF633" i="6"/>
  <c r="AF634" i="6" a="1"/>
  <c r="AF634" i="6" s="1"/>
  <c r="AF635" i="6" a="1"/>
  <c r="AF635" i="6"/>
  <c r="AF636" i="6" a="1"/>
  <c r="AF636" i="6"/>
  <c r="AF637" i="6" a="1"/>
  <c r="AF637" i="6" s="1"/>
  <c r="AF638" i="6" a="1"/>
  <c r="AF638" i="6"/>
  <c r="AF639" i="6" a="1"/>
  <c r="AF639" i="6"/>
  <c r="AF640" i="6" a="1"/>
  <c r="AF640" i="6" s="1"/>
  <c r="AF641" i="6" a="1"/>
  <c r="AF641" i="6"/>
  <c r="AF642" i="6" a="1"/>
  <c r="AF642" i="6"/>
  <c r="AF643" i="6" a="1"/>
  <c r="AF643" i="6"/>
  <c r="AF644" i="6" a="1"/>
  <c r="AF644" i="6"/>
  <c r="AF645" i="6" a="1"/>
  <c r="AF645" i="6"/>
  <c r="AF646" i="6" a="1"/>
  <c r="AF646" i="6" s="1"/>
  <c r="AF647" i="6" a="1"/>
  <c r="AF647" i="6"/>
  <c r="AF648" i="6" a="1"/>
  <c r="AF648" i="6"/>
  <c r="AF649" i="6" a="1"/>
  <c r="AF649" i="6"/>
  <c r="AF650" i="6" a="1"/>
  <c r="AF650" i="6" s="1"/>
  <c r="AF651" i="6" a="1"/>
  <c r="AF651" i="6"/>
  <c r="AF652" i="6" a="1"/>
  <c r="AF652" i="6" s="1"/>
  <c r="AF653" i="6" a="1"/>
  <c r="AF653" i="6"/>
  <c r="AF654" i="6" a="1"/>
  <c r="AF654" i="6"/>
  <c r="AF655" i="6" a="1"/>
  <c r="AF655" i="6"/>
  <c r="AF656" i="6" a="1"/>
  <c r="AF656" i="6"/>
  <c r="AF657" i="6" a="1"/>
  <c r="AF657" i="6"/>
  <c r="AF658" i="6" a="1"/>
  <c r="AF658" i="6" s="1"/>
  <c r="AF659" i="6" a="1"/>
  <c r="AF659" i="6"/>
  <c r="AF660" i="6" a="1"/>
  <c r="AF660" i="6"/>
  <c r="AF661" i="6" a="1"/>
  <c r="AF661" i="6"/>
  <c r="AF662" i="6" a="1"/>
  <c r="AF662" i="6"/>
  <c r="AF663" i="6" a="1"/>
  <c r="AF663" i="6" s="1"/>
  <c r="AF664" i="6" a="1"/>
  <c r="AF664" i="6" s="1"/>
  <c r="AF665" i="6" a="1"/>
  <c r="AF665" i="6"/>
  <c r="AF666" i="6" a="1"/>
  <c r="AF666" i="6"/>
  <c r="AF667" i="6" a="1"/>
  <c r="AF667" i="6"/>
  <c r="AF668" i="6" a="1"/>
  <c r="AF668" i="6"/>
  <c r="AF669" i="6" a="1"/>
  <c r="AF669" i="6"/>
  <c r="AF670" i="6" a="1"/>
  <c r="AF670" i="6" s="1"/>
  <c r="AF671" i="6" a="1"/>
  <c r="AF671" i="6"/>
  <c r="AF672" i="6" a="1"/>
  <c r="AF672" i="6"/>
  <c r="AF673" i="6" a="1"/>
  <c r="AF673" i="6"/>
  <c r="AF674" i="6" a="1"/>
  <c r="AF674" i="6"/>
  <c r="AF675" i="6" a="1"/>
  <c r="AF675" i="6"/>
  <c r="AF676" i="6" a="1"/>
  <c r="AF676" i="6" s="1"/>
  <c r="AF677" i="6" a="1"/>
  <c r="AF677" i="6"/>
  <c r="AF678" i="6" a="1"/>
  <c r="AF678" i="6"/>
  <c r="AF679" i="6" a="1"/>
  <c r="AF679" i="6"/>
  <c r="AF680" i="6" a="1"/>
  <c r="AF680" i="6"/>
  <c r="AF681" i="6" a="1"/>
  <c r="AF681" i="6"/>
  <c r="AF682" i="6" a="1"/>
  <c r="AF682" i="6" s="1"/>
  <c r="AF683" i="6" a="1"/>
  <c r="AF683" i="6" s="1"/>
  <c r="AF684" i="6" a="1"/>
  <c r="AF684" i="6"/>
  <c r="AF685" i="6" a="1"/>
  <c r="AF685" i="6"/>
  <c r="AF686" i="6" a="1"/>
  <c r="AF686" i="6"/>
  <c r="AF687" i="6" a="1"/>
  <c r="AF687" i="6"/>
  <c r="AF688" i="6" a="1"/>
  <c r="AF688" i="6" s="1"/>
  <c r="AF689" i="6" a="1"/>
  <c r="AF689" i="6"/>
  <c r="AF690" i="6" a="1"/>
  <c r="AF690" i="6"/>
  <c r="AF691" i="6" a="1"/>
  <c r="AF691" i="6"/>
  <c r="AF692" i="6" a="1"/>
  <c r="AF692" i="6"/>
  <c r="AF693" i="6" a="1"/>
  <c r="AF693" i="6"/>
  <c r="AF694" i="6" a="1"/>
  <c r="AF694" i="6" s="1"/>
  <c r="AF695" i="6" a="1"/>
  <c r="AF695" i="6"/>
  <c r="AF696" i="6" a="1"/>
  <c r="AF696" i="6" s="1"/>
  <c r="AF697" i="6" a="1"/>
  <c r="AF697" i="6"/>
  <c r="AF698" i="6" a="1"/>
  <c r="AF698" i="6"/>
  <c r="AF699" i="6" a="1"/>
  <c r="AF699" i="6"/>
  <c r="AF700" i="6" a="1"/>
  <c r="AF700" i="6" s="1"/>
  <c r="AF701" i="6" a="1"/>
  <c r="AF701" i="6"/>
  <c r="AF702" i="6" a="1"/>
  <c r="AF702" i="6"/>
  <c r="AF703" i="6" a="1"/>
  <c r="AF703" i="6"/>
  <c r="AF704" i="6" a="1"/>
  <c r="AF704" i="6"/>
  <c r="AF705" i="6" a="1"/>
  <c r="AF705" i="6"/>
  <c r="AF706" i="6" a="1"/>
  <c r="AF706" i="6" s="1"/>
  <c r="AF707" i="6" a="1"/>
  <c r="AF707" i="6"/>
  <c r="AF708" i="6" a="1"/>
  <c r="AF708" i="6"/>
  <c r="AF709" i="6" a="1"/>
  <c r="AF709" i="6" s="1"/>
  <c r="AF710" i="6" a="1"/>
  <c r="AF710" i="6"/>
  <c r="AF711" i="6" a="1"/>
  <c r="AF711" i="6"/>
  <c r="AF712" i="6" a="1"/>
  <c r="AF712" i="6" s="1"/>
  <c r="AF713" i="6" a="1"/>
  <c r="AF713" i="6"/>
  <c r="AF714" i="6" a="1"/>
  <c r="AF714" i="6"/>
  <c r="AF715" i="6" a="1"/>
  <c r="AF715" i="6"/>
  <c r="AF716" i="6" a="1"/>
  <c r="AF716" i="6"/>
  <c r="AF717" i="6" a="1"/>
  <c r="AF717" i="6"/>
  <c r="AF718" i="6" a="1"/>
  <c r="AF718" i="6" s="1"/>
  <c r="AF719" i="6" a="1"/>
  <c r="AF719" i="6"/>
  <c r="AF720" i="6" a="1"/>
  <c r="AF720" i="6"/>
  <c r="AF721" i="6" a="1"/>
  <c r="AF721" i="6"/>
  <c r="AF722" i="6" a="1"/>
  <c r="AF722" i="6" s="1"/>
  <c r="AF723" i="6" a="1"/>
  <c r="AF723" i="6"/>
  <c r="AF724" i="6" a="1"/>
  <c r="AF724" i="6" s="1"/>
  <c r="AF725" i="6" a="1"/>
  <c r="AF725" i="6"/>
  <c r="AF726" i="6" a="1"/>
  <c r="AF726" i="6"/>
  <c r="AF727" i="6" a="1"/>
  <c r="AF727" i="6"/>
  <c r="AF728" i="6" a="1"/>
  <c r="AF728" i="6"/>
  <c r="AF729" i="6" a="1"/>
  <c r="AF729" i="6"/>
  <c r="AF730" i="6" a="1"/>
  <c r="AF730" i="6" s="1"/>
  <c r="AF731" i="6" a="1"/>
  <c r="AF731" i="6"/>
  <c r="AF732" i="6" a="1"/>
  <c r="AF732" i="6"/>
  <c r="AF733" i="6" a="1"/>
  <c r="AF733" i="6"/>
  <c r="AF734" i="6" a="1"/>
  <c r="AF734" i="6"/>
  <c r="AF735" i="6" a="1"/>
  <c r="AF735" i="6" s="1"/>
  <c r="AF736" i="6" a="1"/>
  <c r="AF736" i="6" s="1"/>
  <c r="AF737" i="6" a="1"/>
  <c r="AF737" i="6"/>
  <c r="AF738" i="6" a="1"/>
  <c r="AF738" i="6"/>
  <c r="AF739" i="6" a="1"/>
  <c r="AF739" i="6"/>
  <c r="AF740" i="6" a="1"/>
  <c r="AF740" i="6"/>
  <c r="AF741" i="6" a="1"/>
  <c r="AF741" i="6"/>
  <c r="AF742" i="6" a="1"/>
  <c r="AF742" i="6" s="1"/>
  <c r="AF743" i="6" a="1"/>
  <c r="AF743" i="6"/>
  <c r="AF744" i="6" a="1"/>
  <c r="AF744" i="6"/>
  <c r="AF745" i="6" a="1"/>
  <c r="AF745" i="6"/>
  <c r="AF746" i="6" a="1"/>
  <c r="AF746" i="6"/>
  <c r="AF747" i="6" a="1"/>
  <c r="AF747" i="6"/>
  <c r="AF748" i="6" a="1"/>
  <c r="AF748" i="6" s="1"/>
  <c r="AF749" i="6" a="1"/>
  <c r="AF749" i="6"/>
  <c r="AF750" i="6" a="1"/>
  <c r="AF750" i="6"/>
  <c r="AF751" i="6" a="1"/>
  <c r="AF751" i="6"/>
  <c r="AF752" i="6" a="1"/>
  <c r="AF752" i="6"/>
  <c r="AF753" i="6" a="1"/>
  <c r="AF753" i="6"/>
  <c r="AF754" i="6" a="1"/>
  <c r="AF754" i="6" s="1"/>
  <c r="AF755" i="6" a="1"/>
  <c r="AF755" i="6" s="1"/>
  <c r="AF756" i="6" a="1"/>
  <c r="AF756" i="6"/>
  <c r="AF757" i="6" a="1"/>
  <c r="AF757" i="6"/>
  <c r="AF758" i="6" a="1"/>
  <c r="AF758" i="6"/>
  <c r="AF759" i="6" a="1"/>
  <c r="AF759" i="6"/>
  <c r="AF760" i="6" a="1"/>
  <c r="AF760" i="6" s="1"/>
  <c r="AF761" i="6" a="1"/>
  <c r="AF761" i="6"/>
  <c r="AF762" i="6" a="1"/>
  <c r="AF762" i="6"/>
  <c r="AF763" i="6" a="1"/>
  <c r="AF763" i="6"/>
  <c r="AF764" i="6" a="1"/>
  <c r="AF764" i="6"/>
  <c r="AF765" i="6" a="1"/>
  <c r="AF765" i="6"/>
  <c r="AF766" i="6" a="1"/>
  <c r="AF766" i="6" s="1"/>
  <c r="AF767" i="6" a="1"/>
  <c r="AF767" i="6"/>
  <c r="AF768" i="6" a="1"/>
  <c r="AF768" i="6" s="1"/>
  <c r="AF769" i="6" a="1"/>
  <c r="AF769" i="6"/>
  <c r="AF770" i="6" a="1"/>
  <c r="AF770" i="6"/>
  <c r="AF771" i="6" a="1"/>
  <c r="AF771" i="6"/>
  <c r="AF772" i="6" a="1"/>
  <c r="AF772" i="6" s="1"/>
  <c r="AF773" i="6" a="1"/>
  <c r="AF773" i="6"/>
  <c r="AF774" i="6" a="1"/>
  <c r="AF774" i="6"/>
  <c r="AF775" i="6" a="1"/>
  <c r="AF775" i="6"/>
  <c r="AF776" i="6" a="1"/>
  <c r="AF776" i="6"/>
  <c r="AF777" i="6" a="1"/>
  <c r="AF777" i="6"/>
  <c r="AF778" i="6" a="1"/>
  <c r="AF778" i="6" s="1"/>
  <c r="AF779" i="6" a="1"/>
  <c r="AF779" i="6"/>
  <c r="AF780" i="6" a="1"/>
  <c r="AF780" i="6"/>
  <c r="AF781" i="6" a="1"/>
  <c r="AF781" i="6" s="1"/>
  <c r="AF782" i="6" a="1"/>
  <c r="AF782" i="6"/>
  <c r="AF783" i="6" a="1"/>
  <c r="AF783" i="6"/>
  <c r="AF784" i="6" a="1"/>
  <c r="AF784" i="6" s="1"/>
  <c r="AF785" i="6" a="1"/>
  <c r="AF785" i="6"/>
  <c r="AF786" i="6" a="1"/>
  <c r="AF786" i="6"/>
  <c r="AF787" i="6" a="1"/>
  <c r="AF787" i="6"/>
  <c r="AF788" i="6" a="1"/>
  <c r="AF788" i="6"/>
  <c r="AF789" i="6" a="1"/>
  <c r="AF789" i="6"/>
  <c r="AF790" i="6" a="1"/>
  <c r="AF790" i="6" s="1"/>
  <c r="AF791" i="6" a="1"/>
  <c r="AF791" i="6"/>
  <c r="AF792" i="6" a="1"/>
  <c r="AF792" i="6"/>
  <c r="AF793" i="6" a="1"/>
  <c r="AF793" i="6"/>
  <c r="AF794" i="6" a="1"/>
  <c r="AF794" i="6" s="1"/>
  <c r="AF795" i="6" a="1"/>
  <c r="AF795" i="6"/>
  <c r="AF796" i="6" a="1"/>
  <c r="AF796" i="6" s="1"/>
  <c r="AF797" i="6" a="1"/>
  <c r="AF797" i="6"/>
  <c r="AF798" i="6" a="1"/>
  <c r="AF798" i="6"/>
  <c r="AF799" i="6" a="1"/>
  <c r="AF799" i="6"/>
  <c r="AF800" i="6" a="1"/>
  <c r="AF800" i="6"/>
  <c r="AF801" i="6" a="1"/>
  <c r="AF801" i="6"/>
  <c r="AF802" i="6" a="1"/>
  <c r="AF802" i="6" s="1"/>
  <c r="AF803" i="6" a="1"/>
  <c r="AF803" i="6"/>
  <c r="AF804" i="6" a="1"/>
  <c r="AF804" i="6"/>
  <c r="AF805" i="6" a="1"/>
  <c r="AF805" i="6"/>
  <c r="AF806" i="6" a="1"/>
  <c r="AF806" i="6"/>
  <c r="AF807" i="6" a="1"/>
  <c r="AF807" i="6" s="1"/>
  <c r="AF808" i="6" a="1"/>
  <c r="AF808" i="6" s="1"/>
  <c r="AF809" i="6" a="1"/>
  <c r="AF809" i="6"/>
  <c r="AF810" i="6" a="1"/>
  <c r="AF810" i="6"/>
  <c r="AF811" i="6" a="1"/>
  <c r="AF811" i="6"/>
  <c r="AF812" i="6" a="1"/>
  <c r="AF812" i="6"/>
  <c r="AF813" i="6" a="1"/>
  <c r="AF813" i="6"/>
  <c r="AF814" i="6" a="1"/>
  <c r="AF814" i="6" s="1"/>
  <c r="AF815" i="6" a="1"/>
  <c r="AF815" i="6"/>
  <c r="AF816" i="6" a="1"/>
  <c r="AF816" i="6"/>
  <c r="AF817" i="6" a="1"/>
  <c r="AF817" i="6"/>
  <c r="AF818" i="6" a="1"/>
  <c r="AF818" i="6"/>
  <c r="AF819" i="6" a="1"/>
  <c r="AF819" i="6"/>
  <c r="AF820" i="6" a="1"/>
  <c r="AF820" i="6" s="1"/>
  <c r="AF821" i="6" a="1"/>
  <c r="AF821" i="6"/>
  <c r="AF822" i="6" a="1"/>
  <c r="AF822" i="6"/>
  <c r="AF823" i="6" a="1"/>
  <c r="AF823" i="6"/>
  <c r="AF824" i="6" a="1"/>
  <c r="AF824" i="6"/>
  <c r="AF825" i="6" a="1"/>
  <c r="AF825" i="6"/>
  <c r="AF826" i="6" a="1"/>
  <c r="AF826" i="6" s="1"/>
  <c r="AF827" i="6" a="1"/>
  <c r="AF827" i="6"/>
  <c r="AF828" i="6" a="1"/>
  <c r="AF828" i="6"/>
  <c r="AF829" i="6" a="1"/>
  <c r="AF829" i="6"/>
  <c r="AF830" i="6" a="1"/>
  <c r="AF830" i="6"/>
  <c r="AF831" i="6" a="1"/>
  <c r="AF831" i="6"/>
  <c r="AF832" i="6" a="1"/>
  <c r="AF832" i="6" s="1"/>
  <c r="AF833" i="6" a="1"/>
  <c r="AF833" i="6"/>
  <c r="AF834" i="6" a="1"/>
  <c r="AF834" i="6"/>
  <c r="AF835" i="6" a="1"/>
  <c r="AF835" i="6"/>
  <c r="AF836" i="6" a="1"/>
  <c r="AF836" i="6"/>
  <c r="AF837" i="6" a="1"/>
  <c r="AF837" i="6"/>
  <c r="AF838" i="6" a="1"/>
  <c r="AF838" i="6" s="1"/>
  <c r="AF839" i="6" a="1"/>
  <c r="AF839" i="6"/>
  <c r="AF840" i="6" a="1"/>
  <c r="AF840" i="6"/>
  <c r="AF841" i="6" a="1"/>
  <c r="AF841" i="6"/>
  <c r="AF842" i="6" a="1"/>
  <c r="AF842" i="6"/>
  <c r="AF843" i="6" a="1"/>
  <c r="AF843" i="6"/>
  <c r="AF844" i="6" a="1"/>
  <c r="AF844" i="6" s="1"/>
  <c r="AF845" i="6" a="1"/>
  <c r="AF845" i="6"/>
  <c r="AF846" i="6" a="1"/>
  <c r="AF846" i="6"/>
  <c r="AF847" i="6" a="1"/>
  <c r="AF847" i="6"/>
  <c r="AF848" i="6" a="1"/>
  <c r="AF848" i="6"/>
  <c r="AF849" i="6" a="1"/>
  <c r="AF849" i="6"/>
  <c r="AF850" i="6" a="1"/>
  <c r="AF850" i="6" s="1"/>
  <c r="AF851" i="6" a="1"/>
  <c r="AF851" i="6"/>
  <c r="AF852" i="6" a="1"/>
  <c r="AF852" i="6"/>
  <c r="AF853" i="6" a="1"/>
  <c r="AF853" i="6"/>
  <c r="AF854" i="6" a="1"/>
  <c r="AF854" i="6"/>
  <c r="AF855" i="6" a="1"/>
  <c r="AF855" i="6"/>
  <c r="AF856" i="6" a="1"/>
  <c r="AF856" i="6" s="1"/>
  <c r="AF857" i="6" a="1"/>
  <c r="AF857" i="6"/>
  <c r="AF858" i="6" a="1"/>
  <c r="AF858" i="6"/>
  <c r="AF859" i="6" a="1"/>
  <c r="AF859" i="6"/>
  <c r="AF860" i="6" a="1"/>
  <c r="AF860" i="6"/>
  <c r="AF861" i="6" a="1"/>
  <c r="AF861" i="6"/>
  <c r="AF862" i="6" a="1"/>
  <c r="AF862" i="6" s="1"/>
  <c r="AF863" i="6" a="1"/>
  <c r="AF863" i="6"/>
  <c r="AF864" i="6" a="1"/>
  <c r="AF864" i="6"/>
  <c r="AF865" i="6" a="1"/>
  <c r="AF865" i="6"/>
  <c r="AF866" i="6" a="1"/>
  <c r="AF866" i="6"/>
  <c r="AF867" i="6" a="1"/>
  <c r="AF867" i="6"/>
  <c r="AF868" i="6" a="1"/>
  <c r="AF868" i="6" s="1"/>
  <c r="AF869" i="6" a="1"/>
  <c r="AF869" i="6"/>
  <c r="AF870" i="6" a="1"/>
  <c r="AF870" i="6"/>
  <c r="AF871" i="6" a="1"/>
  <c r="AF871" i="6"/>
  <c r="AF872" i="6" a="1"/>
  <c r="AF872" i="6"/>
  <c r="AF873" i="6" a="1"/>
  <c r="AF873" i="6"/>
  <c r="AF874" i="6" a="1"/>
  <c r="AF874" i="6" s="1"/>
  <c r="AF875" i="6" a="1"/>
  <c r="AF875" i="6"/>
  <c r="AF876" i="6" a="1"/>
  <c r="AF876" i="6"/>
  <c r="AF877" i="6" a="1"/>
  <c r="AF877" i="6"/>
  <c r="AF878" i="6" a="1"/>
  <c r="AF878" i="6"/>
  <c r="AF879" i="6" a="1"/>
  <c r="AF879" i="6"/>
  <c r="AF880" i="6" a="1"/>
  <c r="AF880" i="6" s="1"/>
  <c r="AF881" i="6" a="1"/>
  <c r="AF881" i="6"/>
  <c r="AF882" i="6" a="1"/>
  <c r="AF882" i="6"/>
  <c r="AF883" i="6" a="1"/>
  <c r="AF883" i="6"/>
  <c r="AF884" i="6" a="1"/>
  <c r="AF884" i="6"/>
  <c r="AF885" i="6" a="1"/>
  <c r="AF885" i="6"/>
  <c r="AF886" i="6" a="1"/>
  <c r="AF886" i="6" s="1"/>
  <c r="AF887" i="6" a="1"/>
  <c r="AF887" i="6"/>
  <c r="AF888" i="6" a="1"/>
  <c r="AF888" i="6"/>
  <c r="AF889" i="6" a="1"/>
  <c r="AF889" i="6"/>
  <c r="AF890" i="6" a="1"/>
  <c r="AF890" i="6"/>
  <c r="AF891" i="6" a="1"/>
  <c r="AF891" i="6"/>
  <c r="AF892" i="6" a="1"/>
  <c r="AF892" i="6" s="1"/>
  <c r="AF893" i="6" a="1"/>
  <c r="AF893" i="6"/>
  <c r="AF894" i="6" a="1"/>
  <c r="AF894" i="6"/>
  <c r="AF895" i="6" a="1"/>
  <c r="AF895" i="6"/>
  <c r="AF896" i="6" a="1"/>
  <c r="AF896" i="6"/>
  <c r="AF897" i="6" a="1"/>
  <c r="AF897" i="6"/>
  <c r="AF898" i="6" a="1"/>
  <c r="AF898" i="6" s="1"/>
  <c r="AF899" i="6" a="1"/>
  <c r="AF899" i="6"/>
  <c r="AF900" i="6" a="1"/>
  <c r="AF900" i="6"/>
  <c r="AF901" i="6" a="1"/>
  <c r="AF901" i="6"/>
  <c r="AF902" i="6" a="1"/>
  <c r="AF902" i="6"/>
  <c r="AF903" i="6" a="1"/>
  <c r="AF903" i="6"/>
  <c r="AF904" i="6" a="1"/>
  <c r="AF904" i="6" s="1"/>
  <c r="AF905" i="6" a="1"/>
  <c r="AF905" i="6"/>
  <c r="AF906" i="6" a="1"/>
  <c r="AF906" i="6"/>
  <c r="AF907" i="6" a="1"/>
  <c r="AF907" i="6"/>
  <c r="AF908" i="6" a="1"/>
  <c r="AF908" i="6"/>
  <c r="AF909" i="6" a="1"/>
  <c r="AF909" i="6"/>
  <c r="AF910" i="6" a="1"/>
  <c r="AF910" i="6" s="1"/>
  <c r="AF911" i="6" a="1"/>
  <c r="AF911" i="6"/>
  <c r="AF912" i="6" a="1"/>
  <c r="AF912" i="6"/>
  <c r="AF913" i="6" a="1"/>
  <c r="AF913" i="6"/>
  <c r="AF914" i="6" a="1"/>
  <c r="AF914" i="6"/>
  <c r="AF915" i="6" a="1"/>
  <c r="AF915" i="6"/>
  <c r="AF916" i="6" a="1"/>
  <c r="AF916" i="6" s="1"/>
  <c r="AF917" i="6" a="1"/>
  <c r="AF917" i="6"/>
  <c r="AF918" i="6" a="1"/>
  <c r="AF918" i="6"/>
  <c r="AF919" i="6" a="1"/>
  <c r="AF919" i="6"/>
  <c r="AF920" i="6" a="1"/>
  <c r="AF920" i="6"/>
  <c r="AF921" i="6" a="1"/>
  <c r="AF921" i="6"/>
  <c r="AF922" i="6" a="1"/>
  <c r="AF922" i="6" s="1"/>
  <c r="AF923" i="6" a="1"/>
  <c r="AF923" i="6"/>
  <c r="AF924" i="6" a="1"/>
  <c r="AF924" i="6"/>
  <c r="AF925" i="6" a="1"/>
  <c r="AF925" i="6"/>
  <c r="AF926" i="6" a="1"/>
  <c r="AF926" i="6"/>
  <c r="AF927" i="6" a="1"/>
  <c r="AF927" i="6"/>
  <c r="AF928" i="6" a="1"/>
  <c r="AF928" i="6" s="1"/>
  <c r="AF929" i="6" a="1"/>
  <c r="AF929" i="6"/>
  <c r="AF930" i="6" a="1"/>
  <c r="AF930" i="6"/>
  <c r="AF931" i="6" a="1"/>
  <c r="AF931" i="6"/>
  <c r="AF932" i="6" a="1"/>
  <c r="AF932" i="6"/>
  <c r="AF933" i="6" a="1"/>
  <c r="AF933" i="6"/>
  <c r="AF934" i="6" a="1"/>
  <c r="AF934" i="6" s="1"/>
  <c r="AF935" i="6" a="1"/>
  <c r="AF935" i="6"/>
  <c r="AF936" i="6" a="1"/>
  <c r="AF936" i="6"/>
  <c r="AF937" i="6" a="1"/>
  <c r="AF937" i="6"/>
  <c r="AF938" i="6" a="1"/>
  <c r="AF938" i="6"/>
  <c r="AF939" i="6" a="1"/>
  <c r="AF939" i="6"/>
  <c r="AF940" i="6" a="1"/>
  <c r="AF940" i="6" s="1"/>
  <c r="AF941" i="6" a="1"/>
  <c r="AF941" i="6"/>
  <c r="AF942" i="6" a="1"/>
  <c r="AF942" i="6"/>
  <c r="AF943" i="6" a="1"/>
  <c r="AF943" i="6"/>
  <c r="AF944" i="6" a="1"/>
  <c r="AF944" i="6"/>
  <c r="AF945" i="6" a="1"/>
  <c r="AF945" i="6"/>
  <c r="AF946" i="6" a="1"/>
  <c r="AF946" i="6" s="1"/>
  <c r="AF947" i="6" a="1"/>
  <c r="AF947" i="6"/>
  <c r="AF948" i="6" a="1"/>
  <c r="AF948" i="6"/>
  <c r="AF949" i="6" a="1"/>
  <c r="AF949" i="6"/>
  <c r="AF950" i="6" a="1"/>
  <c r="AF950" i="6"/>
  <c r="AF951" i="6" a="1"/>
  <c r="AF951" i="6"/>
  <c r="AF952" i="6" a="1"/>
  <c r="AF952" i="6" s="1"/>
  <c r="AF953" i="6" a="1"/>
  <c r="AF953" i="6"/>
  <c r="AF954" i="6" a="1"/>
  <c r="AF954" i="6"/>
  <c r="AF955" i="6" a="1"/>
  <c r="AF955" i="6"/>
  <c r="AF956" i="6" a="1"/>
  <c r="AF956" i="6"/>
  <c r="AF957" i="6" a="1"/>
  <c r="AF957" i="6"/>
  <c r="AF958" i="6" a="1"/>
  <c r="AF958" i="6" s="1"/>
  <c r="AF959" i="6" a="1"/>
  <c r="AF959" i="6"/>
  <c r="AF960" i="6" a="1"/>
  <c r="AF960" i="6"/>
  <c r="AF961" i="6" a="1"/>
  <c r="AF961" i="6"/>
  <c r="AF962" i="6" a="1"/>
  <c r="AF962" i="6"/>
  <c r="AF963" i="6" a="1"/>
  <c r="AF963" i="6"/>
  <c r="AF964" i="6" a="1"/>
  <c r="AF964" i="6" s="1"/>
  <c r="AF965" i="6" a="1"/>
  <c r="AF965" i="6"/>
  <c r="AF966" i="6" a="1"/>
  <c r="AF966" i="6"/>
  <c r="AF967" i="6" a="1"/>
  <c r="AF967" i="6"/>
  <c r="AF968" i="6" a="1"/>
  <c r="AF968" i="6"/>
  <c r="AF969" i="6" a="1"/>
  <c r="AF969" i="6"/>
  <c r="AF970" i="6" a="1"/>
  <c r="AF970" i="6" s="1"/>
  <c r="AF971" i="6" a="1"/>
  <c r="AF971" i="6"/>
  <c r="AF972" i="6" a="1"/>
  <c r="AF972" i="6"/>
  <c r="AF973" i="6" a="1"/>
  <c r="AF973" i="6"/>
  <c r="AF974" i="6" a="1"/>
  <c r="AF974" i="6"/>
  <c r="AF975" i="6" a="1"/>
  <c r="AF975" i="6"/>
  <c r="AF976" i="6" a="1"/>
  <c r="AF976" i="6" s="1"/>
  <c r="AF977" i="6" a="1"/>
  <c r="AF977" i="6"/>
  <c r="AF978" i="6" a="1"/>
  <c r="AF978" i="6"/>
  <c r="AF979" i="6" a="1"/>
  <c r="AF979" i="6"/>
  <c r="AF980" i="6" a="1"/>
  <c r="AF980" i="6"/>
  <c r="AF981" i="6" a="1"/>
  <c r="AF981" i="6"/>
  <c r="AF982" i="6" a="1"/>
  <c r="AF982" i="6" s="1"/>
  <c r="AF983" i="6" a="1"/>
  <c r="AF983" i="6"/>
  <c r="AF984" i="6" a="1"/>
  <c r="AF984" i="6"/>
  <c r="AF985" i="6" a="1"/>
  <c r="AF985" i="6"/>
  <c r="AF986" i="6" a="1"/>
  <c r="AF986" i="6"/>
  <c r="AF987" i="6" a="1"/>
  <c r="AF987" i="6"/>
  <c r="AF988" i="6" a="1"/>
  <c r="AF988" i="6" s="1"/>
  <c r="AF989" i="6" a="1"/>
  <c r="AF989" i="6"/>
  <c r="AF990" i="6" a="1"/>
  <c r="AF990" i="6"/>
  <c r="AF991" i="6" a="1"/>
  <c r="AF991" i="6"/>
  <c r="AF992" i="6" a="1"/>
  <c r="AF992" i="6"/>
  <c r="AF993" i="6" a="1"/>
  <c r="AF993" i="6"/>
  <c r="AF994" i="6" a="1"/>
  <c r="AF994" i="6" s="1"/>
  <c r="AF995" i="6" a="1"/>
  <c r="AF995" i="6"/>
  <c r="AF996" i="6" a="1"/>
  <c r="AF996" i="6"/>
  <c r="AF997" i="6" a="1"/>
  <c r="AF997" i="6"/>
  <c r="AF998" i="6" a="1"/>
  <c r="AF998" i="6"/>
  <c r="AF999" i="6" a="1"/>
  <c r="AF999" i="6"/>
  <c r="AF1000" i="6" a="1"/>
  <c r="AF1000" i="6" s="1"/>
  <c r="AF1001" i="6" a="1"/>
  <c r="AF1001" i="6"/>
  <c r="AF1002" i="6" a="1"/>
  <c r="AF1002" i="6"/>
  <c r="AF3" i="6" a="1"/>
  <c r="AF3" i="6"/>
  <c r="R10" i="13"/>
  <c r="R8" i="13"/>
  <c r="R7" i="13"/>
  <c r="R6" i="13"/>
  <c r="S5" i="13"/>
  <c r="S4" i="13"/>
  <c r="R4" i="12"/>
  <c r="R5" i="12"/>
  <c r="Q9" i="4"/>
  <c r="Q4" i="4"/>
  <c r="C979"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80" i="6"/>
  <c r="C981" i="6"/>
  <c r="C982" i="6"/>
  <c r="C983" i="6"/>
  <c r="C984" i="6"/>
  <c r="C985" i="6"/>
  <c r="C986" i="6"/>
  <c r="C987" i="6"/>
  <c r="C988" i="6"/>
  <c r="C989" i="6"/>
  <c r="C990" i="6"/>
  <c r="C991" i="6"/>
  <c r="C992" i="6"/>
  <c r="C993" i="6"/>
  <c r="C994" i="6"/>
  <c r="C995" i="6"/>
  <c r="C996" i="6"/>
  <c r="C997" i="6"/>
  <c r="C998" i="6"/>
  <c r="C999" i="6"/>
  <c r="C1000" i="6"/>
  <c r="C1001" i="6"/>
  <c r="C1002" i="6"/>
  <c r="C3" i="6"/>
  <c r="S9" i="6"/>
  <c r="X7" i="6"/>
  <c r="I4" i="6" a="1"/>
  <c r="I4" i="6" s="1"/>
  <c r="I5" i="6" a="1"/>
  <c r="I5" i="6" s="1"/>
  <c r="I6" i="6" a="1"/>
  <c r="I6" i="6" s="1"/>
  <c r="I7" i="6" a="1"/>
  <c r="I7" i="6" s="1"/>
  <c r="I8" i="6" a="1"/>
  <c r="I8" i="6" s="1"/>
  <c r="I9" i="6" a="1"/>
  <c r="I9" i="6" s="1"/>
  <c r="I10" i="6" a="1"/>
  <c r="I10" i="6" s="1"/>
  <c r="I11" i="6" a="1"/>
  <c r="I11" i="6" s="1"/>
  <c r="I12" i="6" a="1"/>
  <c r="I12" i="6" s="1"/>
  <c r="I13" i="6" a="1"/>
  <c r="I13" i="6" s="1"/>
  <c r="I14" i="6" a="1"/>
  <c r="I14" i="6" s="1"/>
  <c r="I15" i="6" a="1"/>
  <c r="I15" i="6" s="1"/>
  <c r="I16" i="6" a="1"/>
  <c r="I16" i="6" s="1"/>
  <c r="I17" i="6" a="1"/>
  <c r="I17" i="6" s="1"/>
  <c r="I18" i="6" a="1"/>
  <c r="I18" i="6" s="1"/>
  <c r="I19" i="6" a="1"/>
  <c r="I19" i="6" s="1"/>
  <c r="I20" i="6" a="1"/>
  <c r="I20" i="6" s="1"/>
  <c r="I21" i="6" a="1"/>
  <c r="I21" i="6" s="1"/>
  <c r="I22" i="6" a="1"/>
  <c r="I22" i="6" s="1"/>
  <c r="I23" i="6" a="1"/>
  <c r="I23" i="6" s="1"/>
  <c r="I24" i="6" a="1"/>
  <c r="I24" i="6" s="1"/>
  <c r="I25" i="6" a="1"/>
  <c r="I25" i="6" s="1"/>
  <c r="I26" i="6" a="1"/>
  <c r="I26" i="6" s="1"/>
  <c r="I27" i="6" a="1"/>
  <c r="I27" i="6" s="1"/>
  <c r="I28" i="6" a="1"/>
  <c r="I28" i="6" s="1"/>
  <c r="I29" i="6" a="1"/>
  <c r="I29" i="6" s="1"/>
  <c r="I30" i="6" a="1"/>
  <c r="I30" i="6" s="1"/>
  <c r="I31" i="6" a="1"/>
  <c r="I31" i="6" s="1"/>
  <c r="I32" i="6" a="1"/>
  <c r="I32" i="6" s="1"/>
  <c r="I33" i="6" a="1"/>
  <c r="I33" i="6" s="1"/>
  <c r="I34" i="6" a="1"/>
  <c r="I34" i="6" s="1"/>
  <c r="I35" i="6" a="1"/>
  <c r="I35" i="6" s="1"/>
  <c r="I36" i="6" a="1"/>
  <c r="I36" i="6" s="1"/>
  <c r="I37" i="6" a="1"/>
  <c r="I37" i="6" s="1"/>
  <c r="I38" i="6" a="1"/>
  <c r="I38" i="6" s="1"/>
  <c r="I39" i="6" a="1"/>
  <c r="I39" i="6" s="1"/>
  <c r="I40" i="6" a="1"/>
  <c r="I40" i="6" s="1"/>
  <c r="I41" i="6" a="1"/>
  <c r="I41" i="6" s="1"/>
  <c r="I42" i="6" a="1"/>
  <c r="I42" i="6" s="1"/>
  <c r="I43" i="6" a="1"/>
  <c r="I43" i="6" s="1"/>
  <c r="I44" i="6" a="1"/>
  <c r="I44" i="6" s="1"/>
  <c r="I45" i="6" a="1"/>
  <c r="I45" i="6" s="1"/>
  <c r="I46" i="6" a="1"/>
  <c r="I46" i="6" s="1"/>
  <c r="I47" i="6" a="1"/>
  <c r="I47" i="6" s="1"/>
  <c r="I48" i="6" a="1"/>
  <c r="I48" i="6" s="1"/>
  <c r="I49" i="6" a="1"/>
  <c r="I49" i="6" s="1"/>
  <c r="I50" i="6" a="1"/>
  <c r="I50" i="6" s="1"/>
  <c r="I51" i="6" a="1"/>
  <c r="I51" i="6" s="1"/>
  <c r="I52" i="6" a="1"/>
  <c r="I52" i="6" s="1"/>
  <c r="I53" i="6" a="1"/>
  <c r="I53" i="6" s="1"/>
  <c r="I54" i="6" a="1"/>
  <c r="I54" i="6" s="1"/>
  <c r="I55" i="6" a="1"/>
  <c r="I55" i="6" s="1"/>
  <c r="I56" i="6" a="1"/>
  <c r="I56" i="6" s="1"/>
  <c r="I57" i="6" a="1"/>
  <c r="I57" i="6" s="1"/>
  <c r="I58" i="6" a="1"/>
  <c r="I58" i="6" s="1"/>
  <c r="I59" i="6" a="1"/>
  <c r="I59" i="6" s="1"/>
  <c r="I60" i="6" a="1"/>
  <c r="I60" i="6" s="1"/>
  <c r="I61" i="6" a="1"/>
  <c r="I61" i="6" s="1"/>
  <c r="I62" i="6" a="1"/>
  <c r="I62" i="6" s="1"/>
  <c r="I63" i="6" a="1"/>
  <c r="I63" i="6" s="1"/>
  <c r="I64" i="6" a="1"/>
  <c r="I64" i="6" s="1"/>
  <c r="I65" i="6" a="1"/>
  <c r="I65" i="6" s="1"/>
  <c r="I66" i="6" a="1"/>
  <c r="I66" i="6" s="1"/>
  <c r="I67" i="6" a="1"/>
  <c r="I67" i="6" s="1"/>
  <c r="I68" i="6" a="1"/>
  <c r="I68" i="6" s="1"/>
  <c r="I69" i="6" a="1"/>
  <c r="I69" i="6" s="1"/>
  <c r="I70" i="6" a="1"/>
  <c r="I70" i="6" s="1"/>
  <c r="I71" i="6" a="1"/>
  <c r="I71" i="6" s="1"/>
  <c r="I72" i="6" a="1"/>
  <c r="I72" i="6" s="1"/>
  <c r="I73" i="6" a="1"/>
  <c r="I73" i="6" s="1"/>
  <c r="I74" i="6" a="1"/>
  <c r="I74" i="6" s="1"/>
  <c r="I75" i="6" a="1"/>
  <c r="I75" i="6" s="1"/>
  <c r="I76" i="6" a="1"/>
  <c r="I76" i="6" s="1"/>
  <c r="I77" i="6" a="1"/>
  <c r="I77" i="6" s="1"/>
  <c r="I78" i="6" a="1"/>
  <c r="I78" i="6" s="1"/>
  <c r="I79" i="6" a="1"/>
  <c r="I79" i="6" s="1"/>
  <c r="I80" i="6" a="1"/>
  <c r="I80" i="6" s="1"/>
  <c r="I81" i="6" a="1"/>
  <c r="I81" i="6" s="1"/>
  <c r="I82" i="6" a="1"/>
  <c r="I82" i="6" s="1"/>
  <c r="I83" i="6" a="1"/>
  <c r="I83" i="6" s="1"/>
  <c r="I84" i="6" a="1"/>
  <c r="I84" i="6" s="1"/>
  <c r="I85" i="6" a="1"/>
  <c r="I85" i="6" s="1"/>
  <c r="I86" i="6" a="1"/>
  <c r="I86" i="6" s="1"/>
  <c r="I87" i="6" a="1"/>
  <c r="I87" i="6" s="1"/>
  <c r="I88" i="6" a="1"/>
  <c r="I88" i="6" s="1"/>
  <c r="I89" i="6" a="1"/>
  <c r="I89" i="6" s="1"/>
  <c r="I90" i="6" a="1"/>
  <c r="I90" i="6" s="1"/>
  <c r="I91" i="6" a="1"/>
  <c r="I91" i="6" s="1"/>
  <c r="I92" i="6" a="1"/>
  <c r="I92" i="6" s="1"/>
  <c r="I93" i="6" a="1"/>
  <c r="I93" i="6" s="1"/>
  <c r="I94" i="6" a="1"/>
  <c r="I94" i="6" s="1"/>
  <c r="I95" i="6" a="1"/>
  <c r="I95" i="6" s="1"/>
  <c r="I96" i="6" a="1"/>
  <c r="I96" i="6" s="1"/>
  <c r="I97" i="6" a="1"/>
  <c r="I97" i="6" s="1"/>
  <c r="I98" i="6" a="1"/>
  <c r="I98" i="6" s="1"/>
  <c r="I99" i="6" a="1"/>
  <c r="I99" i="6" s="1"/>
  <c r="I100" i="6" a="1"/>
  <c r="I100" i="6" s="1"/>
  <c r="I101" i="6" a="1"/>
  <c r="I101" i="6" s="1"/>
  <c r="I102" i="6" a="1"/>
  <c r="I102" i="6" s="1"/>
  <c r="I103" i="6" a="1"/>
  <c r="I103" i="6" s="1"/>
  <c r="I104" i="6" a="1"/>
  <c r="I104" i="6" s="1"/>
  <c r="I105" i="6" a="1"/>
  <c r="I105" i="6" s="1"/>
  <c r="I106" i="6" a="1"/>
  <c r="I106" i="6" s="1"/>
  <c r="I107" i="6" a="1"/>
  <c r="I107" i="6" s="1"/>
  <c r="I108" i="6" a="1"/>
  <c r="I108" i="6" s="1"/>
  <c r="I109" i="6" a="1"/>
  <c r="I109" i="6" s="1"/>
  <c r="I110" i="6" a="1"/>
  <c r="I110" i="6" s="1"/>
  <c r="I111" i="6" a="1"/>
  <c r="I111" i="6" s="1"/>
  <c r="I112" i="6" a="1"/>
  <c r="I112" i="6" s="1"/>
  <c r="I113" i="6" a="1"/>
  <c r="I113" i="6" s="1"/>
  <c r="I114" i="6" a="1"/>
  <c r="I114" i="6" s="1"/>
  <c r="I115" i="6" a="1"/>
  <c r="I115" i="6" s="1"/>
  <c r="I116" i="6" a="1"/>
  <c r="I116" i="6" s="1"/>
  <c r="I117" i="6" a="1"/>
  <c r="I117" i="6" s="1"/>
  <c r="I118" i="6" a="1"/>
  <c r="I118" i="6" s="1"/>
  <c r="I119" i="6" a="1"/>
  <c r="I119" i="6" s="1"/>
  <c r="I120" i="6" a="1"/>
  <c r="I120" i="6" s="1"/>
  <c r="I121" i="6" a="1"/>
  <c r="I121" i="6" s="1"/>
  <c r="I122" i="6" a="1"/>
  <c r="I122" i="6" s="1"/>
  <c r="I123" i="6" a="1"/>
  <c r="I123" i="6" s="1"/>
  <c r="I124" i="6" a="1"/>
  <c r="I124" i="6" s="1"/>
  <c r="I125" i="6" a="1"/>
  <c r="I125" i="6" s="1"/>
  <c r="I126" i="6" a="1"/>
  <c r="I126" i="6" s="1"/>
  <c r="I127" i="6" a="1"/>
  <c r="I127" i="6" s="1"/>
  <c r="I128" i="6" a="1"/>
  <c r="I128" i="6" s="1"/>
  <c r="I129" i="6" a="1"/>
  <c r="I129" i="6" s="1"/>
  <c r="I130" i="6" a="1"/>
  <c r="I130" i="6" s="1"/>
  <c r="I131" i="6" a="1"/>
  <c r="I131" i="6" s="1"/>
  <c r="I132" i="6" a="1"/>
  <c r="I132" i="6" s="1"/>
  <c r="I133" i="6" a="1"/>
  <c r="I133" i="6" s="1"/>
  <c r="I134" i="6" a="1"/>
  <c r="I134" i="6" s="1"/>
  <c r="I135" i="6" a="1"/>
  <c r="I135" i="6" s="1"/>
  <c r="I136" i="6" a="1"/>
  <c r="I136" i="6" s="1"/>
  <c r="I137" i="6" a="1"/>
  <c r="I137" i="6" s="1"/>
  <c r="I138" i="6" a="1"/>
  <c r="I138" i="6" s="1"/>
  <c r="I139" i="6" a="1"/>
  <c r="I139" i="6" s="1"/>
  <c r="I140" i="6" a="1"/>
  <c r="I140" i="6" s="1"/>
  <c r="I141" i="6" a="1"/>
  <c r="I141" i="6" s="1"/>
  <c r="I142" i="6" a="1"/>
  <c r="I142" i="6" s="1"/>
  <c r="I143" i="6" a="1"/>
  <c r="I143" i="6" s="1"/>
  <c r="I144" i="6" a="1"/>
  <c r="I144" i="6" s="1"/>
  <c r="I145" i="6" a="1"/>
  <c r="I145" i="6" s="1"/>
  <c r="I146" i="6" a="1"/>
  <c r="I146" i="6" s="1"/>
  <c r="I147" i="6" a="1"/>
  <c r="I147" i="6" s="1"/>
  <c r="I148" i="6" a="1"/>
  <c r="I148" i="6" s="1"/>
  <c r="I149" i="6" a="1"/>
  <c r="I149" i="6" s="1"/>
  <c r="I150" i="6" a="1"/>
  <c r="I150" i="6" s="1"/>
  <c r="I151" i="6" a="1"/>
  <c r="I151" i="6" s="1"/>
  <c r="I152" i="6" a="1"/>
  <c r="I152" i="6" s="1"/>
  <c r="I153" i="6" a="1"/>
  <c r="I153" i="6" s="1"/>
  <c r="I154" i="6" a="1"/>
  <c r="I154" i="6" s="1"/>
  <c r="I155" i="6" a="1"/>
  <c r="I155" i="6" s="1"/>
  <c r="I156" i="6" a="1"/>
  <c r="I156" i="6" s="1"/>
  <c r="I157" i="6" a="1"/>
  <c r="I157" i="6" s="1"/>
  <c r="I158" i="6" a="1"/>
  <c r="I158" i="6" s="1"/>
  <c r="I159" i="6" a="1"/>
  <c r="I159" i="6" s="1"/>
  <c r="I160" i="6" a="1"/>
  <c r="I160" i="6" s="1"/>
  <c r="I161" i="6" a="1"/>
  <c r="I161" i="6" s="1"/>
  <c r="I162" i="6" a="1"/>
  <c r="I162" i="6" s="1"/>
  <c r="I163" i="6" a="1"/>
  <c r="I163" i="6" s="1"/>
  <c r="I164" i="6" a="1"/>
  <c r="I164" i="6" s="1"/>
  <c r="I165" i="6" a="1"/>
  <c r="I165" i="6" s="1"/>
  <c r="I166" i="6" a="1"/>
  <c r="I166" i="6" s="1"/>
  <c r="I167" i="6" a="1"/>
  <c r="I167" i="6" s="1"/>
  <c r="I168" i="6" a="1"/>
  <c r="I168" i="6" s="1"/>
  <c r="I169" i="6" a="1"/>
  <c r="I169" i="6" s="1"/>
  <c r="I170" i="6" a="1"/>
  <c r="I170" i="6" s="1"/>
  <c r="I171" i="6" a="1"/>
  <c r="I171" i="6" s="1"/>
  <c r="I172" i="6" a="1"/>
  <c r="I172" i="6" s="1"/>
  <c r="I173" i="6" a="1"/>
  <c r="I173" i="6" s="1"/>
  <c r="I174" i="6" a="1"/>
  <c r="I174" i="6" s="1"/>
  <c r="I175" i="6" a="1"/>
  <c r="I175" i="6" s="1"/>
  <c r="I176" i="6" a="1"/>
  <c r="I176" i="6" s="1"/>
  <c r="I177" i="6" a="1"/>
  <c r="I177" i="6" s="1"/>
  <c r="I178" i="6" a="1"/>
  <c r="I178" i="6" s="1"/>
  <c r="I179" i="6" a="1"/>
  <c r="I179" i="6" s="1"/>
  <c r="I180" i="6" a="1"/>
  <c r="I180" i="6" s="1"/>
  <c r="I181" i="6" a="1"/>
  <c r="I181" i="6" s="1"/>
  <c r="I182" i="6" a="1"/>
  <c r="I182" i="6" s="1"/>
  <c r="I183" i="6" a="1"/>
  <c r="I183" i="6" s="1"/>
  <c r="I184" i="6" a="1"/>
  <c r="I184" i="6" s="1"/>
  <c r="I185" i="6" a="1"/>
  <c r="I185" i="6" s="1"/>
  <c r="I186" i="6" a="1"/>
  <c r="I186" i="6" s="1"/>
  <c r="I187" i="6" a="1"/>
  <c r="I187" i="6" s="1"/>
  <c r="I188" i="6" a="1"/>
  <c r="I188" i="6" s="1"/>
  <c r="I189" i="6" a="1"/>
  <c r="I189" i="6" s="1"/>
  <c r="I190" i="6" a="1"/>
  <c r="I190" i="6" s="1"/>
  <c r="I191" i="6" a="1"/>
  <c r="I191" i="6" s="1"/>
  <c r="I192" i="6" a="1"/>
  <c r="I192" i="6" s="1"/>
  <c r="I193" i="6" a="1"/>
  <c r="I193" i="6" s="1"/>
  <c r="I194" i="6" a="1"/>
  <c r="I194" i="6" s="1"/>
  <c r="I195" i="6" a="1"/>
  <c r="I195" i="6" s="1"/>
  <c r="I196" i="6" a="1"/>
  <c r="I196" i="6" s="1"/>
  <c r="I197" i="6" a="1"/>
  <c r="I197" i="6" s="1"/>
  <c r="I198" i="6" a="1"/>
  <c r="I198" i="6" s="1"/>
  <c r="I199" i="6" a="1"/>
  <c r="I199" i="6" s="1"/>
  <c r="I200" i="6" a="1"/>
  <c r="I200" i="6" s="1"/>
  <c r="I201" i="6" a="1"/>
  <c r="I201" i="6" s="1"/>
  <c r="I202" i="6" a="1"/>
  <c r="I202" i="6" s="1"/>
  <c r="I203" i="6" a="1"/>
  <c r="I203" i="6" s="1"/>
  <c r="I204" i="6" a="1"/>
  <c r="I204" i="6" s="1"/>
  <c r="I205" i="6" a="1"/>
  <c r="I205" i="6" s="1"/>
  <c r="I206" i="6" a="1"/>
  <c r="I206" i="6" s="1"/>
  <c r="I207" i="6" a="1"/>
  <c r="I207" i="6" s="1"/>
  <c r="I208" i="6" a="1"/>
  <c r="I208" i="6" s="1"/>
  <c r="I209" i="6" a="1"/>
  <c r="I209" i="6" s="1"/>
  <c r="I210" i="6" a="1"/>
  <c r="I210" i="6" s="1"/>
  <c r="I211" i="6" a="1"/>
  <c r="I211" i="6" s="1"/>
  <c r="I212" i="6" a="1"/>
  <c r="I212" i="6" s="1"/>
  <c r="I213" i="6" a="1"/>
  <c r="I213" i="6" s="1"/>
  <c r="I214" i="6" a="1"/>
  <c r="I214" i="6" s="1"/>
  <c r="I215" i="6" a="1"/>
  <c r="I215" i="6" s="1"/>
  <c r="I216" i="6" a="1"/>
  <c r="I216" i="6" s="1"/>
  <c r="I217" i="6" a="1"/>
  <c r="I217" i="6" s="1"/>
  <c r="I218" i="6" a="1"/>
  <c r="I218" i="6" s="1"/>
  <c r="I219" i="6" a="1"/>
  <c r="I219" i="6" s="1"/>
  <c r="I220" i="6" a="1"/>
  <c r="I220" i="6" s="1"/>
  <c r="I221" i="6" a="1"/>
  <c r="I221" i="6" s="1"/>
  <c r="I222" i="6" a="1"/>
  <c r="I222" i="6" s="1"/>
  <c r="I223" i="6" a="1"/>
  <c r="I223" i="6" s="1"/>
  <c r="I224" i="6" a="1"/>
  <c r="I224" i="6" s="1"/>
  <c r="I225" i="6" a="1"/>
  <c r="I225" i="6" s="1"/>
  <c r="I226" i="6" a="1"/>
  <c r="I226" i="6" s="1"/>
  <c r="I227" i="6" a="1"/>
  <c r="I227" i="6" s="1"/>
  <c r="I228" i="6" a="1"/>
  <c r="I228" i="6" s="1"/>
  <c r="I229" i="6" a="1"/>
  <c r="I229" i="6" s="1"/>
  <c r="I230" i="6" a="1"/>
  <c r="I230" i="6" s="1"/>
  <c r="I231" i="6" a="1"/>
  <c r="I231" i="6" s="1"/>
  <c r="I232" i="6" a="1"/>
  <c r="I232" i="6" s="1"/>
  <c r="I233" i="6" a="1"/>
  <c r="I233" i="6" s="1"/>
  <c r="I234" i="6" a="1"/>
  <c r="I234" i="6" s="1"/>
  <c r="I235" i="6" a="1"/>
  <c r="I235" i="6" s="1"/>
  <c r="I236" i="6" a="1"/>
  <c r="I236" i="6" s="1"/>
  <c r="I237" i="6" a="1"/>
  <c r="I237" i="6" s="1"/>
  <c r="I238" i="6" a="1"/>
  <c r="I238" i="6" s="1"/>
  <c r="I239" i="6" a="1"/>
  <c r="I239" i="6" s="1"/>
  <c r="I240" i="6" a="1"/>
  <c r="I240" i="6" s="1"/>
  <c r="I241" i="6" a="1"/>
  <c r="I241" i="6" s="1"/>
  <c r="I242" i="6" a="1"/>
  <c r="I242" i="6" s="1"/>
  <c r="I243" i="6" a="1"/>
  <c r="I243" i="6" s="1"/>
  <c r="I244" i="6" a="1"/>
  <c r="I244" i="6" s="1"/>
  <c r="I245" i="6" a="1"/>
  <c r="I245" i="6" s="1"/>
  <c r="I246" i="6" a="1"/>
  <c r="I246" i="6" s="1"/>
  <c r="I247" i="6" a="1"/>
  <c r="I247" i="6" s="1"/>
  <c r="I248" i="6" a="1"/>
  <c r="I248" i="6" s="1"/>
  <c r="I249" i="6" a="1"/>
  <c r="I249" i="6" s="1"/>
  <c r="I250" i="6" a="1"/>
  <c r="I250" i="6" s="1"/>
  <c r="I251" i="6" a="1"/>
  <c r="I251" i="6" s="1"/>
  <c r="I252" i="6" a="1"/>
  <c r="I252" i="6" s="1"/>
  <c r="I253" i="6" a="1"/>
  <c r="I253" i="6" s="1"/>
  <c r="I254" i="6" a="1"/>
  <c r="I254" i="6" s="1"/>
  <c r="I255" i="6" a="1"/>
  <c r="I255" i="6" s="1"/>
  <c r="I256" i="6" a="1"/>
  <c r="I256" i="6" s="1"/>
  <c r="I257" i="6" a="1"/>
  <c r="I257" i="6" s="1"/>
  <c r="I258" i="6" a="1"/>
  <c r="I258" i="6" s="1"/>
  <c r="I259" i="6" a="1"/>
  <c r="I259" i="6" s="1"/>
  <c r="I260" i="6" a="1"/>
  <c r="I260" i="6" s="1"/>
  <c r="I261" i="6" a="1"/>
  <c r="I261" i="6" s="1"/>
  <c r="I262" i="6" a="1"/>
  <c r="I262" i="6" s="1"/>
  <c r="I263" i="6" a="1"/>
  <c r="I263" i="6" s="1"/>
  <c r="I264" i="6" a="1"/>
  <c r="I264" i="6" s="1"/>
  <c r="I265" i="6" a="1"/>
  <c r="I265" i="6" s="1"/>
  <c r="I266" i="6" a="1"/>
  <c r="I266" i="6" s="1"/>
  <c r="I267" i="6" a="1"/>
  <c r="I267" i="6" s="1"/>
  <c r="I268" i="6" a="1"/>
  <c r="I268" i="6" s="1"/>
  <c r="I269" i="6" a="1"/>
  <c r="I269" i="6" s="1"/>
  <c r="I270" i="6" a="1"/>
  <c r="I270" i="6" s="1"/>
  <c r="I271" i="6" a="1"/>
  <c r="I271" i="6" s="1"/>
  <c r="I272" i="6" a="1"/>
  <c r="I272" i="6" s="1"/>
  <c r="I273" i="6" a="1"/>
  <c r="I273" i="6" s="1"/>
  <c r="I274" i="6" a="1"/>
  <c r="I274" i="6" s="1"/>
  <c r="I275" i="6" a="1"/>
  <c r="I275" i="6" s="1"/>
  <c r="I276" i="6" a="1"/>
  <c r="I276" i="6" s="1"/>
  <c r="I277" i="6" a="1"/>
  <c r="I277" i="6" s="1"/>
  <c r="I278" i="6" a="1"/>
  <c r="I278" i="6" s="1"/>
  <c r="I279" i="6" a="1"/>
  <c r="I279" i="6" s="1"/>
  <c r="I280" i="6" a="1"/>
  <c r="I280" i="6" s="1"/>
  <c r="I281" i="6" a="1"/>
  <c r="I281" i="6" s="1"/>
  <c r="I282" i="6" a="1"/>
  <c r="I282" i="6" s="1"/>
  <c r="I283" i="6" a="1"/>
  <c r="I283" i="6" s="1"/>
  <c r="I284" i="6" a="1"/>
  <c r="I284" i="6" s="1"/>
  <c r="I285" i="6" a="1"/>
  <c r="I285" i="6" s="1"/>
  <c r="I286" i="6" a="1"/>
  <c r="I286" i="6" s="1"/>
  <c r="I287" i="6" a="1"/>
  <c r="I287" i="6" s="1"/>
  <c r="I288" i="6" a="1"/>
  <c r="I288" i="6" s="1"/>
  <c r="I289" i="6" a="1"/>
  <c r="I289" i="6" s="1"/>
  <c r="I290" i="6" a="1"/>
  <c r="I290" i="6" s="1"/>
  <c r="I291" i="6" a="1"/>
  <c r="I291" i="6" s="1"/>
  <c r="I292" i="6" a="1"/>
  <c r="I292" i="6" s="1"/>
  <c r="I293" i="6" a="1"/>
  <c r="I293" i="6" s="1"/>
  <c r="I294" i="6" a="1"/>
  <c r="I294" i="6" s="1"/>
  <c r="I295" i="6" a="1"/>
  <c r="I295" i="6" s="1"/>
  <c r="I296" i="6" a="1"/>
  <c r="I296" i="6" s="1"/>
  <c r="I297" i="6" a="1"/>
  <c r="I297" i="6" s="1"/>
  <c r="I298" i="6" a="1"/>
  <c r="I298" i="6" s="1"/>
  <c r="I299" i="6" a="1"/>
  <c r="I299" i="6" s="1"/>
  <c r="I300" i="6" a="1"/>
  <c r="I300" i="6" s="1"/>
  <c r="I301" i="6" a="1"/>
  <c r="I301" i="6" s="1"/>
  <c r="I302" i="6" a="1"/>
  <c r="I302" i="6" s="1"/>
  <c r="I303" i="6" a="1"/>
  <c r="I303" i="6" s="1"/>
  <c r="I304" i="6" a="1"/>
  <c r="I304" i="6" s="1"/>
  <c r="I305" i="6" a="1"/>
  <c r="I305" i="6" s="1"/>
  <c r="I306" i="6" a="1"/>
  <c r="I306" i="6" s="1"/>
  <c r="I307" i="6" a="1"/>
  <c r="I307" i="6" s="1"/>
  <c r="I308" i="6" a="1"/>
  <c r="I308" i="6" s="1"/>
  <c r="I309" i="6" a="1"/>
  <c r="I309" i="6" s="1"/>
  <c r="I310" i="6" a="1"/>
  <c r="I310" i="6" s="1"/>
  <c r="I311" i="6" a="1"/>
  <c r="I311" i="6" s="1"/>
  <c r="I312" i="6" a="1"/>
  <c r="I312" i="6" s="1"/>
  <c r="I313" i="6" a="1"/>
  <c r="I313" i="6" s="1"/>
  <c r="I314" i="6" a="1"/>
  <c r="I314" i="6" s="1"/>
  <c r="I315" i="6" a="1"/>
  <c r="I315" i="6" s="1"/>
  <c r="I316" i="6" a="1"/>
  <c r="I316" i="6" s="1"/>
  <c r="I317" i="6" a="1"/>
  <c r="I317" i="6" s="1"/>
  <c r="I318" i="6" a="1"/>
  <c r="I318" i="6" s="1"/>
  <c r="I319" i="6" a="1"/>
  <c r="I319" i="6" s="1"/>
  <c r="I320" i="6" a="1"/>
  <c r="I320" i="6" s="1"/>
  <c r="I321" i="6" a="1"/>
  <c r="I321" i="6" s="1"/>
  <c r="I322" i="6" a="1"/>
  <c r="I322" i="6" s="1"/>
  <c r="I323" i="6" a="1"/>
  <c r="I323" i="6" s="1"/>
  <c r="I324" i="6" a="1"/>
  <c r="I324" i="6" s="1"/>
  <c r="I325" i="6" a="1"/>
  <c r="I325" i="6" s="1"/>
  <c r="I326" i="6" a="1"/>
  <c r="I326" i="6" s="1"/>
  <c r="I327" i="6" a="1"/>
  <c r="I327" i="6" s="1"/>
  <c r="I328" i="6" a="1"/>
  <c r="I328" i="6" s="1"/>
  <c r="I329" i="6" a="1"/>
  <c r="I329" i="6" s="1"/>
  <c r="I330" i="6" a="1"/>
  <c r="I330" i="6" s="1"/>
  <c r="I331" i="6" a="1"/>
  <c r="I331" i="6" s="1"/>
  <c r="I332" i="6" a="1"/>
  <c r="I332" i="6" s="1"/>
  <c r="I333" i="6" a="1"/>
  <c r="I333" i="6" s="1"/>
  <c r="I334" i="6" a="1"/>
  <c r="I334" i="6" s="1"/>
  <c r="I335" i="6" a="1"/>
  <c r="I335" i="6" s="1"/>
  <c r="I336" i="6" a="1"/>
  <c r="I336" i="6" s="1"/>
  <c r="I337" i="6" a="1"/>
  <c r="I337" i="6" s="1"/>
  <c r="I338" i="6" a="1"/>
  <c r="I338" i="6" s="1"/>
  <c r="I339" i="6" a="1"/>
  <c r="I339" i="6" s="1"/>
  <c r="I340" i="6" a="1"/>
  <c r="I340" i="6" s="1"/>
  <c r="I341" i="6" a="1"/>
  <c r="I341" i="6" s="1"/>
  <c r="I342" i="6" a="1"/>
  <c r="I342" i="6" s="1"/>
  <c r="I343" i="6" a="1"/>
  <c r="I343" i="6" s="1"/>
  <c r="I344" i="6" a="1"/>
  <c r="I344" i="6" s="1"/>
  <c r="I345" i="6" a="1"/>
  <c r="I345" i="6" s="1"/>
  <c r="I346" i="6" a="1"/>
  <c r="I346" i="6" s="1"/>
  <c r="I347" i="6" a="1"/>
  <c r="I347" i="6" s="1"/>
  <c r="I348" i="6" a="1"/>
  <c r="I348" i="6" s="1"/>
  <c r="I349" i="6" a="1"/>
  <c r="I349" i="6" s="1"/>
  <c r="I350" i="6" a="1"/>
  <c r="I350" i="6" s="1"/>
  <c r="I351" i="6" a="1"/>
  <c r="I351" i="6" s="1"/>
  <c r="I352" i="6" a="1"/>
  <c r="I352" i="6" s="1"/>
  <c r="I353" i="6" a="1"/>
  <c r="I353" i="6" s="1"/>
  <c r="I354" i="6" a="1"/>
  <c r="I354" i="6" s="1"/>
  <c r="I355" i="6" a="1"/>
  <c r="I355" i="6" s="1"/>
  <c r="I356" i="6" a="1"/>
  <c r="I356" i="6" s="1"/>
  <c r="I357" i="6" a="1"/>
  <c r="I357" i="6" s="1"/>
  <c r="I358" i="6" a="1"/>
  <c r="I358" i="6" s="1"/>
  <c r="I359" i="6" a="1"/>
  <c r="I359" i="6" s="1"/>
  <c r="I360" i="6" a="1"/>
  <c r="I360" i="6" s="1"/>
  <c r="I361" i="6" a="1"/>
  <c r="I361" i="6" s="1"/>
  <c r="I362" i="6" a="1"/>
  <c r="I362" i="6" s="1"/>
  <c r="I363" i="6" a="1"/>
  <c r="I363" i="6" s="1"/>
  <c r="I364" i="6" a="1"/>
  <c r="I364" i="6" s="1"/>
  <c r="I365" i="6" a="1"/>
  <c r="I365" i="6" s="1"/>
  <c r="I366" i="6" a="1"/>
  <c r="I366" i="6" s="1"/>
  <c r="I367" i="6" a="1"/>
  <c r="I367" i="6" s="1"/>
  <c r="I368" i="6" a="1"/>
  <c r="I368" i="6" s="1"/>
  <c r="I369" i="6" a="1"/>
  <c r="I369" i="6" s="1"/>
  <c r="I370" i="6" a="1"/>
  <c r="I370" i="6" s="1"/>
  <c r="I371" i="6" a="1"/>
  <c r="I371" i="6" s="1"/>
  <c r="I372" i="6" a="1"/>
  <c r="I372" i="6" s="1"/>
  <c r="I373" i="6" a="1"/>
  <c r="I373" i="6" s="1"/>
  <c r="I374" i="6" a="1"/>
  <c r="I374" i="6" s="1"/>
  <c r="I375" i="6" a="1"/>
  <c r="I375" i="6" s="1"/>
  <c r="I376" i="6" a="1"/>
  <c r="I376" i="6" s="1"/>
  <c r="I377" i="6" a="1"/>
  <c r="I377" i="6" s="1"/>
  <c r="I378" i="6" a="1"/>
  <c r="I378" i="6" s="1"/>
  <c r="I379" i="6" a="1"/>
  <c r="I379" i="6" s="1"/>
  <c r="I380" i="6" a="1"/>
  <c r="I380" i="6" s="1"/>
  <c r="I381" i="6" a="1"/>
  <c r="I381" i="6" s="1"/>
  <c r="I382" i="6" a="1"/>
  <c r="I382" i="6" s="1"/>
  <c r="I383" i="6" a="1"/>
  <c r="I383" i="6" s="1"/>
  <c r="I384" i="6" a="1"/>
  <c r="I384" i="6" s="1"/>
  <c r="I385" i="6" a="1"/>
  <c r="I385" i="6" s="1"/>
  <c r="I386" i="6" a="1"/>
  <c r="I386" i="6" s="1"/>
  <c r="I387" i="6" a="1"/>
  <c r="I387" i="6" s="1"/>
  <c r="I388" i="6" a="1"/>
  <c r="I388" i="6" s="1"/>
  <c r="I389" i="6" a="1"/>
  <c r="I389" i="6" s="1"/>
  <c r="I390" i="6" a="1"/>
  <c r="I390" i="6" s="1"/>
  <c r="I391" i="6" a="1"/>
  <c r="I391" i="6" s="1"/>
  <c r="I392" i="6" a="1"/>
  <c r="I392" i="6" s="1"/>
  <c r="I393" i="6" a="1"/>
  <c r="I393" i="6" s="1"/>
  <c r="I394" i="6" a="1"/>
  <c r="I394" i="6" s="1"/>
  <c r="I395" i="6" a="1"/>
  <c r="I395" i="6" s="1"/>
  <c r="I396" i="6" a="1"/>
  <c r="I396" i="6" s="1"/>
  <c r="I397" i="6" a="1"/>
  <c r="I397" i="6" s="1"/>
  <c r="I398" i="6" a="1"/>
  <c r="I398" i="6" s="1"/>
  <c r="I399" i="6" a="1"/>
  <c r="I399" i="6" s="1"/>
  <c r="I400" i="6" a="1"/>
  <c r="I400" i="6" s="1"/>
  <c r="I401" i="6" a="1"/>
  <c r="I401" i="6" s="1"/>
  <c r="I402" i="6" a="1"/>
  <c r="I402" i="6" s="1"/>
  <c r="I403" i="6" a="1"/>
  <c r="I403" i="6" s="1"/>
  <c r="I404" i="6" a="1"/>
  <c r="I404" i="6" s="1"/>
  <c r="I405" i="6" a="1"/>
  <c r="I405" i="6" s="1"/>
  <c r="I406" i="6" a="1"/>
  <c r="I406" i="6" s="1"/>
  <c r="I407" i="6" a="1"/>
  <c r="I407" i="6" s="1"/>
  <c r="I408" i="6" a="1"/>
  <c r="I408" i="6" s="1"/>
  <c r="I409" i="6" a="1"/>
  <c r="I409" i="6" s="1"/>
  <c r="I410" i="6" a="1"/>
  <c r="I410" i="6" s="1"/>
  <c r="I411" i="6" a="1"/>
  <c r="I411" i="6" s="1"/>
  <c r="I412" i="6" a="1"/>
  <c r="I412" i="6" s="1"/>
  <c r="I413" i="6" a="1"/>
  <c r="I413" i="6" s="1"/>
  <c r="I414" i="6" a="1"/>
  <c r="I414" i="6" s="1"/>
  <c r="I415" i="6" a="1"/>
  <c r="I415" i="6" s="1"/>
  <c r="I416" i="6" a="1"/>
  <c r="I416" i="6" s="1"/>
  <c r="I417" i="6" a="1"/>
  <c r="I417" i="6" s="1"/>
  <c r="I418" i="6" a="1"/>
  <c r="I418" i="6" s="1"/>
  <c r="I419" i="6" a="1"/>
  <c r="I419" i="6" s="1"/>
  <c r="I420" i="6" a="1"/>
  <c r="I420" i="6" s="1"/>
  <c r="I421" i="6" a="1"/>
  <c r="I421" i="6" s="1"/>
  <c r="I422" i="6" a="1"/>
  <c r="I422" i="6" s="1"/>
  <c r="I423" i="6" a="1"/>
  <c r="I423" i="6" s="1"/>
  <c r="I424" i="6" a="1"/>
  <c r="I424" i="6" s="1"/>
  <c r="I425" i="6" a="1"/>
  <c r="I425" i="6" s="1"/>
  <c r="I426" i="6" a="1"/>
  <c r="I426" i="6" s="1"/>
  <c r="I427" i="6" a="1"/>
  <c r="I427" i="6" s="1"/>
  <c r="I428" i="6" a="1"/>
  <c r="I428" i="6" s="1"/>
  <c r="I429" i="6" a="1"/>
  <c r="I429" i="6" s="1"/>
  <c r="I430" i="6" a="1"/>
  <c r="I430" i="6" s="1"/>
  <c r="I431" i="6" a="1"/>
  <c r="I431" i="6" s="1"/>
  <c r="I432" i="6" a="1"/>
  <c r="I432" i="6" s="1"/>
  <c r="I433" i="6" a="1"/>
  <c r="I433" i="6" s="1"/>
  <c r="I434" i="6" a="1"/>
  <c r="I434" i="6" s="1"/>
  <c r="I435" i="6" a="1"/>
  <c r="I435" i="6" s="1"/>
  <c r="I436" i="6" a="1"/>
  <c r="I436" i="6" s="1"/>
  <c r="I437" i="6" a="1"/>
  <c r="I437" i="6" s="1"/>
  <c r="I438" i="6" a="1"/>
  <c r="I438" i="6" s="1"/>
  <c r="I439" i="6" a="1"/>
  <c r="I439" i="6" s="1"/>
  <c r="I440" i="6" a="1"/>
  <c r="I440" i="6" s="1"/>
  <c r="I441" i="6" a="1"/>
  <c r="I441" i="6" s="1"/>
  <c r="I442" i="6" a="1"/>
  <c r="I442" i="6" s="1"/>
  <c r="I443" i="6" a="1"/>
  <c r="I443" i="6" s="1"/>
  <c r="I444" i="6" a="1"/>
  <c r="I444" i="6" s="1"/>
  <c r="I445" i="6" a="1"/>
  <c r="I445" i="6" s="1"/>
  <c r="I446" i="6" a="1"/>
  <c r="I446" i="6" s="1"/>
  <c r="I447" i="6" a="1"/>
  <c r="I447" i="6" s="1"/>
  <c r="I448" i="6" a="1"/>
  <c r="I448" i="6" s="1"/>
  <c r="I449" i="6" a="1"/>
  <c r="I449" i="6" s="1"/>
  <c r="I450" i="6" a="1"/>
  <c r="I450" i="6" s="1"/>
  <c r="I451" i="6" a="1"/>
  <c r="I451" i="6" s="1"/>
  <c r="I452" i="6" a="1"/>
  <c r="I452" i="6" s="1"/>
  <c r="I453" i="6" a="1"/>
  <c r="I453" i="6" s="1"/>
  <c r="I454" i="6" a="1"/>
  <c r="I454" i="6" s="1"/>
  <c r="I455" i="6" a="1"/>
  <c r="I455" i="6" s="1"/>
  <c r="I456" i="6" a="1"/>
  <c r="I456" i="6" s="1"/>
  <c r="I457" i="6" a="1"/>
  <c r="I457" i="6" s="1"/>
  <c r="I458" i="6" a="1"/>
  <c r="I458" i="6" s="1"/>
  <c r="I459" i="6" a="1"/>
  <c r="I459" i="6" s="1"/>
  <c r="I460" i="6" a="1"/>
  <c r="I460" i="6" s="1"/>
  <c r="I461" i="6" a="1"/>
  <c r="I461" i="6" s="1"/>
  <c r="I462" i="6" a="1"/>
  <c r="I462" i="6" s="1"/>
  <c r="I463" i="6" a="1"/>
  <c r="I463" i="6" s="1"/>
  <c r="I464" i="6" a="1"/>
  <c r="I464" i="6" s="1"/>
  <c r="I465" i="6" a="1"/>
  <c r="I465" i="6" s="1"/>
  <c r="I466" i="6" a="1"/>
  <c r="I466" i="6" s="1"/>
  <c r="I467" i="6" a="1"/>
  <c r="I467" i="6" s="1"/>
  <c r="I468" i="6" a="1"/>
  <c r="I468" i="6" s="1"/>
  <c r="I469" i="6" a="1"/>
  <c r="I469" i="6" s="1"/>
  <c r="I470" i="6" a="1"/>
  <c r="I470" i="6" s="1"/>
  <c r="I471" i="6" a="1"/>
  <c r="I471" i="6" s="1"/>
  <c r="I472" i="6" a="1"/>
  <c r="I472" i="6" s="1"/>
  <c r="I473" i="6" a="1"/>
  <c r="I473" i="6" s="1"/>
  <c r="I474" i="6" a="1"/>
  <c r="I474" i="6" s="1"/>
  <c r="I475" i="6" a="1"/>
  <c r="I475" i="6" s="1"/>
  <c r="I476" i="6" a="1"/>
  <c r="I476" i="6" s="1"/>
  <c r="I477" i="6" a="1"/>
  <c r="I477" i="6" s="1"/>
  <c r="I478" i="6" a="1"/>
  <c r="I478" i="6" s="1"/>
  <c r="I479" i="6" a="1"/>
  <c r="I479" i="6" s="1"/>
  <c r="I480" i="6" a="1"/>
  <c r="I480" i="6" s="1"/>
  <c r="I481" i="6" a="1"/>
  <c r="I481" i="6" s="1"/>
  <c r="I482" i="6" a="1"/>
  <c r="I482" i="6" s="1"/>
  <c r="I483" i="6" a="1"/>
  <c r="I483" i="6" s="1"/>
  <c r="I484" i="6" a="1"/>
  <c r="I484" i="6" s="1"/>
  <c r="I485" i="6" a="1"/>
  <c r="I485" i="6" s="1"/>
  <c r="I486" i="6" a="1"/>
  <c r="I486" i="6" s="1"/>
  <c r="I487" i="6" a="1"/>
  <c r="I487" i="6" s="1"/>
  <c r="I488" i="6" a="1"/>
  <c r="I488" i="6" s="1"/>
  <c r="I489" i="6" a="1"/>
  <c r="I489" i="6" s="1"/>
  <c r="I490" i="6" a="1"/>
  <c r="I490" i="6" s="1"/>
  <c r="I491" i="6" a="1"/>
  <c r="I491" i="6" s="1"/>
  <c r="I492" i="6" a="1"/>
  <c r="I492" i="6" s="1"/>
  <c r="I493" i="6" a="1"/>
  <c r="I493" i="6" s="1"/>
  <c r="I494" i="6" a="1"/>
  <c r="I494" i="6" s="1"/>
  <c r="I495" i="6" a="1"/>
  <c r="I495" i="6" s="1"/>
  <c r="I496" i="6" a="1"/>
  <c r="I496" i="6" s="1"/>
  <c r="I497" i="6" a="1"/>
  <c r="I497" i="6" s="1"/>
  <c r="I498" i="6" a="1"/>
  <c r="I498" i="6" s="1"/>
  <c r="I499" i="6" a="1"/>
  <c r="I499" i="6" s="1"/>
  <c r="I500" i="6" a="1"/>
  <c r="I500" i="6" s="1"/>
  <c r="I501" i="6" a="1"/>
  <c r="I501" i="6" s="1"/>
  <c r="I502" i="6" a="1"/>
  <c r="I502" i="6" s="1"/>
  <c r="I503" i="6" a="1"/>
  <c r="I503" i="6" s="1"/>
  <c r="I504" i="6" a="1"/>
  <c r="I504" i="6" s="1"/>
  <c r="I505" i="6" a="1"/>
  <c r="I505" i="6" s="1"/>
  <c r="I506" i="6" a="1"/>
  <c r="I506" i="6" s="1"/>
  <c r="I507" i="6" a="1"/>
  <c r="I507" i="6" s="1"/>
  <c r="I508" i="6" a="1"/>
  <c r="I508" i="6" s="1"/>
  <c r="I509" i="6" a="1"/>
  <c r="I509" i="6" s="1"/>
  <c r="I510" i="6" a="1"/>
  <c r="I510" i="6" s="1"/>
  <c r="I511" i="6" a="1"/>
  <c r="I511" i="6" s="1"/>
  <c r="I512" i="6" a="1"/>
  <c r="I512" i="6" s="1"/>
  <c r="I513" i="6" a="1"/>
  <c r="I513" i="6" s="1"/>
  <c r="I514" i="6" a="1"/>
  <c r="I514" i="6" s="1"/>
  <c r="I515" i="6" a="1"/>
  <c r="I515" i="6" s="1"/>
  <c r="I516" i="6" a="1"/>
  <c r="I516" i="6" s="1"/>
  <c r="I517" i="6" a="1"/>
  <c r="I517" i="6" s="1"/>
  <c r="I518" i="6" a="1"/>
  <c r="I518" i="6" s="1"/>
  <c r="I519" i="6" a="1"/>
  <c r="I519" i="6" s="1"/>
  <c r="I520" i="6" a="1"/>
  <c r="I520" i="6" s="1"/>
  <c r="I521" i="6" a="1"/>
  <c r="I521" i="6" s="1"/>
  <c r="I522" i="6" a="1"/>
  <c r="I522" i="6" s="1"/>
  <c r="I523" i="6" a="1"/>
  <c r="I523" i="6" s="1"/>
  <c r="I524" i="6" a="1"/>
  <c r="I524" i="6" s="1"/>
  <c r="I525" i="6" a="1"/>
  <c r="I525" i="6" s="1"/>
  <c r="I526" i="6" a="1"/>
  <c r="I526" i="6" s="1"/>
  <c r="I527" i="6" a="1"/>
  <c r="I527" i="6" s="1"/>
  <c r="I528" i="6" a="1"/>
  <c r="I528" i="6" s="1"/>
  <c r="I529" i="6" a="1"/>
  <c r="I529" i="6" s="1"/>
  <c r="I530" i="6" a="1"/>
  <c r="I530" i="6" s="1"/>
  <c r="I531" i="6" a="1"/>
  <c r="I531" i="6" s="1"/>
  <c r="I532" i="6" a="1"/>
  <c r="I532" i="6" s="1"/>
  <c r="I533" i="6" a="1"/>
  <c r="I533" i="6" s="1"/>
  <c r="I534" i="6" a="1"/>
  <c r="I534" i="6" s="1"/>
  <c r="I535" i="6" a="1"/>
  <c r="I535" i="6" s="1"/>
  <c r="I536" i="6" a="1"/>
  <c r="I536" i="6" s="1"/>
  <c r="I537" i="6" a="1"/>
  <c r="I537" i="6" s="1"/>
  <c r="I538" i="6" a="1"/>
  <c r="I538" i="6" s="1"/>
  <c r="I539" i="6" a="1"/>
  <c r="I539" i="6" s="1"/>
  <c r="I540" i="6" a="1"/>
  <c r="I540" i="6" s="1"/>
  <c r="I541" i="6" a="1"/>
  <c r="I541" i="6" s="1"/>
  <c r="I542" i="6" a="1"/>
  <c r="I542" i="6" s="1"/>
  <c r="I543" i="6" a="1"/>
  <c r="I543" i="6" s="1"/>
  <c r="I544" i="6" a="1"/>
  <c r="I544" i="6" s="1"/>
  <c r="I545" i="6" a="1"/>
  <c r="I545" i="6" s="1"/>
  <c r="I546" i="6" a="1"/>
  <c r="I546" i="6" s="1"/>
  <c r="I547" i="6" a="1"/>
  <c r="I547" i="6" s="1"/>
  <c r="I548" i="6" a="1"/>
  <c r="I548" i="6" s="1"/>
  <c r="I549" i="6" a="1"/>
  <c r="I549" i="6" s="1"/>
  <c r="I550" i="6" a="1"/>
  <c r="I550" i="6" s="1"/>
  <c r="I551" i="6" a="1"/>
  <c r="I551" i="6" s="1"/>
  <c r="I552" i="6" a="1"/>
  <c r="I552" i="6" s="1"/>
  <c r="I553" i="6" a="1"/>
  <c r="I553" i="6" s="1"/>
  <c r="I554" i="6" a="1"/>
  <c r="I554" i="6" s="1"/>
  <c r="I555" i="6" a="1"/>
  <c r="I555" i="6" s="1"/>
  <c r="I556" i="6" a="1"/>
  <c r="I556" i="6" s="1"/>
  <c r="I557" i="6" a="1"/>
  <c r="I557" i="6" s="1"/>
  <c r="I558" i="6" a="1"/>
  <c r="I558" i="6" s="1"/>
  <c r="I559" i="6" a="1"/>
  <c r="I559" i="6" s="1"/>
  <c r="I560" i="6" a="1"/>
  <c r="I560" i="6" s="1"/>
  <c r="I561" i="6" a="1"/>
  <c r="I561" i="6" s="1"/>
  <c r="I562" i="6" a="1"/>
  <c r="I562" i="6" s="1"/>
  <c r="I563" i="6" a="1"/>
  <c r="I563" i="6" s="1"/>
  <c r="I564" i="6" a="1"/>
  <c r="I564" i="6" s="1"/>
  <c r="I565" i="6" a="1"/>
  <c r="I565" i="6" s="1"/>
  <c r="I566" i="6" a="1"/>
  <c r="I566" i="6" s="1"/>
  <c r="I567" i="6" a="1"/>
  <c r="I567" i="6" s="1"/>
  <c r="I568" i="6" a="1"/>
  <c r="I568" i="6" s="1"/>
  <c r="I569" i="6" a="1"/>
  <c r="I569" i="6" s="1"/>
  <c r="I570" i="6" a="1"/>
  <c r="I570" i="6" s="1"/>
  <c r="I571" i="6" a="1"/>
  <c r="I571" i="6" s="1"/>
  <c r="I572" i="6" a="1"/>
  <c r="I572" i="6" s="1"/>
  <c r="I573" i="6" a="1"/>
  <c r="I573" i="6" s="1"/>
  <c r="I574" i="6" a="1"/>
  <c r="I574" i="6" s="1"/>
  <c r="I575" i="6" a="1"/>
  <c r="I575" i="6" s="1"/>
  <c r="I576" i="6" a="1"/>
  <c r="I576" i="6" s="1"/>
  <c r="I577" i="6" a="1"/>
  <c r="I577" i="6" s="1"/>
  <c r="I578" i="6" a="1"/>
  <c r="I578" i="6" s="1"/>
  <c r="I579" i="6" a="1"/>
  <c r="I579" i="6" s="1"/>
  <c r="I580" i="6" a="1"/>
  <c r="I580" i="6" s="1"/>
  <c r="I581" i="6" a="1"/>
  <c r="I581" i="6" s="1"/>
  <c r="I582" i="6" a="1"/>
  <c r="I582" i="6" s="1"/>
  <c r="I583" i="6" a="1"/>
  <c r="I583" i="6" s="1"/>
  <c r="I584" i="6" a="1"/>
  <c r="I584" i="6" s="1"/>
  <c r="I585" i="6" a="1"/>
  <c r="I585" i="6" s="1"/>
  <c r="I586" i="6" a="1"/>
  <c r="I586" i="6" s="1"/>
  <c r="I587" i="6" a="1"/>
  <c r="I587" i="6" s="1"/>
  <c r="I588" i="6" a="1"/>
  <c r="I588" i="6" s="1"/>
  <c r="I589" i="6" a="1"/>
  <c r="I589" i="6" s="1"/>
  <c r="I590" i="6" a="1"/>
  <c r="I590" i="6" s="1"/>
  <c r="I591" i="6" a="1"/>
  <c r="I591" i="6" s="1"/>
  <c r="I592" i="6" a="1"/>
  <c r="I592" i="6" s="1"/>
  <c r="I593" i="6" a="1"/>
  <c r="I593" i="6" s="1"/>
  <c r="I594" i="6" a="1"/>
  <c r="I594" i="6" s="1"/>
  <c r="I595" i="6" a="1"/>
  <c r="I595" i="6" s="1"/>
  <c r="I596" i="6" a="1"/>
  <c r="I596" i="6" s="1"/>
  <c r="I597" i="6" a="1"/>
  <c r="I597" i="6" s="1"/>
  <c r="I598" i="6" a="1"/>
  <c r="I598" i="6" s="1"/>
  <c r="I599" i="6" a="1"/>
  <c r="I599" i="6" s="1"/>
  <c r="I600" i="6" a="1"/>
  <c r="I600" i="6" s="1"/>
  <c r="I601" i="6" a="1"/>
  <c r="I601" i="6" s="1"/>
  <c r="I602" i="6" a="1"/>
  <c r="I602" i="6" s="1"/>
  <c r="I603" i="6" a="1"/>
  <c r="I603" i="6" s="1"/>
  <c r="I604" i="6" a="1"/>
  <c r="I604" i="6" s="1"/>
  <c r="I605" i="6" a="1"/>
  <c r="I605" i="6" s="1"/>
  <c r="I606" i="6" a="1"/>
  <c r="I606" i="6" s="1"/>
  <c r="I607" i="6" a="1"/>
  <c r="I607" i="6" s="1"/>
  <c r="I608" i="6" a="1"/>
  <c r="I608" i="6" s="1"/>
  <c r="I609" i="6" a="1"/>
  <c r="I609" i="6" s="1"/>
  <c r="I610" i="6" a="1"/>
  <c r="I610" i="6" s="1"/>
  <c r="I611" i="6" a="1"/>
  <c r="I611" i="6" s="1"/>
  <c r="I612" i="6" a="1"/>
  <c r="I612" i="6" s="1"/>
  <c r="I613" i="6" a="1"/>
  <c r="I613" i="6" s="1"/>
  <c r="I614" i="6" a="1"/>
  <c r="I614" i="6" s="1"/>
  <c r="I615" i="6" a="1"/>
  <c r="I615" i="6" s="1"/>
  <c r="I616" i="6" a="1"/>
  <c r="I616" i="6" s="1"/>
  <c r="I617" i="6" a="1"/>
  <c r="I617" i="6" s="1"/>
  <c r="I618" i="6" a="1"/>
  <c r="I618" i="6" s="1"/>
  <c r="I619" i="6" a="1"/>
  <c r="I619" i="6" s="1"/>
  <c r="I620" i="6" a="1"/>
  <c r="I620" i="6" s="1"/>
  <c r="I621" i="6" a="1"/>
  <c r="I621" i="6" s="1"/>
  <c r="I622" i="6" a="1"/>
  <c r="I622" i="6" s="1"/>
  <c r="I623" i="6" a="1"/>
  <c r="I623" i="6" s="1"/>
  <c r="I624" i="6" a="1"/>
  <c r="I624" i="6" s="1"/>
  <c r="I625" i="6" a="1"/>
  <c r="I625" i="6" s="1"/>
  <c r="I626" i="6" a="1"/>
  <c r="I626" i="6" s="1"/>
  <c r="I627" i="6" a="1"/>
  <c r="I627" i="6" s="1"/>
  <c r="I628" i="6" a="1"/>
  <c r="I628" i="6" s="1"/>
  <c r="I629" i="6" a="1"/>
  <c r="I629" i="6" s="1"/>
  <c r="I630" i="6" a="1"/>
  <c r="I630" i="6" s="1"/>
  <c r="I631" i="6" a="1"/>
  <c r="I631" i="6" s="1"/>
  <c r="I632" i="6" a="1"/>
  <c r="I632" i="6" s="1"/>
  <c r="I633" i="6" a="1"/>
  <c r="I633" i="6" s="1"/>
  <c r="I634" i="6" a="1"/>
  <c r="I634" i="6" s="1"/>
  <c r="I635" i="6" a="1"/>
  <c r="I635" i="6" s="1"/>
  <c r="I636" i="6" a="1"/>
  <c r="I636" i="6" s="1"/>
  <c r="I637" i="6" a="1"/>
  <c r="I637" i="6" s="1"/>
  <c r="I638" i="6" a="1"/>
  <c r="I638" i="6" s="1"/>
  <c r="I639" i="6" a="1"/>
  <c r="I639" i="6" s="1"/>
  <c r="I640" i="6" a="1"/>
  <c r="I640" i="6" s="1"/>
  <c r="I641" i="6" a="1"/>
  <c r="I641" i="6" s="1"/>
  <c r="I642" i="6" a="1"/>
  <c r="I642" i="6" s="1"/>
  <c r="I643" i="6" a="1"/>
  <c r="I643" i="6" s="1"/>
  <c r="I644" i="6" a="1"/>
  <c r="I644" i="6" s="1"/>
  <c r="I645" i="6" a="1"/>
  <c r="I645" i="6" s="1"/>
  <c r="I646" i="6" a="1"/>
  <c r="I646" i="6" s="1"/>
  <c r="I647" i="6" a="1"/>
  <c r="I647" i="6" s="1"/>
  <c r="I648" i="6" a="1"/>
  <c r="I648" i="6" s="1"/>
  <c r="I649" i="6" a="1"/>
  <c r="I649" i="6" s="1"/>
  <c r="I650" i="6" a="1"/>
  <c r="I650" i="6" s="1"/>
  <c r="I651" i="6" a="1"/>
  <c r="I651" i="6" s="1"/>
  <c r="I652" i="6" a="1"/>
  <c r="I652" i="6" s="1"/>
  <c r="I653" i="6" a="1"/>
  <c r="I653" i="6" s="1"/>
  <c r="I654" i="6" a="1"/>
  <c r="I654" i="6" s="1"/>
  <c r="I655" i="6" a="1"/>
  <c r="I655" i="6" s="1"/>
  <c r="I656" i="6" a="1"/>
  <c r="I656" i="6" s="1"/>
  <c r="I657" i="6" a="1"/>
  <c r="I657" i="6" s="1"/>
  <c r="I658" i="6" a="1"/>
  <c r="I658" i="6" s="1"/>
  <c r="I659" i="6" a="1"/>
  <c r="I659" i="6" s="1"/>
  <c r="I660" i="6" a="1"/>
  <c r="I660" i="6" s="1"/>
  <c r="I661" i="6" a="1"/>
  <c r="I661" i="6" s="1"/>
  <c r="I662" i="6" a="1"/>
  <c r="I662" i="6" s="1"/>
  <c r="I663" i="6" a="1"/>
  <c r="I663" i="6" s="1"/>
  <c r="I664" i="6" a="1"/>
  <c r="I664" i="6" s="1"/>
  <c r="I665" i="6" a="1"/>
  <c r="I665" i="6" s="1"/>
  <c r="I666" i="6" a="1"/>
  <c r="I666" i="6" s="1"/>
  <c r="I667" i="6" a="1"/>
  <c r="I667" i="6" s="1"/>
  <c r="I668" i="6" a="1"/>
  <c r="I668" i="6" s="1"/>
  <c r="I669" i="6" a="1"/>
  <c r="I669" i="6" s="1"/>
  <c r="I670" i="6" a="1"/>
  <c r="I670" i="6" s="1"/>
  <c r="I671" i="6" a="1"/>
  <c r="I671" i="6" s="1"/>
  <c r="I672" i="6" a="1"/>
  <c r="I672" i="6" s="1"/>
  <c r="I673" i="6" a="1"/>
  <c r="I673" i="6" s="1"/>
  <c r="I674" i="6" a="1"/>
  <c r="I674" i="6" s="1"/>
  <c r="I675" i="6" a="1"/>
  <c r="I675" i="6" s="1"/>
  <c r="I676" i="6" a="1"/>
  <c r="I676" i="6" s="1"/>
  <c r="I677" i="6" a="1"/>
  <c r="I677" i="6" s="1"/>
  <c r="I678" i="6" a="1"/>
  <c r="I678" i="6" s="1"/>
  <c r="I679" i="6" a="1"/>
  <c r="I679" i="6" s="1"/>
  <c r="I680" i="6" a="1"/>
  <c r="I680" i="6" s="1"/>
  <c r="I681" i="6" a="1"/>
  <c r="I681" i="6" s="1"/>
  <c r="I682" i="6" a="1"/>
  <c r="I682" i="6" s="1"/>
  <c r="I683" i="6" a="1"/>
  <c r="I683" i="6" s="1"/>
  <c r="I684" i="6" a="1"/>
  <c r="I684" i="6" s="1"/>
  <c r="I685" i="6" a="1"/>
  <c r="I685" i="6" s="1"/>
  <c r="I686" i="6" a="1"/>
  <c r="I686" i="6" s="1"/>
  <c r="I687" i="6" a="1"/>
  <c r="I687" i="6" s="1"/>
  <c r="I688" i="6" a="1"/>
  <c r="I688" i="6" s="1"/>
  <c r="I689" i="6" a="1"/>
  <c r="I689" i="6" s="1"/>
  <c r="I690" i="6" a="1"/>
  <c r="I690" i="6" s="1"/>
  <c r="I691" i="6" a="1"/>
  <c r="I691" i="6" s="1"/>
  <c r="I692" i="6" a="1"/>
  <c r="I692" i="6" s="1"/>
  <c r="I693" i="6" a="1"/>
  <c r="I693" i="6" s="1"/>
  <c r="I694" i="6" a="1"/>
  <c r="I694" i="6" s="1"/>
  <c r="I695" i="6" a="1"/>
  <c r="I695" i="6" s="1"/>
  <c r="I696" i="6" a="1"/>
  <c r="I696" i="6" s="1"/>
  <c r="I697" i="6" a="1"/>
  <c r="I697" i="6" s="1"/>
  <c r="I698" i="6" a="1"/>
  <c r="I698" i="6" s="1"/>
  <c r="I699" i="6" a="1"/>
  <c r="I699" i="6" s="1"/>
  <c r="I700" i="6" a="1"/>
  <c r="I700" i="6" s="1"/>
  <c r="I701" i="6" a="1"/>
  <c r="I701" i="6" s="1"/>
  <c r="I702" i="6" a="1"/>
  <c r="I702" i="6" s="1"/>
  <c r="I703" i="6" a="1"/>
  <c r="I703" i="6" s="1"/>
  <c r="I704" i="6" a="1"/>
  <c r="I704" i="6" s="1"/>
  <c r="I705" i="6" a="1"/>
  <c r="I705" i="6" s="1"/>
  <c r="I706" i="6" a="1"/>
  <c r="I706" i="6" s="1"/>
  <c r="I707" i="6" a="1"/>
  <c r="I707" i="6" s="1"/>
  <c r="I708" i="6" a="1"/>
  <c r="I708" i="6" s="1"/>
  <c r="I709" i="6" a="1"/>
  <c r="I709" i="6" s="1"/>
  <c r="I710" i="6" a="1"/>
  <c r="I710" i="6" s="1"/>
  <c r="I711" i="6" a="1"/>
  <c r="I711" i="6" s="1"/>
  <c r="I712" i="6" a="1"/>
  <c r="I712" i="6" s="1"/>
  <c r="I713" i="6" a="1"/>
  <c r="I713" i="6" s="1"/>
  <c r="I714" i="6" a="1"/>
  <c r="I714" i="6" s="1"/>
  <c r="I715" i="6" a="1"/>
  <c r="I715" i="6" s="1"/>
  <c r="I716" i="6" a="1"/>
  <c r="I716" i="6" s="1"/>
  <c r="I717" i="6" a="1"/>
  <c r="I717" i="6" s="1"/>
  <c r="I718" i="6" a="1"/>
  <c r="I718" i="6" s="1"/>
  <c r="I719" i="6" a="1"/>
  <c r="I719" i="6" s="1"/>
  <c r="I720" i="6" a="1"/>
  <c r="I720" i="6" s="1"/>
  <c r="I721" i="6" a="1"/>
  <c r="I721" i="6" s="1"/>
  <c r="I722" i="6" a="1"/>
  <c r="I722" i="6" s="1"/>
  <c r="I723" i="6" a="1"/>
  <c r="I723" i="6" s="1"/>
  <c r="I724" i="6" a="1"/>
  <c r="I724" i="6" s="1"/>
  <c r="I725" i="6" a="1"/>
  <c r="I725" i="6" s="1"/>
  <c r="I726" i="6" a="1"/>
  <c r="I726" i="6" s="1"/>
  <c r="I727" i="6" a="1"/>
  <c r="I727" i="6" s="1"/>
  <c r="I728" i="6" a="1"/>
  <c r="I728" i="6" s="1"/>
  <c r="I729" i="6" a="1"/>
  <c r="I729" i="6" s="1"/>
  <c r="I730" i="6" a="1"/>
  <c r="I730" i="6" s="1"/>
  <c r="I731" i="6" a="1"/>
  <c r="I731" i="6" s="1"/>
  <c r="I732" i="6" a="1"/>
  <c r="I732" i="6" s="1"/>
  <c r="I733" i="6" a="1"/>
  <c r="I733" i="6" s="1"/>
  <c r="I734" i="6" a="1"/>
  <c r="I734" i="6" s="1"/>
  <c r="I735" i="6" a="1"/>
  <c r="I735" i="6" s="1"/>
  <c r="I736" i="6" a="1"/>
  <c r="I736" i="6" s="1"/>
  <c r="I737" i="6" a="1"/>
  <c r="I737" i="6" s="1"/>
  <c r="I738" i="6" a="1"/>
  <c r="I738" i="6" s="1"/>
  <c r="I739" i="6" a="1"/>
  <c r="I739" i="6" s="1"/>
  <c r="I740" i="6" a="1"/>
  <c r="I740" i="6" s="1"/>
  <c r="I741" i="6" a="1"/>
  <c r="I741" i="6" s="1"/>
  <c r="I742" i="6" a="1"/>
  <c r="I742" i="6" s="1"/>
  <c r="I743" i="6" a="1"/>
  <c r="I743" i="6" s="1"/>
  <c r="I744" i="6" a="1"/>
  <c r="I744" i="6" s="1"/>
  <c r="I745" i="6" a="1"/>
  <c r="I745" i="6" s="1"/>
  <c r="I746" i="6" a="1"/>
  <c r="I746" i="6" s="1"/>
  <c r="I747" i="6" a="1"/>
  <c r="I747" i="6" s="1"/>
  <c r="I748" i="6" a="1"/>
  <c r="I748" i="6" s="1"/>
  <c r="I749" i="6" a="1"/>
  <c r="I749" i="6" s="1"/>
  <c r="I750" i="6" a="1"/>
  <c r="I750" i="6" s="1"/>
  <c r="I751" i="6" a="1"/>
  <c r="I751" i="6" s="1"/>
  <c r="I752" i="6" a="1"/>
  <c r="I752" i="6" s="1"/>
  <c r="I753" i="6" a="1"/>
  <c r="I753" i="6" s="1"/>
  <c r="I754" i="6" a="1"/>
  <c r="I754" i="6" s="1"/>
  <c r="I755" i="6" a="1"/>
  <c r="I755" i="6" s="1"/>
  <c r="I756" i="6" a="1"/>
  <c r="I756" i="6" s="1"/>
  <c r="I757" i="6" a="1"/>
  <c r="I757" i="6" s="1"/>
  <c r="I758" i="6" a="1"/>
  <c r="I758" i="6" s="1"/>
  <c r="I759" i="6" a="1"/>
  <c r="I759" i="6" s="1"/>
  <c r="I760" i="6" a="1"/>
  <c r="I760" i="6" s="1"/>
  <c r="I761" i="6" a="1"/>
  <c r="I761" i="6" s="1"/>
  <c r="I762" i="6" a="1"/>
  <c r="I762" i="6" s="1"/>
  <c r="I763" i="6" a="1"/>
  <c r="I763" i="6" s="1"/>
  <c r="I764" i="6" a="1"/>
  <c r="I764" i="6" s="1"/>
  <c r="I765" i="6" a="1"/>
  <c r="I765" i="6" s="1"/>
  <c r="I766" i="6" a="1"/>
  <c r="I766" i="6" s="1"/>
  <c r="I767" i="6" a="1"/>
  <c r="I767" i="6" s="1"/>
  <c r="I768" i="6" a="1"/>
  <c r="I768" i="6" s="1"/>
  <c r="I769" i="6" a="1"/>
  <c r="I769" i="6" s="1"/>
  <c r="I770" i="6" a="1"/>
  <c r="I770" i="6" s="1"/>
  <c r="I771" i="6" a="1"/>
  <c r="I771" i="6" s="1"/>
  <c r="I772" i="6" a="1"/>
  <c r="I772" i="6" s="1"/>
  <c r="I773" i="6" a="1"/>
  <c r="I773" i="6" s="1"/>
  <c r="I774" i="6" a="1"/>
  <c r="I774" i="6" s="1"/>
  <c r="I775" i="6" a="1"/>
  <c r="I775" i="6" s="1"/>
  <c r="I776" i="6" a="1"/>
  <c r="I776" i="6" s="1"/>
  <c r="I777" i="6" a="1"/>
  <c r="I777" i="6" s="1"/>
  <c r="I778" i="6" a="1"/>
  <c r="I778" i="6" s="1"/>
  <c r="I779" i="6" a="1"/>
  <c r="I779" i="6" s="1"/>
  <c r="I780" i="6" a="1"/>
  <c r="I780" i="6" s="1"/>
  <c r="I781" i="6" a="1"/>
  <c r="I781" i="6" s="1"/>
  <c r="I782" i="6" a="1"/>
  <c r="I782" i="6" s="1"/>
  <c r="I783" i="6" a="1"/>
  <c r="I783" i="6" s="1"/>
  <c r="I784" i="6" a="1"/>
  <c r="I784" i="6" s="1"/>
  <c r="I785" i="6" a="1"/>
  <c r="I785" i="6" s="1"/>
  <c r="I786" i="6" a="1"/>
  <c r="I786" i="6" s="1"/>
  <c r="I787" i="6" a="1"/>
  <c r="I787" i="6" s="1"/>
  <c r="I788" i="6" a="1"/>
  <c r="I788" i="6" s="1"/>
  <c r="I789" i="6" a="1"/>
  <c r="I789" i="6" s="1"/>
  <c r="I790" i="6" a="1"/>
  <c r="I790" i="6" s="1"/>
  <c r="I791" i="6" a="1"/>
  <c r="I791" i="6" s="1"/>
  <c r="I792" i="6" a="1"/>
  <c r="I792" i="6" s="1"/>
  <c r="I793" i="6" a="1"/>
  <c r="I793" i="6" s="1"/>
  <c r="I794" i="6" a="1"/>
  <c r="I794" i="6" s="1"/>
  <c r="I795" i="6" a="1"/>
  <c r="I795" i="6" s="1"/>
  <c r="I796" i="6" a="1"/>
  <c r="I796" i="6" s="1"/>
  <c r="I797" i="6" a="1"/>
  <c r="I797" i="6" s="1"/>
  <c r="I798" i="6" a="1"/>
  <c r="I798" i="6" s="1"/>
  <c r="I799" i="6" a="1"/>
  <c r="I799" i="6" s="1"/>
  <c r="I800" i="6" a="1"/>
  <c r="I800" i="6" s="1"/>
  <c r="I801" i="6" a="1"/>
  <c r="I801" i="6" s="1"/>
  <c r="I802" i="6" a="1"/>
  <c r="I802" i="6" s="1"/>
  <c r="I803" i="6" a="1"/>
  <c r="I803" i="6" s="1"/>
  <c r="I804" i="6" a="1"/>
  <c r="I804" i="6" s="1"/>
  <c r="I805" i="6" a="1"/>
  <c r="I805" i="6" s="1"/>
  <c r="I806" i="6" a="1"/>
  <c r="I806" i="6" s="1"/>
  <c r="I807" i="6" a="1"/>
  <c r="I807" i="6" s="1"/>
  <c r="I808" i="6" a="1"/>
  <c r="I808" i="6" s="1"/>
  <c r="I809" i="6" a="1"/>
  <c r="I809" i="6" s="1"/>
  <c r="I810" i="6" a="1"/>
  <c r="I810" i="6" s="1"/>
  <c r="I811" i="6" a="1"/>
  <c r="I811" i="6" s="1"/>
  <c r="I812" i="6" a="1"/>
  <c r="I812" i="6" s="1"/>
  <c r="I813" i="6" a="1"/>
  <c r="I813" i="6" s="1"/>
  <c r="I814" i="6" a="1"/>
  <c r="I814" i="6" s="1"/>
  <c r="I815" i="6" a="1"/>
  <c r="I815" i="6" s="1"/>
  <c r="I816" i="6" a="1"/>
  <c r="I816" i="6" s="1"/>
  <c r="I817" i="6" a="1"/>
  <c r="I817" i="6" s="1"/>
  <c r="I818" i="6" a="1"/>
  <c r="I818" i="6" s="1"/>
  <c r="I819" i="6" a="1"/>
  <c r="I819" i="6" s="1"/>
  <c r="I820" i="6" a="1"/>
  <c r="I820" i="6" s="1"/>
  <c r="I821" i="6" a="1"/>
  <c r="I821" i="6" s="1"/>
  <c r="I822" i="6" a="1"/>
  <c r="I822" i="6" s="1"/>
  <c r="I823" i="6" a="1"/>
  <c r="I823" i="6" s="1"/>
  <c r="I824" i="6" a="1"/>
  <c r="I824" i="6" s="1"/>
  <c r="I825" i="6" a="1"/>
  <c r="I825" i="6" s="1"/>
  <c r="I826" i="6" a="1"/>
  <c r="I826" i="6" s="1"/>
  <c r="I827" i="6" a="1"/>
  <c r="I827" i="6" s="1"/>
  <c r="I828" i="6" a="1"/>
  <c r="I828" i="6" s="1"/>
  <c r="I829" i="6" a="1"/>
  <c r="I829" i="6" s="1"/>
  <c r="I830" i="6" a="1"/>
  <c r="I830" i="6" s="1"/>
  <c r="I831" i="6" a="1"/>
  <c r="I831" i="6" s="1"/>
  <c r="I832" i="6" a="1"/>
  <c r="I832" i="6" s="1"/>
  <c r="I833" i="6" a="1"/>
  <c r="I833" i="6" s="1"/>
  <c r="I834" i="6" a="1"/>
  <c r="I834" i="6" s="1"/>
  <c r="I835" i="6" a="1"/>
  <c r="I835" i="6" s="1"/>
  <c r="I836" i="6" a="1"/>
  <c r="I836" i="6" s="1"/>
  <c r="I837" i="6" a="1"/>
  <c r="I837" i="6" s="1"/>
  <c r="I838" i="6" a="1"/>
  <c r="I838" i="6" s="1"/>
  <c r="I839" i="6" a="1"/>
  <c r="I839" i="6" s="1"/>
  <c r="I840" i="6" a="1"/>
  <c r="I840" i="6" s="1"/>
  <c r="I841" i="6" a="1"/>
  <c r="I841" i="6" s="1"/>
  <c r="I842" i="6" a="1"/>
  <c r="I842" i="6" s="1"/>
  <c r="I843" i="6" a="1"/>
  <c r="I843" i="6" s="1"/>
  <c r="I844" i="6" a="1"/>
  <c r="I844" i="6" s="1"/>
  <c r="I845" i="6" a="1"/>
  <c r="I845" i="6" s="1"/>
  <c r="I846" i="6" a="1"/>
  <c r="I846" i="6" s="1"/>
  <c r="I847" i="6" a="1"/>
  <c r="I847" i="6" s="1"/>
  <c r="I848" i="6" a="1"/>
  <c r="I848" i="6" s="1"/>
  <c r="I849" i="6" a="1"/>
  <c r="I849" i="6" s="1"/>
  <c r="I850" i="6" a="1"/>
  <c r="I850" i="6" s="1"/>
  <c r="I851" i="6" a="1"/>
  <c r="I851" i="6" s="1"/>
  <c r="I852" i="6" a="1"/>
  <c r="I852" i="6" s="1"/>
  <c r="I853" i="6" a="1"/>
  <c r="I853" i="6" s="1"/>
  <c r="I854" i="6" a="1"/>
  <c r="I854" i="6" s="1"/>
  <c r="I855" i="6" a="1"/>
  <c r="I855" i="6" s="1"/>
  <c r="I856" i="6" a="1"/>
  <c r="I856" i="6" s="1"/>
  <c r="I857" i="6" a="1"/>
  <c r="I857" i="6" s="1"/>
  <c r="I858" i="6" a="1"/>
  <c r="I858" i="6" s="1"/>
  <c r="I859" i="6" a="1"/>
  <c r="I859" i="6" s="1"/>
  <c r="I860" i="6" a="1"/>
  <c r="I860" i="6" s="1"/>
  <c r="I861" i="6" a="1"/>
  <c r="I861" i="6" s="1"/>
  <c r="I862" i="6" a="1"/>
  <c r="I862" i="6" s="1"/>
  <c r="I863" i="6" a="1"/>
  <c r="I863" i="6" s="1"/>
  <c r="I864" i="6" a="1"/>
  <c r="I864" i="6" s="1"/>
  <c r="I865" i="6" a="1"/>
  <c r="I865" i="6" s="1"/>
  <c r="I866" i="6" a="1"/>
  <c r="I866" i="6" s="1"/>
  <c r="I867" i="6" a="1"/>
  <c r="I867" i="6" s="1"/>
  <c r="I868" i="6" a="1"/>
  <c r="I868" i="6" s="1"/>
  <c r="I869" i="6" a="1"/>
  <c r="I869" i="6" s="1"/>
  <c r="I870" i="6" a="1"/>
  <c r="I870" i="6" s="1"/>
  <c r="I871" i="6" a="1"/>
  <c r="I871" i="6" s="1"/>
  <c r="I872" i="6" a="1"/>
  <c r="I872" i="6" s="1"/>
  <c r="I873" i="6" a="1"/>
  <c r="I873" i="6" s="1"/>
  <c r="I874" i="6" a="1"/>
  <c r="I874" i="6" s="1"/>
  <c r="I875" i="6" a="1"/>
  <c r="I875" i="6" s="1"/>
  <c r="I876" i="6" a="1"/>
  <c r="I876" i="6" s="1"/>
  <c r="I877" i="6" a="1"/>
  <c r="I877" i="6" s="1"/>
  <c r="I878" i="6" a="1"/>
  <c r="I878" i="6" s="1"/>
  <c r="I879" i="6" a="1"/>
  <c r="I879" i="6" s="1"/>
  <c r="I880" i="6" a="1"/>
  <c r="I880" i="6" s="1"/>
  <c r="I881" i="6" a="1"/>
  <c r="I881" i="6" s="1"/>
  <c r="I882" i="6" a="1"/>
  <c r="I882" i="6" s="1"/>
  <c r="I883" i="6" a="1"/>
  <c r="I883" i="6" s="1"/>
  <c r="I884" i="6" a="1"/>
  <c r="I884" i="6" s="1"/>
  <c r="I885" i="6" a="1"/>
  <c r="I885" i="6" s="1"/>
  <c r="I886" i="6" a="1"/>
  <c r="I886" i="6" s="1"/>
  <c r="I887" i="6" a="1"/>
  <c r="I887" i="6" s="1"/>
  <c r="I888" i="6" a="1"/>
  <c r="I888" i="6" s="1"/>
  <c r="I889" i="6" a="1"/>
  <c r="I889" i="6" s="1"/>
  <c r="I890" i="6" a="1"/>
  <c r="I890" i="6" s="1"/>
  <c r="I891" i="6" a="1"/>
  <c r="I891" i="6" s="1"/>
  <c r="I892" i="6" a="1"/>
  <c r="I892" i="6" s="1"/>
  <c r="I893" i="6" a="1"/>
  <c r="I893" i="6" s="1"/>
  <c r="I894" i="6" a="1"/>
  <c r="I894" i="6" s="1"/>
  <c r="I895" i="6" a="1"/>
  <c r="I895" i="6" s="1"/>
  <c r="I896" i="6" a="1"/>
  <c r="I896" i="6" s="1"/>
  <c r="I897" i="6" a="1"/>
  <c r="I897" i="6" s="1"/>
  <c r="I898" i="6" a="1"/>
  <c r="I898" i="6" s="1"/>
  <c r="I899" i="6" a="1"/>
  <c r="I899" i="6" s="1"/>
  <c r="I900" i="6" a="1"/>
  <c r="I900" i="6" s="1"/>
  <c r="I901" i="6" a="1"/>
  <c r="I901" i="6" s="1"/>
  <c r="I902" i="6" a="1"/>
  <c r="I902" i="6" s="1"/>
  <c r="I903" i="6" a="1"/>
  <c r="I903" i="6" s="1"/>
  <c r="I904" i="6" a="1"/>
  <c r="I904" i="6" s="1"/>
  <c r="I905" i="6" a="1"/>
  <c r="I905" i="6" s="1"/>
  <c r="I906" i="6" a="1"/>
  <c r="I906" i="6" s="1"/>
  <c r="I907" i="6" a="1"/>
  <c r="I907" i="6" s="1"/>
  <c r="I908" i="6" a="1"/>
  <c r="I908" i="6" s="1"/>
  <c r="I909" i="6" a="1"/>
  <c r="I909" i="6" s="1"/>
  <c r="I910" i="6" a="1"/>
  <c r="I910" i="6" s="1"/>
  <c r="I911" i="6" a="1"/>
  <c r="I911" i="6" s="1"/>
  <c r="I912" i="6" a="1"/>
  <c r="I912" i="6" s="1"/>
  <c r="I913" i="6" a="1"/>
  <c r="I913" i="6" s="1"/>
  <c r="I914" i="6" a="1"/>
  <c r="I914" i="6" s="1"/>
  <c r="I915" i="6" a="1"/>
  <c r="I915" i="6" s="1"/>
  <c r="I916" i="6" a="1"/>
  <c r="I916" i="6" s="1"/>
  <c r="I917" i="6" a="1"/>
  <c r="I917" i="6" s="1"/>
  <c r="I918" i="6" a="1"/>
  <c r="I918" i="6" s="1"/>
  <c r="I919" i="6" a="1"/>
  <c r="I919" i="6" s="1"/>
  <c r="I920" i="6" a="1"/>
  <c r="I920" i="6" s="1"/>
  <c r="I921" i="6" a="1"/>
  <c r="I921" i="6" s="1"/>
  <c r="I922" i="6" a="1"/>
  <c r="I922" i="6" s="1"/>
  <c r="I923" i="6" a="1"/>
  <c r="I923" i="6" s="1"/>
  <c r="I924" i="6" a="1"/>
  <c r="I924" i="6" s="1"/>
  <c r="I925" i="6" a="1"/>
  <c r="I925" i="6" s="1"/>
  <c r="I926" i="6" a="1"/>
  <c r="I926" i="6" s="1"/>
  <c r="I927" i="6" a="1"/>
  <c r="I927" i="6" s="1"/>
  <c r="I928" i="6" a="1"/>
  <c r="I928" i="6" s="1"/>
  <c r="I929" i="6" a="1"/>
  <c r="I929" i="6" s="1"/>
  <c r="I930" i="6" a="1"/>
  <c r="I930" i="6" s="1"/>
  <c r="I931" i="6" a="1"/>
  <c r="I931" i="6" s="1"/>
  <c r="I932" i="6" a="1"/>
  <c r="I932" i="6" s="1"/>
  <c r="I933" i="6" a="1"/>
  <c r="I933" i="6" s="1"/>
  <c r="I934" i="6" a="1"/>
  <c r="I934" i="6" s="1"/>
  <c r="I935" i="6" a="1"/>
  <c r="I935" i="6" s="1"/>
  <c r="I936" i="6" a="1"/>
  <c r="I936" i="6" s="1"/>
  <c r="I937" i="6" a="1"/>
  <c r="I937" i="6" s="1"/>
  <c r="I938" i="6" a="1"/>
  <c r="I938" i="6" s="1"/>
  <c r="I939" i="6" a="1"/>
  <c r="I939" i="6" s="1"/>
  <c r="I940" i="6" a="1"/>
  <c r="I940" i="6" s="1"/>
  <c r="I941" i="6" a="1"/>
  <c r="I941" i="6" s="1"/>
  <c r="I942" i="6" a="1"/>
  <c r="I942" i="6" s="1"/>
  <c r="I943" i="6" a="1"/>
  <c r="I943" i="6" s="1"/>
  <c r="I944" i="6" a="1"/>
  <c r="I944" i="6" s="1"/>
  <c r="I945" i="6" a="1"/>
  <c r="I945" i="6" s="1"/>
  <c r="I946" i="6" a="1"/>
  <c r="I946" i="6" s="1"/>
  <c r="I947" i="6" a="1"/>
  <c r="I947" i="6" s="1"/>
  <c r="I948" i="6" a="1"/>
  <c r="I948" i="6" s="1"/>
  <c r="I949" i="6" a="1"/>
  <c r="I949" i="6" s="1"/>
  <c r="I950" i="6" a="1"/>
  <c r="I950" i="6" s="1"/>
  <c r="I951" i="6" a="1"/>
  <c r="I951" i="6" s="1"/>
  <c r="I952" i="6" a="1"/>
  <c r="I952" i="6" s="1"/>
  <c r="I953" i="6" a="1"/>
  <c r="I953" i="6" s="1"/>
  <c r="I954" i="6" a="1"/>
  <c r="I954" i="6" s="1"/>
  <c r="I955" i="6" a="1"/>
  <c r="I955" i="6" s="1"/>
  <c r="I956" i="6" a="1"/>
  <c r="I956" i="6" s="1"/>
  <c r="I957" i="6" a="1"/>
  <c r="I957" i="6" s="1"/>
  <c r="I958" i="6" a="1"/>
  <c r="I958" i="6" s="1"/>
  <c r="I959" i="6" a="1"/>
  <c r="I959" i="6" s="1"/>
  <c r="I960" i="6" a="1"/>
  <c r="I960" i="6" s="1"/>
  <c r="I961" i="6" a="1"/>
  <c r="I961" i="6" s="1"/>
  <c r="I962" i="6" a="1"/>
  <c r="I962" i="6" s="1"/>
  <c r="I963" i="6" a="1"/>
  <c r="I963" i="6" s="1"/>
  <c r="I964" i="6" a="1"/>
  <c r="I964" i="6" s="1"/>
  <c r="I965" i="6" a="1"/>
  <c r="I965" i="6" s="1"/>
  <c r="I966" i="6" a="1"/>
  <c r="I966" i="6" s="1"/>
  <c r="I967" i="6" a="1"/>
  <c r="I967" i="6" s="1"/>
  <c r="I968" i="6" a="1"/>
  <c r="I968" i="6" s="1"/>
  <c r="I969" i="6" a="1"/>
  <c r="I969" i="6" s="1"/>
  <c r="I970" i="6" a="1"/>
  <c r="I970" i="6" s="1"/>
  <c r="I971" i="6" a="1"/>
  <c r="I971" i="6" s="1"/>
  <c r="I972" i="6" a="1"/>
  <c r="I972" i="6" s="1"/>
  <c r="I973" i="6" a="1"/>
  <c r="I973" i="6" s="1"/>
  <c r="I974" i="6" a="1"/>
  <c r="I974" i="6" s="1"/>
  <c r="I975" i="6" a="1"/>
  <c r="I975" i="6" s="1"/>
  <c r="I976" i="6" a="1"/>
  <c r="I976" i="6" s="1"/>
  <c r="I977" i="6" a="1"/>
  <c r="I977" i="6" s="1"/>
  <c r="I978" i="6" a="1"/>
  <c r="I978" i="6" s="1"/>
  <c r="I979" i="6" a="1"/>
  <c r="I979" i="6" s="1"/>
  <c r="I980" i="6" a="1"/>
  <c r="I980" i="6" s="1"/>
  <c r="I981" i="6" a="1"/>
  <c r="I981" i="6" s="1"/>
  <c r="I982" i="6" a="1"/>
  <c r="I982" i="6" s="1"/>
  <c r="I983" i="6" a="1"/>
  <c r="I983" i="6" s="1"/>
  <c r="I984" i="6" a="1"/>
  <c r="I984" i="6" s="1"/>
  <c r="I985" i="6" a="1"/>
  <c r="I985" i="6" s="1"/>
  <c r="I986" i="6" a="1"/>
  <c r="I986" i="6" s="1"/>
  <c r="I987" i="6" a="1"/>
  <c r="I987" i="6" s="1"/>
  <c r="I988" i="6" a="1"/>
  <c r="I988" i="6" s="1"/>
  <c r="I989" i="6" a="1"/>
  <c r="I989" i="6" s="1"/>
  <c r="I990" i="6" a="1"/>
  <c r="I990" i="6" s="1"/>
  <c r="I991" i="6" a="1"/>
  <c r="I991" i="6" s="1"/>
  <c r="I992" i="6" a="1"/>
  <c r="I992" i="6" s="1"/>
  <c r="I993" i="6" a="1"/>
  <c r="I993" i="6" s="1"/>
  <c r="I994" i="6" a="1"/>
  <c r="I994" i="6" s="1"/>
  <c r="I995" i="6" a="1"/>
  <c r="I995" i="6" s="1"/>
  <c r="I996" i="6" a="1"/>
  <c r="I996" i="6" s="1"/>
  <c r="I997" i="6" a="1"/>
  <c r="I997" i="6" s="1"/>
  <c r="I998" i="6" a="1"/>
  <c r="I998" i="6" s="1"/>
  <c r="I999" i="6" a="1"/>
  <c r="I999" i="6" s="1"/>
  <c r="I1000" i="6" a="1"/>
  <c r="I1000" i="6" s="1"/>
  <c r="I1001" i="6" a="1"/>
  <c r="I1001" i="6" s="1"/>
  <c r="I1002" i="6" a="1"/>
  <c r="I1002" i="6" s="1"/>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S4" i="6"/>
  <c r="S5" i="6"/>
  <c r="S6" i="6"/>
  <c r="S7" i="6"/>
  <c r="S8"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S1002" i="6"/>
  <c r="S3" i="6"/>
  <c r="AC3" i="6" a="1"/>
  <c r="AC3" i="6" s="1"/>
  <c r="AC4" i="6" a="1"/>
  <c r="AC4" i="6" s="1"/>
  <c r="AC5" i="6" a="1"/>
  <c r="AC5" i="6" s="1"/>
  <c r="AC6" i="6" a="1"/>
  <c r="AC6" i="6" s="1"/>
  <c r="AC7" i="6" a="1"/>
  <c r="AC7" i="6" s="1"/>
  <c r="AC8" i="6" a="1"/>
  <c r="AC8" i="6" s="1"/>
  <c r="AC9" i="6" a="1"/>
  <c r="AC9" i="6" s="1"/>
  <c r="AC10" i="6" a="1"/>
  <c r="AC10" i="6" s="1"/>
  <c r="AC11" i="6" a="1"/>
  <c r="AC11" i="6" s="1"/>
  <c r="AC12" i="6" a="1"/>
  <c r="AC12" i="6" s="1"/>
  <c r="AC13" i="6" a="1"/>
  <c r="AC13" i="6" s="1"/>
  <c r="AC14" i="6" a="1"/>
  <c r="AC14" i="6" s="1"/>
  <c r="AC15" i="6" a="1"/>
  <c r="AC15" i="6" s="1"/>
  <c r="AC16" i="6" a="1"/>
  <c r="AC16" i="6" s="1"/>
  <c r="AC17" i="6" a="1"/>
  <c r="AC17" i="6" s="1"/>
  <c r="AC18" i="6" a="1"/>
  <c r="AC18" i="6" s="1"/>
  <c r="AC19" i="6" a="1"/>
  <c r="AC19" i="6" s="1"/>
  <c r="AC20" i="6" a="1"/>
  <c r="AC20" i="6" s="1"/>
  <c r="AC21" i="6" a="1"/>
  <c r="AC21" i="6" s="1"/>
  <c r="AC22" i="6" a="1"/>
  <c r="AC22" i="6" s="1"/>
  <c r="AC23" i="6" a="1"/>
  <c r="AC23" i="6" s="1"/>
  <c r="AC24" i="6" a="1"/>
  <c r="AC24" i="6" s="1"/>
  <c r="AC25" i="6" a="1"/>
  <c r="AC25" i="6" s="1"/>
  <c r="AC26" i="6" a="1"/>
  <c r="AC26" i="6" s="1"/>
  <c r="AC27" i="6" a="1"/>
  <c r="AC27" i="6" s="1"/>
  <c r="AC28" i="6" a="1"/>
  <c r="AC28" i="6" s="1"/>
  <c r="AC29" i="6" a="1"/>
  <c r="AC29" i="6" s="1"/>
  <c r="AC30" i="6" a="1"/>
  <c r="AC30" i="6" s="1"/>
  <c r="AC31" i="6" a="1"/>
  <c r="AC31" i="6" s="1"/>
  <c r="AC32" i="6" a="1"/>
  <c r="AC32" i="6" s="1"/>
  <c r="AC33" i="6" a="1"/>
  <c r="AC33" i="6" s="1"/>
  <c r="AC34" i="6" a="1"/>
  <c r="AC34" i="6" s="1"/>
  <c r="AC35" i="6" a="1"/>
  <c r="AC35" i="6" s="1"/>
  <c r="AC36" i="6" a="1"/>
  <c r="AC36" i="6" s="1"/>
  <c r="AC37" i="6" a="1"/>
  <c r="AC37" i="6" s="1"/>
  <c r="AC38" i="6" a="1"/>
  <c r="AC38" i="6" s="1"/>
  <c r="AC39" i="6" a="1"/>
  <c r="AC39" i="6" s="1"/>
  <c r="AC40" i="6" a="1"/>
  <c r="AC40" i="6" s="1"/>
  <c r="AC41" i="6" a="1"/>
  <c r="AC41" i="6" s="1"/>
  <c r="AC42" i="6" a="1"/>
  <c r="AC42" i="6" s="1"/>
  <c r="AC43" i="6" a="1"/>
  <c r="AC43" i="6" s="1"/>
  <c r="AC44" i="6" a="1"/>
  <c r="AC44" i="6" s="1"/>
  <c r="AC45" i="6" a="1"/>
  <c r="AC45" i="6" s="1"/>
  <c r="AC46" i="6" a="1"/>
  <c r="AC46" i="6" s="1"/>
  <c r="AC47" i="6" a="1"/>
  <c r="AC47" i="6" s="1"/>
  <c r="AC48" i="6" a="1"/>
  <c r="AC48" i="6" s="1"/>
  <c r="AC49" i="6" a="1"/>
  <c r="AC49" i="6" s="1"/>
  <c r="AC50" i="6" a="1"/>
  <c r="AC50" i="6" s="1"/>
  <c r="AC51" i="6" a="1"/>
  <c r="AC51" i="6" s="1"/>
  <c r="AC52" i="6" a="1"/>
  <c r="AC52" i="6" s="1"/>
  <c r="AC53" i="6" a="1"/>
  <c r="AC53" i="6" s="1"/>
  <c r="AC54" i="6" a="1"/>
  <c r="AC54" i="6" s="1"/>
  <c r="AC55" i="6" a="1"/>
  <c r="AC55" i="6" s="1"/>
  <c r="AC56" i="6" a="1"/>
  <c r="AC56" i="6" s="1"/>
  <c r="AC57" i="6" a="1"/>
  <c r="AC57" i="6" s="1"/>
  <c r="AC58" i="6" a="1"/>
  <c r="AC58" i="6" s="1"/>
  <c r="AC59" i="6" a="1"/>
  <c r="AC59" i="6" s="1"/>
  <c r="AC60" i="6" a="1"/>
  <c r="AC60" i="6" s="1"/>
  <c r="AC61" i="6" a="1"/>
  <c r="AC61" i="6" s="1"/>
  <c r="AC62" i="6" a="1"/>
  <c r="AC62" i="6" s="1"/>
  <c r="AC63" i="6" a="1"/>
  <c r="AC63" i="6" s="1"/>
  <c r="AC64" i="6" a="1"/>
  <c r="AC64" i="6" s="1"/>
  <c r="AC65" i="6" a="1"/>
  <c r="AC65" i="6" s="1"/>
  <c r="AC66" i="6" a="1"/>
  <c r="AC66" i="6" s="1"/>
  <c r="AC67" i="6" a="1"/>
  <c r="AC67" i="6" s="1"/>
  <c r="AC68" i="6" a="1"/>
  <c r="AC68" i="6" s="1"/>
  <c r="AC69" i="6" a="1"/>
  <c r="AC69" i="6" s="1"/>
  <c r="AC70" i="6" a="1"/>
  <c r="AC70" i="6" s="1"/>
  <c r="AC71" i="6" a="1"/>
  <c r="AC71" i="6" s="1"/>
  <c r="AC72" i="6" a="1"/>
  <c r="AC72" i="6" s="1"/>
  <c r="AC73" i="6" a="1"/>
  <c r="AC73" i="6" s="1"/>
  <c r="AC74" i="6" a="1"/>
  <c r="AC74" i="6" s="1"/>
  <c r="AC75" i="6" a="1"/>
  <c r="AC75" i="6" s="1"/>
  <c r="AC76" i="6" a="1"/>
  <c r="AC76" i="6" s="1"/>
  <c r="AC77" i="6" a="1"/>
  <c r="AC77" i="6" s="1"/>
  <c r="AC78" i="6" a="1"/>
  <c r="AC78" i="6" s="1"/>
  <c r="AC79" i="6" a="1"/>
  <c r="AC79" i="6" s="1"/>
  <c r="AC80" i="6" a="1"/>
  <c r="AC80" i="6" s="1"/>
  <c r="AC81" i="6" a="1"/>
  <c r="AC81" i="6" s="1"/>
  <c r="AC82" i="6" a="1"/>
  <c r="AC82" i="6" s="1"/>
  <c r="AC83" i="6" a="1"/>
  <c r="AC83" i="6" s="1"/>
  <c r="AC84" i="6" a="1"/>
  <c r="AC84" i="6" s="1"/>
  <c r="AC85" i="6" a="1"/>
  <c r="AC85" i="6" s="1"/>
  <c r="AC86" i="6" a="1"/>
  <c r="AC86" i="6" s="1"/>
  <c r="AC87" i="6" a="1"/>
  <c r="AC87" i="6" s="1"/>
  <c r="AC88" i="6" a="1"/>
  <c r="AC88" i="6" s="1"/>
  <c r="AC89" i="6" a="1"/>
  <c r="AC89" i="6" s="1"/>
  <c r="AC90" i="6" a="1"/>
  <c r="AC90" i="6" s="1"/>
  <c r="AC91" i="6" a="1"/>
  <c r="AC91" i="6" s="1"/>
  <c r="AC92" i="6" a="1"/>
  <c r="AC92" i="6" s="1"/>
  <c r="AC93" i="6" a="1"/>
  <c r="AC93" i="6" s="1"/>
  <c r="AC94" i="6" a="1"/>
  <c r="AC94" i="6" s="1"/>
  <c r="AC95" i="6" a="1"/>
  <c r="AC95" i="6" s="1"/>
  <c r="AC96" i="6" a="1"/>
  <c r="AC96" i="6" s="1"/>
  <c r="AC97" i="6" a="1"/>
  <c r="AC97" i="6" s="1"/>
  <c r="AC98" i="6" a="1"/>
  <c r="AC98" i="6" s="1"/>
  <c r="AC99" i="6" a="1"/>
  <c r="AC99" i="6" s="1"/>
  <c r="AC100" i="6" a="1"/>
  <c r="AC100" i="6" s="1"/>
  <c r="AC101" i="6" a="1"/>
  <c r="AC101" i="6" s="1"/>
  <c r="AC102" i="6" a="1"/>
  <c r="AC102" i="6" s="1"/>
  <c r="AC103" i="6" a="1"/>
  <c r="AC103" i="6" s="1"/>
  <c r="AC104" i="6" a="1"/>
  <c r="AC104" i="6" s="1"/>
  <c r="AC105" i="6" a="1"/>
  <c r="AC105" i="6" s="1"/>
  <c r="AC106" i="6" a="1"/>
  <c r="AC106" i="6" s="1"/>
  <c r="AC107" i="6" a="1"/>
  <c r="AC107" i="6" s="1"/>
  <c r="AC108" i="6" a="1"/>
  <c r="AC108" i="6" s="1"/>
  <c r="AC109" i="6" a="1"/>
  <c r="AC109" i="6" s="1"/>
  <c r="AC110" i="6" a="1"/>
  <c r="AC110" i="6" s="1"/>
  <c r="AC111" i="6" a="1"/>
  <c r="AC111" i="6" s="1"/>
  <c r="AC112" i="6" a="1"/>
  <c r="AC112" i="6" s="1"/>
  <c r="AC113" i="6" a="1"/>
  <c r="AC113" i="6" s="1"/>
  <c r="AC114" i="6" a="1"/>
  <c r="AC114" i="6" s="1"/>
  <c r="AC115" i="6" a="1"/>
  <c r="AC115" i="6" s="1"/>
  <c r="AC116" i="6" a="1"/>
  <c r="AC116" i="6" s="1"/>
  <c r="AC117" i="6" a="1"/>
  <c r="AC117" i="6" s="1"/>
  <c r="AC118" i="6" a="1"/>
  <c r="AC118" i="6" s="1"/>
  <c r="AC119" i="6" a="1"/>
  <c r="AC119" i="6" s="1"/>
  <c r="AC120" i="6" a="1"/>
  <c r="AC120" i="6" s="1"/>
  <c r="AC121" i="6" a="1"/>
  <c r="AC121" i="6" s="1"/>
  <c r="AC122" i="6" a="1"/>
  <c r="AC122" i="6" s="1"/>
  <c r="AC123" i="6" a="1"/>
  <c r="AC123" i="6" s="1"/>
  <c r="AC124" i="6" a="1"/>
  <c r="AC124" i="6" s="1"/>
  <c r="AC125" i="6" a="1"/>
  <c r="AC125" i="6" s="1"/>
  <c r="AC126" i="6" a="1"/>
  <c r="AC126" i="6" s="1"/>
  <c r="AC127" i="6" a="1"/>
  <c r="AC127" i="6" s="1"/>
  <c r="AC128" i="6" a="1"/>
  <c r="AC128" i="6" s="1"/>
  <c r="AC129" i="6" a="1"/>
  <c r="AC129" i="6" s="1"/>
  <c r="AC130" i="6" a="1"/>
  <c r="AC130" i="6" s="1"/>
  <c r="AC131" i="6" a="1"/>
  <c r="AC131" i="6" s="1"/>
  <c r="AC132" i="6" a="1"/>
  <c r="AC132" i="6" s="1"/>
  <c r="AC133" i="6" a="1"/>
  <c r="AC133" i="6" s="1"/>
  <c r="AC134" i="6" a="1"/>
  <c r="AC134" i="6" s="1"/>
  <c r="AC135" i="6" a="1"/>
  <c r="AC135" i="6" s="1"/>
  <c r="AC136" i="6" a="1"/>
  <c r="AC136" i="6" s="1"/>
  <c r="AC137" i="6" a="1"/>
  <c r="AC137" i="6" s="1"/>
  <c r="AC138" i="6" a="1"/>
  <c r="AC138" i="6" s="1"/>
  <c r="AC139" i="6" a="1"/>
  <c r="AC139" i="6" s="1"/>
  <c r="AC140" i="6" a="1"/>
  <c r="AC140" i="6" s="1"/>
  <c r="AC141" i="6" a="1"/>
  <c r="AC141" i="6" s="1"/>
  <c r="AC142" i="6" a="1"/>
  <c r="AC142" i="6" s="1"/>
  <c r="AC143" i="6" a="1"/>
  <c r="AC143" i="6" s="1"/>
  <c r="AC144" i="6" a="1"/>
  <c r="AC144" i="6" s="1"/>
  <c r="AC145" i="6" a="1"/>
  <c r="AC145" i="6" s="1"/>
  <c r="AC146" i="6" a="1"/>
  <c r="AC146" i="6" s="1"/>
  <c r="AC147" i="6" a="1"/>
  <c r="AC147" i="6" s="1"/>
  <c r="AC148" i="6" a="1"/>
  <c r="AC148" i="6" s="1"/>
  <c r="AC149" i="6" a="1"/>
  <c r="AC149" i="6" s="1"/>
  <c r="AC150" i="6" a="1"/>
  <c r="AC150" i="6" s="1"/>
  <c r="AC151" i="6" a="1"/>
  <c r="AC151" i="6" s="1"/>
  <c r="AC152" i="6" a="1"/>
  <c r="AC152" i="6" s="1"/>
  <c r="AC153" i="6" a="1"/>
  <c r="AC153" i="6" s="1"/>
  <c r="AC154" i="6" a="1"/>
  <c r="AC154" i="6" s="1"/>
  <c r="AC155" i="6" a="1"/>
  <c r="AC155" i="6" s="1"/>
  <c r="AC156" i="6" a="1"/>
  <c r="AC156" i="6" s="1"/>
  <c r="AC157" i="6" a="1"/>
  <c r="AC157" i="6" s="1"/>
  <c r="AC158" i="6" a="1"/>
  <c r="AC158" i="6" s="1"/>
  <c r="AC159" i="6" a="1"/>
  <c r="AC159" i="6" s="1"/>
  <c r="AC160" i="6" a="1"/>
  <c r="AC160" i="6" s="1"/>
  <c r="AC161" i="6" a="1"/>
  <c r="AC161" i="6" s="1"/>
  <c r="AC162" i="6" a="1"/>
  <c r="AC162" i="6" s="1"/>
  <c r="AC163" i="6" a="1"/>
  <c r="AC163" i="6" s="1"/>
  <c r="AC164" i="6" a="1"/>
  <c r="AC164" i="6" s="1"/>
  <c r="AC165" i="6" a="1"/>
  <c r="AC165" i="6" s="1"/>
  <c r="AC166" i="6" a="1"/>
  <c r="AC166" i="6" s="1"/>
  <c r="AC167" i="6" a="1"/>
  <c r="AC167" i="6" s="1"/>
  <c r="AC168" i="6" a="1"/>
  <c r="AC168" i="6" s="1"/>
  <c r="AC169" i="6" a="1"/>
  <c r="AC169" i="6" s="1"/>
  <c r="AC170" i="6" a="1"/>
  <c r="AC170" i="6" s="1"/>
  <c r="AC171" i="6" a="1"/>
  <c r="AC171" i="6" s="1"/>
  <c r="AC172" i="6" a="1"/>
  <c r="AC172" i="6" s="1"/>
  <c r="AC173" i="6" a="1"/>
  <c r="AC173" i="6" s="1"/>
  <c r="AC174" i="6" a="1"/>
  <c r="AC174" i="6" s="1"/>
  <c r="AC175" i="6" a="1"/>
  <c r="AC175" i="6" s="1"/>
  <c r="AC176" i="6" a="1"/>
  <c r="AC176" i="6" s="1"/>
  <c r="AC177" i="6" a="1"/>
  <c r="AC177" i="6" s="1"/>
  <c r="AC178" i="6" a="1"/>
  <c r="AC178" i="6" s="1"/>
  <c r="AC179" i="6" a="1"/>
  <c r="AC179" i="6" s="1"/>
  <c r="AC180" i="6" a="1"/>
  <c r="AC180" i="6" s="1"/>
  <c r="AC181" i="6" a="1"/>
  <c r="AC181" i="6" s="1"/>
  <c r="AC182" i="6" a="1"/>
  <c r="AC182" i="6" s="1"/>
  <c r="AC183" i="6" a="1"/>
  <c r="AC183" i="6" s="1"/>
  <c r="AC184" i="6" a="1"/>
  <c r="AC184" i="6" s="1"/>
  <c r="AC185" i="6" a="1"/>
  <c r="AC185" i="6" s="1"/>
  <c r="AC186" i="6" a="1"/>
  <c r="AC186" i="6" s="1"/>
  <c r="AC187" i="6" a="1"/>
  <c r="AC187" i="6" s="1"/>
  <c r="AC188" i="6" a="1"/>
  <c r="AC188" i="6" s="1"/>
  <c r="AC189" i="6" a="1"/>
  <c r="AC189" i="6" s="1"/>
  <c r="AC190" i="6" a="1"/>
  <c r="AC190" i="6" s="1"/>
  <c r="AC191" i="6" a="1"/>
  <c r="AC191" i="6" s="1"/>
  <c r="AC192" i="6" a="1"/>
  <c r="AC192" i="6" s="1"/>
  <c r="AC193" i="6" a="1"/>
  <c r="AC193" i="6" s="1"/>
  <c r="AC194" i="6" a="1"/>
  <c r="AC194" i="6" s="1"/>
  <c r="AC195" i="6" a="1"/>
  <c r="AC195" i="6" s="1"/>
  <c r="AC196" i="6" a="1"/>
  <c r="AC196" i="6" s="1"/>
  <c r="AC197" i="6" a="1"/>
  <c r="AC197" i="6" s="1"/>
  <c r="AC198" i="6" a="1"/>
  <c r="AC198" i="6" s="1"/>
  <c r="AC199" i="6" a="1"/>
  <c r="AC199" i="6" s="1"/>
  <c r="AC200" i="6" a="1"/>
  <c r="AC200" i="6" s="1"/>
  <c r="AC201" i="6" a="1"/>
  <c r="AC201" i="6" s="1"/>
  <c r="AC202" i="6" a="1"/>
  <c r="AC202" i="6" s="1"/>
  <c r="AC203" i="6" a="1"/>
  <c r="AC203" i="6" s="1"/>
  <c r="AC204" i="6" a="1"/>
  <c r="AC204" i="6" s="1"/>
  <c r="AC205" i="6" a="1"/>
  <c r="AC205" i="6" s="1"/>
  <c r="AC206" i="6" a="1"/>
  <c r="AC206" i="6" s="1"/>
  <c r="AC207" i="6" a="1"/>
  <c r="AC207" i="6" s="1"/>
  <c r="AC208" i="6" a="1"/>
  <c r="AC208" i="6" s="1"/>
  <c r="AC209" i="6" a="1"/>
  <c r="AC209" i="6" s="1"/>
  <c r="AC210" i="6" a="1"/>
  <c r="AC210" i="6" s="1"/>
  <c r="AC211" i="6" a="1"/>
  <c r="AC211" i="6" s="1"/>
  <c r="AC212" i="6" a="1"/>
  <c r="AC212" i="6" s="1"/>
  <c r="AC213" i="6" a="1"/>
  <c r="AC213" i="6" s="1"/>
  <c r="AC214" i="6" a="1"/>
  <c r="AC214" i="6" s="1"/>
  <c r="AC215" i="6" a="1"/>
  <c r="AC215" i="6" s="1"/>
  <c r="AC216" i="6" a="1"/>
  <c r="AC216" i="6" s="1"/>
  <c r="AC217" i="6" a="1"/>
  <c r="AC217" i="6" s="1"/>
  <c r="AC218" i="6" a="1"/>
  <c r="AC218" i="6" s="1"/>
  <c r="AC219" i="6" a="1"/>
  <c r="AC219" i="6" s="1"/>
  <c r="AC220" i="6" a="1"/>
  <c r="AC220" i="6" s="1"/>
  <c r="AC221" i="6" a="1"/>
  <c r="AC221" i="6" s="1"/>
  <c r="AC222" i="6" a="1"/>
  <c r="AC222" i="6" s="1"/>
  <c r="AC223" i="6" a="1"/>
  <c r="AC223" i="6" s="1"/>
  <c r="AC224" i="6" a="1"/>
  <c r="AC224" i="6" s="1"/>
  <c r="AC225" i="6" a="1"/>
  <c r="AC225" i="6" s="1"/>
  <c r="AC226" i="6" a="1"/>
  <c r="AC226" i="6" s="1"/>
  <c r="AC227" i="6" a="1"/>
  <c r="AC227" i="6" s="1"/>
  <c r="AC228" i="6" a="1"/>
  <c r="AC228" i="6" s="1"/>
  <c r="AC229" i="6" a="1"/>
  <c r="AC229" i="6" s="1"/>
  <c r="AC230" i="6" a="1"/>
  <c r="AC230" i="6" s="1"/>
  <c r="AC231" i="6" a="1"/>
  <c r="AC231" i="6" s="1"/>
  <c r="AC232" i="6" a="1"/>
  <c r="AC232" i="6" s="1"/>
  <c r="AC233" i="6" a="1"/>
  <c r="AC233" i="6" s="1"/>
  <c r="AC234" i="6" a="1"/>
  <c r="AC234" i="6" s="1"/>
  <c r="AC235" i="6" a="1"/>
  <c r="AC235" i="6" s="1"/>
  <c r="AC236" i="6" a="1"/>
  <c r="AC236" i="6" s="1"/>
  <c r="AC237" i="6" a="1"/>
  <c r="AC237" i="6" s="1"/>
  <c r="AC238" i="6" a="1"/>
  <c r="AC238" i="6" s="1"/>
  <c r="AC239" i="6" a="1"/>
  <c r="AC239" i="6" s="1"/>
  <c r="AC240" i="6" a="1"/>
  <c r="AC240" i="6" s="1"/>
  <c r="AC241" i="6" a="1"/>
  <c r="AC241" i="6" s="1"/>
  <c r="AC242" i="6" a="1"/>
  <c r="AC242" i="6" s="1"/>
  <c r="AC243" i="6" a="1"/>
  <c r="AC243" i="6" s="1"/>
  <c r="AC244" i="6" a="1"/>
  <c r="AC244" i="6" s="1"/>
  <c r="AC245" i="6" a="1"/>
  <c r="AC245" i="6" s="1"/>
  <c r="AC246" i="6" a="1"/>
  <c r="AC246" i="6" s="1"/>
  <c r="AC247" i="6" a="1"/>
  <c r="AC247" i="6" s="1"/>
  <c r="AC248" i="6" a="1"/>
  <c r="AC248" i="6" s="1"/>
  <c r="AC249" i="6" a="1"/>
  <c r="AC249" i="6" s="1"/>
  <c r="AC250" i="6" a="1"/>
  <c r="AC250" i="6" s="1"/>
  <c r="AC251" i="6" a="1"/>
  <c r="AC251" i="6" s="1"/>
  <c r="AC252" i="6" a="1"/>
  <c r="AC252" i="6" s="1"/>
  <c r="AC253" i="6" a="1"/>
  <c r="AC253" i="6" s="1"/>
  <c r="AC254" i="6" a="1"/>
  <c r="AC254" i="6" s="1"/>
  <c r="AC255" i="6" a="1"/>
  <c r="AC255" i="6" s="1"/>
  <c r="AC256" i="6" a="1"/>
  <c r="AC256" i="6" s="1"/>
  <c r="AC257" i="6" a="1"/>
  <c r="AC257" i="6" s="1"/>
  <c r="AC258" i="6" a="1"/>
  <c r="AC258" i="6" s="1"/>
  <c r="AC259" i="6" a="1"/>
  <c r="AC259" i="6" s="1"/>
  <c r="AC260" i="6" a="1"/>
  <c r="AC260" i="6" s="1"/>
  <c r="AC261" i="6" a="1"/>
  <c r="AC261" i="6" s="1"/>
  <c r="AC262" i="6" a="1"/>
  <c r="AC262" i="6" s="1"/>
  <c r="AC263" i="6" a="1"/>
  <c r="AC263" i="6" s="1"/>
  <c r="AC264" i="6" a="1"/>
  <c r="AC264" i="6" s="1"/>
  <c r="AC265" i="6" a="1"/>
  <c r="AC265" i="6" s="1"/>
  <c r="AC266" i="6" a="1"/>
  <c r="AC266" i="6" s="1"/>
  <c r="AC267" i="6" a="1"/>
  <c r="AC267" i="6" s="1"/>
  <c r="AC268" i="6" a="1"/>
  <c r="AC268" i="6" s="1"/>
  <c r="AC269" i="6" a="1"/>
  <c r="AC269" i="6" s="1"/>
  <c r="AC270" i="6" a="1"/>
  <c r="AC270" i="6" s="1"/>
  <c r="AC271" i="6" a="1"/>
  <c r="AC271" i="6" s="1"/>
  <c r="AC272" i="6" a="1"/>
  <c r="AC272" i="6" s="1"/>
  <c r="AC273" i="6" a="1"/>
  <c r="AC273" i="6" s="1"/>
  <c r="AC274" i="6" a="1"/>
  <c r="AC274" i="6" s="1"/>
  <c r="AC275" i="6" a="1"/>
  <c r="AC275" i="6" s="1"/>
  <c r="AC276" i="6" a="1"/>
  <c r="AC276" i="6" s="1"/>
  <c r="AC277" i="6" a="1"/>
  <c r="AC277" i="6" s="1"/>
  <c r="AC278" i="6" a="1"/>
  <c r="AC278" i="6" s="1"/>
  <c r="AC279" i="6" a="1"/>
  <c r="AC279" i="6" s="1"/>
  <c r="AC280" i="6" a="1"/>
  <c r="AC280" i="6" s="1"/>
  <c r="AC281" i="6" a="1"/>
  <c r="AC281" i="6" s="1"/>
  <c r="AC282" i="6" a="1"/>
  <c r="AC282" i="6" s="1"/>
  <c r="AC283" i="6" a="1"/>
  <c r="AC283" i="6" s="1"/>
  <c r="AC284" i="6" a="1"/>
  <c r="AC284" i="6" s="1"/>
  <c r="AC285" i="6" a="1"/>
  <c r="AC285" i="6" s="1"/>
  <c r="AC286" i="6" a="1"/>
  <c r="AC286" i="6" s="1"/>
  <c r="AC287" i="6" a="1"/>
  <c r="AC287" i="6" s="1"/>
  <c r="AC288" i="6" a="1"/>
  <c r="AC288" i="6" s="1"/>
  <c r="AC289" i="6" a="1"/>
  <c r="AC289" i="6" s="1"/>
  <c r="AC290" i="6" a="1"/>
  <c r="AC290" i="6" s="1"/>
  <c r="AC291" i="6" a="1"/>
  <c r="AC291" i="6" s="1"/>
  <c r="AC292" i="6" a="1"/>
  <c r="AC292" i="6" s="1"/>
  <c r="AC293" i="6" a="1"/>
  <c r="AC293" i="6" s="1"/>
  <c r="AC294" i="6" a="1"/>
  <c r="AC294" i="6" s="1"/>
  <c r="AC295" i="6" a="1"/>
  <c r="AC295" i="6" s="1"/>
  <c r="AC296" i="6" a="1"/>
  <c r="AC296" i="6" s="1"/>
  <c r="AC297" i="6" a="1"/>
  <c r="AC297" i="6" s="1"/>
  <c r="AC298" i="6" a="1"/>
  <c r="AC298" i="6" s="1"/>
  <c r="AC299" i="6" a="1"/>
  <c r="AC299" i="6" s="1"/>
  <c r="AC300" i="6" a="1"/>
  <c r="AC300" i="6" s="1"/>
  <c r="AC301" i="6" a="1"/>
  <c r="AC301" i="6" s="1"/>
  <c r="AC302" i="6" a="1"/>
  <c r="AC302" i="6" s="1"/>
  <c r="AC303" i="6" a="1"/>
  <c r="AC303" i="6" s="1"/>
  <c r="AC304" i="6" a="1"/>
  <c r="AC304" i="6" s="1"/>
  <c r="AC305" i="6" a="1"/>
  <c r="AC305" i="6" s="1"/>
  <c r="AC306" i="6" a="1"/>
  <c r="AC306" i="6" s="1"/>
  <c r="AC307" i="6" a="1"/>
  <c r="AC307" i="6" s="1"/>
  <c r="AC308" i="6" a="1"/>
  <c r="AC308" i="6" s="1"/>
  <c r="AC309" i="6" a="1"/>
  <c r="AC309" i="6" s="1"/>
  <c r="AC310" i="6" a="1"/>
  <c r="AC310" i="6" s="1"/>
  <c r="AC311" i="6" a="1"/>
  <c r="AC311" i="6" s="1"/>
  <c r="AC312" i="6" a="1"/>
  <c r="AC312" i="6" s="1"/>
  <c r="AC313" i="6" a="1"/>
  <c r="AC313" i="6" s="1"/>
  <c r="AC314" i="6" a="1"/>
  <c r="AC314" i="6" s="1"/>
  <c r="AC315" i="6" a="1"/>
  <c r="AC315" i="6" s="1"/>
  <c r="AC316" i="6" a="1"/>
  <c r="AC316" i="6" s="1"/>
  <c r="AC317" i="6" a="1"/>
  <c r="AC317" i="6" s="1"/>
  <c r="AC318" i="6" a="1"/>
  <c r="AC318" i="6" s="1"/>
  <c r="AC319" i="6" a="1"/>
  <c r="AC319" i="6" s="1"/>
  <c r="AC320" i="6" a="1"/>
  <c r="AC320" i="6" s="1"/>
  <c r="AC321" i="6" a="1"/>
  <c r="AC321" i="6" s="1"/>
  <c r="AC322" i="6" a="1"/>
  <c r="AC322" i="6" s="1"/>
  <c r="AC323" i="6" a="1"/>
  <c r="AC323" i="6" s="1"/>
  <c r="AC324" i="6" a="1"/>
  <c r="AC324" i="6" s="1"/>
  <c r="AC325" i="6" a="1"/>
  <c r="AC325" i="6" s="1"/>
  <c r="AC326" i="6" a="1"/>
  <c r="AC326" i="6" s="1"/>
  <c r="AC327" i="6" a="1"/>
  <c r="AC327" i="6" s="1"/>
  <c r="AC328" i="6" a="1"/>
  <c r="AC328" i="6" s="1"/>
  <c r="AC329" i="6" a="1"/>
  <c r="AC329" i="6" s="1"/>
  <c r="AC330" i="6" a="1"/>
  <c r="AC330" i="6" s="1"/>
  <c r="AC331" i="6" a="1"/>
  <c r="AC331" i="6" s="1"/>
  <c r="AC332" i="6" a="1"/>
  <c r="AC332" i="6" s="1"/>
  <c r="AC333" i="6" a="1"/>
  <c r="AC333" i="6" s="1"/>
  <c r="AC334" i="6" a="1"/>
  <c r="AC334" i="6" s="1"/>
  <c r="AC335" i="6" a="1"/>
  <c r="AC335" i="6" s="1"/>
  <c r="AC336" i="6" a="1"/>
  <c r="AC336" i="6" s="1"/>
  <c r="AC337" i="6" a="1"/>
  <c r="AC337" i="6" s="1"/>
  <c r="AC338" i="6" a="1"/>
  <c r="AC338" i="6" s="1"/>
  <c r="AC339" i="6" a="1"/>
  <c r="AC339" i="6" s="1"/>
  <c r="AC340" i="6" a="1"/>
  <c r="AC340" i="6" s="1"/>
  <c r="AC341" i="6" a="1"/>
  <c r="AC341" i="6" s="1"/>
  <c r="AC342" i="6" a="1"/>
  <c r="AC342" i="6" s="1"/>
  <c r="AC343" i="6" a="1"/>
  <c r="AC343" i="6" s="1"/>
  <c r="AC344" i="6" a="1"/>
  <c r="AC344" i="6" s="1"/>
  <c r="AC345" i="6" a="1"/>
  <c r="AC345" i="6" s="1"/>
  <c r="AC346" i="6" a="1"/>
  <c r="AC346" i="6" s="1"/>
  <c r="AC347" i="6" a="1"/>
  <c r="AC347" i="6" s="1"/>
  <c r="AC348" i="6" a="1"/>
  <c r="AC348" i="6" s="1"/>
  <c r="AC349" i="6" a="1"/>
  <c r="AC349" i="6" s="1"/>
  <c r="AC350" i="6" a="1"/>
  <c r="AC350" i="6" s="1"/>
  <c r="AC351" i="6" a="1"/>
  <c r="AC351" i="6" s="1"/>
  <c r="AC352" i="6" a="1"/>
  <c r="AC352" i="6" s="1"/>
  <c r="AC353" i="6" a="1"/>
  <c r="AC353" i="6" s="1"/>
  <c r="AC354" i="6" a="1"/>
  <c r="AC354" i="6" s="1"/>
  <c r="AC355" i="6" a="1"/>
  <c r="AC355" i="6" s="1"/>
  <c r="AC356" i="6" a="1"/>
  <c r="AC356" i="6" s="1"/>
  <c r="AC357" i="6" a="1"/>
  <c r="AC357" i="6" s="1"/>
  <c r="AC358" i="6" a="1"/>
  <c r="AC358" i="6" s="1"/>
  <c r="AC359" i="6" a="1"/>
  <c r="AC359" i="6" s="1"/>
  <c r="AC360" i="6" a="1"/>
  <c r="AC360" i="6" s="1"/>
  <c r="AC361" i="6" a="1"/>
  <c r="AC361" i="6" s="1"/>
  <c r="AC362" i="6" a="1"/>
  <c r="AC362" i="6" s="1"/>
  <c r="AC363" i="6" a="1"/>
  <c r="AC363" i="6" s="1"/>
  <c r="AC364" i="6" a="1"/>
  <c r="AC364" i="6" s="1"/>
  <c r="AC365" i="6" a="1"/>
  <c r="AC365" i="6" s="1"/>
  <c r="AC366" i="6" a="1"/>
  <c r="AC366" i="6" s="1"/>
  <c r="AC367" i="6" a="1"/>
  <c r="AC367" i="6" s="1"/>
  <c r="AC368" i="6" a="1"/>
  <c r="AC368" i="6" s="1"/>
  <c r="AC369" i="6" a="1"/>
  <c r="AC369" i="6" s="1"/>
  <c r="AC370" i="6" a="1"/>
  <c r="AC370" i="6" s="1"/>
  <c r="AC371" i="6" a="1"/>
  <c r="AC371" i="6" s="1"/>
  <c r="AC372" i="6" a="1"/>
  <c r="AC372" i="6" s="1"/>
  <c r="AC373" i="6" a="1"/>
  <c r="AC373" i="6" s="1"/>
  <c r="AC374" i="6" a="1"/>
  <c r="AC374" i="6" s="1"/>
  <c r="AC375" i="6" a="1"/>
  <c r="AC375" i="6" s="1"/>
  <c r="AC376" i="6" a="1"/>
  <c r="AC376" i="6" s="1"/>
  <c r="AC377" i="6" a="1"/>
  <c r="AC377" i="6" s="1"/>
  <c r="AC378" i="6" a="1"/>
  <c r="AC378" i="6" s="1"/>
  <c r="AC379" i="6" a="1"/>
  <c r="AC379" i="6" s="1"/>
  <c r="AC380" i="6" a="1"/>
  <c r="AC380" i="6" s="1"/>
  <c r="AC381" i="6" a="1"/>
  <c r="AC381" i="6" s="1"/>
  <c r="AC382" i="6" a="1"/>
  <c r="AC382" i="6" s="1"/>
  <c r="AC383" i="6" a="1"/>
  <c r="AC383" i="6" s="1"/>
  <c r="AC384" i="6" a="1"/>
  <c r="AC384" i="6" s="1"/>
  <c r="AC385" i="6" a="1"/>
  <c r="AC385" i="6" s="1"/>
  <c r="AC386" i="6" a="1"/>
  <c r="AC386" i="6" s="1"/>
  <c r="AC387" i="6" a="1"/>
  <c r="AC387" i="6" s="1"/>
  <c r="AC388" i="6" a="1"/>
  <c r="AC388" i="6" s="1"/>
  <c r="AC389" i="6" a="1"/>
  <c r="AC389" i="6" s="1"/>
  <c r="AC390" i="6" a="1"/>
  <c r="AC390" i="6" s="1"/>
  <c r="AC391" i="6" a="1"/>
  <c r="AC391" i="6" s="1"/>
  <c r="AC392" i="6" a="1"/>
  <c r="AC392" i="6" s="1"/>
  <c r="AC393" i="6" a="1"/>
  <c r="AC393" i="6" s="1"/>
  <c r="AC394" i="6" a="1"/>
  <c r="AC394" i="6" s="1"/>
  <c r="AC395" i="6" a="1"/>
  <c r="AC395" i="6" s="1"/>
  <c r="AC396" i="6" a="1"/>
  <c r="AC396" i="6" s="1"/>
  <c r="AC397" i="6" a="1"/>
  <c r="AC397" i="6" s="1"/>
  <c r="AC398" i="6" a="1"/>
  <c r="AC398" i="6" s="1"/>
  <c r="AC399" i="6" a="1"/>
  <c r="AC399" i="6" s="1"/>
  <c r="AC400" i="6" a="1"/>
  <c r="AC400" i="6" s="1"/>
  <c r="AC401" i="6" a="1"/>
  <c r="AC401" i="6" s="1"/>
  <c r="AC402" i="6" a="1"/>
  <c r="AC402" i="6" s="1"/>
  <c r="AC403" i="6" a="1"/>
  <c r="AC403" i="6" s="1"/>
  <c r="AC404" i="6" a="1"/>
  <c r="AC404" i="6" s="1"/>
  <c r="AC405" i="6" a="1"/>
  <c r="AC405" i="6" s="1"/>
  <c r="AC406" i="6" a="1"/>
  <c r="AC406" i="6" s="1"/>
  <c r="AC407" i="6" a="1"/>
  <c r="AC407" i="6" s="1"/>
  <c r="AC408" i="6" a="1"/>
  <c r="AC408" i="6" s="1"/>
  <c r="AC409" i="6" a="1"/>
  <c r="AC409" i="6" s="1"/>
  <c r="AC410" i="6" a="1"/>
  <c r="AC410" i="6" s="1"/>
  <c r="AC411" i="6" a="1"/>
  <c r="AC411" i="6" s="1"/>
  <c r="AC412" i="6" a="1"/>
  <c r="AC412" i="6" s="1"/>
  <c r="AC413" i="6" a="1"/>
  <c r="AC413" i="6" s="1"/>
  <c r="AC414" i="6" a="1"/>
  <c r="AC414" i="6" s="1"/>
  <c r="AC415" i="6" a="1"/>
  <c r="AC415" i="6" s="1"/>
  <c r="AC416" i="6" a="1"/>
  <c r="AC416" i="6" s="1"/>
  <c r="AC417" i="6" a="1"/>
  <c r="AC417" i="6" s="1"/>
  <c r="AC418" i="6" a="1"/>
  <c r="AC418" i="6" s="1"/>
  <c r="AC419" i="6" a="1"/>
  <c r="AC419" i="6" s="1"/>
  <c r="AC420" i="6" a="1"/>
  <c r="AC420" i="6" s="1"/>
  <c r="AC421" i="6" a="1"/>
  <c r="AC421" i="6" s="1"/>
  <c r="AC422" i="6" a="1"/>
  <c r="AC422" i="6" s="1"/>
  <c r="AC423" i="6" a="1"/>
  <c r="AC423" i="6" s="1"/>
  <c r="AC424" i="6" a="1"/>
  <c r="AC424" i="6" s="1"/>
  <c r="AC425" i="6" a="1"/>
  <c r="AC425" i="6" s="1"/>
  <c r="AC426" i="6" a="1"/>
  <c r="AC426" i="6" s="1"/>
  <c r="AC427" i="6" a="1"/>
  <c r="AC427" i="6" s="1"/>
  <c r="AC428" i="6" a="1"/>
  <c r="AC428" i="6" s="1"/>
  <c r="AC429" i="6" a="1"/>
  <c r="AC429" i="6" s="1"/>
  <c r="AC430" i="6" a="1"/>
  <c r="AC430" i="6" s="1"/>
  <c r="AC431" i="6" a="1"/>
  <c r="AC431" i="6" s="1"/>
  <c r="AC432" i="6" a="1"/>
  <c r="AC432" i="6" s="1"/>
  <c r="AC433" i="6" a="1"/>
  <c r="AC433" i="6" s="1"/>
  <c r="AC434" i="6" a="1"/>
  <c r="AC434" i="6" s="1"/>
  <c r="AC435" i="6" a="1"/>
  <c r="AC435" i="6" s="1"/>
  <c r="AC436" i="6" a="1"/>
  <c r="AC436" i="6" s="1"/>
  <c r="AC437" i="6" a="1"/>
  <c r="AC437" i="6" s="1"/>
  <c r="AC438" i="6" a="1"/>
  <c r="AC438" i="6" s="1"/>
  <c r="AC439" i="6" a="1"/>
  <c r="AC439" i="6" s="1"/>
  <c r="AC440" i="6" a="1"/>
  <c r="AC440" i="6" s="1"/>
  <c r="AC441" i="6" a="1"/>
  <c r="AC441" i="6" s="1"/>
  <c r="AC442" i="6" a="1"/>
  <c r="AC442" i="6" s="1"/>
  <c r="AC443" i="6" a="1"/>
  <c r="AC443" i="6" s="1"/>
  <c r="AC444" i="6" a="1"/>
  <c r="AC444" i="6" s="1"/>
  <c r="AC445" i="6" a="1"/>
  <c r="AC445" i="6" s="1"/>
  <c r="AC446" i="6" a="1"/>
  <c r="AC446" i="6" s="1"/>
  <c r="AC447" i="6" a="1"/>
  <c r="AC447" i="6" s="1"/>
  <c r="AC448" i="6" a="1"/>
  <c r="AC448" i="6" s="1"/>
  <c r="AC449" i="6" a="1"/>
  <c r="AC449" i="6" s="1"/>
  <c r="AC450" i="6" a="1"/>
  <c r="AC450" i="6" s="1"/>
  <c r="AC451" i="6" a="1"/>
  <c r="AC451" i="6" s="1"/>
  <c r="AC452" i="6" a="1"/>
  <c r="AC452" i="6" s="1"/>
  <c r="AC453" i="6" a="1"/>
  <c r="AC453" i="6" s="1"/>
  <c r="AC454" i="6" a="1"/>
  <c r="AC454" i="6" s="1"/>
  <c r="AC455" i="6" a="1"/>
  <c r="AC455" i="6" s="1"/>
  <c r="AC456" i="6" a="1"/>
  <c r="AC456" i="6" s="1"/>
  <c r="AC457" i="6" a="1"/>
  <c r="AC457" i="6" s="1"/>
  <c r="AC458" i="6" a="1"/>
  <c r="AC458" i="6" s="1"/>
  <c r="AC459" i="6" a="1"/>
  <c r="AC459" i="6" s="1"/>
  <c r="AC460" i="6" a="1"/>
  <c r="AC460" i="6" s="1"/>
  <c r="AC461" i="6" a="1"/>
  <c r="AC461" i="6" s="1"/>
  <c r="AC462" i="6" a="1"/>
  <c r="AC462" i="6" s="1"/>
  <c r="AC463" i="6" a="1"/>
  <c r="AC463" i="6" s="1"/>
  <c r="AC464" i="6" a="1"/>
  <c r="AC464" i="6" s="1"/>
  <c r="AC465" i="6" a="1"/>
  <c r="AC465" i="6" s="1"/>
  <c r="AC466" i="6" a="1"/>
  <c r="AC466" i="6" s="1"/>
  <c r="AC467" i="6" a="1"/>
  <c r="AC467" i="6" s="1"/>
  <c r="AC468" i="6" a="1"/>
  <c r="AC468" i="6" s="1"/>
  <c r="AC469" i="6" a="1"/>
  <c r="AC469" i="6" s="1"/>
  <c r="AC470" i="6" a="1"/>
  <c r="AC470" i="6" s="1"/>
  <c r="AC471" i="6" a="1"/>
  <c r="AC471" i="6" s="1"/>
  <c r="AC472" i="6" a="1"/>
  <c r="AC472" i="6" s="1"/>
  <c r="AC473" i="6" a="1"/>
  <c r="AC473" i="6" s="1"/>
  <c r="AC474" i="6" a="1"/>
  <c r="AC474" i="6" s="1"/>
  <c r="AC475" i="6" a="1"/>
  <c r="AC475" i="6" s="1"/>
  <c r="AC476" i="6" a="1"/>
  <c r="AC476" i="6" s="1"/>
  <c r="AC477" i="6" a="1"/>
  <c r="AC477" i="6" s="1"/>
  <c r="AC478" i="6" a="1"/>
  <c r="AC478" i="6" s="1"/>
  <c r="AC479" i="6" a="1"/>
  <c r="AC479" i="6" s="1"/>
  <c r="AC480" i="6" a="1"/>
  <c r="AC480" i="6" s="1"/>
  <c r="AC481" i="6" a="1"/>
  <c r="AC481" i="6" s="1"/>
  <c r="AC482" i="6" a="1"/>
  <c r="AC482" i="6" s="1"/>
  <c r="AC483" i="6" a="1"/>
  <c r="AC483" i="6" s="1"/>
  <c r="AC484" i="6" a="1"/>
  <c r="AC484" i="6" s="1"/>
  <c r="AC485" i="6" a="1"/>
  <c r="AC485" i="6" s="1"/>
  <c r="AC486" i="6" a="1"/>
  <c r="AC486" i="6" s="1"/>
  <c r="AC487" i="6" a="1"/>
  <c r="AC487" i="6" s="1"/>
  <c r="AC488" i="6" a="1"/>
  <c r="AC488" i="6" s="1"/>
  <c r="AC489" i="6" a="1"/>
  <c r="AC489" i="6" s="1"/>
  <c r="AC490" i="6" a="1"/>
  <c r="AC490" i="6" s="1"/>
  <c r="AC491" i="6" a="1"/>
  <c r="AC491" i="6" s="1"/>
  <c r="AC492" i="6" a="1"/>
  <c r="AC492" i="6" s="1"/>
  <c r="AC493" i="6" a="1"/>
  <c r="AC493" i="6" s="1"/>
  <c r="AC494" i="6" a="1"/>
  <c r="AC494" i="6" s="1"/>
  <c r="AC495" i="6" a="1"/>
  <c r="AC495" i="6" s="1"/>
  <c r="AC496" i="6" a="1"/>
  <c r="AC496" i="6" s="1"/>
  <c r="AC497" i="6" a="1"/>
  <c r="AC497" i="6" s="1"/>
  <c r="AC498" i="6" a="1"/>
  <c r="AC498" i="6" s="1"/>
  <c r="AC499" i="6" a="1"/>
  <c r="AC499" i="6" s="1"/>
  <c r="AC500" i="6" a="1"/>
  <c r="AC500" i="6" s="1"/>
  <c r="AC501" i="6" a="1"/>
  <c r="AC501" i="6" s="1"/>
  <c r="AC502" i="6" a="1"/>
  <c r="AC502" i="6" s="1"/>
  <c r="AC503" i="6" a="1"/>
  <c r="AC503" i="6" s="1"/>
  <c r="AC504" i="6" a="1"/>
  <c r="AC504" i="6" s="1"/>
  <c r="AC505" i="6" a="1"/>
  <c r="AC505" i="6" s="1"/>
  <c r="AC506" i="6" a="1"/>
  <c r="AC506" i="6" s="1"/>
  <c r="AC507" i="6" a="1"/>
  <c r="AC507" i="6" s="1"/>
  <c r="AC508" i="6" a="1"/>
  <c r="AC508" i="6" s="1"/>
  <c r="AC509" i="6" a="1"/>
  <c r="AC509" i="6" s="1"/>
  <c r="AC510" i="6" a="1"/>
  <c r="AC510" i="6" s="1"/>
  <c r="AC511" i="6" a="1"/>
  <c r="AC511" i="6" s="1"/>
  <c r="AC512" i="6" a="1"/>
  <c r="AC512" i="6" s="1"/>
  <c r="AC513" i="6" a="1"/>
  <c r="AC513" i="6" s="1"/>
  <c r="AC514" i="6" a="1"/>
  <c r="AC514" i="6" s="1"/>
  <c r="AC515" i="6" a="1"/>
  <c r="AC515" i="6" s="1"/>
  <c r="AC516" i="6" a="1"/>
  <c r="AC516" i="6" s="1"/>
  <c r="AC517" i="6" a="1"/>
  <c r="AC517" i="6" s="1"/>
  <c r="AC518" i="6" a="1"/>
  <c r="AC518" i="6" s="1"/>
  <c r="AC519" i="6" a="1"/>
  <c r="AC519" i="6" s="1"/>
  <c r="AC520" i="6" a="1"/>
  <c r="AC520" i="6" s="1"/>
  <c r="AC521" i="6" a="1"/>
  <c r="AC521" i="6" s="1"/>
  <c r="AC522" i="6" a="1"/>
  <c r="AC522" i="6" s="1"/>
  <c r="AC523" i="6" a="1"/>
  <c r="AC523" i="6" s="1"/>
  <c r="AC524" i="6" a="1"/>
  <c r="AC524" i="6" s="1"/>
  <c r="AC525" i="6" a="1"/>
  <c r="AC525" i="6" s="1"/>
  <c r="AC526" i="6" a="1"/>
  <c r="AC526" i="6" s="1"/>
  <c r="AC527" i="6" a="1"/>
  <c r="AC527" i="6" s="1"/>
  <c r="AC528" i="6" a="1"/>
  <c r="AC528" i="6" s="1"/>
  <c r="AC529" i="6" a="1"/>
  <c r="AC529" i="6" s="1"/>
  <c r="AC530" i="6" a="1"/>
  <c r="AC530" i="6" s="1"/>
  <c r="AC531" i="6" a="1"/>
  <c r="AC531" i="6" s="1"/>
  <c r="AC532" i="6" a="1"/>
  <c r="AC532" i="6" s="1"/>
  <c r="AC533" i="6" a="1"/>
  <c r="AC533" i="6" s="1"/>
  <c r="AC534" i="6" a="1"/>
  <c r="AC534" i="6" s="1"/>
  <c r="AC535" i="6" a="1"/>
  <c r="AC535" i="6" s="1"/>
  <c r="AC536" i="6" a="1"/>
  <c r="AC536" i="6" s="1"/>
  <c r="AC537" i="6" a="1"/>
  <c r="AC537" i="6" s="1"/>
  <c r="AC538" i="6" a="1"/>
  <c r="AC538" i="6" s="1"/>
  <c r="AC539" i="6" a="1"/>
  <c r="AC539" i="6" s="1"/>
  <c r="AC540" i="6" a="1"/>
  <c r="AC540" i="6" s="1"/>
  <c r="AC541" i="6" a="1"/>
  <c r="AC541" i="6" s="1"/>
  <c r="AC542" i="6" a="1"/>
  <c r="AC542" i="6" s="1"/>
  <c r="AC543" i="6" a="1"/>
  <c r="AC543" i="6" s="1"/>
  <c r="AC544" i="6" a="1"/>
  <c r="AC544" i="6" s="1"/>
  <c r="AC545" i="6" a="1"/>
  <c r="AC545" i="6" s="1"/>
  <c r="AC546" i="6" a="1"/>
  <c r="AC546" i="6" s="1"/>
  <c r="AC547" i="6" a="1"/>
  <c r="AC547" i="6" s="1"/>
  <c r="AC548" i="6" a="1"/>
  <c r="AC548" i="6" s="1"/>
  <c r="AC549" i="6" a="1"/>
  <c r="AC549" i="6" s="1"/>
  <c r="AC550" i="6" a="1"/>
  <c r="AC550" i="6" s="1"/>
  <c r="AC551" i="6" a="1"/>
  <c r="AC551" i="6" s="1"/>
  <c r="AC552" i="6" a="1"/>
  <c r="AC552" i="6" s="1"/>
  <c r="AC553" i="6" a="1"/>
  <c r="AC553" i="6" s="1"/>
  <c r="AC554" i="6" a="1"/>
  <c r="AC554" i="6" s="1"/>
  <c r="AC555" i="6" a="1"/>
  <c r="AC555" i="6" s="1"/>
  <c r="AC556" i="6" a="1"/>
  <c r="AC556" i="6" s="1"/>
  <c r="AC557" i="6" a="1"/>
  <c r="AC557" i="6" s="1"/>
  <c r="AC558" i="6" a="1"/>
  <c r="AC558" i="6" s="1"/>
  <c r="AC559" i="6" a="1"/>
  <c r="AC559" i="6" s="1"/>
  <c r="AC560" i="6" a="1"/>
  <c r="AC560" i="6" s="1"/>
  <c r="AC561" i="6" a="1"/>
  <c r="AC561" i="6" s="1"/>
  <c r="AC562" i="6" a="1"/>
  <c r="AC562" i="6" s="1"/>
  <c r="AC563" i="6" a="1"/>
  <c r="AC563" i="6" s="1"/>
  <c r="AC564" i="6" a="1"/>
  <c r="AC564" i="6" s="1"/>
  <c r="AC565" i="6" a="1"/>
  <c r="AC565" i="6" s="1"/>
  <c r="AC566" i="6" a="1"/>
  <c r="AC566" i="6" s="1"/>
  <c r="AC567" i="6" a="1"/>
  <c r="AC567" i="6" s="1"/>
  <c r="AC568" i="6" a="1"/>
  <c r="AC568" i="6" s="1"/>
  <c r="AC569" i="6" a="1"/>
  <c r="AC569" i="6" s="1"/>
  <c r="AC570" i="6" a="1"/>
  <c r="AC570" i="6" s="1"/>
  <c r="AC571" i="6" a="1"/>
  <c r="AC571" i="6" s="1"/>
  <c r="AC572" i="6" a="1"/>
  <c r="AC572" i="6" s="1"/>
  <c r="AC573" i="6" a="1"/>
  <c r="AC573" i="6" s="1"/>
  <c r="AC574" i="6" a="1"/>
  <c r="AC574" i="6" s="1"/>
  <c r="AC575" i="6" a="1"/>
  <c r="AC575" i="6" s="1"/>
  <c r="AC576" i="6" a="1"/>
  <c r="AC576" i="6" s="1"/>
  <c r="AC577" i="6" a="1"/>
  <c r="AC577" i="6" s="1"/>
  <c r="AC578" i="6" a="1"/>
  <c r="AC578" i="6" s="1"/>
  <c r="AC579" i="6" a="1"/>
  <c r="AC579" i="6" s="1"/>
  <c r="AC580" i="6" a="1"/>
  <c r="AC580" i="6" s="1"/>
  <c r="AC581" i="6" a="1"/>
  <c r="AC581" i="6" s="1"/>
  <c r="AC582" i="6" a="1"/>
  <c r="AC582" i="6" s="1"/>
  <c r="AC583" i="6" a="1"/>
  <c r="AC583" i="6" s="1"/>
  <c r="AC584" i="6" a="1"/>
  <c r="AC584" i="6" s="1"/>
  <c r="AC585" i="6" a="1"/>
  <c r="AC585" i="6" s="1"/>
  <c r="AC586" i="6" a="1"/>
  <c r="AC586" i="6" s="1"/>
  <c r="AC587" i="6" a="1"/>
  <c r="AC587" i="6" s="1"/>
  <c r="AC588" i="6" a="1"/>
  <c r="AC588" i="6" s="1"/>
  <c r="AC589" i="6" a="1"/>
  <c r="AC589" i="6" s="1"/>
  <c r="AC590" i="6" a="1"/>
  <c r="AC590" i="6" s="1"/>
  <c r="AC591" i="6" a="1"/>
  <c r="AC591" i="6" s="1"/>
  <c r="AC592" i="6" a="1"/>
  <c r="AC592" i="6" s="1"/>
  <c r="AC593" i="6" a="1"/>
  <c r="AC593" i="6" s="1"/>
  <c r="AC594" i="6" a="1"/>
  <c r="AC594" i="6" s="1"/>
  <c r="AC595" i="6" a="1"/>
  <c r="AC595" i="6" s="1"/>
  <c r="AC596" i="6" a="1"/>
  <c r="AC596" i="6" s="1"/>
  <c r="AC597" i="6" a="1"/>
  <c r="AC597" i="6" s="1"/>
  <c r="AC598" i="6" a="1"/>
  <c r="AC598" i="6" s="1"/>
  <c r="AC599" i="6" a="1"/>
  <c r="AC599" i="6" s="1"/>
  <c r="AC600" i="6" a="1"/>
  <c r="AC600" i="6" s="1"/>
  <c r="AC601" i="6" a="1"/>
  <c r="AC601" i="6" s="1"/>
  <c r="AC602" i="6" a="1"/>
  <c r="AC602" i="6" s="1"/>
  <c r="AC603" i="6" a="1"/>
  <c r="AC603" i="6" s="1"/>
  <c r="AC604" i="6" a="1"/>
  <c r="AC604" i="6" s="1"/>
  <c r="AC605" i="6" a="1"/>
  <c r="AC605" i="6" s="1"/>
  <c r="AC606" i="6" a="1"/>
  <c r="AC606" i="6" s="1"/>
  <c r="AC607" i="6" a="1"/>
  <c r="AC607" i="6" s="1"/>
  <c r="AC608" i="6" a="1"/>
  <c r="AC608" i="6" s="1"/>
  <c r="AC609" i="6" a="1"/>
  <c r="AC609" i="6" s="1"/>
  <c r="AC610" i="6" a="1"/>
  <c r="AC610" i="6" s="1"/>
  <c r="AC611" i="6" a="1"/>
  <c r="AC611" i="6" s="1"/>
  <c r="AC612" i="6" a="1"/>
  <c r="AC612" i="6" s="1"/>
  <c r="AC613" i="6" a="1"/>
  <c r="AC613" i="6" s="1"/>
  <c r="AC614" i="6" a="1"/>
  <c r="AC614" i="6" s="1"/>
  <c r="AC615" i="6" a="1"/>
  <c r="AC615" i="6" s="1"/>
  <c r="AC616" i="6" a="1"/>
  <c r="AC616" i="6" s="1"/>
  <c r="AC617" i="6" a="1"/>
  <c r="AC617" i="6" s="1"/>
  <c r="AC618" i="6" a="1"/>
  <c r="AC618" i="6" s="1"/>
  <c r="AC619" i="6" a="1"/>
  <c r="AC619" i="6" s="1"/>
  <c r="AC620" i="6" a="1"/>
  <c r="AC620" i="6" s="1"/>
  <c r="AC621" i="6" a="1"/>
  <c r="AC621" i="6" s="1"/>
  <c r="AC622" i="6" a="1"/>
  <c r="AC622" i="6" s="1"/>
  <c r="AC623" i="6" a="1"/>
  <c r="AC623" i="6" s="1"/>
  <c r="AC624" i="6" a="1"/>
  <c r="AC624" i="6" s="1"/>
  <c r="AC625" i="6" a="1"/>
  <c r="AC625" i="6" s="1"/>
  <c r="AC626" i="6" a="1"/>
  <c r="AC626" i="6" s="1"/>
  <c r="AC627" i="6" a="1"/>
  <c r="AC627" i="6" s="1"/>
  <c r="AC628" i="6" a="1"/>
  <c r="AC628" i="6" s="1"/>
  <c r="AC629" i="6" a="1"/>
  <c r="AC629" i="6" s="1"/>
  <c r="AC630" i="6" a="1"/>
  <c r="AC630" i="6" s="1"/>
  <c r="AC631" i="6" a="1"/>
  <c r="AC631" i="6" s="1"/>
  <c r="AC632" i="6" a="1"/>
  <c r="AC632" i="6" s="1"/>
  <c r="AC633" i="6" a="1"/>
  <c r="AC633" i="6" s="1"/>
  <c r="AC634" i="6" a="1"/>
  <c r="AC634" i="6" s="1"/>
  <c r="AC635" i="6" a="1"/>
  <c r="AC635" i="6" s="1"/>
  <c r="AC636" i="6" a="1"/>
  <c r="AC636" i="6" s="1"/>
  <c r="AC637" i="6" a="1"/>
  <c r="AC637" i="6" s="1"/>
  <c r="AC638" i="6" a="1"/>
  <c r="AC638" i="6" s="1"/>
  <c r="AC639" i="6" a="1"/>
  <c r="AC639" i="6" s="1"/>
  <c r="AC640" i="6" a="1"/>
  <c r="AC640" i="6" s="1"/>
  <c r="AC641" i="6" a="1"/>
  <c r="AC641" i="6" s="1"/>
  <c r="AC642" i="6" a="1"/>
  <c r="AC642" i="6" s="1"/>
  <c r="AC643" i="6" a="1"/>
  <c r="AC643" i="6" s="1"/>
  <c r="AC644" i="6" a="1"/>
  <c r="AC644" i="6" s="1"/>
  <c r="AC645" i="6" a="1"/>
  <c r="AC645" i="6" s="1"/>
  <c r="AC646" i="6" a="1"/>
  <c r="AC646" i="6" s="1"/>
  <c r="AC647" i="6" a="1"/>
  <c r="AC647" i="6" s="1"/>
  <c r="AC648" i="6" a="1"/>
  <c r="AC648" i="6" s="1"/>
  <c r="AC649" i="6" a="1"/>
  <c r="AC649" i="6" s="1"/>
  <c r="AC650" i="6" a="1"/>
  <c r="AC650" i="6" s="1"/>
  <c r="AC651" i="6" a="1"/>
  <c r="AC651" i="6" s="1"/>
  <c r="AC652" i="6" a="1"/>
  <c r="AC652" i="6" s="1"/>
  <c r="AC653" i="6" a="1"/>
  <c r="AC653" i="6" s="1"/>
  <c r="AC654" i="6" a="1"/>
  <c r="AC654" i="6" s="1"/>
  <c r="AC655" i="6" a="1"/>
  <c r="AC655" i="6" s="1"/>
  <c r="AC656" i="6" a="1"/>
  <c r="AC656" i="6" s="1"/>
  <c r="AC657" i="6" a="1"/>
  <c r="AC657" i="6" s="1"/>
  <c r="AC658" i="6" a="1"/>
  <c r="AC658" i="6" s="1"/>
  <c r="AC659" i="6" a="1"/>
  <c r="AC659" i="6" s="1"/>
  <c r="AC660" i="6" a="1"/>
  <c r="AC660" i="6" s="1"/>
  <c r="AC661" i="6" a="1"/>
  <c r="AC661" i="6" s="1"/>
  <c r="AC662" i="6" a="1"/>
  <c r="AC662" i="6" s="1"/>
  <c r="AC663" i="6" a="1"/>
  <c r="AC663" i="6" s="1"/>
  <c r="AC664" i="6" a="1"/>
  <c r="AC664" i="6" s="1"/>
  <c r="AC665" i="6" a="1"/>
  <c r="AC665" i="6" s="1"/>
  <c r="AC666" i="6" a="1"/>
  <c r="AC666" i="6" s="1"/>
  <c r="AC667" i="6" a="1"/>
  <c r="AC667" i="6" s="1"/>
  <c r="AC668" i="6" a="1"/>
  <c r="AC668" i="6" s="1"/>
  <c r="AC669" i="6" a="1"/>
  <c r="AC669" i="6" s="1"/>
  <c r="AC670" i="6" a="1"/>
  <c r="AC670" i="6" s="1"/>
  <c r="AC671" i="6" a="1"/>
  <c r="AC671" i="6" s="1"/>
  <c r="AC672" i="6" a="1"/>
  <c r="AC672" i="6" s="1"/>
  <c r="AC673" i="6" a="1"/>
  <c r="AC673" i="6" s="1"/>
  <c r="AC674" i="6" a="1"/>
  <c r="AC674" i="6" s="1"/>
  <c r="AC675" i="6" a="1"/>
  <c r="AC675" i="6" s="1"/>
  <c r="AC676" i="6" a="1"/>
  <c r="AC676" i="6" s="1"/>
  <c r="AC677" i="6" a="1"/>
  <c r="AC677" i="6" s="1"/>
  <c r="AC678" i="6" a="1"/>
  <c r="AC678" i="6" s="1"/>
  <c r="AC679" i="6" a="1"/>
  <c r="AC679" i="6" s="1"/>
  <c r="AC680" i="6" a="1"/>
  <c r="AC680" i="6" s="1"/>
  <c r="AC681" i="6" a="1"/>
  <c r="AC681" i="6" s="1"/>
  <c r="AC682" i="6" a="1"/>
  <c r="AC682" i="6" s="1"/>
  <c r="AC683" i="6" a="1"/>
  <c r="AC683" i="6" s="1"/>
  <c r="AC684" i="6" a="1"/>
  <c r="AC684" i="6" s="1"/>
  <c r="AC685" i="6" a="1"/>
  <c r="AC685" i="6" s="1"/>
  <c r="AC686" i="6" a="1"/>
  <c r="AC686" i="6" s="1"/>
  <c r="AC687" i="6" a="1"/>
  <c r="AC687" i="6" s="1"/>
  <c r="AC688" i="6" a="1"/>
  <c r="AC688" i="6" s="1"/>
  <c r="AC689" i="6" a="1"/>
  <c r="AC689" i="6" s="1"/>
  <c r="AC690" i="6" a="1"/>
  <c r="AC690" i="6" s="1"/>
  <c r="AC691" i="6" a="1"/>
  <c r="AC691" i="6" s="1"/>
  <c r="AC692" i="6" a="1"/>
  <c r="AC692" i="6" s="1"/>
  <c r="AC693" i="6" a="1"/>
  <c r="AC693" i="6" s="1"/>
  <c r="AC694" i="6" a="1"/>
  <c r="AC694" i="6" s="1"/>
  <c r="AC695" i="6" a="1"/>
  <c r="AC695" i="6" s="1"/>
  <c r="AC696" i="6" a="1"/>
  <c r="AC696" i="6" s="1"/>
  <c r="AC697" i="6" a="1"/>
  <c r="AC697" i="6" s="1"/>
  <c r="AC698" i="6" a="1"/>
  <c r="AC698" i="6" s="1"/>
  <c r="AC699" i="6" a="1"/>
  <c r="AC699" i="6" s="1"/>
  <c r="AC700" i="6" a="1"/>
  <c r="AC700" i="6" s="1"/>
  <c r="AC701" i="6" a="1"/>
  <c r="AC701" i="6" s="1"/>
  <c r="AC702" i="6" a="1"/>
  <c r="AC702" i="6" s="1"/>
  <c r="AC703" i="6" a="1"/>
  <c r="AC703" i="6" s="1"/>
  <c r="AC704" i="6" a="1"/>
  <c r="AC704" i="6" s="1"/>
  <c r="AC705" i="6" a="1"/>
  <c r="AC705" i="6" s="1"/>
  <c r="AC706" i="6" a="1"/>
  <c r="AC706" i="6" s="1"/>
  <c r="AC707" i="6" a="1"/>
  <c r="AC707" i="6" s="1"/>
  <c r="AC708" i="6" a="1"/>
  <c r="AC708" i="6" s="1"/>
  <c r="AC709" i="6" a="1"/>
  <c r="AC709" i="6" s="1"/>
  <c r="AC710" i="6" a="1"/>
  <c r="AC710" i="6" s="1"/>
  <c r="AC711" i="6" a="1"/>
  <c r="AC711" i="6" s="1"/>
  <c r="AC712" i="6" a="1"/>
  <c r="AC712" i="6" s="1"/>
  <c r="AC713" i="6" a="1"/>
  <c r="AC713" i="6" s="1"/>
  <c r="AC714" i="6" a="1"/>
  <c r="AC714" i="6" s="1"/>
  <c r="AC715" i="6" a="1"/>
  <c r="AC715" i="6" s="1"/>
  <c r="AC716" i="6" a="1"/>
  <c r="AC716" i="6" s="1"/>
  <c r="AC717" i="6" a="1"/>
  <c r="AC717" i="6" s="1"/>
  <c r="AC718" i="6" a="1"/>
  <c r="AC718" i="6" s="1"/>
  <c r="AC719" i="6" a="1"/>
  <c r="AC719" i="6" s="1"/>
  <c r="AC720" i="6" a="1"/>
  <c r="AC720" i="6" s="1"/>
  <c r="AC721" i="6" a="1"/>
  <c r="AC721" i="6" s="1"/>
  <c r="AC722" i="6" a="1"/>
  <c r="AC722" i="6" s="1"/>
  <c r="AC723" i="6" a="1"/>
  <c r="AC723" i="6" s="1"/>
  <c r="AC724" i="6" a="1"/>
  <c r="AC724" i="6" s="1"/>
  <c r="AC725" i="6" a="1"/>
  <c r="AC725" i="6" s="1"/>
  <c r="AC726" i="6" a="1"/>
  <c r="AC726" i="6" s="1"/>
  <c r="AC727" i="6" a="1"/>
  <c r="AC727" i="6" s="1"/>
  <c r="AC728" i="6" a="1"/>
  <c r="AC728" i="6" s="1"/>
  <c r="AC729" i="6" a="1"/>
  <c r="AC729" i="6" s="1"/>
  <c r="AC730" i="6" a="1"/>
  <c r="AC730" i="6" s="1"/>
  <c r="AC731" i="6" a="1"/>
  <c r="AC731" i="6" s="1"/>
  <c r="AC732" i="6" a="1"/>
  <c r="AC732" i="6" s="1"/>
  <c r="AC733" i="6" a="1"/>
  <c r="AC733" i="6" s="1"/>
  <c r="AC734" i="6" a="1"/>
  <c r="AC734" i="6" s="1"/>
  <c r="AC735" i="6" a="1"/>
  <c r="AC735" i="6" s="1"/>
  <c r="AC736" i="6" a="1"/>
  <c r="AC736" i="6" s="1"/>
  <c r="AC737" i="6" a="1"/>
  <c r="AC737" i="6" s="1"/>
  <c r="AC738" i="6" a="1"/>
  <c r="AC738" i="6" s="1"/>
  <c r="AC739" i="6" a="1"/>
  <c r="AC739" i="6" s="1"/>
  <c r="AC740" i="6" a="1"/>
  <c r="AC740" i="6" s="1"/>
  <c r="AC741" i="6" a="1"/>
  <c r="AC741" i="6" s="1"/>
  <c r="AC742" i="6" a="1"/>
  <c r="AC742" i="6" s="1"/>
  <c r="AC743" i="6" a="1"/>
  <c r="AC743" i="6" s="1"/>
  <c r="AC744" i="6" a="1"/>
  <c r="AC744" i="6" s="1"/>
  <c r="AC745" i="6" a="1"/>
  <c r="AC745" i="6" s="1"/>
  <c r="AC746" i="6" a="1"/>
  <c r="AC746" i="6" s="1"/>
  <c r="AC747" i="6" a="1"/>
  <c r="AC747" i="6" s="1"/>
  <c r="AC748" i="6" a="1"/>
  <c r="AC748" i="6" s="1"/>
  <c r="AC749" i="6" a="1"/>
  <c r="AC749" i="6" s="1"/>
  <c r="AC750" i="6" a="1"/>
  <c r="AC750" i="6" s="1"/>
  <c r="AC751" i="6" a="1"/>
  <c r="AC751" i="6" s="1"/>
  <c r="AC752" i="6" a="1"/>
  <c r="AC752" i="6" s="1"/>
  <c r="AC753" i="6" a="1"/>
  <c r="AC753" i="6" s="1"/>
  <c r="AC754" i="6" a="1"/>
  <c r="AC754" i="6" s="1"/>
  <c r="AC755" i="6" a="1"/>
  <c r="AC755" i="6" s="1"/>
  <c r="AC756" i="6" a="1"/>
  <c r="AC756" i="6" s="1"/>
  <c r="AC757" i="6" a="1"/>
  <c r="AC757" i="6" s="1"/>
  <c r="AC758" i="6" a="1"/>
  <c r="AC758" i="6" s="1"/>
  <c r="AC759" i="6" a="1"/>
  <c r="AC759" i="6" s="1"/>
  <c r="AC760" i="6" a="1"/>
  <c r="AC760" i="6" s="1"/>
  <c r="AC761" i="6" a="1"/>
  <c r="AC761" i="6" s="1"/>
  <c r="AC762" i="6" a="1"/>
  <c r="AC762" i="6" s="1"/>
  <c r="AC763" i="6" a="1"/>
  <c r="AC763" i="6" s="1"/>
  <c r="AC764" i="6" a="1"/>
  <c r="AC764" i="6" s="1"/>
  <c r="AC765" i="6" a="1"/>
  <c r="AC765" i="6" s="1"/>
  <c r="AC766" i="6" a="1"/>
  <c r="AC766" i="6" s="1"/>
  <c r="AC767" i="6" a="1"/>
  <c r="AC767" i="6" s="1"/>
  <c r="AC768" i="6" a="1"/>
  <c r="AC768" i="6" s="1"/>
  <c r="AC769" i="6" a="1"/>
  <c r="AC769" i="6" s="1"/>
  <c r="AC770" i="6" a="1"/>
  <c r="AC770" i="6" s="1"/>
  <c r="AC771" i="6" a="1"/>
  <c r="AC771" i="6" s="1"/>
  <c r="AC772" i="6" a="1"/>
  <c r="AC772" i="6" s="1"/>
  <c r="AC773" i="6" a="1"/>
  <c r="AC773" i="6" s="1"/>
  <c r="AC774" i="6" a="1"/>
  <c r="AC774" i="6" s="1"/>
  <c r="AC775" i="6" a="1"/>
  <c r="AC775" i="6" s="1"/>
  <c r="AC776" i="6" a="1"/>
  <c r="AC776" i="6" s="1"/>
  <c r="AC777" i="6" a="1"/>
  <c r="AC777" i="6" s="1"/>
  <c r="AC778" i="6" a="1"/>
  <c r="AC778" i="6" s="1"/>
  <c r="AC779" i="6" a="1"/>
  <c r="AC779" i="6" s="1"/>
  <c r="AC780" i="6" a="1"/>
  <c r="AC780" i="6" s="1"/>
  <c r="AC781" i="6" a="1"/>
  <c r="AC781" i="6" s="1"/>
  <c r="AC782" i="6" a="1"/>
  <c r="AC782" i="6" s="1"/>
  <c r="AC783" i="6" a="1"/>
  <c r="AC783" i="6" s="1"/>
  <c r="AC784" i="6" a="1"/>
  <c r="AC784" i="6" s="1"/>
  <c r="AC785" i="6" a="1"/>
  <c r="AC785" i="6" s="1"/>
  <c r="AC786" i="6" a="1"/>
  <c r="AC786" i="6" s="1"/>
  <c r="AC787" i="6" a="1"/>
  <c r="AC787" i="6" s="1"/>
  <c r="AC788" i="6" a="1"/>
  <c r="AC788" i="6" s="1"/>
  <c r="AC789" i="6" a="1"/>
  <c r="AC789" i="6" s="1"/>
  <c r="AC790" i="6" a="1"/>
  <c r="AC790" i="6" s="1"/>
  <c r="AC791" i="6" a="1"/>
  <c r="AC791" i="6" s="1"/>
  <c r="AC792" i="6" a="1"/>
  <c r="AC792" i="6" s="1"/>
  <c r="AC793" i="6" a="1"/>
  <c r="AC793" i="6" s="1"/>
  <c r="AC794" i="6" a="1"/>
  <c r="AC794" i="6" s="1"/>
  <c r="AC795" i="6" a="1"/>
  <c r="AC795" i="6" s="1"/>
  <c r="AC796" i="6" a="1"/>
  <c r="AC796" i="6" s="1"/>
  <c r="AC797" i="6" a="1"/>
  <c r="AC797" i="6" s="1"/>
  <c r="AC798" i="6" a="1"/>
  <c r="AC798" i="6" s="1"/>
  <c r="AC799" i="6" a="1"/>
  <c r="AC799" i="6" s="1"/>
  <c r="AC800" i="6" a="1"/>
  <c r="AC800" i="6" s="1"/>
  <c r="AC801" i="6" a="1"/>
  <c r="AC801" i="6" s="1"/>
  <c r="AC802" i="6" a="1"/>
  <c r="AC802" i="6" s="1"/>
  <c r="AC803" i="6" a="1"/>
  <c r="AC803" i="6" s="1"/>
  <c r="AC804" i="6" a="1"/>
  <c r="AC804" i="6" s="1"/>
  <c r="AC805" i="6" a="1"/>
  <c r="AC805" i="6" s="1"/>
  <c r="AC806" i="6" a="1"/>
  <c r="AC806" i="6" s="1"/>
  <c r="AC807" i="6" a="1"/>
  <c r="AC807" i="6" s="1"/>
  <c r="AC808" i="6" a="1"/>
  <c r="AC808" i="6" s="1"/>
  <c r="AC809" i="6" a="1"/>
  <c r="AC809" i="6" s="1"/>
  <c r="AC810" i="6" a="1"/>
  <c r="AC810" i="6" s="1"/>
  <c r="AC811" i="6" a="1"/>
  <c r="AC811" i="6" s="1"/>
  <c r="AC812" i="6" a="1"/>
  <c r="AC812" i="6" s="1"/>
  <c r="AC813" i="6" a="1"/>
  <c r="AC813" i="6" s="1"/>
  <c r="AC814" i="6" a="1"/>
  <c r="AC814" i="6" s="1"/>
  <c r="AC815" i="6" a="1"/>
  <c r="AC815" i="6" s="1"/>
  <c r="AC816" i="6" a="1"/>
  <c r="AC816" i="6" s="1"/>
  <c r="AC817" i="6" a="1"/>
  <c r="AC817" i="6" s="1"/>
  <c r="AC818" i="6" a="1"/>
  <c r="AC818" i="6" s="1"/>
  <c r="AC819" i="6" a="1"/>
  <c r="AC819" i="6" s="1"/>
  <c r="AC820" i="6" a="1"/>
  <c r="AC820" i="6" s="1"/>
  <c r="AC821" i="6" a="1"/>
  <c r="AC821" i="6" s="1"/>
  <c r="AC822" i="6" a="1"/>
  <c r="AC822" i="6" s="1"/>
  <c r="AC823" i="6" a="1"/>
  <c r="AC823" i="6" s="1"/>
  <c r="AC824" i="6" a="1"/>
  <c r="AC824" i="6" s="1"/>
  <c r="AC825" i="6" a="1"/>
  <c r="AC825" i="6" s="1"/>
  <c r="AC826" i="6" a="1"/>
  <c r="AC826" i="6" s="1"/>
  <c r="AC827" i="6" a="1"/>
  <c r="AC827" i="6" s="1"/>
  <c r="AC828" i="6" a="1"/>
  <c r="AC828" i="6" s="1"/>
  <c r="AC829" i="6" a="1"/>
  <c r="AC829" i="6" s="1"/>
  <c r="AC830" i="6" a="1"/>
  <c r="AC830" i="6" s="1"/>
  <c r="AC831" i="6" a="1"/>
  <c r="AC831" i="6" s="1"/>
  <c r="AC832" i="6" a="1"/>
  <c r="AC832" i="6" s="1"/>
  <c r="AC833" i="6" a="1"/>
  <c r="AC833" i="6" s="1"/>
  <c r="AC834" i="6" a="1"/>
  <c r="AC834" i="6" s="1"/>
  <c r="AC835" i="6" a="1"/>
  <c r="AC835" i="6" s="1"/>
  <c r="AC836" i="6" a="1"/>
  <c r="AC836" i="6" s="1"/>
  <c r="AC837" i="6" a="1"/>
  <c r="AC837" i="6" s="1"/>
  <c r="AC838" i="6" a="1"/>
  <c r="AC838" i="6" s="1"/>
  <c r="AC839" i="6" a="1"/>
  <c r="AC839" i="6" s="1"/>
  <c r="AC840" i="6" a="1"/>
  <c r="AC840" i="6" s="1"/>
  <c r="AC841" i="6" a="1"/>
  <c r="AC841" i="6" s="1"/>
  <c r="AC842" i="6" a="1"/>
  <c r="AC842" i="6" s="1"/>
  <c r="AC843" i="6" a="1"/>
  <c r="AC843" i="6" s="1"/>
  <c r="AC844" i="6" a="1"/>
  <c r="AC844" i="6" s="1"/>
  <c r="AC845" i="6" a="1"/>
  <c r="AC845" i="6" s="1"/>
  <c r="AC846" i="6" a="1"/>
  <c r="AC846" i="6" s="1"/>
  <c r="AC847" i="6" a="1"/>
  <c r="AC847" i="6" s="1"/>
  <c r="AC848" i="6" a="1"/>
  <c r="AC848" i="6" s="1"/>
  <c r="AC849" i="6" a="1"/>
  <c r="AC849" i="6" s="1"/>
  <c r="AC850" i="6" a="1"/>
  <c r="AC850" i="6" s="1"/>
  <c r="AC851" i="6" a="1"/>
  <c r="AC851" i="6" s="1"/>
  <c r="AC852" i="6" a="1"/>
  <c r="AC852" i="6" s="1"/>
  <c r="AC853" i="6" a="1"/>
  <c r="AC853" i="6" s="1"/>
  <c r="AC854" i="6" a="1"/>
  <c r="AC854" i="6" s="1"/>
  <c r="AC855" i="6" a="1"/>
  <c r="AC855" i="6" s="1"/>
  <c r="AC856" i="6" a="1"/>
  <c r="AC856" i="6" s="1"/>
  <c r="AC857" i="6" a="1"/>
  <c r="AC857" i="6" s="1"/>
  <c r="AC858" i="6" a="1"/>
  <c r="AC858" i="6" s="1"/>
  <c r="AC859" i="6" a="1"/>
  <c r="AC859" i="6" s="1"/>
  <c r="AC860" i="6" a="1"/>
  <c r="AC860" i="6" s="1"/>
  <c r="AC861" i="6" a="1"/>
  <c r="AC861" i="6" s="1"/>
  <c r="AC862" i="6" a="1"/>
  <c r="AC862" i="6" s="1"/>
  <c r="AC863" i="6" a="1"/>
  <c r="AC863" i="6" s="1"/>
  <c r="AC864" i="6" a="1"/>
  <c r="AC864" i="6" s="1"/>
  <c r="AC865" i="6" a="1"/>
  <c r="AC865" i="6" s="1"/>
  <c r="AC866" i="6" a="1"/>
  <c r="AC866" i="6" s="1"/>
  <c r="AC867" i="6" a="1"/>
  <c r="AC867" i="6" s="1"/>
  <c r="AC868" i="6" a="1"/>
  <c r="AC868" i="6" s="1"/>
  <c r="AC869" i="6" a="1"/>
  <c r="AC869" i="6" s="1"/>
  <c r="AC870" i="6" a="1"/>
  <c r="AC870" i="6" s="1"/>
  <c r="AC871" i="6" a="1"/>
  <c r="AC871" i="6" s="1"/>
  <c r="AC872" i="6" a="1"/>
  <c r="AC872" i="6" s="1"/>
  <c r="AC873" i="6" a="1"/>
  <c r="AC873" i="6" s="1"/>
  <c r="AC874" i="6" a="1"/>
  <c r="AC874" i="6" s="1"/>
  <c r="AC875" i="6" a="1"/>
  <c r="AC875" i="6" s="1"/>
  <c r="AC876" i="6" a="1"/>
  <c r="AC876" i="6" s="1"/>
  <c r="AC877" i="6" a="1"/>
  <c r="AC877" i="6" s="1"/>
  <c r="AC878" i="6" a="1"/>
  <c r="AC878" i="6" s="1"/>
  <c r="AC879" i="6" a="1"/>
  <c r="AC879" i="6" s="1"/>
  <c r="AC880" i="6" a="1"/>
  <c r="AC880" i="6" s="1"/>
  <c r="AC881" i="6" a="1"/>
  <c r="AC881" i="6" s="1"/>
  <c r="AC882" i="6" a="1"/>
  <c r="AC882" i="6" s="1"/>
  <c r="AC883" i="6" a="1"/>
  <c r="AC883" i="6" s="1"/>
  <c r="AC884" i="6" a="1"/>
  <c r="AC884" i="6" s="1"/>
  <c r="AC885" i="6" a="1"/>
  <c r="AC885" i="6" s="1"/>
  <c r="AC886" i="6" a="1"/>
  <c r="AC886" i="6" s="1"/>
  <c r="AC887" i="6" a="1"/>
  <c r="AC887" i="6" s="1"/>
  <c r="AC888" i="6" a="1"/>
  <c r="AC888" i="6" s="1"/>
  <c r="AC889" i="6" a="1"/>
  <c r="AC889" i="6" s="1"/>
  <c r="AC890" i="6" a="1"/>
  <c r="AC890" i="6" s="1"/>
  <c r="AC891" i="6" a="1"/>
  <c r="AC891" i="6" s="1"/>
  <c r="AC892" i="6" a="1"/>
  <c r="AC892" i="6" s="1"/>
  <c r="AC893" i="6" a="1"/>
  <c r="AC893" i="6" s="1"/>
  <c r="AC894" i="6" a="1"/>
  <c r="AC894" i="6" s="1"/>
  <c r="AC895" i="6" a="1"/>
  <c r="AC895" i="6" s="1"/>
  <c r="AC896" i="6" a="1"/>
  <c r="AC896" i="6" s="1"/>
  <c r="AC897" i="6" a="1"/>
  <c r="AC897" i="6" s="1"/>
  <c r="AC898" i="6" a="1"/>
  <c r="AC898" i="6" s="1"/>
  <c r="AC899" i="6" a="1"/>
  <c r="AC899" i="6" s="1"/>
  <c r="AC900" i="6" a="1"/>
  <c r="AC900" i="6" s="1"/>
  <c r="AC901" i="6" a="1"/>
  <c r="AC901" i="6" s="1"/>
  <c r="AC902" i="6" a="1"/>
  <c r="AC902" i="6" s="1"/>
  <c r="AC903" i="6" a="1"/>
  <c r="AC903" i="6" s="1"/>
  <c r="AC904" i="6" a="1"/>
  <c r="AC904" i="6" s="1"/>
  <c r="AC905" i="6" a="1"/>
  <c r="AC905" i="6" s="1"/>
  <c r="AC906" i="6" a="1"/>
  <c r="AC906" i="6" s="1"/>
  <c r="AC907" i="6" a="1"/>
  <c r="AC907" i="6" s="1"/>
  <c r="AC908" i="6" a="1"/>
  <c r="AC908" i="6" s="1"/>
  <c r="AC909" i="6" a="1"/>
  <c r="AC909" i="6" s="1"/>
  <c r="AC910" i="6" a="1"/>
  <c r="AC910" i="6" s="1"/>
  <c r="AC911" i="6" a="1"/>
  <c r="AC911" i="6" s="1"/>
  <c r="AC912" i="6" a="1"/>
  <c r="AC912" i="6" s="1"/>
  <c r="AC913" i="6" a="1"/>
  <c r="AC913" i="6" s="1"/>
  <c r="AC914" i="6" a="1"/>
  <c r="AC914" i="6" s="1"/>
  <c r="AC915" i="6" a="1"/>
  <c r="AC915" i="6" s="1"/>
  <c r="AC916" i="6" a="1"/>
  <c r="AC916" i="6" s="1"/>
  <c r="AC917" i="6" a="1"/>
  <c r="AC917" i="6" s="1"/>
  <c r="AC918" i="6" a="1"/>
  <c r="AC918" i="6" s="1"/>
  <c r="AC919" i="6" a="1"/>
  <c r="AC919" i="6" s="1"/>
  <c r="AC920" i="6" a="1"/>
  <c r="AC920" i="6" s="1"/>
  <c r="AC921" i="6" a="1"/>
  <c r="AC921" i="6" s="1"/>
  <c r="AC922" i="6" a="1"/>
  <c r="AC922" i="6" s="1"/>
  <c r="AC923" i="6" a="1"/>
  <c r="AC923" i="6" s="1"/>
  <c r="AC924" i="6" a="1"/>
  <c r="AC924" i="6" s="1"/>
  <c r="AC925" i="6" a="1"/>
  <c r="AC925" i="6" s="1"/>
  <c r="AC926" i="6" a="1"/>
  <c r="AC926" i="6" s="1"/>
  <c r="AC927" i="6" a="1"/>
  <c r="AC927" i="6" s="1"/>
  <c r="AC928" i="6" a="1"/>
  <c r="AC928" i="6" s="1"/>
  <c r="AC929" i="6" a="1"/>
  <c r="AC929" i="6" s="1"/>
  <c r="AC930" i="6" a="1"/>
  <c r="AC930" i="6" s="1"/>
  <c r="AC931" i="6" a="1"/>
  <c r="AC931" i="6" s="1"/>
  <c r="AC932" i="6" a="1"/>
  <c r="AC932" i="6" s="1"/>
  <c r="AC933" i="6" a="1"/>
  <c r="AC933" i="6" s="1"/>
  <c r="AC934" i="6" a="1"/>
  <c r="AC934" i="6" s="1"/>
  <c r="AC935" i="6" a="1"/>
  <c r="AC935" i="6" s="1"/>
  <c r="AC936" i="6" a="1"/>
  <c r="AC936" i="6" s="1"/>
  <c r="AC937" i="6" a="1"/>
  <c r="AC937" i="6" s="1"/>
  <c r="AC938" i="6" a="1"/>
  <c r="AC938" i="6" s="1"/>
  <c r="AC939" i="6" a="1"/>
  <c r="AC939" i="6" s="1"/>
  <c r="AC940" i="6" a="1"/>
  <c r="AC940" i="6" s="1"/>
  <c r="AC941" i="6" a="1"/>
  <c r="AC941" i="6" s="1"/>
  <c r="AC942" i="6" a="1"/>
  <c r="AC942" i="6" s="1"/>
  <c r="AC943" i="6" a="1"/>
  <c r="AC943" i="6" s="1"/>
  <c r="AC944" i="6" a="1"/>
  <c r="AC944" i="6" s="1"/>
  <c r="AC945" i="6" a="1"/>
  <c r="AC945" i="6" s="1"/>
  <c r="AC946" i="6" a="1"/>
  <c r="AC946" i="6" s="1"/>
  <c r="AC947" i="6" a="1"/>
  <c r="AC947" i="6" s="1"/>
  <c r="AC948" i="6" a="1"/>
  <c r="AC948" i="6" s="1"/>
  <c r="AC949" i="6" a="1"/>
  <c r="AC949" i="6" s="1"/>
  <c r="AC950" i="6" a="1"/>
  <c r="AC950" i="6" s="1"/>
  <c r="AC951" i="6" a="1"/>
  <c r="AC951" i="6" s="1"/>
  <c r="AC952" i="6" a="1"/>
  <c r="AC952" i="6" s="1"/>
  <c r="AC953" i="6" a="1"/>
  <c r="AC953" i="6" s="1"/>
  <c r="AC954" i="6" a="1"/>
  <c r="AC954" i="6" s="1"/>
  <c r="AC955" i="6" a="1"/>
  <c r="AC955" i="6" s="1"/>
  <c r="AC956" i="6" a="1"/>
  <c r="AC956" i="6" s="1"/>
  <c r="AC957" i="6" a="1"/>
  <c r="AC957" i="6" s="1"/>
  <c r="AC958" i="6" a="1"/>
  <c r="AC958" i="6" s="1"/>
  <c r="AC959" i="6" a="1"/>
  <c r="AC959" i="6" s="1"/>
  <c r="AC960" i="6" a="1"/>
  <c r="AC960" i="6" s="1"/>
  <c r="AC961" i="6" a="1"/>
  <c r="AC961" i="6" s="1"/>
  <c r="AC962" i="6" a="1"/>
  <c r="AC962" i="6" s="1"/>
  <c r="AC963" i="6" a="1"/>
  <c r="AC963" i="6" s="1"/>
  <c r="AC964" i="6" a="1"/>
  <c r="AC964" i="6" s="1"/>
  <c r="AC965" i="6" a="1"/>
  <c r="AC965" i="6" s="1"/>
  <c r="AC966" i="6" a="1"/>
  <c r="AC966" i="6" s="1"/>
  <c r="AC967" i="6" a="1"/>
  <c r="AC967" i="6" s="1"/>
  <c r="AC968" i="6" a="1"/>
  <c r="AC968" i="6" s="1"/>
  <c r="AC969" i="6" a="1"/>
  <c r="AC969" i="6" s="1"/>
  <c r="AC970" i="6" a="1"/>
  <c r="AC970" i="6" s="1"/>
  <c r="AC971" i="6" a="1"/>
  <c r="AC971" i="6" s="1"/>
  <c r="AC972" i="6" a="1"/>
  <c r="AC972" i="6" s="1"/>
  <c r="AC973" i="6" a="1"/>
  <c r="AC973" i="6" s="1"/>
  <c r="AC974" i="6" a="1"/>
  <c r="AC974" i="6" s="1"/>
  <c r="AC975" i="6" a="1"/>
  <c r="AC975" i="6" s="1"/>
  <c r="AC976" i="6" a="1"/>
  <c r="AC976" i="6" s="1"/>
  <c r="AC977" i="6" a="1"/>
  <c r="AC977" i="6" s="1"/>
  <c r="AC978" i="6" a="1"/>
  <c r="AC978" i="6" s="1"/>
  <c r="AC979" i="6" a="1"/>
  <c r="AC979" i="6" s="1"/>
  <c r="AC980" i="6" a="1"/>
  <c r="AC980" i="6" s="1"/>
  <c r="AC981" i="6" a="1"/>
  <c r="AC981" i="6" s="1"/>
  <c r="AC982" i="6" a="1"/>
  <c r="AC982" i="6" s="1"/>
  <c r="AC983" i="6" a="1"/>
  <c r="AC983" i="6" s="1"/>
  <c r="AC984" i="6" a="1"/>
  <c r="AC984" i="6" s="1"/>
  <c r="AC985" i="6" a="1"/>
  <c r="AC985" i="6" s="1"/>
  <c r="AC986" i="6" a="1"/>
  <c r="AC986" i="6" s="1"/>
  <c r="AC987" i="6" a="1"/>
  <c r="AC987" i="6" s="1"/>
  <c r="AC988" i="6" a="1"/>
  <c r="AC988" i="6" s="1"/>
  <c r="AC989" i="6" a="1"/>
  <c r="AC989" i="6" s="1"/>
  <c r="AC990" i="6" a="1"/>
  <c r="AC990" i="6" s="1"/>
  <c r="AC991" i="6" a="1"/>
  <c r="AC991" i="6" s="1"/>
  <c r="AC992" i="6" a="1"/>
  <c r="AC992" i="6" s="1"/>
  <c r="AC993" i="6" a="1"/>
  <c r="AC993" i="6" s="1"/>
  <c r="AC994" i="6" a="1"/>
  <c r="AC994" i="6" s="1"/>
  <c r="AC995" i="6" a="1"/>
  <c r="AC995" i="6" s="1"/>
  <c r="AC996" i="6" a="1"/>
  <c r="AC996" i="6" s="1"/>
  <c r="AC997" i="6" a="1"/>
  <c r="AC997" i="6" s="1"/>
  <c r="AC998" i="6" a="1"/>
  <c r="AC998" i="6" s="1"/>
  <c r="AC999" i="6" a="1"/>
  <c r="AC999" i="6" s="1"/>
  <c r="AC1000" i="6" a="1"/>
  <c r="AC1000" i="6" s="1"/>
  <c r="AC1001" i="6" a="1"/>
  <c r="AC1001" i="6" s="1"/>
  <c r="AC1002" i="6" a="1"/>
  <c r="AC1002" i="6" s="1"/>
  <c r="V40" i="6" a="1"/>
  <c r="V40" i="6" s="1"/>
  <c r="V41" i="6" a="1"/>
  <c r="V41" i="6" s="1"/>
  <c r="V42" i="6" a="1"/>
  <c r="V42" i="6" s="1"/>
  <c r="V43" i="6" a="1"/>
  <c r="V43" i="6" s="1"/>
  <c r="V44" i="6" a="1"/>
  <c r="V44" i="6" s="1"/>
  <c r="V45" i="6" a="1"/>
  <c r="V45" i="6" s="1"/>
  <c r="V46" i="6" a="1"/>
  <c r="V46" i="6" s="1"/>
  <c r="V47" i="6" a="1"/>
  <c r="V47" i="6" s="1"/>
  <c r="V48" i="6" a="1"/>
  <c r="V48" i="6" s="1"/>
  <c r="V49" i="6" a="1"/>
  <c r="V49" i="6" s="1"/>
  <c r="V50" i="6" a="1"/>
  <c r="V50" i="6" s="1"/>
  <c r="V51" i="6" a="1"/>
  <c r="V51" i="6" s="1"/>
  <c r="V52" i="6" a="1"/>
  <c r="V52" i="6" s="1"/>
  <c r="V53" i="6" a="1"/>
  <c r="V53" i="6" s="1"/>
  <c r="V54" i="6" a="1"/>
  <c r="V54" i="6" s="1"/>
  <c r="V55" i="6" a="1"/>
  <c r="V55" i="6" s="1"/>
  <c r="V56" i="6" a="1"/>
  <c r="V56" i="6" s="1"/>
  <c r="V57" i="6" a="1"/>
  <c r="V57" i="6" s="1"/>
  <c r="V58" i="6" a="1"/>
  <c r="V58" i="6" s="1"/>
  <c r="V59" i="6" a="1"/>
  <c r="V59" i="6" s="1"/>
  <c r="V60" i="6" a="1"/>
  <c r="V60" i="6" s="1"/>
  <c r="V61" i="6" a="1"/>
  <c r="V61" i="6" s="1"/>
  <c r="V62" i="6" a="1"/>
  <c r="V62" i="6" s="1"/>
  <c r="V63" i="6" a="1"/>
  <c r="V63" i="6" s="1"/>
  <c r="V64" i="6" a="1"/>
  <c r="V64" i="6" s="1"/>
  <c r="V65" i="6" a="1"/>
  <c r="V65" i="6" s="1"/>
  <c r="V66" i="6" a="1"/>
  <c r="V66" i="6" s="1"/>
  <c r="V67" i="6" a="1"/>
  <c r="V67" i="6" s="1"/>
  <c r="V68" i="6" a="1"/>
  <c r="V68" i="6" s="1"/>
  <c r="V69" i="6" a="1"/>
  <c r="V69" i="6" s="1"/>
  <c r="V70" i="6" a="1"/>
  <c r="V70" i="6" s="1"/>
  <c r="V71" i="6" a="1"/>
  <c r="V71" i="6" s="1"/>
  <c r="V72" i="6" a="1"/>
  <c r="V72" i="6" s="1"/>
  <c r="V73" i="6" a="1"/>
  <c r="V73" i="6" s="1"/>
  <c r="V74" i="6" a="1"/>
  <c r="V74" i="6" s="1"/>
  <c r="V75" i="6" a="1"/>
  <c r="V75" i="6" s="1"/>
  <c r="V76" i="6" a="1"/>
  <c r="V76" i="6" s="1"/>
  <c r="V77" i="6" a="1"/>
  <c r="V77" i="6" s="1"/>
  <c r="V78" i="6" a="1"/>
  <c r="V78" i="6" s="1"/>
  <c r="V79" i="6" a="1"/>
  <c r="V79" i="6" s="1"/>
  <c r="V80" i="6" a="1"/>
  <c r="V80" i="6" s="1"/>
  <c r="V81" i="6" a="1"/>
  <c r="V81" i="6" s="1"/>
  <c r="V82" i="6" a="1"/>
  <c r="V82" i="6" s="1"/>
  <c r="V83" i="6" a="1"/>
  <c r="V83" i="6" s="1"/>
  <c r="V84" i="6" a="1"/>
  <c r="V84" i="6" s="1"/>
  <c r="V85" i="6" a="1"/>
  <c r="V85" i="6" s="1"/>
  <c r="V86" i="6" a="1"/>
  <c r="V86" i="6" s="1"/>
  <c r="V87" i="6" a="1"/>
  <c r="V87" i="6" s="1"/>
  <c r="V88" i="6" a="1"/>
  <c r="V88" i="6" s="1"/>
  <c r="V89" i="6" a="1"/>
  <c r="V89" i="6" s="1"/>
  <c r="V90" i="6" a="1"/>
  <c r="V90" i="6" s="1"/>
  <c r="V91" i="6" a="1"/>
  <c r="V91" i="6" s="1"/>
  <c r="V92" i="6" a="1"/>
  <c r="V92" i="6" s="1"/>
  <c r="V93" i="6" a="1"/>
  <c r="V93" i="6" s="1"/>
  <c r="V94" i="6" a="1"/>
  <c r="V94" i="6" s="1"/>
  <c r="V95" i="6" a="1"/>
  <c r="V95" i="6" s="1"/>
  <c r="V96" i="6" a="1"/>
  <c r="V96" i="6" s="1"/>
  <c r="V97" i="6" a="1"/>
  <c r="V97" i="6" s="1"/>
  <c r="V98" i="6" a="1"/>
  <c r="V98" i="6" s="1"/>
  <c r="V99" i="6" a="1"/>
  <c r="V99" i="6" s="1"/>
  <c r="V100" i="6" a="1"/>
  <c r="V100" i="6" s="1"/>
  <c r="V101" i="6" a="1"/>
  <c r="V101" i="6" s="1"/>
  <c r="V102" i="6" a="1"/>
  <c r="V102" i="6" s="1"/>
  <c r="V3" i="6" a="1"/>
  <c r="V3" i="6" s="1"/>
  <c r="V103" i="6" a="1"/>
  <c r="V103" i="6" s="1"/>
  <c r="V104" i="6" a="1"/>
  <c r="V104" i="6" s="1"/>
  <c r="V105" i="6" a="1"/>
  <c r="V105" i="6" s="1"/>
  <c r="V106" i="6" a="1"/>
  <c r="V106" i="6" s="1"/>
  <c r="V107" i="6" a="1"/>
  <c r="V107" i="6" s="1"/>
  <c r="V108" i="6" a="1"/>
  <c r="V108" i="6" s="1"/>
  <c r="V109" i="6" a="1"/>
  <c r="V109" i="6" s="1"/>
  <c r="V110" i="6" a="1"/>
  <c r="V110" i="6" s="1"/>
  <c r="V111" i="6" a="1"/>
  <c r="V111" i="6" s="1"/>
  <c r="V112" i="6" a="1"/>
  <c r="V112" i="6" s="1"/>
  <c r="V113" i="6" a="1"/>
  <c r="V113" i="6" s="1"/>
  <c r="V114" i="6" a="1"/>
  <c r="V114" i="6" s="1"/>
  <c r="V115" i="6" a="1"/>
  <c r="V115" i="6" s="1"/>
  <c r="V116" i="6" a="1"/>
  <c r="V116" i="6" s="1"/>
  <c r="V117" i="6" a="1"/>
  <c r="V117" i="6" s="1"/>
  <c r="V118" i="6" a="1"/>
  <c r="V118" i="6" s="1"/>
  <c r="V119" i="6" a="1"/>
  <c r="V119" i="6" s="1"/>
  <c r="V120" i="6" a="1"/>
  <c r="V120" i="6" s="1"/>
  <c r="V121" i="6" a="1"/>
  <c r="V121" i="6" s="1"/>
  <c r="V122" i="6" a="1"/>
  <c r="V122" i="6" s="1"/>
  <c r="V123" i="6" a="1"/>
  <c r="V123" i="6" s="1"/>
  <c r="V124" i="6" a="1"/>
  <c r="V124" i="6" s="1"/>
  <c r="V125" i="6" a="1"/>
  <c r="V125" i="6" s="1"/>
  <c r="V126" i="6" a="1"/>
  <c r="V126" i="6" s="1"/>
  <c r="V127" i="6" a="1"/>
  <c r="V127" i="6" s="1"/>
  <c r="V128" i="6" a="1"/>
  <c r="V128" i="6" s="1"/>
  <c r="V129" i="6" a="1"/>
  <c r="V129" i="6" s="1"/>
  <c r="V130" i="6" a="1"/>
  <c r="V130" i="6" s="1"/>
  <c r="V131" i="6" a="1"/>
  <c r="V131" i="6" s="1"/>
  <c r="V132" i="6" a="1"/>
  <c r="V132" i="6" s="1"/>
  <c r="V133" i="6" a="1"/>
  <c r="V133" i="6" s="1"/>
  <c r="V134" i="6" a="1"/>
  <c r="V134" i="6" s="1"/>
  <c r="V135" i="6" a="1"/>
  <c r="V135" i="6" s="1"/>
  <c r="V136" i="6" a="1"/>
  <c r="V136" i="6" s="1"/>
  <c r="V137" i="6" a="1"/>
  <c r="V137" i="6" s="1"/>
  <c r="V138" i="6" a="1"/>
  <c r="V138" i="6" s="1"/>
  <c r="V139" i="6" a="1"/>
  <c r="V139" i="6" s="1"/>
  <c r="V140" i="6" a="1"/>
  <c r="V140" i="6" s="1"/>
  <c r="V141" i="6" a="1"/>
  <c r="V141" i="6" s="1"/>
  <c r="V142" i="6" a="1"/>
  <c r="V142" i="6" s="1"/>
  <c r="V143" i="6" a="1"/>
  <c r="V143" i="6" s="1"/>
  <c r="V144" i="6" a="1"/>
  <c r="V144" i="6" s="1"/>
  <c r="V145" i="6" a="1"/>
  <c r="V145" i="6" s="1"/>
  <c r="V146" i="6" a="1"/>
  <c r="V146" i="6" s="1"/>
  <c r="V147" i="6" a="1"/>
  <c r="V147" i="6" s="1"/>
  <c r="V148" i="6" a="1"/>
  <c r="V148" i="6" s="1"/>
  <c r="V149" i="6" a="1"/>
  <c r="V149" i="6" s="1"/>
  <c r="V150" i="6" a="1"/>
  <c r="V150" i="6" s="1"/>
  <c r="V151" i="6" a="1"/>
  <c r="V151" i="6" s="1"/>
  <c r="V152" i="6" a="1"/>
  <c r="V152" i="6" s="1"/>
  <c r="V153" i="6" a="1"/>
  <c r="V153" i="6" s="1"/>
  <c r="V154" i="6" a="1"/>
  <c r="V154" i="6" s="1"/>
  <c r="V155" i="6" a="1"/>
  <c r="V155" i="6" s="1"/>
  <c r="V156" i="6" a="1"/>
  <c r="V156" i="6" s="1"/>
  <c r="V157" i="6" a="1"/>
  <c r="V157" i="6" s="1"/>
  <c r="V158" i="6" a="1"/>
  <c r="V158" i="6" s="1"/>
  <c r="V159" i="6" a="1"/>
  <c r="V159" i="6" s="1"/>
  <c r="V160" i="6" a="1"/>
  <c r="V160" i="6" s="1"/>
  <c r="V161" i="6" a="1"/>
  <c r="V161" i="6" s="1"/>
  <c r="V162" i="6" a="1"/>
  <c r="V162" i="6" s="1"/>
  <c r="V163" i="6" a="1"/>
  <c r="V163" i="6" s="1"/>
  <c r="V164" i="6" a="1"/>
  <c r="V164" i="6" s="1"/>
  <c r="V165" i="6" a="1"/>
  <c r="V165" i="6" s="1"/>
  <c r="V166" i="6" a="1"/>
  <c r="V166" i="6" s="1"/>
  <c r="V167" i="6" a="1"/>
  <c r="V167" i="6" s="1"/>
  <c r="V168" i="6" a="1"/>
  <c r="V168" i="6" s="1"/>
  <c r="V169" i="6" a="1"/>
  <c r="V169" i="6" s="1"/>
  <c r="V170" i="6" a="1"/>
  <c r="V170" i="6" s="1"/>
  <c r="V171" i="6" a="1"/>
  <c r="V171" i="6" s="1"/>
  <c r="V172" i="6" a="1"/>
  <c r="V172" i="6" s="1"/>
  <c r="V173" i="6" a="1"/>
  <c r="V173" i="6" s="1"/>
  <c r="V174" i="6" a="1"/>
  <c r="V174" i="6" s="1"/>
  <c r="V175" i="6" a="1"/>
  <c r="V175" i="6" s="1"/>
  <c r="V176" i="6" a="1"/>
  <c r="V176" i="6" s="1"/>
  <c r="V177" i="6" a="1"/>
  <c r="V177" i="6" s="1"/>
  <c r="V178" i="6" a="1"/>
  <c r="V178" i="6" s="1"/>
  <c r="V179" i="6" a="1"/>
  <c r="V179" i="6" s="1"/>
  <c r="V180" i="6" a="1"/>
  <c r="V180" i="6" s="1"/>
  <c r="V181" i="6" a="1"/>
  <c r="V181" i="6" s="1"/>
  <c r="V182" i="6" a="1"/>
  <c r="V182" i="6" s="1"/>
  <c r="V183" i="6" a="1"/>
  <c r="V183" i="6" s="1"/>
  <c r="V184" i="6" a="1"/>
  <c r="V184" i="6" s="1"/>
  <c r="V185" i="6" a="1"/>
  <c r="V185" i="6" s="1"/>
  <c r="V186" i="6" a="1"/>
  <c r="V186" i="6" s="1"/>
  <c r="V187" i="6" a="1"/>
  <c r="V187" i="6" s="1"/>
  <c r="V188" i="6" a="1"/>
  <c r="V188" i="6" s="1"/>
  <c r="V189" i="6" a="1"/>
  <c r="V189" i="6" s="1"/>
  <c r="V190" i="6" a="1"/>
  <c r="V190" i="6" s="1"/>
  <c r="V191" i="6" a="1"/>
  <c r="V191" i="6" s="1"/>
  <c r="V192" i="6" a="1"/>
  <c r="V192" i="6" s="1"/>
  <c r="V193" i="6" a="1"/>
  <c r="V193" i="6" s="1"/>
  <c r="V194" i="6" a="1"/>
  <c r="V194" i="6" s="1"/>
  <c r="V195" i="6" a="1"/>
  <c r="V195" i="6" s="1"/>
  <c r="V196" i="6" a="1"/>
  <c r="V196" i="6" s="1"/>
  <c r="V197" i="6" a="1"/>
  <c r="V197" i="6" s="1"/>
  <c r="V198" i="6" a="1"/>
  <c r="V198" i="6" s="1"/>
  <c r="V199" i="6" a="1"/>
  <c r="V199" i="6" s="1"/>
  <c r="V200" i="6" a="1"/>
  <c r="V200" i="6" s="1"/>
  <c r="V201" i="6" a="1"/>
  <c r="V201" i="6" s="1"/>
  <c r="V202" i="6" a="1"/>
  <c r="V202" i="6" s="1"/>
  <c r="V203" i="6" a="1"/>
  <c r="V203" i="6" s="1"/>
  <c r="V204" i="6" a="1"/>
  <c r="V204" i="6" s="1"/>
  <c r="V205" i="6" a="1"/>
  <c r="V205" i="6" s="1"/>
  <c r="V206" i="6" a="1"/>
  <c r="V206" i="6" s="1"/>
  <c r="V207" i="6" a="1"/>
  <c r="V207" i="6" s="1"/>
  <c r="V208" i="6" a="1"/>
  <c r="V208" i="6" s="1"/>
  <c r="V209" i="6" a="1"/>
  <c r="V209" i="6" s="1"/>
  <c r="V210" i="6" a="1"/>
  <c r="V210" i="6" s="1"/>
  <c r="V211" i="6" a="1"/>
  <c r="V211" i="6" s="1"/>
  <c r="V212" i="6" a="1"/>
  <c r="V212" i="6" s="1"/>
  <c r="V213" i="6" a="1"/>
  <c r="V213" i="6" s="1"/>
  <c r="V214" i="6" a="1"/>
  <c r="V214" i="6" s="1"/>
  <c r="V215" i="6" a="1"/>
  <c r="V215" i="6" s="1"/>
  <c r="V216" i="6" a="1"/>
  <c r="V216" i="6" s="1"/>
  <c r="V217" i="6" a="1"/>
  <c r="V217" i="6" s="1"/>
  <c r="V218" i="6" a="1"/>
  <c r="V218" i="6" s="1"/>
  <c r="V219" i="6" a="1"/>
  <c r="V219" i="6" s="1"/>
  <c r="V220" i="6" a="1"/>
  <c r="V220" i="6" s="1"/>
  <c r="V221" i="6" a="1"/>
  <c r="V221" i="6" s="1"/>
  <c r="V222" i="6" a="1"/>
  <c r="V222" i="6" s="1"/>
  <c r="V223" i="6" a="1"/>
  <c r="V223" i="6" s="1"/>
  <c r="V224" i="6" a="1"/>
  <c r="V224" i="6" s="1"/>
  <c r="V225" i="6" a="1"/>
  <c r="V225" i="6" s="1"/>
  <c r="V226" i="6" a="1"/>
  <c r="V226" i="6" s="1"/>
  <c r="V227" i="6" a="1"/>
  <c r="V227" i="6" s="1"/>
  <c r="V228" i="6" a="1"/>
  <c r="V228" i="6" s="1"/>
  <c r="V229" i="6" a="1"/>
  <c r="V229" i="6" s="1"/>
  <c r="V230" i="6" a="1"/>
  <c r="V230" i="6" s="1"/>
  <c r="V231" i="6" a="1"/>
  <c r="V231" i="6" s="1"/>
  <c r="V232" i="6" a="1"/>
  <c r="V232" i="6" s="1"/>
  <c r="V233" i="6" a="1"/>
  <c r="V233" i="6" s="1"/>
  <c r="V234" i="6" a="1"/>
  <c r="V234" i="6" s="1"/>
  <c r="V235" i="6" a="1"/>
  <c r="V235" i="6" s="1"/>
  <c r="V236" i="6" a="1"/>
  <c r="V236" i="6" s="1"/>
  <c r="V237" i="6" a="1"/>
  <c r="V237" i="6" s="1"/>
  <c r="V238" i="6" a="1"/>
  <c r="V238" i="6" s="1"/>
  <c r="V239" i="6" a="1"/>
  <c r="V239" i="6" s="1"/>
  <c r="V240" i="6" a="1"/>
  <c r="V240" i="6" s="1"/>
  <c r="V241" i="6" a="1"/>
  <c r="V241" i="6" s="1"/>
  <c r="V242" i="6" a="1"/>
  <c r="V242" i="6" s="1"/>
  <c r="V243" i="6" a="1"/>
  <c r="V243" i="6" s="1"/>
  <c r="V244" i="6" a="1"/>
  <c r="V244" i="6" s="1"/>
  <c r="V245" i="6" a="1"/>
  <c r="V245" i="6" s="1"/>
  <c r="V246" i="6" a="1"/>
  <c r="V246" i="6" s="1"/>
  <c r="V247" i="6" a="1"/>
  <c r="V247" i="6" s="1"/>
  <c r="V248" i="6" a="1"/>
  <c r="V248" i="6" s="1"/>
  <c r="V249" i="6" a="1"/>
  <c r="V249" i="6" s="1"/>
  <c r="V250" i="6" a="1"/>
  <c r="V250" i="6" s="1"/>
  <c r="V251" i="6" a="1"/>
  <c r="V251" i="6" s="1"/>
  <c r="V252" i="6" a="1"/>
  <c r="V252" i="6" s="1"/>
  <c r="V253" i="6" a="1"/>
  <c r="V253" i="6" s="1"/>
  <c r="V254" i="6" a="1"/>
  <c r="V254" i="6" s="1"/>
  <c r="V255" i="6" a="1"/>
  <c r="V255" i="6" s="1"/>
  <c r="V256" i="6" a="1"/>
  <c r="V256" i="6" s="1"/>
  <c r="V257" i="6" a="1"/>
  <c r="V257" i="6" s="1"/>
  <c r="V258" i="6" a="1"/>
  <c r="V258" i="6" s="1"/>
  <c r="V259" i="6" a="1"/>
  <c r="V259" i="6" s="1"/>
  <c r="V260" i="6" a="1"/>
  <c r="V260" i="6" s="1"/>
  <c r="V261" i="6" a="1"/>
  <c r="V261" i="6" s="1"/>
  <c r="V262" i="6" a="1"/>
  <c r="V262" i="6" s="1"/>
  <c r="V263" i="6" a="1"/>
  <c r="V263" i="6" s="1"/>
  <c r="V264" i="6" a="1"/>
  <c r="V264" i="6" s="1"/>
  <c r="V265" i="6" a="1"/>
  <c r="V265" i="6" s="1"/>
  <c r="V266" i="6" a="1"/>
  <c r="V266" i="6" s="1"/>
  <c r="V267" i="6" a="1"/>
  <c r="V267" i="6" s="1"/>
  <c r="V268" i="6" a="1"/>
  <c r="V268" i="6" s="1"/>
  <c r="V269" i="6" a="1"/>
  <c r="V269" i="6" s="1"/>
  <c r="V270" i="6" a="1"/>
  <c r="V270" i="6" s="1"/>
  <c r="V271" i="6" a="1"/>
  <c r="V271" i="6" s="1"/>
  <c r="V272" i="6" a="1"/>
  <c r="V272" i="6" s="1"/>
  <c r="V273" i="6" a="1"/>
  <c r="V273" i="6" s="1"/>
  <c r="V274" i="6" a="1"/>
  <c r="V274" i="6" s="1"/>
  <c r="V275" i="6" a="1"/>
  <c r="V275" i="6" s="1"/>
  <c r="V276" i="6" a="1"/>
  <c r="V276" i="6" s="1"/>
  <c r="V277" i="6" a="1"/>
  <c r="V277" i="6" s="1"/>
  <c r="V278" i="6" a="1"/>
  <c r="V278" i="6" s="1"/>
  <c r="V279" i="6" a="1"/>
  <c r="V279" i="6" s="1"/>
  <c r="V280" i="6" a="1"/>
  <c r="V280" i="6" s="1"/>
  <c r="V281" i="6" a="1"/>
  <c r="V281" i="6" s="1"/>
  <c r="V282" i="6" a="1"/>
  <c r="V282" i="6" s="1"/>
  <c r="V283" i="6" a="1"/>
  <c r="V283" i="6" s="1"/>
  <c r="V284" i="6" a="1"/>
  <c r="V284" i="6" s="1"/>
  <c r="V285" i="6" a="1"/>
  <c r="V285" i="6" s="1"/>
  <c r="V286" i="6" a="1"/>
  <c r="V286" i="6" s="1"/>
  <c r="V287" i="6" a="1"/>
  <c r="V287" i="6" s="1"/>
  <c r="V288" i="6" a="1"/>
  <c r="V288" i="6" s="1"/>
  <c r="V289" i="6" a="1"/>
  <c r="V289" i="6" s="1"/>
  <c r="V290" i="6" a="1"/>
  <c r="V290" i="6" s="1"/>
  <c r="V291" i="6" a="1"/>
  <c r="V291" i="6" s="1"/>
  <c r="V292" i="6" a="1"/>
  <c r="V292" i="6" s="1"/>
  <c r="V293" i="6" a="1"/>
  <c r="V293" i="6" s="1"/>
  <c r="V294" i="6" a="1"/>
  <c r="V294" i="6" s="1"/>
  <c r="V295" i="6" a="1"/>
  <c r="V295" i="6" s="1"/>
  <c r="V296" i="6" a="1"/>
  <c r="V296" i="6" s="1"/>
  <c r="V297" i="6" a="1"/>
  <c r="V297" i="6" s="1"/>
  <c r="V298" i="6" a="1"/>
  <c r="V298" i="6" s="1"/>
  <c r="V299" i="6" a="1"/>
  <c r="V299" i="6" s="1"/>
  <c r="V300" i="6" a="1"/>
  <c r="V300" i="6" s="1"/>
  <c r="V301" i="6" a="1"/>
  <c r="V301" i="6" s="1"/>
  <c r="V302" i="6" a="1"/>
  <c r="V302" i="6" s="1"/>
  <c r="V303" i="6" a="1"/>
  <c r="V303" i="6" s="1"/>
  <c r="V304" i="6" a="1"/>
  <c r="V304" i="6" s="1"/>
  <c r="V305" i="6" a="1"/>
  <c r="V305" i="6" s="1"/>
  <c r="V306" i="6" a="1"/>
  <c r="V306" i="6" s="1"/>
  <c r="V307" i="6" a="1"/>
  <c r="V307" i="6" s="1"/>
  <c r="V308" i="6" a="1"/>
  <c r="V308" i="6" s="1"/>
  <c r="V309" i="6" a="1"/>
  <c r="V309" i="6" s="1"/>
  <c r="V310" i="6" a="1"/>
  <c r="V310" i="6" s="1"/>
  <c r="V311" i="6" a="1"/>
  <c r="V311" i="6" s="1"/>
  <c r="V312" i="6" a="1"/>
  <c r="V312" i="6" s="1"/>
  <c r="V313" i="6" a="1"/>
  <c r="V313" i="6" s="1"/>
  <c r="V314" i="6" a="1"/>
  <c r="V314" i="6" s="1"/>
  <c r="V315" i="6" a="1"/>
  <c r="V315" i="6" s="1"/>
  <c r="V316" i="6" a="1"/>
  <c r="V316" i="6" s="1"/>
  <c r="V317" i="6" a="1"/>
  <c r="V317" i="6" s="1"/>
  <c r="V4" i="6" a="1"/>
  <c r="V4" i="6" s="1"/>
  <c r="V318" i="6" a="1"/>
  <c r="V318" i="6" s="1"/>
  <c r="V319" i="6" a="1"/>
  <c r="V319" i="6" s="1"/>
  <c r="V320" i="6" a="1"/>
  <c r="V320" i="6" s="1"/>
  <c r="V321" i="6" a="1"/>
  <c r="V321" i="6" s="1"/>
  <c r="V322" i="6" a="1"/>
  <c r="V322" i="6" s="1"/>
  <c r="V323" i="6" a="1"/>
  <c r="V323" i="6" s="1"/>
  <c r="V324" i="6" a="1"/>
  <c r="V324" i="6" s="1"/>
  <c r="V325" i="6" a="1"/>
  <c r="V325" i="6" s="1"/>
  <c r="V326" i="6" a="1"/>
  <c r="V326" i="6" s="1"/>
  <c r="V327" i="6" a="1"/>
  <c r="V327" i="6" s="1"/>
  <c r="V328" i="6" a="1"/>
  <c r="V328" i="6" s="1"/>
  <c r="V329" i="6" a="1"/>
  <c r="V329" i="6" s="1"/>
  <c r="V330" i="6" a="1"/>
  <c r="V330" i="6" s="1"/>
  <c r="V331" i="6" a="1"/>
  <c r="V331" i="6" s="1"/>
  <c r="V332" i="6" a="1"/>
  <c r="V332" i="6" s="1"/>
  <c r="V333" i="6" a="1"/>
  <c r="V333" i="6" s="1"/>
  <c r="V334" i="6" a="1"/>
  <c r="V334" i="6" s="1"/>
  <c r="V335" i="6" a="1"/>
  <c r="V335" i="6" s="1"/>
  <c r="V336" i="6" a="1"/>
  <c r="V336" i="6" s="1"/>
  <c r="V337" i="6" a="1"/>
  <c r="V337" i="6" s="1"/>
  <c r="V338" i="6" a="1"/>
  <c r="V338" i="6" s="1"/>
  <c r="V339" i="6" a="1"/>
  <c r="V339" i="6" s="1"/>
  <c r="V340" i="6" a="1"/>
  <c r="V340" i="6" s="1"/>
  <c r="V341" i="6" a="1"/>
  <c r="V341" i="6" s="1"/>
  <c r="V342" i="6" a="1"/>
  <c r="V342" i="6" s="1"/>
  <c r="V343" i="6" a="1"/>
  <c r="V343" i="6" s="1"/>
  <c r="V344" i="6" a="1"/>
  <c r="V344" i="6" s="1"/>
  <c r="V345" i="6" a="1"/>
  <c r="V345" i="6" s="1"/>
  <c r="V346" i="6" a="1"/>
  <c r="V346" i="6" s="1"/>
  <c r="V347" i="6" a="1"/>
  <c r="V347" i="6" s="1"/>
  <c r="V348" i="6" a="1"/>
  <c r="V348" i="6" s="1"/>
  <c r="V349" i="6" a="1"/>
  <c r="V349" i="6" s="1"/>
  <c r="V350" i="6" a="1"/>
  <c r="V350" i="6" s="1"/>
  <c r="V351" i="6" a="1"/>
  <c r="V351" i="6" s="1"/>
  <c r="V352" i="6" a="1"/>
  <c r="V352" i="6" s="1"/>
  <c r="V353" i="6" a="1"/>
  <c r="V353" i="6" s="1"/>
  <c r="V354" i="6" a="1"/>
  <c r="V354" i="6" s="1"/>
  <c r="V355" i="6" a="1"/>
  <c r="V355" i="6" s="1"/>
  <c r="V356" i="6" a="1"/>
  <c r="V356" i="6" s="1"/>
  <c r="V357" i="6" a="1"/>
  <c r="V357" i="6" s="1"/>
  <c r="V358" i="6" a="1"/>
  <c r="V358" i="6" s="1"/>
  <c r="V359" i="6" a="1"/>
  <c r="V359" i="6" s="1"/>
  <c r="V360" i="6" a="1"/>
  <c r="V360" i="6" s="1"/>
  <c r="V361" i="6" a="1"/>
  <c r="V361" i="6" s="1"/>
  <c r="V362" i="6" a="1"/>
  <c r="V362" i="6" s="1"/>
  <c r="V363" i="6" a="1"/>
  <c r="V363" i="6" s="1"/>
  <c r="V364" i="6" a="1"/>
  <c r="V364" i="6" s="1"/>
  <c r="V365" i="6" a="1"/>
  <c r="V365" i="6" s="1"/>
  <c r="V366" i="6" a="1"/>
  <c r="V366" i="6" s="1"/>
  <c r="V367" i="6" a="1"/>
  <c r="V367" i="6" s="1"/>
  <c r="V368" i="6" a="1"/>
  <c r="V368" i="6" s="1"/>
  <c r="V369" i="6" a="1"/>
  <c r="V369" i="6" s="1"/>
  <c r="V370" i="6" a="1"/>
  <c r="V370" i="6" s="1"/>
  <c r="V371" i="6" a="1"/>
  <c r="V371" i="6" s="1"/>
  <c r="V372" i="6" a="1"/>
  <c r="V372" i="6" s="1"/>
  <c r="V373" i="6" a="1"/>
  <c r="V373" i="6" s="1"/>
  <c r="V374" i="6" a="1"/>
  <c r="V374" i="6" s="1"/>
  <c r="V375" i="6" a="1"/>
  <c r="V375" i="6" s="1"/>
  <c r="V376" i="6" a="1"/>
  <c r="V376" i="6" s="1"/>
  <c r="V377" i="6" a="1"/>
  <c r="V377" i="6" s="1"/>
  <c r="V378" i="6" a="1"/>
  <c r="V378" i="6" s="1"/>
  <c r="V379" i="6" a="1"/>
  <c r="V379" i="6" s="1"/>
  <c r="V380" i="6" a="1"/>
  <c r="V380" i="6" s="1"/>
  <c r="V381" i="6" a="1"/>
  <c r="V381" i="6" s="1"/>
  <c r="V382" i="6" a="1"/>
  <c r="V382" i="6" s="1"/>
  <c r="V383" i="6" a="1"/>
  <c r="V383" i="6" s="1"/>
  <c r="V384" i="6" a="1"/>
  <c r="V384" i="6" s="1"/>
  <c r="V385" i="6" a="1"/>
  <c r="V385" i="6" s="1"/>
  <c r="V386" i="6" a="1"/>
  <c r="V386" i="6" s="1"/>
  <c r="V387" i="6" a="1"/>
  <c r="V387" i="6" s="1"/>
  <c r="V388" i="6" a="1"/>
  <c r="V388" i="6" s="1"/>
  <c r="V389" i="6" a="1"/>
  <c r="V389" i="6" s="1"/>
  <c r="V390" i="6" a="1"/>
  <c r="V390" i="6" s="1"/>
  <c r="V391" i="6" a="1"/>
  <c r="V391" i="6" s="1"/>
  <c r="V392" i="6" a="1"/>
  <c r="V392" i="6" s="1"/>
  <c r="V393" i="6" a="1"/>
  <c r="V393" i="6" s="1"/>
  <c r="V394" i="6" a="1"/>
  <c r="V394" i="6" s="1"/>
  <c r="V5" i="6" a="1"/>
  <c r="V5" i="6" s="1"/>
  <c r="V395" i="6" a="1"/>
  <c r="V395" i="6" s="1"/>
  <c r="V396" i="6" a="1"/>
  <c r="V396" i="6" s="1"/>
  <c r="V397" i="6" a="1"/>
  <c r="V397" i="6" s="1"/>
  <c r="V398" i="6" a="1"/>
  <c r="V398" i="6" s="1"/>
  <c r="V399" i="6" a="1"/>
  <c r="V399" i="6" s="1"/>
  <c r="V400" i="6" a="1"/>
  <c r="V400" i="6" s="1"/>
  <c r="V401" i="6" a="1"/>
  <c r="V401" i="6" s="1"/>
  <c r="V402" i="6" a="1"/>
  <c r="V402" i="6" s="1"/>
  <c r="V403" i="6" a="1"/>
  <c r="V403" i="6" s="1"/>
  <c r="V404" i="6" a="1"/>
  <c r="V404" i="6" s="1"/>
  <c r="V405" i="6" a="1"/>
  <c r="V405" i="6" s="1"/>
  <c r="V406" i="6" a="1"/>
  <c r="V406" i="6" s="1"/>
  <c r="V407" i="6" a="1"/>
  <c r="V407" i="6" s="1"/>
  <c r="V408" i="6" a="1"/>
  <c r="V408" i="6" s="1"/>
  <c r="V409" i="6" a="1"/>
  <c r="V409" i="6" s="1"/>
  <c r="V410" i="6" a="1"/>
  <c r="V410" i="6" s="1"/>
  <c r="V411" i="6" a="1"/>
  <c r="V411" i="6" s="1"/>
  <c r="V412" i="6" a="1"/>
  <c r="V412" i="6" s="1"/>
  <c r="V413" i="6" a="1"/>
  <c r="V413" i="6" s="1"/>
  <c r="V414" i="6" a="1"/>
  <c r="V414" i="6" s="1"/>
  <c r="V415" i="6" a="1"/>
  <c r="V415" i="6" s="1"/>
  <c r="V416" i="6" a="1"/>
  <c r="V416" i="6" s="1"/>
  <c r="V417" i="6" a="1"/>
  <c r="V417" i="6" s="1"/>
  <c r="V418" i="6" a="1"/>
  <c r="V418" i="6" s="1"/>
  <c r="V419" i="6" a="1"/>
  <c r="V419" i="6" s="1"/>
  <c r="V420" i="6" a="1"/>
  <c r="V420" i="6" s="1"/>
  <c r="V421" i="6" a="1"/>
  <c r="V421" i="6" s="1"/>
  <c r="V422" i="6" a="1"/>
  <c r="V422" i="6" s="1"/>
  <c r="V423" i="6" a="1"/>
  <c r="V423" i="6" s="1"/>
  <c r="V424" i="6" a="1"/>
  <c r="V424" i="6" s="1"/>
  <c r="V425" i="6" a="1"/>
  <c r="V425" i="6" s="1"/>
  <c r="V426" i="6" a="1"/>
  <c r="V426" i="6" s="1"/>
  <c r="V427" i="6" a="1"/>
  <c r="V427" i="6" s="1"/>
  <c r="V428" i="6" a="1"/>
  <c r="V428" i="6" s="1"/>
  <c r="V429" i="6" a="1"/>
  <c r="V429" i="6" s="1"/>
  <c r="V430" i="6" a="1"/>
  <c r="V430" i="6" s="1"/>
  <c r="V431" i="6" a="1"/>
  <c r="V431" i="6" s="1"/>
  <c r="V432" i="6" a="1"/>
  <c r="V432" i="6" s="1"/>
  <c r="V433" i="6" a="1"/>
  <c r="V433" i="6" s="1"/>
  <c r="V434" i="6" a="1"/>
  <c r="V434" i="6" s="1"/>
  <c r="V435" i="6" a="1"/>
  <c r="V435" i="6" s="1"/>
  <c r="V436" i="6" a="1"/>
  <c r="V436" i="6" s="1"/>
  <c r="V437" i="6" a="1"/>
  <c r="V437" i="6" s="1"/>
  <c r="V438" i="6" a="1"/>
  <c r="V438" i="6" s="1"/>
  <c r="V439" i="6" a="1"/>
  <c r="V439" i="6" s="1"/>
  <c r="V440" i="6" a="1"/>
  <c r="V440" i="6" s="1"/>
  <c r="V441" i="6" a="1"/>
  <c r="V441" i="6" s="1"/>
  <c r="V6" i="6" a="1"/>
  <c r="V6" i="6" s="1"/>
  <c r="V442" i="6" a="1"/>
  <c r="V442" i="6" s="1"/>
  <c r="V443" i="6" a="1"/>
  <c r="V443" i="6" s="1"/>
  <c r="V444" i="6" a="1"/>
  <c r="V444" i="6" s="1"/>
  <c r="V445" i="6" a="1"/>
  <c r="V445" i="6" s="1"/>
  <c r="V446" i="6" a="1"/>
  <c r="V446" i="6" s="1"/>
  <c r="V447" i="6" a="1"/>
  <c r="V447" i="6" s="1"/>
  <c r="V448" i="6" a="1"/>
  <c r="V448" i="6" s="1"/>
  <c r="V449" i="6" a="1"/>
  <c r="V449" i="6" s="1"/>
  <c r="V450" i="6" a="1"/>
  <c r="V450" i="6" s="1"/>
  <c r="V451" i="6" a="1"/>
  <c r="V451" i="6" s="1"/>
  <c r="V452" i="6" a="1"/>
  <c r="V452" i="6" s="1"/>
  <c r="V453" i="6" a="1"/>
  <c r="V453" i="6" s="1"/>
  <c r="V454" i="6" a="1"/>
  <c r="V454" i="6" s="1"/>
  <c r="V455" i="6" a="1"/>
  <c r="V455" i="6" s="1"/>
  <c r="V456" i="6" a="1"/>
  <c r="V456" i="6" s="1"/>
  <c r="V457" i="6" a="1"/>
  <c r="V457" i="6" s="1"/>
  <c r="V458" i="6" a="1"/>
  <c r="V458" i="6" s="1"/>
  <c r="V459" i="6" a="1"/>
  <c r="V459" i="6" s="1"/>
  <c r="V460" i="6" a="1"/>
  <c r="V460" i="6" s="1"/>
  <c r="V461" i="6" a="1"/>
  <c r="V461" i="6" s="1"/>
  <c r="V462" i="6" a="1"/>
  <c r="V462" i="6" s="1"/>
  <c r="V463" i="6" a="1"/>
  <c r="V463" i="6" s="1"/>
  <c r="V464" i="6" a="1"/>
  <c r="V464" i="6" s="1"/>
  <c r="V465" i="6" a="1"/>
  <c r="V465" i="6" s="1"/>
  <c r="V466" i="6" a="1"/>
  <c r="V466" i="6" s="1"/>
  <c r="V467" i="6" a="1"/>
  <c r="V467" i="6" s="1"/>
  <c r="V468" i="6" a="1"/>
  <c r="V468" i="6" s="1"/>
  <c r="V469" i="6" a="1"/>
  <c r="V469" i="6" s="1"/>
  <c r="V470" i="6" a="1"/>
  <c r="V470" i="6" s="1"/>
  <c r="V471" i="6" a="1"/>
  <c r="V471" i="6" s="1"/>
  <c r="V472" i="6" a="1"/>
  <c r="V472" i="6" s="1"/>
  <c r="V473" i="6" a="1"/>
  <c r="V473" i="6" s="1"/>
  <c r="V474" i="6" a="1"/>
  <c r="V474" i="6" s="1"/>
  <c r="V475" i="6" a="1"/>
  <c r="V475" i="6" s="1"/>
  <c r="V476" i="6" a="1"/>
  <c r="V476" i="6" s="1"/>
  <c r="V7" i="6" a="1"/>
  <c r="V7" i="6" s="1"/>
  <c r="V477" i="6" a="1"/>
  <c r="V477" i="6" s="1"/>
  <c r="V478" i="6" a="1"/>
  <c r="V478" i="6" s="1"/>
  <c r="V479" i="6" a="1"/>
  <c r="V479" i="6" s="1"/>
  <c r="V480" i="6" a="1"/>
  <c r="V480" i="6" s="1"/>
  <c r="V481" i="6" a="1"/>
  <c r="V481" i="6" s="1"/>
  <c r="V8" i="6" a="1"/>
  <c r="V8" i="6" s="1"/>
  <c r="V482" i="6" a="1"/>
  <c r="V482" i="6" s="1"/>
  <c r="V483" i="6" a="1"/>
  <c r="V483" i="6" s="1"/>
  <c r="V484" i="6" a="1"/>
  <c r="V484" i="6" s="1"/>
  <c r="V485" i="6" a="1"/>
  <c r="V485" i="6" s="1"/>
  <c r="V486" i="6" a="1"/>
  <c r="V486" i="6" s="1"/>
  <c r="V487" i="6" a="1"/>
  <c r="V487" i="6" s="1"/>
  <c r="V488" i="6" a="1"/>
  <c r="V488" i="6" s="1"/>
  <c r="V489" i="6" a="1"/>
  <c r="V489" i="6" s="1"/>
  <c r="V490" i="6" a="1"/>
  <c r="V490" i="6" s="1"/>
  <c r="V491" i="6" a="1"/>
  <c r="V491" i="6" s="1"/>
  <c r="V492" i="6" a="1"/>
  <c r="V492" i="6" s="1"/>
  <c r="V493" i="6" a="1"/>
  <c r="V493" i="6" s="1"/>
  <c r="V494" i="6" a="1"/>
  <c r="V494" i="6" s="1"/>
  <c r="V495" i="6" a="1"/>
  <c r="V495" i="6" s="1"/>
  <c r="V496" i="6" a="1"/>
  <c r="V496" i="6" s="1"/>
  <c r="V497" i="6" a="1"/>
  <c r="V497" i="6" s="1"/>
  <c r="V498" i="6" a="1"/>
  <c r="V498" i="6" s="1"/>
  <c r="V499" i="6" a="1"/>
  <c r="V499" i="6" s="1"/>
  <c r="V500" i="6" a="1"/>
  <c r="V500" i="6" s="1"/>
  <c r="V501" i="6" a="1"/>
  <c r="V501" i="6" s="1"/>
  <c r="V502" i="6" a="1"/>
  <c r="V502" i="6" s="1"/>
  <c r="V503" i="6" a="1"/>
  <c r="V503" i="6" s="1"/>
  <c r="V504" i="6" a="1"/>
  <c r="V504" i="6" s="1"/>
  <c r="V505" i="6" a="1"/>
  <c r="V505" i="6" s="1"/>
  <c r="V506" i="6" a="1"/>
  <c r="V506" i="6" s="1"/>
  <c r="V507" i="6" a="1"/>
  <c r="V507" i="6" s="1"/>
  <c r="V508" i="6" a="1"/>
  <c r="V508" i="6" s="1"/>
  <c r="V509" i="6" a="1"/>
  <c r="V509" i="6" s="1"/>
  <c r="V510" i="6" a="1"/>
  <c r="V510" i="6" s="1"/>
  <c r="V511" i="6" a="1"/>
  <c r="V511" i="6" s="1"/>
  <c r="V512" i="6" a="1"/>
  <c r="V512" i="6" s="1"/>
  <c r="V513" i="6" a="1"/>
  <c r="V513" i="6" s="1"/>
  <c r="V514" i="6" a="1"/>
  <c r="V514" i="6" s="1"/>
  <c r="V515" i="6" a="1"/>
  <c r="V515" i="6" s="1"/>
  <c r="V516" i="6" a="1"/>
  <c r="V516" i="6" s="1"/>
  <c r="V517" i="6" a="1"/>
  <c r="V517" i="6" s="1"/>
  <c r="V518" i="6" a="1"/>
  <c r="V518" i="6" s="1"/>
  <c r="V519" i="6" a="1"/>
  <c r="V519" i="6" s="1"/>
  <c r="V520" i="6" a="1"/>
  <c r="V520" i="6" s="1"/>
  <c r="V521" i="6" a="1"/>
  <c r="V521" i="6" s="1"/>
  <c r="V522" i="6" a="1"/>
  <c r="V522" i="6" s="1"/>
  <c r="V523" i="6" a="1"/>
  <c r="V523" i="6" s="1"/>
  <c r="V524" i="6" a="1"/>
  <c r="V524" i="6" s="1"/>
  <c r="V525" i="6" a="1"/>
  <c r="V525" i="6" s="1"/>
  <c r="V526" i="6" a="1"/>
  <c r="V526" i="6" s="1"/>
  <c r="V527" i="6" a="1"/>
  <c r="V527" i="6" s="1"/>
  <c r="V528" i="6" a="1"/>
  <c r="V528" i="6" s="1"/>
  <c r="V529" i="6" a="1"/>
  <c r="V529" i="6" s="1"/>
  <c r="V530" i="6" a="1"/>
  <c r="V530" i="6" s="1"/>
  <c r="V531" i="6" a="1"/>
  <c r="V531" i="6" s="1"/>
  <c r="V532" i="6" a="1"/>
  <c r="V532" i="6" s="1"/>
  <c r="V533" i="6" a="1"/>
  <c r="V533" i="6" s="1"/>
  <c r="V534" i="6" a="1"/>
  <c r="V534" i="6" s="1"/>
  <c r="V535" i="6" a="1"/>
  <c r="V535" i="6" s="1"/>
  <c r="V536" i="6" a="1"/>
  <c r="V536" i="6" s="1"/>
  <c r="V537" i="6" a="1"/>
  <c r="V537" i="6" s="1"/>
  <c r="V538" i="6" a="1"/>
  <c r="V538" i="6" s="1"/>
  <c r="V539" i="6" a="1"/>
  <c r="V539" i="6" s="1"/>
  <c r="V540" i="6" a="1"/>
  <c r="V540" i="6" s="1"/>
  <c r="V541" i="6" a="1"/>
  <c r="V541" i="6" s="1"/>
  <c r="V542" i="6" a="1"/>
  <c r="V542" i="6" s="1"/>
  <c r="V543" i="6" a="1"/>
  <c r="V543" i="6" s="1"/>
  <c r="V544" i="6" a="1"/>
  <c r="V544" i="6" s="1"/>
  <c r="V545" i="6" a="1"/>
  <c r="V545" i="6" s="1"/>
  <c r="V546" i="6" a="1"/>
  <c r="V546" i="6" s="1"/>
  <c r="V547" i="6" a="1"/>
  <c r="V547" i="6" s="1"/>
  <c r="V548" i="6" a="1"/>
  <c r="V548" i="6" s="1"/>
  <c r="V549" i="6" a="1"/>
  <c r="V549" i="6" s="1"/>
  <c r="V550" i="6" a="1"/>
  <c r="V550" i="6" s="1"/>
  <c r="V551" i="6" a="1"/>
  <c r="V551" i="6" s="1"/>
  <c r="V552" i="6" a="1"/>
  <c r="V552" i="6" s="1"/>
  <c r="V553" i="6" a="1"/>
  <c r="V553" i="6" s="1"/>
  <c r="V554" i="6" a="1"/>
  <c r="V554" i="6" s="1"/>
  <c r="V555" i="6" a="1"/>
  <c r="V555" i="6" s="1"/>
  <c r="V556" i="6" a="1"/>
  <c r="V556" i="6" s="1"/>
  <c r="V557" i="6" a="1"/>
  <c r="V557" i="6" s="1"/>
  <c r="V558" i="6" a="1"/>
  <c r="V558" i="6" s="1"/>
  <c r="V559" i="6" a="1"/>
  <c r="V559" i="6" s="1"/>
  <c r="V9" i="6" a="1"/>
  <c r="V9" i="6" s="1"/>
  <c r="V560" i="6" a="1"/>
  <c r="V560" i="6" s="1"/>
  <c r="V561" i="6" a="1"/>
  <c r="V561" i="6" s="1"/>
  <c r="V562" i="6" a="1"/>
  <c r="V562" i="6" s="1"/>
  <c r="V563" i="6" a="1"/>
  <c r="V563" i="6" s="1"/>
  <c r="V564" i="6" a="1"/>
  <c r="V564" i="6" s="1"/>
  <c r="V565" i="6" a="1"/>
  <c r="V565" i="6" s="1"/>
  <c r="V566" i="6" a="1"/>
  <c r="V566" i="6" s="1"/>
  <c r="V567" i="6" a="1"/>
  <c r="V567" i="6" s="1"/>
  <c r="V568" i="6" a="1"/>
  <c r="V568" i="6" s="1"/>
  <c r="V569" i="6" a="1"/>
  <c r="V569" i="6" s="1"/>
  <c r="V570" i="6" a="1"/>
  <c r="V570" i="6" s="1"/>
  <c r="V571" i="6" a="1"/>
  <c r="V571" i="6" s="1"/>
  <c r="V572" i="6" a="1"/>
  <c r="V572" i="6" s="1"/>
  <c r="V573" i="6" a="1"/>
  <c r="V573" i="6" s="1"/>
  <c r="V574" i="6" a="1"/>
  <c r="V574" i="6" s="1"/>
  <c r="V575" i="6" a="1"/>
  <c r="V575" i="6" s="1"/>
  <c r="V576" i="6" a="1"/>
  <c r="V576" i="6" s="1"/>
  <c r="V577" i="6" a="1"/>
  <c r="V577" i="6" s="1"/>
  <c r="V578" i="6" a="1"/>
  <c r="V578" i="6" s="1"/>
  <c r="V579" i="6" a="1"/>
  <c r="V579" i="6" s="1"/>
  <c r="V580" i="6" a="1"/>
  <c r="V580" i="6" s="1"/>
  <c r="V581" i="6" a="1"/>
  <c r="V581" i="6" s="1"/>
  <c r="V582" i="6" a="1"/>
  <c r="V582" i="6" s="1"/>
  <c r="V583" i="6" a="1"/>
  <c r="V583" i="6" s="1"/>
  <c r="V584" i="6" a="1"/>
  <c r="V584" i="6" s="1"/>
  <c r="V585" i="6" a="1"/>
  <c r="V585" i="6" s="1"/>
  <c r="V586" i="6" a="1"/>
  <c r="V586" i="6" s="1"/>
  <c r="V587" i="6" a="1"/>
  <c r="V587" i="6" s="1"/>
  <c r="V588" i="6" a="1"/>
  <c r="V588" i="6" s="1"/>
  <c r="V589" i="6" a="1"/>
  <c r="V589" i="6" s="1"/>
  <c r="V590" i="6" a="1"/>
  <c r="V590" i="6" s="1"/>
  <c r="V591" i="6" a="1"/>
  <c r="V591" i="6" s="1"/>
  <c r="V592" i="6" a="1"/>
  <c r="V592" i="6" s="1"/>
  <c r="V593" i="6" a="1"/>
  <c r="V593" i="6" s="1"/>
  <c r="V594" i="6" a="1"/>
  <c r="V594" i="6" s="1"/>
  <c r="V595" i="6" a="1"/>
  <c r="V595" i="6" s="1"/>
  <c r="V596" i="6" a="1"/>
  <c r="V596" i="6" s="1"/>
  <c r="V597" i="6" a="1"/>
  <c r="V597" i="6" s="1"/>
  <c r="V598" i="6" a="1"/>
  <c r="V598" i="6" s="1"/>
  <c r="V599" i="6" a="1"/>
  <c r="V599" i="6" s="1"/>
  <c r="V600" i="6" a="1"/>
  <c r="V600" i="6" s="1"/>
  <c r="V601" i="6" a="1"/>
  <c r="V601" i="6" s="1"/>
  <c r="V602" i="6" a="1"/>
  <c r="V602" i="6" s="1"/>
  <c r="V603" i="6" a="1"/>
  <c r="V603" i="6" s="1"/>
  <c r="V604" i="6" a="1"/>
  <c r="V604" i="6" s="1"/>
  <c r="V605" i="6" a="1"/>
  <c r="V605" i="6" s="1"/>
  <c r="V606" i="6" a="1"/>
  <c r="V606" i="6" s="1"/>
  <c r="V607" i="6" a="1"/>
  <c r="V607" i="6" s="1"/>
  <c r="V608" i="6" a="1"/>
  <c r="V608" i="6" s="1"/>
  <c r="V10" i="6" a="1"/>
  <c r="V10" i="6" s="1"/>
  <c r="V609" i="6" a="1"/>
  <c r="V609" i="6" s="1"/>
  <c r="V610" i="6" a="1"/>
  <c r="V610" i="6" s="1"/>
  <c r="V611" i="6" a="1"/>
  <c r="V611" i="6" s="1"/>
  <c r="V612" i="6" a="1"/>
  <c r="V612" i="6" s="1"/>
  <c r="V613" i="6" a="1"/>
  <c r="V613" i="6" s="1"/>
  <c r="V614" i="6" a="1"/>
  <c r="V614" i="6" s="1"/>
  <c r="V615" i="6" a="1"/>
  <c r="V615" i="6" s="1"/>
  <c r="V616" i="6" a="1"/>
  <c r="V616" i="6" s="1"/>
  <c r="V617" i="6" a="1"/>
  <c r="V617" i="6" s="1"/>
  <c r="V618" i="6" a="1"/>
  <c r="V618" i="6" s="1"/>
  <c r="V619" i="6" a="1"/>
  <c r="V619" i="6" s="1"/>
  <c r="V620" i="6" a="1"/>
  <c r="V620" i="6" s="1"/>
  <c r="V621" i="6" a="1"/>
  <c r="V621" i="6" s="1"/>
  <c r="V622" i="6" a="1"/>
  <c r="V622" i="6" s="1"/>
  <c r="V623" i="6" a="1"/>
  <c r="V623" i="6" s="1"/>
  <c r="V624" i="6" a="1"/>
  <c r="V624" i="6" s="1"/>
  <c r="V625" i="6" a="1"/>
  <c r="V625" i="6" s="1"/>
  <c r="V626" i="6" a="1"/>
  <c r="V626" i="6" s="1"/>
  <c r="V627" i="6" a="1"/>
  <c r="V627" i="6" s="1"/>
  <c r="V628" i="6" a="1"/>
  <c r="V628" i="6" s="1"/>
  <c r="V629" i="6" a="1"/>
  <c r="V629" i="6" s="1"/>
  <c r="V630" i="6" a="1"/>
  <c r="V630" i="6" s="1"/>
  <c r="V631" i="6" a="1"/>
  <c r="V631" i="6" s="1"/>
  <c r="V632" i="6" a="1"/>
  <c r="V632" i="6" s="1"/>
  <c r="V633" i="6" a="1"/>
  <c r="V633" i="6" s="1"/>
  <c r="V634" i="6" a="1"/>
  <c r="V634" i="6" s="1"/>
  <c r="V635" i="6" a="1"/>
  <c r="V635" i="6" s="1"/>
  <c r="V636" i="6" a="1"/>
  <c r="V636" i="6" s="1"/>
  <c r="V637" i="6" a="1"/>
  <c r="V637" i="6" s="1"/>
  <c r="V638" i="6" a="1"/>
  <c r="V638" i="6" s="1"/>
  <c r="V639" i="6" a="1"/>
  <c r="V639" i="6" s="1"/>
  <c r="V640" i="6" a="1"/>
  <c r="V640" i="6" s="1"/>
  <c r="V641" i="6" a="1"/>
  <c r="V641" i="6" s="1"/>
  <c r="V642" i="6" a="1"/>
  <c r="V642" i="6" s="1"/>
  <c r="V643" i="6" a="1"/>
  <c r="V643" i="6" s="1"/>
  <c r="V644" i="6" a="1"/>
  <c r="V644" i="6" s="1"/>
  <c r="V645" i="6" a="1"/>
  <c r="V645" i="6" s="1"/>
  <c r="V646" i="6" a="1"/>
  <c r="V646" i="6" s="1"/>
  <c r="V647" i="6" a="1"/>
  <c r="V647" i="6" s="1"/>
  <c r="V648" i="6" a="1"/>
  <c r="V648" i="6" s="1"/>
  <c r="V649" i="6" a="1"/>
  <c r="V649" i="6" s="1"/>
  <c r="V650" i="6" a="1"/>
  <c r="V650" i="6" s="1"/>
  <c r="V651" i="6" a="1"/>
  <c r="V651" i="6" s="1"/>
  <c r="V652" i="6" a="1"/>
  <c r="V652" i="6" s="1"/>
  <c r="V653" i="6" a="1"/>
  <c r="V653" i="6" s="1"/>
  <c r="V654" i="6" a="1"/>
  <c r="V654" i="6" s="1"/>
  <c r="V655" i="6" a="1"/>
  <c r="V655" i="6" s="1"/>
  <c r="V656" i="6" a="1"/>
  <c r="V656" i="6" s="1"/>
  <c r="V657" i="6" a="1"/>
  <c r="V657" i="6" s="1"/>
  <c r="V658" i="6" a="1"/>
  <c r="V658" i="6" s="1"/>
  <c r="V659" i="6" a="1"/>
  <c r="V659" i="6" s="1"/>
  <c r="V660" i="6" a="1"/>
  <c r="V660" i="6" s="1"/>
  <c r="V661" i="6" a="1"/>
  <c r="V661" i="6" s="1"/>
  <c r="V662" i="6" a="1"/>
  <c r="V662" i="6" s="1"/>
  <c r="V663" i="6" a="1"/>
  <c r="V663" i="6" s="1"/>
  <c r="V664" i="6" a="1"/>
  <c r="V664" i="6" s="1"/>
  <c r="V665" i="6" a="1"/>
  <c r="V665" i="6" s="1"/>
  <c r="V666" i="6" a="1"/>
  <c r="V666" i="6" s="1"/>
  <c r="V667" i="6" a="1"/>
  <c r="V667" i="6" s="1"/>
  <c r="V11" i="6" a="1"/>
  <c r="V11" i="6" s="1"/>
  <c r="V668" i="6" a="1"/>
  <c r="V668" i="6" s="1"/>
  <c r="V669" i="6" a="1"/>
  <c r="V669" i="6" s="1"/>
  <c r="V670" i="6" a="1"/>
  <c r="V670" i="6" s="1"/>
  <c r="V671" i="6" a="1"/>
  <c r="V671" i="6" s="1"/>
  <c r="V672" i="6" a="1"/>
  <c r="V672" i="6" s="1"/>
  <c r="V673" i="6" a="1"/>
  <c r="V673" i="6" s="1"/>
  <c r="V674" i="6" a="1"/>
  <c r="V674" i="6" s="1"/>
  <c r="V675" i="6" a="1"/>
  <c r="V675" i="6" s="1"/>
  <c r="V676" i="6" a="1"/>
  <c r="V676" i="6" s="1"/>
  <c r="V677" i="6" a="1"/>
  <c r="V677" i="6" s="1"/>
  <c r="V678" i="6" a="1"/>
  <c r="V678" i="6" s="1"/>
  <c r="V679" i="6" a="1"/>
  <c r="V679" i="6" s="1"/>
  <c r="V680" i="6" a="1"/>
  <c r="V680" i="6" s="1"/>
  <c r="V681" i="6" a="1"/>
  <c r="V681" i="6" s="1"/>
  <c r="V682" i="6" a="1"/>
  <c r="V682" i="6" s="1"/>
  <c r="V683" i="6" a="1"/>
  <c r="V683" i="6" s="1"/>
  <c r="V684" i="6" a="1"/>
  <c r="V684" i="6" s="1"/>
  <c r="V685" i="6" a="1"/>
  <c r="V685" i="6" s="1"/>
  <c r="V686" i="6" a="1"/>
  <c r="V686" i="6" s="1"/>
  <c r="V687" i="6" a="1"/>
  <c r="V687" i="6" s="1"/>
  <c r="V688" i="6" a="1"/>
  <c r="V688" i="6" s="1"/>
  <c r="V689" i="6" a="1"/>
  <c r="V689" i="6" s="1"/>
  <c r="V690" i="6" a="1"/>
  <c r="V690" i="6" s="1"/>
  <c r="V691" i="6" a="1"/>
  <c r="V691" i="6" s="1"/>
  <c r="V692" i="6" a="1"/>
  <c r="V692" i="6" s="1"/>
  <c r="V693" i="6" a="1"/>
  <c r="V693" i="6" s="1"/>
  <c r="V694" i="6" a="1"/>
  <c r="V694" i="6" s="1"/>
  <c r="V695" i="6" a="1"/>
  <c r="V695" i="6" s="1"/>
  <c r="V696" i="6" a="1"/>
  <c r="V696" i="6" s="1"/>
  <c r="V697" i="6" a="1"/>
  <c r="V697" i="6" s="1"/>
  <c r="V698" i="6" a="1"/>
  <c r="V698" i="6" s="1"/>
  <c r="V699" i="6" a="1"/>
  <c r="V699" i="6" s="1"/>
  <c r="V700" i="6" a="1"/>
  <c r="V700" i="6" s="1"/>
  <c r="V701" i="6" a="1"/>
  <c r="V701" i="6" s="1"/>
  <c r="V702" i="6" a="1"/>
  <c r="V702" i="6" s="1"/>
  <c r="V703" i="6" a="1"/>
  <c r="V703" i="6" s="1"/>
  <c r="V704" i="6" a="1"/>
  <c r="V704" i="6" s="1"/>
  <c r="V705" i="6" a="1"/>
  <c r="V705" i="6" s="1"/>
  <c r="V706" i="6" a="1"/>
  <c r="V706" i="6" s="1"/>
  <c r="V707" i="6" a="1"/>
  <c r="V707" i="6" s="1"/>
  <c r="V708" i="6" a="1"/>
  <c r="V708" i="6" s="1"/>
  <c r="V709" i="6" a="1"/>
  <c r="V709" i="6" s="1"/>
  <c r="V710" i="6" a="1"/>
  <c r="V710" i="6" s="1"/>
  <c r="V711" i="6" a="1"/>
  <c r="V711" i="6" s="1"/>
  <c r="V712" i="6" a="1"/>
  <c r="V712" i="6" s="1"/>
  <c r="V713" i="6" a="1"/>
  <c r="V713" i="6" s="1"/>
  <c r="V714" i="6" a="1"/>
  <c r="V714" i="6" s="1"/>
  <c r="V715" i="6" a="1"/>
  <c r="V715" i="6" s="1"/>
  <c r="V716" i="6" a="1"/>
  <c r="V716" i="6" s="1"/>
  <c r="V717" i="6" a="1"/>
  <c r="V717" i="6" s="1"/>
  <c r="V718" i="6" a="1"/>
  <c r="V718" i="6" s="1"/>
  <c r="V719" i="6" a="1"/>
  <c r="V719" i="6" s="1"/>
  <c r="V720" i="6" a="1"/>
  <c r="V720" i="6" s="1"/>
  <c r="V721" i="6" a="1"/>
  <c r="V721" i="6" s="1"/>
  <c r="V722" i="6" a="1"/>
  <c r="V722" i="6" s="1"/>
  <c r="V12" i="6" a="1"/>
  <c r="V12" i="6" s="1"/>
  <c r="V723" i="6" a="1"/>
  <c r="V723" i="6" s="1"/>
  <c r="V724" i="6" a="1"/>
  <c r="V724" i="6" s="1"/>
  <c r="V725" i="6" a="1"/>
  <c r="V725" i="6" s="1"/>
  <c r="V13" i="6" a="1"/>
  <c r="V13" i="6" s="1"/>
  <c r="V726" i="6" a="1"/>
  <c r="V726" i="6" s="1"/>
  <c r="V727" i="6" a="1"/>
  <c r="V727" i="6" s="1"/>
  <c r="V728" i="6" a="1"/>
  <c r="V728" i="6" s="1"/>
  <c r="V729" i="6" a="1"/>
  <c r="V729" i="6" s="1"/>
  <c r="V730" i="6" a="1"/>
  <c r="V730" i="6" s="1"/>
  <c r="V731" i="6" a="1"/>
  <c r="V731" i="6" s="1"/>
  <c r="V732" i="6" a="1"/>
  <c r="V732" i="6" s="1"/>
  <c r="V733" i="6" a="1"/>
  <c r="V733" i="6" s="1"/>
  <c r="V734" i="6" a="1"/>
  <c r="V734" i="6" s="1"/>
  <c r="V735" i="6" a="1"/>
  <c r="V735" i="6" s="1"/>
  <c r="V736" i="6" a="1"/>
  <c r="V736" i="6" s="1"/>
  <c r="V737" i="6" a="1"/>
  <c r="V737" i="6" s="1"/>
  <c r="V738" i="6" a="1"/>
  <c r="V738" i="6" s="1"/>
  <c r="V739" i="6" a="1"/>
  <c r="V739" i="6" s="1"/>
  <c r="V740" i="6" a="1"/>
  <c r="V740" i="6" s="1"/>
  <c r="V741" i="6" a="1"/>
  <c r="V741" i="6" s="1"/>
  <c r="V742" i="6" a="1"/>
  <c r="V742" i="6" s="1"/>
  <c r="V743" i="6" a="1"/>
  <c r="V743" i="6" s="1"/>
  <c r="V744" i="6" a="1"/>
  <c r="V744" i="6" s="1"/>
  <c r="V745" i="6" a="1"/>
  <c r="V745" i="6" s="1"/>
  <c r="V746" i="6" a="1"/>
  <c r="V746" i="6" s="1"/>
  <c r="V747" i="6" a="1"/>
  <c r="V747" i="6" s="1"/>
  <c r="V748" i="6" a="1"/>
  <c r="V748" i="6" s="1"/>
  <c r="V749" i="6" a="1"/>
  <c r="V749" i="6" s="1"/>
  <c r="V750" i="6" a="1"/>
  <c r="V750" i="6" s="1"/>
  <c r="V751" i="6" a="1"/>
  <c r="V751" i="6" s="1"/>
  <c r="V752" i="6" a="1"/>
  <c r="V752" i="6" s="1"/>
  <c r="V753" i="6" a="1"/>
  <c r="V753" i="6" s="1"/>
  <c r="V754" i="6" a="1"/>
  <c r="V754" i="6" s="1"/>
  <c r="V755" i="6" a="1"/>
  <c r="V755" i="6" s="1"/>
  <c r="V756" i="6" a="1"/>
  <c r="V756" i="6" s="1"/>
  <c r="V757" i="6" a="1"/>
  <c r="V757" i="6" s="1"/>
  <c r="V758" i="6" a="1"/>
  <c r="V758" i="6" s="1"/>
  <c r="V759" i="6" a="1"/>
  <c r="V759" i="6" s="1"/>
  <c r="V14" i="6" a="1"/>
  <c r="V14" i="6" s="1"/>
  <c r="V760" i="6" a="1"/>
  <c r="V760" i="6" s="1"/>
  <c r="V761" i="6" a="1"/>
  <c r="V761" i="6" s="1"/>
  <c r="V762" i="6" a="1"/>
  <c r="V762" i="6" s="1"/>
  <c r="V763" i="6" a="1"/>
  <c r="V763" i="6" s="1"/>
  <c r="V764" i="6" a="1"/>
  <c r="V764" i="6" s="1"/>
  <c r="V765" i="6" a="1"/>
  <c r="V765" i="6" s="1"/>
  <c r="V766" i="6" a="1"/>
  <c r="V766" i="6" s="1"/>
  <c r="V767" i="6" a="1"/>
  <c r="V767" i="6" s="1"/>
  <c r="V768" i="6" a="1"/>
  <c r="V768" i="6" s="1"/>
  <c r="V769" i="6" a="1"/>
  <c r="V769" i="6" s="1"/>
  <c r="V770" i="6" a="1"/>
  <c r="V770" i="6" s="1"/>
  <c r="V771" i="6" a="1"/>
  <c r="V771" i="6" s="1"/>
  <c r="V772" i="6" a="1"/>
  <c r="V772" i="6" s="1"/>
  <c r="V773" i="6" a="1"/>
  <c r="V773" i="6" s="1"/>
  <c r="V774" i="6" a="1"/>
  <c r="V774" i="6" s="1"/>
  <c r="V15" i="6" a="1"/>
  <c r="V15" i="6" s="1"/>
  <c r="V775" i="6" a="1"/>
  <c r="V775" i="6" s="1"/>
  <c r="V776" i="6" a="1"/>
  <c r="V776" i="6" s="1"/>
  <c r="V777" i="6" a="1"/>
  <c r="V777" i="6" s="1"/>
  <c r="V778" i="6" a="1"/>
  <c r="V778" i="6" s="1"/>
  <c r="V779" i="6" a="1"/>
  <c r="V779" i="6" s="1"/>
  <c r="V780" i="6" a="1"/>
  <c r="V780" i="6" s="1"/>
  <c r="V781" i="6" a="1"/>
  <c r="V781" i="6" s="1"/>
  <c r="V782" i="6" a="1"/>
  <c r="V782" i="6" s="1"/>
  <c r="V783" i="6" a="1"/>
  <c r="V783" i="6" s="1"/>
  <c r="V784" i="6" a="1"/>
  <c r="V784" i="6" s="1"/>
  <c r="V785" i="6" a="1"/>
  <c r="V785" i="6" s="1"/>
  <c r="V786" i="6" a="1"/>
  <c r="V786" i="6" s="1"/>
  <c r="V787" i="6" a="1"/>
  <c r="V787" i="6" s="1"/>
  <c r="V788" i="6" a="1"/>
  <c r="V788" i="6" s="1"/>
  <c r="V789" i="6" a="1"/>
  <c r="V789" i="6" s="1"/>
  <c r="V790" i="6" a="1"/>
  <c r="V790" i="6" s="1"/>
  <c r="V791" i="6" a="1"/>
  <c r="V791" i="6" s="1"/>
  <c r="V792" i="6" a="1"/>
  <c r="V792" i="6" s="1"/>
  <c r="V793" i="6" a="1"/>
  <c r="V793" i="6" s="1"/>
  <c r="V794" i="6" a="1"/>
  <c r="V794" i="6" s="1"/>
  <c r="V795" i="6" a="1"/>
  <c r="V795" i="6" s="1"/>
  <c r="V796" i="6" a="1"/>
  <c r="V796" i="6" s="1"/>
  <c r="V797" i="6" a="1"/>
  <c r="V797" i="6" s="1"/>
  <c r="V16" i="6" a="1"/>
  <c r="V16" i="6" s="1"/>
  <c r="V798" i="6" a="1"/>
  <c r="V798" i="6" s="1"/>
  <c r="V799" i="6" a="1"/>
  <c r="V799" i="6" s="1"/>
  <c r="V800" i="6" a="1"/>
  <c r="V800" i="6" s="1"/>
  <c r="V801" i="6" a="1"/>
  <c r="V801" i="6" s="1"/>
  <c r="V17" i="6" a="1"/>
  <c r="V17" i="6" s="1"/>
  <c r="V802" i="6" a="1"/>
  <c r="V802" i="6" s="1"/>
  <c r="V803" i="6" a="1"/>
  <c r="V803" i="6" s="1"/>
  <c r="V804" i="6" a="1"/>
  <c r="V804" i="6" s="1"/>
  <c r="V805" i="6" a="1"/>
  <c r="V805" i="6" s="1"/>
  <c r="V806" i="6" a="1"/>
  <c r="V806" i="6" s="1"/>
  <c r="V807" i="6" a="1"/>
  <c r="V807" i="6" s="1"/>
  <c r="V808" i="6" a="1"/>
  <c r="V808" i="6" s="1"/>
  <c r="V809" i="6" a="1"/>
  <c r="V809" i="6" s="1"/>
  <c r="V810" i="6" a="1"/>
  <c r="V810" i="6" s="1"/>
  <c r="V811" i="6" a="1"/>
  <c r="V811" i="6" s="1"/>
  <c r="V812" i="6" a="1"/>
  <c r="V812" i="6" s="1"/>
  <c r="V813" i="6" a="1"/>
  <c r="V813" i="6" s="1"/>
  <c r="V814" i="6" a="1"/>
  <c r="V814" i="6" s="1"/>
  <c r="V815" i="6" a="1"/>
  <c r="V815" i="6" s="1"/>
  <c r="V816" i="6" a="1"/>
  <c r="V816" i="6" s="1"/>
  <c r="V817" i="6" a="1"/>
  <c r="V817" i="6" s="1"/>
  <c r="V818" i="6" a="1"/>
  <c r="V818" i="6" s="1"/>
  <c r="V819" i="6" a="1"/>
  <c r="V819" i="6" s="1"/>
  <c r="V820" i="6" a="1"/>
  <c r="V820" i="6" s="1"/>
  <c r="V821" i="6" a="1"/>
  <c r="V821" i="6" s="1"/>
  <c r="V822" i="6" a="1"/>
  <c r="V822" i="6" s="1"/>
  <c r="V823" i="6" a="1"/>
  <c r="V823" i="6" s="1"/>
  <c r="V824" i="6" a="1"/>
  <c r="V824" i="6" s="1"/>
  <c r="V825" i="6" a="1"/>
  <c r="V825" i="6" s="1"/>
  <c r="V826" i="6" a="1"/>
  <c r="V826" i="6" s="1"/>
  <c r="V827" i="6" a="1"/>
  <c r="V827" i="6" s="1"/>
  <c r="V828" i="6" a="1"/>
  <c r="V828" i="6" s="1"/>
  <c r="V829" i="6" a="1"/>
  <c r="V829" i="6" s="1"/>
  <c r="V830" i="6" a="1"/>
  <c r="V830" i="6" s="1"/>
  <c r="V831" i="6" a="1"/>
  <c r="V831" i="6" s="1"/>
  <c r="V832" i="6" a="1"/>
  <c r="V832" i="6" s="1"/>
  <c r="V833" i="6" a="1"/>
  <c r="V833" i="6" s="1"/>
  <c r="V834" i="6" a="1"/>
  <c r="V834" i="6" s="1"/>
  <c r="V835" i="6" a="1"/>
  <c r="V835" i="6" s="1"/>
  <c r="V836" i="6" a="1"/>
  <c r="V836" i="6" s="1"/>
  <c r="V837" i="6" a="1"/>
  <c r="V837" i="6" s="1"/>
  <c r="V838" i="6" a="1"/>
  <c r="V838" i="6" s="1"/>
  <c r="V839" i="6" a="1"/>
  <c r="V839" i="6" s="1"/>
  <c r="V840" i="6" a="1"/>
  <c r="V840" i="6" s="1"/>
  <c r="V841" i="6" a="1"/>
  <c r="V841" i="6" s="1"/>
  <c r="V842" i="6" a="1"/>
  <c r="V842" i="6" s="1"/>
  <c r="V843" i="6" a="1"/>
  <c r="V843" i="6" s="1"/>
  <c r="V844" i="6" a="1"/>
  <c r="V844" i="6" s="1"/>
  <c r="V845" i="6" a="1"/>
  <c r="V845" i="6" s="1"/>
  <c r="V846" i="6" a="1"/>
  <c r="V846" i="6" s="1"/>
  <c r="V847" i="6" a="1"/>
  <c r="V847" i="6" s="1"/>
  <c r="V848" i="6" a="1"/>
  <c r="V848" i="6" s="1"/>
  <c r="V849" i="6" a="1"/>
  <c r="V849" i="6" s="1"/>
  <c r="V850" i="6" a="1"/>
  <c r="V850" i="6" s="1"/>
  <c r="V851" i="6" a="1"/>
  <c r="V851" i="6" s="1"/>
  <c r="V852" i="6" a="1"/>
  <c r="V852" i="6" s="1"/>
  <c r="V853" i="6" a="1"/>
  <c r="V853" i="6" s="1"/>
  <c r="V854" i="6" a="1"/>
  <c r="V854" i="6" s="1"/>
  <c r="V855" i="6" a="1"/>
  <c r="V855" i="6" s="1"/>
  <c r="V856" i="6" a="1"/>
  <c r="V856" i="6" s="1"/>
  <c r="V857" i="6" a="1"/>
  <c r="V857" i="6" s="1"/>
  <c r="V858" i="6" a="1"/>
  <c r="V858" i="6" s="1"/>
  <c r="V859" i="6" a="1"/>
  <c r="V859" i="6" s="1"/>
  <c r="V18" i="6" a="1"/>
  <c r="V18" i="6" s="1"/>
  <c r="V860" i="6" a="1"/>
  <c r="V860" i="6" s="1"/>
  <c r="V861" i="6" a="1"/>
  <c r="V861" i="6" s="1"/>
  <c r="V19" i="6" a="1"/>
  <c r="V19" i="6" s="1"/>
  <c r="V862" i="6" a="1"/>
  <c r="V862" i="6" s="1"/>
  <c r="V863" i="6" a="1"/>
  <c r="V863" i="6" s="1"/>
  <c r="V864" i="6" a="1"/>
  <c r="V864" i="6" s="1"/>
  <c r="V20" i="6" a="1"/>
  <c r="V20" i="6" s="1"/>
  <c r="V865" i="6" a="1"/>
  <c r="V865" i="6" s="1"/>
  <c r="V21" i="6" a="1"/>
  <c r="V21" i="6" s="1"/>
  <c r="V22" i="6" a="1"/>
  <c r="V22" i="6" s="1"/>
  <c r="V23" i="6" a="1"/>
  <c r="V23" i="6" s="1"/>
  <c r="V24" i="6" a="1"/>
  <c r="V24" i="6" s="1"/>
  <c r="V25" i="6" a="1"/>
  <c r="V25" i="6" s="1"/>
  <c r="V866" i="6" a="1"/>
  <c r="V866" i="6" s="1"/>
  <c r="V867" i="6" a="1"/>
  <c r="V867" i="6" s="1"/>
  <c r="V26" i="6" a="1"/>
  <c r="V26" i="6" s="1"/>
  <c r="V868" i="6" a="1"/>
  <c r="V868" i="6" s="1"/>
  <c r="V869" i="6" a="1"/>
  <c r="V869" i="6" s="1"/>
  <c r="V870" i="6" a="1"/>
  <c r="V870" i="6" s="1"/>
  <c r="V871" i="6" a="1"/>
  <c r="V871" i="6" s="1"/>
  <c r="V872" i="6" a="1"/>
  <c r="V872" i="6" s="1"/>
  <c r="V873" i="6" a="1"/>
  <c r="V873" i="6" s="1"/>
  <c r="V874" i="6" a="1"/>
  <c r="V874" i="6" s="1"/>
  <c r="V875" i="6" a="1"/>
  <c r="V875" i="6" s="1"/>
  <c r="V876" i="6" a="1"/>
  <c r="V876" i="6" s="1"/>
  <c r="V877" i="6" a="1"/>
  <c r="V877" i="6" s="1"/>
  <c r="V878" i="6" a="1"/>
  <c r="V878" i="6" s="1"/>
  <c r="V879" i="6" a="1"/>
  <c r="V879" i="6" s="1"/>
  <c r="V27" i="6" a="1"/>
  <c r="V27" i="6" s="1"/>
  <c r="V880" i="6" a="1"/>
  <c r="V880" i="6" s="1"/>
  <c r="V881" i="6" a="1"/>
  <c r="V881" i="6" s="1"/>
  <c r="V882" i="6" a="1"/>
  <c r="V882" i="6" s="1"/>
  <c r="V883" i="6" a="1"/>
  <c r="V883" i="6" s="1"/>
  <c r="V884" i="6" a="1"/>
  <c r="V884" i="6" s="1"/>
  <c r="V885" i="6" a="1"/>
  <c r="V885" i="6" s="1"/>
  <c r="V886" i="6" a="1"/>
  <c r="V886" i="6" s="1"/>
  <c r="V887" i="6" a="1"/>
  <c r="V887" i="6" s="1"/>
  <c r="V888" i="6" a="1"/>
  <c r="V888" i="6" s="1"/>
  <c r="V889" i="6" a="1"/>
  <c r="V889" i="6" s="1"/>
  <c r="V28" i="6" a="1"/>
  <c r="V28" i="6" s="1"/>
  <c r="V890" i="6" a="1"/>
  <c r="V890" i="6" s="1"/>
  <c r="V891" i="6" a="1"/>
  <c r="V891" i="6" s="1"/>
  <c r="V892" i="6" a="1"/>
  <c r="V892" i="6" s="1"/>
  <c r="V893" i="6" a="1"/>
  <c r="V893" i="6" s="1"/>
  <c r="V894" i="6" a="1"/>
  <c r="V894" i="6" s="1"/>
  <c r="V895" i="6" a="1"/>
  <c r="V895" i="6" s="1"/>
  <c r="V896" i="6" a="1"/>
  <c r="V896" i="6" s="1"/>
  <c r="V897" i="6" a="1"/>
  <c r="V897" i="6" s="1"/>
  <c r="V898" i="6" a="1"/>
  <c r="V898" i="6" s="1"/>
  <c r="V899" i="6" a="1"/>
  <c r="V899" i="6" s="1"/>
  <c r="V900" i="6" a="1"/>
  <c r="V900" i="6" s="1"/>
  <c r="V901" i="6" a="1"/>
  <c r="V901" i="6" s="1"/>
  <c r="V902" i="6" a="1"/>
  <c r="V902" i="6" s="1"/>
  <c r="V903" i="6" a="1"/>
  <c r="V903" i="6" s="1"/>
  <c r="V904" i="6" a="1"/>
  <c r="V904" i="6" s="1"/>
  <c r="V905" i="6" a="1"/>
  <c r="V905" i="6" s="1"/>
  <c r="V906" i="6" a="1"/>
  <c r="V906" i="6" s="1"/>
  <c r="V907" i="6" a="1"/>
  <c r="V907" i="6" s="1"/>
  <c r="V908" i="6" a="1"/>
  <c r="V908" i="6" s="1"/>
  <c r="V909" i="6" a="1"/>
  <c r="V909" i="6" s="1"/>
  <c r="V910" i="6" a="1"/>
  <c r="V910" i="6" s="1"/>
  <c r="V911" i="6" a="1"/>
  <c r="V911" i="6" s="1"/>
  <c r="V912" i="6" a="1"/>
  <c r="V912" i="6" s="1"/>
  <c r="V913" i="6" a="1"/>
  <c r="V913" i="6" s="1"/>
  <c r="V914" i="6" a="1"/>
  <c r="V914" i="6" s="1"/>
  <c r="V915" i="6" a="1"/>
  <c r="V915" i="6" s="1"/>
  <c r="V916" i="6" a="1"/>
  <c r="V916" i="6" s="1"/>
  <c r="V29" i="6" a="1"/>
  <c r="V29" i="6" s="1"/>
  <c r="V917" i="6" a="1"/>
  <c r="V917" i="6" s="1"/>
  <c r="V918" i="6" a="1"/>
  <c r="V918" i="6" s="1"/>
  <c r="V919" i="6" a="1"/>
  <c r="V919" i="6" s="1"/>
  <c r="V920" i="6" a="1"/>
  <c r="V920" i="6" s="1"/>
  <c r="V921" i="6" a="1"/>
  <c r="V921" i="6" s="1"/>
  <c r="V922" i="6" a="1"/>
  <c r="V922" i="6" s="1"/>
  <c r="V923" i="6" a="1"/>
  <c r="V923" i="6" s="1"/>
  <c r="V30" i="6" a="1"/>
  <c r="V30" i="6" s="1"/>
  <c r="V31" i="6" a="1"/>
  <c r="V31" i="6" s="1"/>
  <c r="V924" i="6" a="1"/>
  <c r="V924" i="6" s="1"/>
  <c r="V925" i="6" a="1"/>
  <c r="V925" i="6" s="1"/>
  <c r="V926" i="6" a="1"/>
  <c r="V926" i="6" s="1"/>
  <c r="V927" i="6" a="1"/>
  <c r="V927" i="6" s="1"/>
  <c r="V928" i="6" a="1"/>
  <c r="V928" i="6" s="1"/>
  <c r="V929" i="6" a="1"/>
  <c r="V929" i="6" s="1"/>
  <c r="V930" i="6" a="1"/>
  <c r="V930" i="6" s="1"/>
  <c r="V931" i="6" a="1"/>
  <c r="V931" i="6" s="1"/>
  <c r="V932" i="6" a="1"/>
  <c r="V932" i="6" s="1"/>
  <c r="V933" i="6" a="1"/>
  <c r="V933" i="6" s="1"/>
  <c r="V934" i="6" a="1"/>
  <c r="V934" i="6" s="1"/>
  <c r="V935" i="6" a="1"/>
  <c r="V935" i="6" s="1"/>
  <c r="V936" i="6" a="1"/>
  <c r="V936" i="6" s="1"/>
  <c r="V937" i="6" a="1"/>
  <c r="V937" i="6" s="1"/>
  <c r="V938" i="6" a="1"/>
  <c r="V938" i="6" s="1"/>
  <c r="V939" i="6" a="1"/>
  <c r="V939" i="6" s="1"/>
  <c r="V940" i="6" a="1"/>
  <c r="V940" i="6" s="1"/>
  <c r="V32" i="6" a="1"/>
  <c r="V32" i="6" s="1"/>
  <c r="V33" i="6" a="1"/>
  <c r="V33" i="6" s="1"/>
  <c r="V941" i="6" a="1"/>
  <c r="V941" i="6" s="1"/>
  <c r="V942" i="6" a="1"/>
  <c r="V942" i="6" s="1"/>
  <c r="V943" i="6" a="1"/>
  <c r="V943" i="6" s="1"/>
  <c r="V944" i="6" a="1"/>
  <c r="V944" i="6" s="1"/>
  <c r="V945" i="6" a="1"/>
  <c r="V945" i="6" s="1"/>
  <c r="V946" i="6" a="1"/>
  <c r="V946" i="6" s="1"/>
  <c r="V34" i="6" a="1"/>
  <c r="V34" i="6" s="1"/>
  <c r="V947" i="6" a="1"/>
  <c r="V947" i="6" s="1"/>
  <c r="V948" i="6" a="1"/>
  <c r="V948" i="6" s="1"/>
  <c r="V949" i="6" a="1"/>
  <c r="V949" i="6" s="1"/>
  <c r="V950" i="6" a="1"/>
  <c r="V950" i="6" s="1"/>
  <c r="V951" i="6" a="1"/>
  <c r="V951" i="6" s="1"/>
  <c r="V952" i="6" a="1"/>
  <c r="V952" i="6" s="1"/>
  <c r="V953" i="6" a="1"/>
  <c r="V953" i="6" s="1"/>
  <c r="V954" i="6" a="1"/>
  <c r="V954" i="6" s="1"/>
  <c r="V955" i="6" a="1"/>
  <c r="V955" i="6" s="1"/>
  <c r="V956" i="6" a="1"/>
  <c r="V956" i="6" s="1"/>
  <c r="V957" i="6" a="1"/>
  <c r="V957" i="6" s="1"/>
  <c r="V958" i="6" a="1"/>
  <c r="V958" i="6" s="1"/>
  <c r="V35" i="6" a="1"/>
  <c r="V35" i="6" s="1"/>
  <c r="V959" i="6" a="1"/>
  <c r="V959" i="6" s="1"/>
  <c r="V960" i="6" a="1"/>
  <c r="V960" i="6" s="1"/>
  <c r="V961" i="6" a="1"/>
  <c r="V961" i="6" s="1"/>
  <c r="V962" i="6" a="1"/>
  <c r="V962" i="6" s="1"/>
  <c r="V963" i="6" a="1"/>
  <c r="V963" i="6" s="1"/>
  <c r="V36" i="6" a="1"/>
  <c r="V36" i="6" s="1"/>
  <c r="V964" i="6" a="1"/>
  <c r="V964" i="6" s="1"/>
  <c r="V965" i="6" a="1"/>
  <c r="V965" i="6" s="1"/>
  <c r="V37" i="6" a="1"/>
  <c r="V37" i="6" s="1"/>
  <c r="V966" i="6" a="1"/>
  <c r="V966" i="6" s="1"/>
  <c r="V967" i="6" a="1"/>
  <c r="V967" i="6" s="1"/>
  <c r="V38" i="6" a="1"/>
  <c r="V38" i="6" s="1"/>
  <c r="V968" i="6" a="1"/>
  <c r="V968" i="6" s="1"/>
  <c r="V969" i="6" a="1"/>
  <c r="V969" i="6" s="1"/>
  <c r="V970" i="6" a="1"/>
  <c r="V970" i="6" s="1"/>
  <c r="V971" i="6" a="1"/>
  <c r="V971" i="6" s="1"/>
  <c r="V972" i="6" a="1"/>
  <c r="V972" i="6" s="1"/>
  <c r="V973" i="6" a="1"/>
  <c r="V973" i="6" s="1"/>
  <c r="V974" i="6" a="1"/>
  <c r="V974" i="6" s="1"/>
  <c r="V975" i="6" a="1"/>
  <c r="V975" i="6" s="1"/>
  <c r="V976" i="6" a="1"/>
  <c r="V976" i="6" s="1"/>
  <c r="V977" i="6" a="1"/>
  <c r="V977" i="6" s="1"/>
  <c r="V978" i="6" a="1"/>
  <c r="V978" i="6" s="1"/>
  <c r="V979" i="6" a="1"/>
  <c r="V979" i="6" s="1"/>
  <c r="V980" i="6" a="1"/>
  <c r="V980" i="6" s="1"/>
  <c r="V981" i="6" a="1"/>
  <c r="V981" i="6" s="1"/>
  <c r="V982" i="6" a="1"/>
  <c r="V982" i="6" s="1"/>
  <c r="V983" i="6" a="1"/>
  <c r="V983" i="6" s="1"/>
  <c r="V984" i="6" a="1"/>
  <c r="V984" i="6" s="1"/>
  <c r="V985" i="6" a="1"/>
  <c r="V985" i="6" s="1"/>
  <c r="V986" i="6" a="1"/>
  <c r="V986" i="6" s="1"/>
  <c r="V987" i="6" a="1"/>
  <c r="V987" i="6" s="1"/>
  <c r="V988" i="6" a="1"/>
  <c r="V988" i="6" s="1"/>
  <c r="V989" i="6" a="1"/>
  <c r="V989" i="6" s="1"/>
  <c r="V990" i="6" a="1"/>
  <c r="V990" i="6" s="1"/>
  <c r="V991" i="6" a="1"/>
  <c r="V991" i="6" s="1"/>
  <c r="V992" i="6" a="1"/>
  <c r="V992" i="6" s="1"/>
  <c r="V993" i="6" a="1"/>
  <c r="V993" i="6" s="1"/>
  <c r="V994" i="6" a="1"/>
  <c r="V994" i="6" s="1"/>
  <c r="V995" i="6" a="1"/>
  <c r="V995" i="6" s="1"/>
  <c r="V996" i="6" a="1"/>
  <c r="V996" i="6" s="1"/>
  <c r="V997" i="6" a="1"/>
  <c r="V997" i="6" s="1"/>
  <c r="V998" i="6" a="1"/>
  <c r="V998" i="6" s="1"/>
  <c r="V999" i="6" a="1"/>
  <c r="V999" i="6" s="1"/>
  <c r="V39" i="6" a="1"/>
  <c r="V39" i="6" s="1"/>
  <c r="V1000" i="6" a="1"/>
  <c r="V1000" i="6" s="1"/>
  <c r="V1001" i="6" a="1"/>
  <c r="V1001" i="6" s="1"/>
  <c r="V1002" i="6" a="1"/>
  <c r="V1002" i="6" s="1"/>
  <c r="X50"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3"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4"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5"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6"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7" i="6"/>
  <c r="Q477" i="6"/>
  <c r="Q478" i="6"/>
  <c r="Q479" i="6"/>
  <c r="Q480" i="6"/>
  <c r="Q481" i="6"/>
  <c r="Q8"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10"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11"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12" i="6"/>
  <c r="Q723" i="6"/>
  <c r="Q724" i="6"/>
  <c r="Q725" i="6"/>
  <c r="Q13"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14" i="6"/>
  <c r="Q760" i="6"/>
  <c r="Q761" i="6"/>
  <c r="Q762" i="6"/>
  <c r="Q763" i="6"/>
  <c r="Q764" i="6"/>
  <c r="Q765" i="6"/>
  <c r="Q766" i="6"/>
  <c r="Q767" i="6"/>
  <c r="Q768" i="6"/>
  <c r="Q769" i="6"/>
  <c r="Q770" i="6"/>
  <c r="Q771" i="6"/>
  <c r="Q772" i="6"/>
  <c r="Q773" i="6"/>
  <c r="Q774" i="6"/>
  <c r="Q15" i="6"/>
  <c r="Q775" i="6"/>
  <c r="Q776" i="6"/>
  <c r="Q777" i="6"/>
  <c r="Q778" i="6"/>
  <c r="Q779" i="6"/>
  <c r="Q780" i="6"/>
  <c r="Q781" i="6"/>
  <c r="Q782" i="6"/>
  <c r="Q783" i="6"/>
  <c r="Q784" i="6"/>
  <c r="Q785" i="6"/>
  <c r="Q786" i="6"/>
  <c r="Q787" i="6"/>
  <c r="Q788" i="6"/>
  <c r="Q789" i="6"/>
  <c r="Q790" i="6"/>
  <c r="Q791" i="6"/>
  <c r="Q792" i="6"/>
  <c r="Q793" i="6"/>
  <c r="Q794" i="6"/>
  <c r="Q795" i="6"/>
  <c r="Q796" i="6"/>
  <c r="Q797" i="6"/>
  <c r="Q16" i="6"/>
  <c r="Q798" i="6"/>
  <c r="Q799" i="6"/>
  <c r="Q800" i="6"/>
  <c r="Q801" i="6"/>
  <c r="Q17"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18" i="6"/>
  <c r="Q860" i="6"/>
  <c r="Q861" i="6"/>
  <c r="Q19" i="6"/>
  <c r="Q862" i="6"/>
  <c r="Q863" i="6"/>
  <c r="Q864" i="6"/>
  <c r="Q20" i="6"/>
  <c r="Q865" i="6"/>
  <c r="Q21" i="6"/>
  <c r="Q22" i="6"/>
  <c r="Q23" i="6"/>
  <c r="Q24" i="6"/>
  <c r="Q25" i="6"/>
  <c r="Q866" i="6"/>
  <c r="Q867" i="6"/>
  <c r="Q26" i="6"/>
  <c r="Q868" i="6"/>
  <c r="Q869" i="6"/>
  <c r="Q870" i="6"/>
  <c r="Q871" i="6"/>
  <c r="Q872" i="6"/>
  <c r="Q873" i="6"/>
  <c r="Q874" i="6"/>
  <c r="Q875" i="6"/>
  <c r="Q876" i="6"/>
  <c r="Q877" i="6"/>
  <c r="Q878" i="6"/>
  <c r="Q879" i="6"/>
  <c r="Q27" i="6"/>
  <c r="Q880" i="6"/>
  <c r="Q881" i="6"/>
  <c r="Q882" i="6"/>
  <c r="Q883" i="6"/>
  <c r="Q884" i="6"/>
  <c r="Q885" i="6"/>
  <c r="Q886" i="6"/>
  <c r="Q887" i="6"/>
  <c r="Q888" i="6"/>
  <c r="Q889" i="6"/>
  <c r="Q28"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29" i="6"/>
  <c r="Q917" i="6"/>
  <c r="Q918" i="6"/>
  <c r="Q919" i="6"/>
  <c r="Q920" i="6"/>
  <c r="Q921" i="6"/>
  <c r="Q922" i="6"/>
  <c r="Q923" i="6"/>
  <c r="Q30" i="6"/>
  <c r="Q31" i="6"/>
  <c r="Q924" i="6"/>
  <c r="Q925" i="6"/>
  <c r="Q926" i="6"/>
  <c r="Q927" i="6"/>
  <c r="Q928" i="6"/>
  <c r="Q929" i="6"/>
  <c r="Q930" i="6"/>
  <c r="Q931" i="6"/>
  <c r="Q932" i="6"/>
  <c r="Q933" i="6"/>
  <c r="Q934" i="6"/>
  <c r="Q935" i="6"/>
  <c r="Q936" i="6"/>
  <c r="Q937" i="6"/>
  <c r="Q938" i="6"/>
  <c r="Q939" i="6"/>
  <c r="Q940" i="6"/>
  <c r="Q32" i="6"/>
  <c r="Q33" i="6"/>
  <c r="Q941" i="6"/>
  <c r="Q942" i="6"/>
  <c r="Q943" i="6"/>
  <c r="Q944" i="6"/>
  <c r="Q945" i="6"/>
  <c r="Q946" i="6"/>
  <c r="Q34" i="6"/>
  <c r="Q947" i="6"/>
  <c r="Q948" i="6"/>
  <c r="Q949" i="6"/>
  <c r="Q950" i="6"/>
  <c r="Q951" i="6"/>
  <c r="Q952" i="6"/>
  <c r="Q953" i="6"/>
  <c r="Q954" i="6"/>
  <c r="Q955" i="6"/>
  <c r="Q956" i="6"/>
  <c r="Q957" i="6"/>
  <c r="Q958" i="6"/>
  <c r="Q35" i="6"/>
  <c r="Q959" i="6"/>
  <c r="Q960" i="6"/>
  <c r="Q961" i="6"/>
  <c r="Q962" i="6"/>
  <c r="Q963" i="6"/>
  <c r="Q36" i="6"/>
  <c r="Q964" i="6"/>
  <c r="Q965" i="6"/>
  <c r="Q37" i="6"/>
  <c r="Q966" i="6"/>
  <c r="Q967" i="6"/>
  <c r="Q38"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39" i="6"/>
  <c r="Q1000" i="6"/>
  <c r="Q1001" i="6"/>
  <c r="Q1002" i="6"/>
  <c r="X40" i="6"/>
  <c r="X41" i="6"/>
  <c r="X42" i="6"/>
  <c r="X43" i="6"/>
  <c r="X44" i="6"/>
  <c r="X45" i="6"/>
  <c r="X46" i="6"/>
  <c r="X47" i="6"/>
  <c r="X48" i="6"/>
  <c r="X49"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3"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4"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5"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0" i="6"/>
  <c r="X431" i="6"/>
  <c r="X432" i="6"/>
  <c r="X433" i="6"/>
  <c r="X434" i="6"/>
  <c r="X435" i="6"/>
  <c r="X436" i="6"/>
  <c r="X437" i="6"/>
  <c r="X438" i="6"/>
  <c r="X439" i="6"/>
  <c r="X440" i="6"/>
  <c r="X441" i="6"/>
  <c r="X6" i="6"/>
  <c r="X442" i="6"/>
  <c r="X443" i="6"/>
  <c r="X444" i="6"/>
  <c r="X445" i="6"/>
  <c r="X446" i="6"/>
  <c r="X447" i="6"/>
  <c r="X448" i="6"/>
  <c r="X449" i="6"/>
  <c r="X450" i="6"/>
  <c r="X451" i="6"/>
  <c r="X452" i="6"/>
  <c r="X453" i="6"/>
  <c r="X454" i="6"/>
  <c r="X455" i="6"/>
  <c r="X456" i="6"/>
  <c r="X457" i="6"/>
  <c r="X458" i="6"/>
  <c r="X459" i="6"/>
  <c r="X460" i="6"/>
  <c r="X461" i="6"/>
  <c r="X462" i="6"/>
  <c r="X463" i="6"/>
  <c r="X464" i="6"/>
  <c r="X465" i="6"/>
  <c r="X466" i="6"/>
  <c r="X467" i="6"/>
  <c r="X468" i="6"/>
  <c r="X469" i="6"/>
  <c r="X470" i="6"/>
  <c r="X471" i="6"/>
  <c r="X472" i="6"/>
  <c r="X473" i="6"/>
  <c r="X474" i="6"/>
  <c r="X475" i="6"/>
  <c r="X476" i="6"/>
  <c r="X477" i="6"/>
  <c r="X478" i="6"/>
  <c r="X479" i="6"/>
  <c r="X480" i="6"/>
  <c r="X481" i="6"/>
  <c r="X8" i="6"/>
  <c r="X482" i="6"/>
  <c r="X483" i="6"/>
  <c r="X484" i="6"/>
  <c r="X485" i="6"/>
  <c r="X486" i="6"/>
  <c r="X487" i="6"/>
  <c r="X488" i="6"/>
  <c r="X489" i="6"/>
  <c r="X490" i="6"/>
  <c r="X491" i="6"/>
  <c r="X492" i="6"/>
  <c r="X493" i="6"/>
  <c r="X494" i="6"/>
  <c r="X495" i="6"/>
  <c r="X496" i="6"/>
  <c r="X497" i="6"/>
  <c r="X498" i="6"/>
  <c r="X499" i="6"/>
  <c r="X500" i="6"/>
  <c r="X501" i="6"/>
  <c r="X502" i="6"/>
  <c r="X503" i="6"/>
  <c r="X504" i="6"/>
  <c r="X505" i="6"/>
  <c r="X506" i="6"/>
  <c r="X507" i="6"/>
  <c r="X508" i="6"/>
  <c r="X509" i="6"/>
  <c r="X510" i="6"/>
  <c r="X511" i="6"/>
  <c r="X512" i="6"/>
  <c r="X513" i="6"/>
  <c r="X514" i="6"/>
  <c r="X515" i="6"/>
  <c r="X516" i="6"/>
  <c r="X517" i="6"/>
  <c r="X518" i="6"/>
  <c r="X519" i="6"/>
  <c r="X520" i="6"/>
  <c r="X521" i="6"/>
  <c r="X522" i="6"/>
  <c r="X523" i="6"/>
  <c r="X524" i="6"/>
  <c r="X525" i="6"/>
  <c r="X526" i="6"/>
  <c r="X527" i="6"/>
  <c r="X528" i="6"/>
  <c r="X529" i="6"/>
  <c r="X530" i="6"/>
  <c r="X531" i="6"/>
  <c r="X532" i="6"/>
  <c r="X533" i="6"/>
  <c r="X534" i="6"/>
  <c r="X535" i="6"/>
  <c r="X536" i="6"/>
  <c r="X537" i="6"/>
  <c r="X538" i="6"/>
  <c r="X539" i="6"/>
  <c r="X540" i="6"/>
  <c r="X541" i="6"/>
  <c r="X542" i="6"/>
  <c r="X543" i="6"/>
  <c r="X544" i="6"/>
  <c r="X545" i="6"/>
  <c r="X546" i="6"/>
  <c r="X547" i="6"/>
  <c r="X548" i="6"/>
  <c r="X549" i="6"/>
  <c r="X550" i="6"/>
  <c r="X551" i="6"/>
  <c r="X552" i="6"/>
  <c r="X553" i="6"/>
  <c r="X554" i="6"/>
  <c r="X555" i="6"/>
  <c r="X556" i="6"/>
  <c r="X557" i="6"/>
  <c r="X558" i="6"/>
  <c r="X559" i="6"/>
  <c r="X9" i="6"/>
  <c r="X560" i="6"/>
  <c r="X561" i="6"/>
  <c r="X562" i="6"/>
  <c r="X563" i="6"/>
  <c r="X564" i="6"/>
  <c r="X565" i="6"/>
  <c r="X566" i="6"/>
  <c r="X567" i="6"/>
  <c r="X568" i="6"/>
  <c r="X569" i="6"/>
  <c r="X570" i="6"/>
  <c r="X571" i="6"/>
  <c r="X572" i="6"/>
  <c r="X573" i="6"/>
  <c r="X574" i="6"/>
  <c r="X575" i="6"/>
  <c r="X576" i="6"/>
  <c r="X577" i="6"/>
  <c r="X578" i="6"/>
  <c r="X579" i="6"/>
  <c r="X580" i="6"/>
  <c r="X581" i="6"/>
  <c r="X582" i="6"/>
  <c r="X583" i="6"/>
  <c r="X584" i="6"/>
  <c r="X585" i="6"/>
  <c r="X586" i="6"/>
  <c r="X587" i="6"/>
  <c r="X588" i="6"/>
  <c r="X589" i="6"/>
  <c r="X590" i="6"/>
  <c r="X591" i="6"/>
  <c r="X592" i="6"/>
  <c r="X593" i="6"/>
  <c r="X594" i="6"/>
  <c r="X595" i="6"/>
  <c r="X596" i="6"/>
  <c r="X597" i="6"/>
  <c r="X598" i="6"/>
  <c r="X599" i="6"/>
  <c r="X600" i="6"/>
  <c r="X601" i="6"/>
  <c r="X602" i="6"/>
  <c r="X603" i="6"/>
  <c r="X604" i="6"/>
  <c r="X605" i="6"/>
  <c r="X606" i="6"/>
  <c r="X607" i="6"/>
  <c r="X608" i="6"/>
  <c r="X10" i="6"/>
  <c r="X609" i="6"/>
  <c r="X610" i="6"/>
  <c r="X611" i="6"/>
  <c r="X612" i="6"/>
  <c r="X613" i="6"/>
  <c r="X614" i="6"/>
  <c r="X615" i="6"/>
  <c r="X616" i="6"/>
  <c r="X617" i="6"/>
  <c r="X618" i="6"/>
  <c r="X619" i="6"/>
  <c r="X620" i="6"/>
  <c r="X621" i="6"/>
  <c r="X622" i="6"/>
  <c r="X623" i="6"/>
  <c r="X624" i="6"/>
  <c r="X625" i="6"/>
  <c r="X626" i="6"/>
  <c r="X627" i="6"/>
  <c r="X628" i="6"/>
  <c r="X629" i="6"/>
  <c r="X630" i="6"/>
  <c r="X631" i="6"/>
  <c r="X632" i="6"/>
  <c r="X633" i="6"/>
  <c r="X634" i="6"/>
  <c r="X635" i="6"/>
  <c r="X636" i="6"/>
  <c r="X637" i="6"/>
  <c r="X638" i="6"/>
  <c r="X639" i="6"/>
  <c r="X640" i="6"/>
  <c r="X641" i="6"/>
  <c r="X642" i="6"/>
  <c r="X643" i="6"/>
  <c r="X644" i="6"/>
  <c r="X645" i="6"/>
  <c r="X646" i="6"/>
  <c r="X647" i="6"/>
  <c r="X648" i="6"/>
  <c r="X649" i="6"/>
  <c r="X650" i="6"/>
  <c r="X651" i="6"/>
  <c r="X652" i="6"/>
  <c r="X653" i="6"/>
  <c r="X654" i="6"/>
  <c r="X655" i="6"/>
  <c r="X656" i="6"/>
  <c r="X657" i="6"/>
  <c r="X658" i="6"/>
  <c r="X659" i="6"/>
  <c r="X660" i="6"/>
  <c r="X661" i="6"/>
  <c r="X662" i="6"/>
  <c r="X663" i="6"/>
  <c r="X664" i="6"/>
  <c r="X665" i="6"/>
  <c r="X666" i="6"/>
  <c r="X667" i="6"/>
  <c r="X11" i="6"/>
  <c r="X668" i="6"/>
  <c r="X669" i="6"/>
  <c r="X670" i="6"/>
  <c r="X671" i="6"/>
  <c r="X672" i="6"/>
  <c r="X673" i="6"/>
  <c r="X674" i="6"/>
  <c r="X675" i="6"/>
  <c r="X676" i="6"/>
  <c r="X677" i="6"/>
  <c r="X678" i="6"/>
  <c r="X679" i="6"/>
  <c r="X680" i="6"/>
  <c r="X681" i="6"/>
  <c r="X682" i="6"/>
  <c r="X683" i="6"/>
  <c r="X684" i="6"/>
  <c r="X685" i="6"/>
  <c r="X686" i="6"/>
  <c r="X687" i="6"/>
  <c r="X688" i="6"/>
  <c r="X689" i="6"/>
  <c r="X690" i="6"/>
  <c r="X691" i="6"/>
  <c r="X692" i="6"/>
  <c r="X693" i="6"/>
  <c r="X694" i="6"/>
  <c r="X695" i="6"/>
  <c r="X696" i="6"/>
  <c r="X697" i="6"/>
  <c r="X698" i="6"/>
  <c r="X699" i="6"/>
  <c r="X700" i="6"/>
  <c r="X701" i="6"/>
  <c r="X702" i="6"/>
  <c r="X703" i="6"/>
  <c r="X704" i="6"/>
  <c r="X705" i="6"/>
  <c r="X706" i="6"/>
  <c r="X707" i="6"/>
  <c r="X708" i="6"/>
  <c r="X709" i="6"/>
  <c r="X710" i="6"/>
  <c r="X711" i="6"/>
  <c r="X712" i="6"/>
  <c r="X713" i="6"/>
  <c r="X714" i="6"/>
  <c r="X715" i="6"/>
  <c r="X716" i="6"/>
  <c r="X717" i="6"/>
  <c r="X718" i="6"/>
  <c r="X719" i="6"/>
  <c r="X720" i="6"/>
  <c r="X721" i="6"/>
  <c r="X722" i="6"/>
  <c r="X12" i="6"/>
  <c r="X723" i="6"/>
  <c r="X724" i="6"/>
  <c r="X725" i="6"/>
  <c r="X13" i="6"/>
  <c r="X726" i="6"/>
  <c r="X727" i="6"/>
  <c r="X728" i="6"/>
  <c r="X729" i="6"/>
  <c r="X730" i="6"/>
  <c r="X731" i="6"/>
  <c r="X732" i="6"/>
  <c r="X733" i="6"/>
  <c r="X734" i="6"/>
  <c r="X735" i="6"/>
  <c r="X736" i="6"/>
  <c r="X737" i="6"/>
  <c r="X738" i="6"/>
  <c r="X739" i="6"/>
  <c r="X740" i="6"/>
  <c r="X741" i="6"/>
  <c r="X742" i="6"/>
  <c r="X743" i="6"/>
  <c r="X744" i="6"/>
  <c r="X745" i="6"/>
  <c r="X746" i="6"/>
  <c r="X747" i="6"/>
  <c r="X748" i="6"/>
  <c r="X749" i="6"/>
  <c r="X750" i="6"/>
  <c r="X751" i="6"/>
  <c r="X752" i="6"/>
  <c r="X753" i="6"/>
  <c r="X754" i="6"/>
  <c r="X755" i="6"/>
  <c r="X756" i="6"/>
  <c r="X757" i="6"/>
  <c r="X758" i="6"/>
  <c r="X759" i="6"/>
  <c r="X14" i="6"/>
  <c r="X760" i="6"/>
  <c r="X761" i="6"/>
  <c r="X762" i="6"/>
  <c r="X763" i="6"/>
  <c r="X764" i="6"/>
  <c r="X765" i="6"/>
  <c r="X766" i="6"/>
  <c r="X767" i="6"/>
  <c r="X768" i="6"/>
  <c r="X769" i="6"/>
  <c r="X770" i="6"/>
  <c r="X771" i="6"/>
  <c r="X772" i="6"/>
  <c r="X773" i="6"/>
  <c r="X774" i="6"/>
  <c r="X15" i="6"/>
  <c r="X775" i="6"/>
  <c r="X776" i="6"/>
  <c r="X777" i="6"/>
  <c r="X778" i="6"/>
  <c r="X779" i="6"/>
  <c r="X780" i="6"/>
  <c r="X781" i="6"/>
  <c r="X782" i="6"/>
  <c r="X783" i="6"/>
  <c r="X784" i="6"/>
  <c r="X785" i="6"/>
  <c r="X786" i="6"/>
  <c r="X787" i="6"/>
  <c r="X788" i="6"/>
  <c r="X789" i="6"/>
  <c r="X790" i="6"/>
  <c r="X791" i="6"/>
  <c r="X792" i="6"/>
  <c r="X793" i="6"/>
  <c r="X794" i="6"/>
  <c r="X795" i="6"/>
  <c r="X796" i="6"/>
  <c r="X797" i="6"/>
  <c r="X16" i="6"/>
  <c r="X798" i="6"/>
  <c r="X799" i="6"/>
  <c r="X800" i="6"/>
  <c r="X801" i="6"/>
  <c r="X17" i="6"/>
  <c r="X802" i="6"/>
  <c r="X803" i="6"/>
  <c r="X804" i="6"/>
  <c r="X805" i="6"/>
  <c r="X806" i="6"/>
  <c r="X807" i="6"/>
  <c r="X808" i="6"/>
  <c r="X809" i="6"/>
  <c r="X810" i="6"/>
  <c r="X811" i="6"/>
  <c r="X812" i="6"/>
  <c r="X813" i="6"/>
  <c r="X814" i="6"/>
  <c r="X815" i="6"/>
  <c r="X816" i="6"/>
  <c r="X817" i="6"/>
  <c r="X818" i="6"/>
  <c r="X819" i="6"/>
  <c r="X820" i="6"/>
  <c r="X821" i="6"/>
  <c r="X822" i="6"/>
  <c r="X823" i="6"/>
  <c r="X824" i="6"/>
  <c r="X825" i="6"/>
  <c r="X826" i="6"/>
  <c r="X827" i="6"/>
  <c r="X828" i="6"/>
  <c r="X829" i="6"/>
  <c r="X830" i="6"/>
  <c r="X831" i="6"/>
  <c r="X832" i="6"/>
  <c r="X833" i="6"/>
  <c r="X834" i="6"/>
  <c r="X835" i="6"/>
  <c r="X836" i="6"/>
  <c r="X837" i="6"/>
  <c r="X838" i="6"/>
  <c r="X839" i="6"/>
  <c r="X840" i="6"/>
  <c r="X841" i="6"/>
  <c r="X842" i="6"/>
  <c r="X843" i="6"/>
  <c r="X844" i="6"/>
  <c r="X845" i="6"/>
  <c r="X846" i="6"/>
  <c r="X847" i="6"/>
  <c r="X848" i="6"/>
  <c r="X849" i="6"/>
  <c r="X850" i="6"/>
  <c r="X851" i="6"/>
  <c r="X852" i="6"/>
  <c r="X853" i="6"/>
  <c r="X854" i="6"/>
  <c r="X855" i="6"/>
  <c r="X856" i="6"/>
  <c r="X857" i="6"/>
  <c r="X858" i="6"/>
  <c r="X859" i="6"/>
  <c r="X18" i="6"/>
  <c r="X860" i="6"/>
  <c r="X861" i="6"/>
  <c r="X19" i="6"/>
  <c r="X862" i="6"/>
  <c r="X863" i="6"/>
  <c r="X864" i="6"/>
  <c r="X20" i="6"/>
  <c r="X865" i="6"/>
  <c r="X21" i="6"/>
  <c r="X22" i="6"/>
  <c r="X23" i="6"/>
  <c r="X24" i="6"/>
  <c r="X25" i="6"/>
  <c r="X866" i="6"/>
  <c r="X867" i="6"/>
  <c r="X26" i="6"/>
  <c r="X868" i="6"/>
  <c r="X869" i="6"/>
  <c r="X870" i="6"/>
  <c r="X871" i="6"/>
  <c r="X872" i="6"/>
  <c r="X873" i="6"/>
  <c r="X874" i="6"/>
  <c r="X875" i="6"/>
  <c r="X876" i="6"/>
  <c r="X877" i="6"/>
  <c r="X878" i="6"/>
  <c r="X879" i="6"/>
  <c r="X27" i="6"/>
  <c r="X880" i="6"/>
  <c r="X881" i="6"/>
  <c r="X882" i="6"/>
  <c r="X883" i="6"/>
  <c r="X884" i="6"/>
  <c r="X885" i="6"/>
  <c r="X886" i="6"/>
  <c r="X887" i="6"/>
  <c r="X888" i="6"/>
  <c r="X889" i="6"/>
  <c r="X28" i="6"/>
  <c r="X890" i="6"/>
  <c r="X891" i="6"/>
  <c r="X892" i="6"/>
  <c r="X893" i="6"/>
  <c r="X894" i="6"/>
  <c r="X895" i="6"/>
  <c r="X896" i="6"/>
  <c r="X897" i="6"/>
  <c r="X898" i="6"/>
  <c r="X899" i="6"/>
  <c r="X900" i="6"/>
  <c r="X901" i="6"/>
  <c r="X902" i="6"/>
  <c r="X903" i="6"/>
  <c r="X904" i="6"/>
  <c r="X905" i="6"/>
  <c r="X906" i="6"/>
  <c r="X907" i="6"/>
  <c r="X908" i="6"/>
  <c r="X909" i="6"/>
  <c r="X910" i="6"/>
  <c r="X911" i="6"/>
  <c r="X912" i="6"/>
  <c r="X913" i="6"/>
  <c r="X914" i="6"/>
  <c r="X915" i="6"/>
  <c r="X916" i="6"/>
  <c r="X29" i="6"/>
  <c r="X917" i="6"/>
  <c r="X918" i="6"/>
  <c r="X919" i="6"/>
  <c r="X920" i="6"/>
  <c r="X921" i="6"/>
  <c r="X922" i="6"/>
  <c r="X923" i="6"/>
  <c r="X30" i="6"/>
  <c r="X31" i="6"/>
  <c r="X924" i="6"/>
  <c r="X925" i="6"/>
  <c r="X926" i="6"/>
  <c r="X927" i="6"/>
  <c r="X928" i="6"/>
  <c r="X929" i="6"/>
  <c r="X930" i="6"/>
  <c r="X931" i="6"/>
  <c r="X932" i="6"/>
  <c r="X933" i="6"/>
  <c r="X934" i="6"/>
  <c r="X935" i="6"/>
  <c r="X936" i="6"/>
  <c r="X937" i="6"/>
  <c r="X938" i="6"/>
  <c r="X939" i="6"/>
  <c r="X940" i="6"/>
  <c r="X32" i="6"/>
  <c r="X33" i="6"/>
  <c r="X941" i="6"/>
  <c r="X942" i="6"/>
  <c r="X943" i="6"/>
  <c r="X944" i="6"/>
  <c r="X945" i="6"/>
  <c r="X946" i="6"/>
  <c r="X34" i="6"/>
  <c r="X947" i="6"/>
  <c r="X948" i="6"/>
  <c r="X949" i="6"/>
  <c r="X950" i="6"/>
  <c r="X951" i="6"/>
  <c r="X952" i="6"/>
  <c r="X953" i="6"/>
  <c r="X954" i="6"/>
  <c r="X955" i="6"/>
  <c r="X956" i="6"/>
  <c r="X957" i="6"/>
  <c r="X958" i="6"/>
  <c r="X35" i="6"/>
  <c r="X959" i="6"/>
  <c r="X960" i="6"/>
  <c r="X961" i="6"/>
  <c r="X962" i="6"/>
  <c r="X963" i="6"/>
  <c r="X36" i="6"/>
  <c r="X964" i="6"/>
  <c r="X965" i="6"/>
  <c r="X37" i="6"/>
  <c r="X966" i="6"/>
  <c r="X967" i="6"/>
  <c r="X38" i="6"/>
  <c r="X968" i="6"/>
  <c r="X969" i="6"/>
  <c r="X970" i="6"/>
  <c r="X971" i="6"/>
  <c r="X972" i="6"/>
  <c r="X973" i="6"/>
  <c r="X974" i="6"/>
  <c r="X975" i="6"/>
  <c r="X976" i="6"/>
  <c r="X977" i="6"/>
  <c r="X978" i="6"/>
  <c r="X979" i="6"/>
  <c r="X980" i="6"/>
  <c r="X981" i="6"/>
  <c r="X982" i="6"/>
  <c r="X983" i="6"/>
  <c r="X984" i="6"/>
  <c r="X985" i="6"/>
  <c r="X986" i="6"/>
  <c r="X987" i="6"/>
  <c r="X988" i="6"/>
  <c r="X989" i="6"/>
  <c r="X990" i="6"/>
  <c r="X991" i="6"/>
  <c r="X992" i="6"/>
  <c r="X993" i="6"/>
  <c r="X994" i="6"/>
  <c r="X995" i="6"/>
  <c r="X996" i="6"/>
  <c r="X997" i="6"/>
  <c r="X998" i="6"/>
  <c r="X999" i="6"/>
  <c r="X39" i="6"/>
  <c r="X1000" i="6"/>
  <c r="X1001" i="6"/>
  <c r="X1002" i="6"/>
  <c r="O929" i="6"/>
  <c r="O873" i="6"/>
  <c r="O930" i="6"/>
  <c r="O672" i="6"/>
  <c r="O931" i="6"/>
  <c r="O932" i="6"/>
  <c r="O933" i="6"/>
  <c r="O673" i="6"/>
  <c r="O602" i="6"/>
  <c r="O674" i="6"/>
  <c r="O934" i="6"/>
  <c r="O935" i="6"/>
  <c r="O488" i="6"/>
  <c r="O936" i="6"/>
  <c r="O937" i="6"/>
  <c r="O938" i="6"/>
  <c r="O874" i="6"/>
  <c r="O939" i="6"/>
  <c r="O940" i="6"/>
  <c r="O675" i="6"/>
  <c r="O452" i="6"/>
  <c r="O676" i="6"/>
  <c r="O32" i="6"/>
  <c r="O998" i="6"/>
  <c r="O677" i="6"/>
  <c r="O33" i="6"/>
  <c r="O678" i="6"/>
  <c r="O679" i="6"/>
  <c r="O680" i="6"/>
  <c r="O489" i="6"/>
  <c r="O681" i="6"/>
  <c r="O682" i="6"/>
  <c r="O683" i="6"/>
  <c r="O875" i="6"/>
  <c r="O941" i="6"/>
  <c r="O942" i="6"/>
  <c r="O943" i="6"/>
  <c r="O944" i="6"/>
  <c r="O684" i="6"/>
  <c r="O685" i="6"/>
  <c r="O945" i="6"/>
  <c r="O686" i="6"/>
  <c r="O687" i="6"/>
  <c r="O688" i="6"/>
  <c r="O689" i="6"/>
  <c r="O946" i="6"/>
  <c r="O690" i="6"/>
  <c r="O691" i="6"/>
  <c r="O692" i="6"/>
  <c r="O693" i="6"/>
  <c r="O694" i="6"/>
  <c r="O34" i="6"/>
  <c r="O269" i="6"/>
  <c r="O695" i="6"/>
  <c r="O696" i="6"/>
  <c r="O697" i="6"/>
  <c r="O854" i="6"/>
  <c r="O924" i="6"/>
  <c r="O919" i="6"/>
  <c r="O698" i="6"/>
  <c r="O876" i="6"/>
  <c r="O490" i="6"/>
  <c r="O947" i="6"/>
  <c r="O699" i="6"/>
  <c r="O700" i="6"/>
  <c r="O920" i="6"/>
  <c r="O701" i="6"/>
  <c r="O702" i="6"/>
  <c r="O703" i="6"/>
  <c r="O855" i="6"/>
  <c r="O948" i="6"/>
  <c r="O877" i="6"/>
  <c r="O704" i="6"/>
  <c r="O705" i="6"/>
  <c r="O603" i="6"/>
  <c r="O665" i="6"/>
  <c r="O706" i="6"/>
  <c r="O604" i="6"/>
  <c r="O707" i="6"/>
  <c r="O708" i="6"/>
  <c r="O925" i="6"/>
  <c r="O949" i="6"/>
  <c r="O491" i="6"/>
  <c r="O605" i="6"/>
  <c r="O668" i="6"/>
  <c r="O492" i="6"/>
  <c r="O709" i="6"/>
  <c r="O710" i="6"/>
  <c r="O856" i="6"/>
  <c r="O711" i="6"/>
  <c r="O712" i="6"/>
  <c r="O921" i="6"/>
  <c r="O126" i="6"/>
  <c r="O270" i="6"/>
  <c r="O878" i="6"/>
  <c r="O713" i="6"/>
  <c r="O271" i="6"/>
  <c r="O714" i="6"/>
  <c r="O950" i="6"/>
  <c r="O951" i="6"/>
  <c r="O952" i="6"/>
  <c r="O879" i="6"/>
  <c r="O272" i="6"/>
  <c r="O715" i="6"/>
  <c r="O273" i="6"/>
  <c r="O606" i="6"/>
  <c r="O716" i="6"/>
  <c r="O717" i="6"/>
  <c r="O27" i="6"/>
  <c r="O607" i="6"/>
  <c r="O608" i="6"/>
  <c r="O493" i="6"/>
  <c r="O718" i="6"/>
  <c r="O719" i="6"/>
  <c r="O720" i="6"/>
  <c r="O274" i="6"/>
  <c r="O721" i="6"/>
  <c r="O275" i="6"/>
  <c r="O494" i="6"/>
  <c r="O722" i="6"/>
  <c r="O857" i="6"/>
  <c r="O495" i="6"/>
  <c r="O953" i="6"/>
  <c r="O858" i="6"/>
  <c r="O496" i="6"/>
  <c r="O954" i="6"/>
  <c r="O10" i="6"/>
  <c r="O497" i="6"/>
  <c r="O498" i="6"/>
  <c r="O955" i="6"/>
  <c r="O12" i="6"/>
  <c r="O723" i="6"/>
  <c r="O880" i="6"/>
  <c r="O724" i="6"/>
  <c r="O499" i="6"/>
  <c r="O725" i="6"/>
  <c r="O13" i="6"/>
  <c r="O726" i="6"/>
  <c r="O727" i="6"/>
  <c r="O500" i="6"/>
  <c r="O728" i="6"/>
  <c r="O501" i="6"/>
  <c r="O881" i="6"/>
  <c r="O502" i="6"/>
  <c r="O882" i="6"/>
  <c r="O883" i="6"/>
  <c r="O503" i="6"/>
  <c r="O845" i="6"/>
  <c r="O884" i="6"/>
  <c r="O729" i="6"/>
  <c r="O730" i="6"/>
  <c r="O731" i="6"/>
  <c r="O922" i="6"/>
  <c r="O732" i="6"/>
  <c r="O504" i="6"/>
  <c r="O956" i="6"/>
  <c r="O600" i="6"/>
  <c r="O733" i="6"/>
  <c r="O453" i="6"/>
  <c r="O505" i="6"/>
  <c r="O276" i="6"/>
  <c r="O957" i="6"/>
  <c r="O277" i="6"/>
  <c r="O885" i="6"/>
  <c r="O734" i="6"/>
  <c r="O278" i="6"/>
  <c r="O958" i="6"/>
  <c r="O35" i="6"/>
  <c r="O886" i="6"/>
  <c r="O279" i="6"/>
  <c r="O959" i="6"/>
  <c r="O609" i="6"/>
  <c r="O280" i="6"/>
  <c r="O506" i="6"/>
  <c r="O507" i="6"/>
  <c r="O960" i="6"/>
  <c r="O735" i="6"/>
  <c r="O887" i="6"/>
  <c r="O859" i="6"/>
  <c r="O736" i="6"/>
  <c r="O281" i="6"/>
  <c r="O18" i="6"/>
  <c r="O888" i="6"/>
  <c r="O961" i="6"/>
  <c r="O923" i="6"/>
  <c r="O962" i="6"/>
  <c r="O963" i="6"/>
  <c r="O508" i="6"/>
  <c r="O737" i="6"/>
  <c r="O860" i="6"/>
  <c r="O889" i="6"/>
  <c r="O509" i="6"/>
  <c r="O282" i="6"/>
  <c r="O283" i="6"/>
  <c r="O738" i="6"/>
  <c r="O284" i="6"/>
  <c r="O285" i="6"/>
  <c r="O739" i="6"/>
  <c r="O610" i="6"/>
  <c r="O740" i="6"/>
  <c r="O741" i="6"/>
  <c r="O611" i="6"/>
  <c r="O742" i="6"/>
  <c r="O612" i="6"/>
  <c r="O743" i="6"/>
  <c r="O286" i="6"/>
  <c r="O613" i="6"/>
  <c r="O861" i="6"/>
  <c r="O287" i="6"/>
  <c r="O288" i="6"/>
  <c r="O744" i="6"/>
  <c r="O450" i="6"/>
  <c r="O289" i="6"/>
  <c r="O290" i="6"/>
  <c r="O19" i="6"/>
  <c r="O28" i="6"/>
  <c r="O745" i="6"/>
  <c r="O746" i="6"/>
  <c r="O510" i="6"/>
  <c r="O747" i="6"/>
  <c r="O748" i="6"/>
  <c r="O36" i="6"/>
  <c r="O614" i="6"/>
  <c r="O511" i="6"/>
  <c r="O615" i="6"/>
  <c r="O862" i="6"/>
  <c r="O291" i="6"/>
  <c r="O890" i="6"/>
  <c r="O616" i="6"/>
  <c r="O749" i="6"/>
  <c r="O846" i="6"/>
  <c r="O964" i="6"/>
  <c r="O750" i="6"/>
  <c r="O751" i="6"/>
  <c r="O292" i="6"/>
  <c r="O891" i="6"/>
  <c r="O965" i="6"/>
  <c r="O37" i="6"/>
  <c r="O293" i="6"/>
  <c r="O752" i="6"/>
  <c r="O512" i="6"/>
  <c r="O966" i="6"/>
  <c r="O863" i="6"/>
  <c r="O967" i="6"/>
  <c r="O294" i="6"/>
  <c r="O295" i="6"/>
  <c r="O617" i="6"/>
  <c r="O38" i="6"/>
  <c r="O864" i="6"/>
  <c r="O892" i="6"/>
  <c r="O893" i="6"/>
  <c r="O296" i="6"/>
  <c r="O753" i="6"/>
  <c r="O968" i="6"/>
  <c r="O969" i="6"/>
  <c r="O297" i="6"/>
  <c r="O298" i="6"/>
  <c r="O299" i="6"/>
  <c r="O300" i="6"/>
  <c r="O970" i="6"/>
  <c r="O618" i="6"/>
  <c r="O754" i="6"/>
  <c r="O894" i="6"/>
  <c r="O895" i="6"/>
  <c r="O301" i="6"/>
  <c r="O755" i="6"/>
  <c r="O847" i="6"/>
  <c r="O756" i="6"/>
  <c r="O619" i="6"/>
  <c r="O669" i="6"/>
  <c r="O757" i="6"/>
  <c r="O666" i="6"/>
  <c r="O758" i="6"/>
  <c r="O759" i="6"/>
  <c r="O302" i="6"/>
  <c r="O14" i="6"/>
  <c r="O30" i="6"/>
  <c r="O20" i="6"/>
  <c r="O896" i="6"/>
  <c r="O760" i="6"/>
  <c r="O761" i="6"/>
  <c r="O620" i="6"/>
  <c r="O897" i="6"/>
  <c r="O303" i="6"/>
  <c r="O513" i="6"/>
  <c r="O621" i="6"/>
  <c r="O514" i="6"/>
  <c r="O898" i="6"/>
  <c r="O971" i="6"/>
  <c r="O515" i="6"/>
  <c r="O999" i="6"/>
  <c r="O622" i="6"/>
  <c r="O304" i="6"/>
  <c r="O623" i="6"/>
  <c r="O516" i="6"/>
  <c r="O305" i="6"/>
  <c r="O762" i="6"/>
  <c r="O624" i="6"/>
  <c r="O625" i="6"/>
  <c r="O899" i="6"/>
  <c r="O763" i="6"/>
  <c r="O764" i="6"/>
  <c r="O765" i="6"/>
  <c r="O39" i="6"/>
  <c r="O766" i="6"/>
  <c r="O767" i="6"/>
  <c r="O900" i="6"/>
  <c r="O768" i="6"/>
  <c r="O1000" i="6"/>
  <c r="O517" i="6"/>
  <c r="O626" i="6"/>
  <c r="O627" i="6"/>
  <c r="O306" i="6"/>
  <c r="O628" i="6"/>
  <c r="O865" i="6"/>
  <c r="O307" i="6"/>
  <c r="O769" i="6"/>
  <c r="O518" i="6"/>
  <c r="O629" i="6"/>
  <c r="O308" i="6"/>
  <c r="O519" i="6"/>
  <c r="O770" i="6"/>
  <c r="O630" i="6"/>
  <c r="O972" i="6"/>
  <c r="O771" i="6"/>
  <c r="O973" i="6"/>
  <c r="O1001" i="6"/>
  <c r="O309" i="6"/>
  <c r="O21" i="6"/>
  <c r="O901" i="6"/>
  <c r="O310" i="6"/>
  <c r="O311" i="6"/>
  <c r="O520" i="6"/>
  <c r="O974" i="6"/>
  <c r="O772" i="6"/>
  <c r="O312" i="6"/>
  <c r="O773" i="6"/>
  <c r="O521" i="6"/>
  <c r="O631" i="6"/>
  <c r="O454" i="6"/>
  <c r="O774" i="6"/>
  <c r="O848" i="6"/>
  <c r="O522" i="6"/>
  <c r="O313" i="6"/>
  <c r="O455" i="6"/>
  <c r="O15" i="6"/>
  <c r="O975" i="6"/>
  <c r="O314" i="6"/>
  <c r="O22" i="6"/>
  <c r="O456" i="6"/>
  <c r="O315" i="6"/>
  <c r="O775" i="6"/>
  <c r="O457" i="6"/>
  <c r="O776" i="6"/>
  <c r="O777" i="6"/>
  <c r="O316" i="6"/>
  <c r="O902" i="6"/>
  <c r="O778" i="6"/>
  <c r="O212" i="6"/>
  <c r="O632" i="6"/>
  <c r="O779" i="6"/>
  <c r="O976" i="6"/>
  <c r="O317" i="6"/>
  <c r="O977" i="6"/>
  <c r="O4" i="6"/>
  <c r="O978" i="6"/>
  <c r="O318" i="6"/>
  <c r="O979" i="6"/>
  <c r="O780" i="6"/>
  <c r="O633" i="6"/>
  <c r="O523" i="6"/>
  <c r="O670" i="6"/>
  <c r="O524" i="6"/>
  <c r="O781" i="6"/>
  <c r="O525" i="6"/>
  <c r="O526" i="6"/>
  <c r="O127" i="6"/>
  <c r="O527" i="6"/>
  <c r="O319" i="6"/>
  <c r="O634" i="6"/>
  <c r="O458" i="6"/>
  <c r="O320" i="6"/>
  <c r="O128" i="6"/>
  <c r="O104" i="6"/>
  <c r="O635" i="6"/>
  <c r="O321" i="6"/>
  <c r="O782" i="6"/>
  <c r="O783" i="6"/>
  <c r="O528" i="6"/>
  <c r="O213" i="6"/>
  <c r="O980" i="6"/>
  <c r="O529" i="6"/>
  <c r="O784" i="6"/>
  <c r="O530" i="6"/>
  <c r="O785" i="6"/>
  <c r="O531" i="6"/>
  <c r="O786" i="6"/>
  <c r="O981" i="6"/>
  <c r="O322" i="6"/>
  <c r="O636" i="6"/>
  <c r="O214" i="6"/>
  <c r="O532" i="6"/>
  <c r="O215" i="6"/>
  <c r="O903" i="6"/>
  <c r="O787" i="6"/>
  <c r="O533" i="6"/>
  <c r="O23" i="6"/>
  <c r="O323" i="6"/>
  <c r="O324" i="6"/>
  <c r="O534" i="6"/>
  <c r="O788" i="6"/>
  <c r="O325" i="6"/>
  <c r="O789" i="6"/>
  <c r="O535" i="6"/>
  <c r="O326" i="6"/>
  <c r="O327" i="6"/>
  <c r="O536" i="6"/>
  <c r="O537" i="6"/>
  <c r="O538" i="6"/>
  <c r="O539" i="6"/>
  <c r="O129" i="6"/>
  <c r="O982" i="6"/>
  <c r="O540" i="6"/>
  <c r="O790" i="6"/>
  <c r="O328" i="6"/>
  <c r="O329" i="6"/>
  <c r="O130" i="6"/>
  <c r="O637" i="6"/>
  <c r="O904" i="6"/>
  <c r="O541" i="6"/>
  <c r="O330" i="6"/>
  <c r="O791" i="6"/>
  <c r="O792" i="6"/>
  <c r="O793" i="6"/>
  <c r="O331" i="6"/>
  <c r="O332" i="6"/>
  <c r="O794" i="6"/>
  <c r="O905" i="6"/>
  <c r="O333" i="6"/>
  <c r="O334" i="6"/>
  <c r="O542" i="6"/>
  <c r="O543" i="6"/>
  <c r="O335" i="6"/>
  <c r="O983" i="6"/>
  <c r="O336" i="6"/>
  <c r="O24" i="6"/>
  <c r="O795" i="6"/>
  <c r="O984" i="6"/>
  <c r="O796" i="6"/>
  <c r="O544" i="6"/>
  <c r="O671" i="6"/>
  <c r="O985" i="6"/>
  <c r="O986" i="6"/>
  <c r="O906" i="6"/>
  <c r="O797" i="6"/>
  <c r="O16" i="6"/>
  <c r="O545" i="6"/>
  <c r="O25" i="6"/>
  <c r="O798" i="6"/>
  <c r="O907" i="6"/>
  <c r="O908" i="6"/>
  <c r="O799" i="6"/>
  <c r="O849" i="6"/>
  <c r="O131" i="6"/>
  <c r="O866" i="6"/>
  <c r="O800" i="6"/>
  <c r="O216" i="6"/>
  <c r="O546" i="6"/>
  <c r="O801" i="6"/>
  <c r="O17" i="6"/>
  <c r="O217" i="6"/>
  <c r="O638" i="6"/>
  <c r="O337" i="6"/>
  <c r="O867" i="6"/>
  <c r="O481" i="6"/>
  <c r="O802" i="6"/>
  <c r="O639" i="6"/>
  <c r="O338" i="6"/>
  <c r="O132" i="6"/>
  <c r="O8" i="6"/>
  <c r="O547" i="6"/>
  <c r="O459" i="6"/>
  <c r="O26" i="6"/>
  <c r="O803" i="6"/>
  <c r="O804" i="6"/>
  <c r="O548" i="6"/>
  <c r="O805" i="6"/>
  <c r="O339" i="6"/>
  <c r="O133" i="6"/>
  <c r="O549" i="6"/>
  <c r="O806" i="6"/>
  <c r="O340" i="6"/>
  <c r="O460" i="6"/>
  <c r="O807" i="6"/>
  <c r="O134" i="6"/>
  <c r="O909" i="6"/>
  <c r="O135" i="6"/>
  <c r="O341" i="6"/>
  <c r="O868" i="6"/>
  <c r="O461" i="6"/>
  <c r="O550" i="6"/>
  <c r="O136" i="6"/>
  <c r="O342" i="6"/>
  <c r="O640" i="6"/>
  <c r="O641" i="6"/>
  <c r="O926" i="6"/>
  <c r="O808" i="6"/>
  <c r="O218" i="6"/>
  <c r="O343" i="6"/>
  <c r="O137" i="6"/>
  <c r="O344" i="6"/>
  <c r="O138" i="6"/>
  <c r="O462" i="6"/>
  <c r="O345" i="6"/>
  <c r="O642" i="6"/>
  <c r="O809" i="6"/>
  <c r="O346" i="6"/>
  <c r="O139" i="6"/>
  <c r="O347" i="6"/>
  <c r="O551" i="6"/>
  <c r="O810" i="6"/>
  <c r="O140" i="6"/>
  <c r="O348" i="6"/>
  <c r="O552" i="6"/>
  <c r="O219" i="6"/>
  <c r="O910" i="6"/>
  <c r="O927" i="6"/>
  <c r="O349" i="6"/>
  <c r="O553" i="6"/>
  <c r="O350" i="6"/>
  <c r="O255" i="6"/>
  <c r="O811" i="6"/>
  <c r="O554" i="6"/>
  <c r="O351" i="6"/>
  <c r="O555" i="6"/>
  <c r="O463" i="6"/>
  <c r="O352" i="6"/>
  <c r="O220" i="6"/>
  <c r="O911" i="6"/>
  <c r="O643" i="6"/>
  <c r="O556" i="6"/>
  <c r="O256" i="6"/>
  <c r="O221" i="6"/>
  <c r="O257" i="6"/>
  <c r="O353" i="6"/>
  <c r="O121" i="6"/>
  <c r="O258" i="6"/>
  <c r="O928" i="6"/>
  <c r="O812" i="6"/>
  <c r="O354" i="6"/>
  <c r="O813" i="6"/>
  <c r="O814" i="6"/>
  <c r="O464" i="6"/>
  <c r="O557" i="6"/>
  <c r="O355" i="6"/>
  <c r="O465" i="6"/>
  <c r="O356" i="6"/>
  <c r="O141" i="6"/>
  <c r="O558" i="6"/>
  <c r="O601" i="6"/>
  <c r="O482" i="6"/>
  <c r="O644" i="6"/>
  <c r="O645" i="6"/>
  <c r="O987" i="6"/>
  <c r="O559" i="6"/>
  <c r="O9" i="6"/>
  <c r="O357" i="6"/>
  <c r="O142" i="6"/>
  <c r="O451" i="6"/>
  <c r="O358" i="6"/>
  <c r="O359" i="6"/>
  <c r="O646" i="6"/>
  <c r="O912" i="6"/>
  <c r="O647" i="6"/>
  <c r="O143" i="6"/>
  <c r="O360" i="6"/>
  <c r="O648" i="6"/>
  <c r="O252" i="6"/>
  <c r="O466" i="6"/>
  <c r="O144" i="6"/>
  <c r="O815" i="6"/>
  <c r="O56" i="6"/>
  <c r="O913" i="6"/>
  <c r="O816" i="6"/>
  <c r="O361" i="6"/>
  <c r="O817" i="6"/>
  <c r="O209" i="6"/>
  <c r="O467" i="6"/>
  <c r="O560" i="6"/>
  <c r="O561" i="6"/>
  <c r="O468" i="6"/>
  <c r="O649" i="6"/>
  <c r="O914" i="6"/>
  <c r="O362" i="6"/>
  <c r="O145" i="6"/>
  <c r="O363" i="6"/>
  <c r="O364" i="6"/>
  <c r="O222" i="6"/>
  <c r="O365" i="6"/>
  <c r="O869" i="6"/>
  <c r="O818" i="6"/>
  <c r="O146" i="6"/>
  <c r="O562" i="6"/>
  <c r="O366" i="6"/>
  <c r="O367" i="6"/>
  <c r="O368" i="6"/>
  <c r="O563" i="6"/>
  <c r="O870" i="6"/>
  <c r="O369" i="6"/>
  <c r="O469" i="6"/>
  <c r="O370" i="6"/>
  <c r="O819" i="6"/>
  <c r="O371" i="6"/>
  <c r="O372" i="6"/>
  <c r="O820" i="6"/>
  <c r="O373" i="6"/>
  <c r="O988" i="6"/>
  <c r="O223" i="6"/>
  <c r="O470" i="6"/>
  <c r="O374" i="6"/>
  <c r="O564" i="6"/>
  <c r="O821" i="6"/>
  <c r="O224" i="6"/>
  <c r="O822" i="6"/>
  <c r="O375" i="6"/>
  <c r="O650" i="6"/>
  <c r="O105" i="6"/>
  <c r="O565" i="6"/>
  <c r="O57" i="6"/>
  <c r="O823" i="6"/>
  <c r="O58" i="6"/>
  <c r="O376" i="6"/>
  <c r="O377" i="6"/>
  <c r="O915" i="6"/>
  <c r="O225" i="6"/>
  <c r="O824" i="6"/>
  <c r="O147" i="6"/>
  <c r="O378" i="6"/>
  <c r="O566" i="6"/>
  <c r="O379" i="6"/>
  <c r="O226" i="6"/>
  <c r="O567" i="6"/>
  <c r="O380" i="6"/>
  <c r="O825" i="6"/>
  <c r="O381" i="6"/>
  <c r="O382" i="6"/>
  <c r="O471" i="6"/>
  <c r="O383" i="6"/>
  <c r="O384" i="6"/>
  <c r="O651" i="6"/>
  <c r="O568" i="6"/>
  <c r="O916" i="6"/>
  <c r="O569" i="6"/>
  <c r="O570" i="6"/>
  <c r="O385" i="6"/>
  <c r="O386" i="6"/>
  <c r="O571" i="6"/>
  <c r="O148" i="6"/>
  <c r="O472" i="6"/>
  <c r="O826" i="6"/>
  <c r="O149" i="6"/>
  <c r="O652" i="6"/>
  <c r="O387" i="6"/>
  <c r="O150" i="6"/>
  <c r="O388" i="6"/>
  <c r="O473" i="6"/>
  <c r="O653" i="6"/>
  <c r="O572" i="6"/>
  <c r="O1002" i="6"/>
  <c r="O989" i="6"/>
  <c r="O827" i="6"/>
  <c r="O109" i="6"/>
  <c r="O31" i="6"/>
  <c r="O828" i="6"/>
  <c r="O474" i="6"/>
  <c r="O259" i="6"/>
  <c r="O573" i="6"/>
  <c r="O389" i="6"/>
  <c r="O227" i="6"/>
  <c r="O151" i="6"/>
  <c r="O829" i="6"/>
  <c r="O997" i="6"/>
  <c r="O483" i="6"/>
  <c r="O390" i="6"/>
  <c r="O228" i="6"/>
  <c r="O830" i="6"/>
  <c r="O574" i="6"/>
  <c r="O391" i="6"/>
  <c r="O990" i="6"/>
  <c r="O831" i="6"/>
  <c r="O152" i="6"/>
  <c r="O392" i="6"/>
  <c r="O654" i="6"/>
  <c r="O832" i="6"/>
  <c r="O59" i="6"/>
  <c r="O655" i="6"/>
  <c r="O833" i="6"/>
  <c r="O29" i="6"/>
  <c r="O60" i="6"/>
  <c r="O575" i="6"/>
  <c r="O834" i="6"/>
  <c r="O656" i="6"/>
  <c r="O153" i="6"/>
  <c r="O475" i="6"/>
  <c r="O61" i="6"/>
  <c r="O576" i="6"/>
  <c r="O393" i="6"/>
  <c r="O835" i="6"/>
  <c r="O154" i="6"/>
  <c r="O394" i="6"/>
  <c r="O229" i="6"/>
  <c r="O5" i="6"/>
  <c r="O657" i="6"/>
  <c r="O577" i="6"/>
  <c r="O836" i="6"/>
  <c r="O476" i="6"/>
  <c r="O230" i="6"/>
  <c r="O395" i="6"/>
  <c r="O991" i="6"/>
  <c r="O155" i="6"/>
  <c r="O396" i="6"/>
  <c r="O397" i="6"/>
  <c r="O398" i="6"/>
  <c r="O7" i="6"/>
  <c r="O399" i="6"/>
  <c r="O578" i="6"/>
  <c r="O156" i="6"/>
  <c r="O658" i="6"/>
  <c r="O231" i="6"/>
  <c r="O917" i="6"/>
  <c r="O157" i="6"/>
  <c r="O62" i="6"/>
  <c r="O579" i="6"/>
  <c r="O232" i="6"/>
  <c r="O400" i="6"/>
  <c r="O401" i="6"/>
  <c r="O580" i="6"/>
  <c r="O402" i="6"/>
  <c r="O850" i="6"/>
  <c r="O158" i="6"/>
  <c r="O63" i="6"/>
  <c r="O260" i="6"/>
  <c r="O64" i="6"/>
  <c r="O851" i="6"/>
  <c r="O871" i="6"/>
  <c r="O159" i="6"/>
  <c r="O659" i="6"/>
  <c r="O110" i="6"/>
  <c r="O581" i="6"/>
  <c r="O403" i="6"/>
  <c r="O667" i="6"/>
  <c r="O477" i="6"/>
  <c r="O65" i="6"/>
  <c r="O160" i="6"/>
  <c r="O253" i="6"/>
  <c r="O404" i="6"/>
  <c r="O111" i="6"/>
  <c r="O405" i="6"/>
  <c r="O406" i="6"/>
  <c r="O407" i="6"/>
  <c r="O408" i="6"/>
  <c r="O409" i="6"/>
  <c r="O410" i="6"/>
  <c r="O582" i="6"/>
  <c r="O583" i="6"/>
  <c r="O411" i="6"/>
  <c r="O161" i="6"/>
  <c r="O233" i="6"/>
  <c r="O412" i="6"/>
  <c r="O234" i="6"/>
  <c r="O235" i="6"/>
  <c r="O484" i="6"/>
  <c r="O236" i="6"/>
  <c r="O210" i="6"/>
  <c r="O584" i="6"/>
  <c r="O66" i="6"/>
  <c r="O413" i="6"/>
  <c r="O112" i="6"/>
  <c r="O585" i="6"/>
  <c r="O586" i="6"/>
  <c r="O162" i="6"/>
  <c r="O163" i="6"/>
  <c r="O164" i="6"/>
  <c r="O165" i="6"/>
  <c r="O261" i="6"/>
  <c r="O414" i="6"/>
  <c r="O237" i="6"/>
  <c r="O106" i="6"/>
  <c r="O238" i="6"/>
  <c r="O415" i="6"/>
  <c r="O587" i="6"/>
  <c r="O67" i="6"/>
  <c r="O992" i="6"/>
  <c r="O660" i="6"/>
  <c r="O661" i="6"/>
  <c r="O837" i="6"/>
  <c r="O416" i="6"/>
  <c r="O166" i="6"/>
  <c r="O417" i="6"/>
  <c r="O993" i="6"/>
  <c r="O418" i="6"/>
  <c r="O107" i="6"/>
  <c r="O852" i="6"/>
  <c r="O68" i="6"/>
  <c r="O167" i="6"/>
  <c r="O113" i="6"/>
  <c r="O239" i="6"/>
  <c r="O419" i="6"/>
  <c r="O838" i="6"/>
  <c r="O69" i="6"/>
  <c r="O420" i="6"/>
  <c r="O122" i="6"/>
  <c r="O478" i="6"/>
  <c r="O662" i="6"/>
  <c r="O421" i="6"/>
  <c r="O70" i="6"/>
  <c r="O422" i="6"/>
  <c r="O262" i="6"/>
  <c r="O918" i="6"/>
  <c r="O423" i="6"/>
  <c r="O424" i="6"/>
  <c r="O168" i="6"/>
  <c r="O263" i="6"/>
  <c r="O240" i="6"/>
  <c r="O479" i="6"/>
  <c r="O264" i="6"/>
  <c r="O588" i="6"/>
  <c r="O663" i="6"/>
  <c r="O169" i="6"/>
  <c r="O71" i="6"/>
  <c r="O425" i="6"/>
  <c r="O170" i="6"/>
  <c r="O426" i="6"/>
  <c r="O427" i="6"/>
  <c r="O40" i="6"/>
  <c r="O171" i="6"/>
  <c r="O172" i="6"/>
  <c r="O428" i="6"/>
  <c r="O241" i="6"/>
  <c r="O173" i="6"/>
  <c r="O839" i="6"/>
  <c r="O429" i="6"/>
  <c r="O174" i="6"/>
  <c r="O175" i="6"/>
  <c r="O589" i="6"/>
  <c r="O430" i="6"/>
  <c r="O72" i="6"/>
  <c r="O114" i="6"/>
  <c r="O242" i="6"/>
  <c r="O265" i="6"/>
  <c r="O120" i="6"/>
  <c r="O590" i="6"/>
  <c r="O840" i="6"/>
  <c r="O73" i="6"/>
  <c r="O74" i="6"/>
  <c r="O485" i="6"/>
  <c r="O243" i="6"/>
  <c r="O841" i="6"/>
  <c r="O591" i="6"/>
  <c r="O75" i="6"/>
  <c r="O176" i="6"/>
  <c r="O592" i="6"/>
  <c r="O41" i="6"/>
  <c r="O115" i="6"/>
  <c r="O177" i="6"/>
  <c r="O431" i="6"/>
  <c r="O432" i="6"/>
  <c r="O76" i="6"/>
  <c r="O244" i="6"/>
  <c r="O593" i="6"/>
  <c r="O433" i="6"/>
  <c r="O77" i="6"/>
  <c r="O434" i="6"/>
  <c r="O594" i="6"/>
  <c r="O486" i="6"/>
  <c r="O842" i="6"/>
  <c r="O42" i="6"/>
  <c r="O78" i="6"/>
  <c r="O435" i="6"/>
  <c r="O436" i="6"/>
  <c r="O178" i="6"/>
  <c r="O437" i="6"/>
  <c r="O79" i="6"/>
  <c r="O245" i="6"/>
  <c r="O80" i="6"/>
  <c r="O595" i="6"/>
  <c r="O994" i="6"/>
  <c r="O43" i="6"/>
  <c r="O438" i="6"/>
  <c r="O664" i="6"/>
  <c r="O439" i="6"/>
  <c r="O179" i="6"/>
  <c r="O180" i="6"/>
  <c r="O440" i="6"/>
  <c r="O81" i="6"/>
  <c r="O487" i="6"/>
  <c r="O82" i="6"/>
  <c r="O181" i="6"/>
  <c r="O116" i="6"/>
  <c r="O117" i="6"/>
  <c r="O853" i="6"/>
  <c r="O83" i="6"/>
  <c r="O211" i="6"/>
  <c r="O44" i="6"/>
  <c r="O872" i="6"/>
  <c r="O596" i="6"/>
  <c r="O441" i="6"/>
  <c r="O45" i="6"/>
  <c r="O182" i="6"/>
  <c r="O46" i="6"/>
  <c r="O183" i="6"/>
  <c r="O843" i="6"/>
  <c r="O84" i="6"/>
  <c r="O246" i="6"/>
  <c r="O597" i="6"/>
  <c r="O85" i="6"/>
  <c r="O247" i="6"/>
  <c r="O86" i="6"/>
  <c r="O184" i="6"/>
  <c r="O87" i="6"/>
  <c r="O6" i="6"/>
  <c r="O442" i="6"/>
  <c r="O88" i="6"/>
  <c r="O443" i="6"/>
  <c r="O254" i="6"/>
  <c r="O185" i="6"/>
  <c r="O844" i="6"/>
  <c r="O118" i="6"/>
  <c r="O268" i="6"/>
  <c r="O186" i="6"/>
  <c r="O187" i="6"/>
  <c r="O248" i="6"/>
  <c r="O188" i="6"/>
  <c r="O189" i="6"/>
  <c r="O190" i="6"/>
  <c r="O266" i="6"/>
  <c r="O191" i="6"/>
  <c r="O89" i="6"/>
  <c r="O249" i="6"/>
  <c r="O598" i="6"/>
  <c r="O90" i="6"/>
  <c r="O123" i="6"/>
  <c r="O267" i="6"/>
  <c r="O444" i="6"/>
  <c r="O91" i="6"/>
  <c r="O192" i="6"/>
  <c r="O11" i="6"/>
  <c r="O193" i="6"/>
  <c r="O194" i="6"/>
  <c r="O47" i="6"/>
  <c r="O195" i="6"/>
  <c r="O445" i="6"/>
  <c r="O119" i="6"/>
  <c r="O196" i="6"/>
  <c r="O54" i="6"/>
  <c r="O197" i="6"/>
  <c r="O198" i="6"/>
  <c r="O199" i="6"/>
  <c r="O200" i="6"/>
  <c r="O92" i="6"/>
  <c r="O93" i="6"/>
  <c r="O48" i="6"/>
  <c r="O94" i="6"/>
  <c r="O95" i="6"/>
  <c r="O49" i="6"/>
  <c r="O201" i="6"/>
  <c r="O250" i="6"/>
  <c r="O103" i="6"/>
  <c r="O202" i="6"/>
  <c r="O96" i="6"/>
  <c r="O203" i="6"/>
  <c r="O204" i="6"/>
  <c r="O446" i="6"/>
  <c r="O447" i="6"/>
  <c r="O97" i="6"/>
  <c r="O124" i="6"/>
  <c r="O108" i="6"/>
  <c r="O448" i="6"/>
  <c r="O251" i="6"/>
  <c r="O98" i="6"/>
  <c r="O99" i="6"/>
  <c r="O205" i="6"/>
  <c r="O449" i="6"/>
  <c r="O206" i="6"/>
  <c r="O480" i="6"/>
  <c r="O100" i="6"/>
  <c r="O599" i="6"/>
  <c r="O50" i="6"/>
  <c r="O51" i="6"/>
  <c r="O125" i="6"/>
  <c r="O207" i="6"/>
  <c r="O101" i="6"/>
  <c r="O995" i="6"/>
  <c r="O52" i="6"/>
  <c r="O996" i="6"/>
  <c r="O53" i="6"/>
  <c r="O102" i="6"/>
  <c r="O208" i="6"/>
  <c r="O55" i="6"/>
  <c r="O3" i="6"/>
  <c r="Q8" i="4"/>
  <c r="Q7" i="4"/>
  <c r="Q5" i="4"/>
  <c r="Q6" i="4"/>
  <c r="R9" i="13"/>
  <c r="Q4" i="12"/>
  <c r="Q8" i="12"/>
  <c r="Q7" i="12"/>
  <c r="R4" i="13"/>
  <c r="R5" i="13"/>
  <c r="Q5"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redit_customers" description="Connection to the 'credit_customers' query in the workbook." type="5" refreshedVersion="8" background="1" saveData="1">
    <dbPr connection="Provider=Microsoft.Mashup.OleDb.1;Data Source=$Workbook$;Location=credit_customers;Extended Properties=&quot;&quot;" command="SELECT * FROM [credit_custom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<sst xmlns="http://schemas.openxmlformats.org/spreadsheetml/2006/main" count="30389" uniqueCount="284">
  <si>
    <t>Checking_Acct_Status</t>
  </si>
  <si>
    <t>Loan_Duration_Months</t>
  </si>
  <si>
    <t>Loan_Credit_History</t>
  </si>
  <si>
    <t xml:space="preserve">Loan_Purpose </t>
  </si>
  <si>
    <t>Credit_Amount</t>
  </si>
  <si>
    <t>Saving_Acct_Status</t>
  </si>
  <si>
    <t>Employement_Duration</t>
  </si>
  <si>
    <t>Residence_Duration</t>
  </si>
  <si>
    <t>Owned Assets</t>
  </si>
  <si>
    <t>Age</t>
  </si>
  <si>
    <t>Housing_Status</t>
  </si>
  <si>
    <t>Existing_Credits</t>
  </si>
  <si>
    <t>Job_Type</t>
  </si>
  <si>
    <t>Num_of_Dependents</t>
  </si>
  <si>
    <t>Own_Telephone</t>
  </si>
  <si>
    <t>Foreign_Worker</t>
  </si>
  <si>
    <t>Credit_Risk</t>
  </si>
  <si>
    <t>no checking</t>
  </si>
  <si>
    <t>critical/other existing credit</t>
  </si>
  <si>
    <t>new car</t>
  </si>
  <si>
    <t>&gt;=1000</t>
  </si>
  <si>
    <t>1&lt;=X&lt;4</t>
  </si>
  <si>
    <t>female div/dep/mar</t>
  </si>
  <si>
    <t>none</t>
  </si>
  <si>
    <t>real estate</t>
  </si>
  <si>
    <t>bank</t>
  </si>
  <si>
    <t>own</t>
  </si>
  <si>
    <t>unskilled resident</t>
  </si>
  <si>
    <t>yes</t>
  </si>
  <si>
    <t>good</t>
  </si>
  <si>
    <t>0&lt;=X&lt;200</t>
  </si>
  <si>
    <t>existing paid</t>
  </si>
  <si>
    <t>&lt;100</t>
  </si>
  <si>
    <t>male mar/wid</t>
  </si>
  <si>
    <t>rent</t>
  </si>
  <si>
    <t>&lt;0</t>
  </si>
  <si>
    <t>radio/tv</t>
  </si>
  <si>
    <t>500&lt;=X&lt;1000</t>
  </si>
  <si>
    <t>&gt;=7</t>
  </si>
  <si>
    <t>male single</t>
  </si>
  <si>
    <t>car</t>
  </si>
  <si>
    <t>skilled</t>
  </si>
  <si>
    <t>all paid</t>
  </si>
  <si>
    <t>retraining</t>
  </si>
  <si>
    <t>domestic appliance</t>
  </si>
  <si>
    <t>&lt;1</t>
  </si>
  <si>
    <t>100&lt;=X&lt;500</t>
  </si>
  <si>
    <t>no known savings</t>
  </si>
  <si>
    <t>life insurance</t>
  </si>
  <si>
    <t>4&lt;=X&lt;7</t>
  </si>
  <si>
    <t>&gt;=200</t>
  </si>
  <si>
    <t>education</t>
  </si>
  <si>
    <t>no credits/all paid</t>
  </si>
  <si>
    <t>furniture/equipment</t>
  </si>
  <si>
    <t>unemployed</t>
  </si>
  <si>
    <t>co applicant</t>
  </si>
  <si>
    <t>bad</t>
  </si>
  <si>
    <t>repairs</t>
  </si>
  <si>
    <t>guarantor</t>
  </si>
  <si>
    <t>delayed previously</t>
  </si>
  <si>
    <t>no</t>
  </si>
  <si>
    <t>business</t>
  </si>
  <si>
    <t>unemp/unskilled non res</t>
  </si>
  <si>
    <t>high qualif/self emp/mgmt</t>
  </si>
  <si>
    <t>male div/sep</t>
  </si>
  <si>
    <t>no known property</t>
  </si>
  <si>
    <t>for free</t>
  </si>
  <si>
    <t>stores</t>
  </si>
  <si>
    <t>other</t>
  </si>
  <si>
    <t>used car</t>
  </si>
  <si>
    <t>checking_status</t>
  </si>
  <si>
    <t>duration</t>
  </si>
  <si>
    <t>credit_history</t>
  </si>
  <si>
    <t>purpose</t>
  </si>
  <si>
    <t>credit_amount</t>
  </si>
  <si>
    <t>savings_status</t>
  </si>
  <si>
    <t>employment</t>
  </si>
  <si>
    <t>installment_commitment</t>
  </si>
  <si>
    <t>personal_status</t>
  </si>
  <si>
    <t>other_parties</t>
  </si>
  <si>
    <t>residence_since</t>
  </si>
  <si>
    <t>property_magnitude</t>
  </si>
  <si>
    <t>age</t>
  </si>
  <si>
    <t>other_payment_plans</t>
  </si>
  <si>
    <t>housing</t>
  </si>
  <si>
    <t>existing_credits</t>
  </si>
  <si>
    <t>job</t>
  </si>
  <si>
    <t>num_dependents</t>
  </si>
  <si>
    <t>own_telephone</t>
  </si>
  <si>
    <t>foreign_worker</t>
  </si>
  <si>
    <t>class</t>
  </si>
  <si>
    <t>Personal_Status</t>
  </si>
  <si>
    <t>Category</t>
  </si>
  <si>
    <t>No Account</t>
  </si>
  <si>
    <t>All Paid</t>
  </si>
  <si>
    <t>No Credit History</t>
  </si>
  <si>
    <t>Previously Delayed</t>
  </si>
  <si>
    <t>Critical Credit History</t>
  </si>
  <si>
    <t>Existing Credits Paid</t>
  </si>
  <si>
    <t>Credit_History_Updated</t>
  </si>
  <si>
    <t>Education</t>
  </si>
  <si>
    <t>Others_Parties</t>
  </si>
  <si>
    <t>Others_Payment_Plans</t>
  </si>
  <si>
    <t>critical/Others existing credit</t>
  </si>
  <si>
    <t>Others</t>
  </si>
  <si>
    <t>Business</t>
  </si>
  <si>
    <t>Domestic Appliance</t>
  </si>
  <si>
    <t>Used Car</t>
  </si>
  <si>
    <t>Furniture/Equipment</t>
  </si>
  <si>
    <t>Repairs</t>
  </si>
  <si>
    <t>Retraining</t>
  </si>
  <si>
    <t>Radio/TV</t>
  </si>
  <si>
    <t>Checking_Acct_Original</t>
  </si>
  <si>
    <t>Saving_Acct_Original</t>
  </si>
  <si>
    <t>No Savings</t>
  </si>
  <si>
    <t>Negative Balance</t>
  </si>
  <si>
    <t>Low Balance</t>
  </si>
  <si>
    <t>High Balance</t>
  </si>
  <si>
    <t>Low Savings</t>
  </si>
  <si>
    <t>Medium Savings</t>
  </si>
  <si>
    <t>High Savings</t>
  </si>
  <si>
    <t>Very High Savings</t>
  </si>
  <si>
    <t>critical/others existing credit</t>
  </si>
  <si>
    <t>Unemployed</t>
  </si>
  <si>
    <t>Greater than 7</t>
  </si>
  <si>
    <t>Less than 1</t>
  </si>
  <si>
    <t>1-4</t>
  </si>
  <si>
    <t>4-7</t>
  </si>
  <si>
    <t>Gender</t>
  </si>
  <si>
    <t>Male</t>
  </si>
  <si>
    <t>Male single</t>
  </si>
  <si>
    <t>Female</t>
  </si>
  <si>
    <t>Marital Status</t>
  </si>
  <si>
    <t>Single</t>
  </si>
  <si>
    <t>Male Married/Widowed</t>
  </si>
  <si>
    <t>Married/Widowed</t>
  </si>
  <si>
    <t>Female Divorced with Dependents</t>
  </si>
  <si>
    <t>Divorced with Dependents</t>
  </si>
  <si>
    <t>Male Divorced/Seperated</t>
  </si>
  <si>
    <t>Other_Parties_Updated</t>
  </si>
  <si>
    <t>Car</t>
  </si>
  <si>
    <t>New Car</t>
  </si>
  <si>
    <t>No Property</t>
  </si>
  <si>
    <t>Life Insurance</t>
  </si>
  <si>
    <t>Real Estate</t>
  </si>
  <si>
    <t>None</t>
  </si>
  <si>
    <t>Bank</t>
  </si>
  <si>
    <t>Store</t>
  </si>
  <si>
    <t>Owned</t>
  </si>
  <si>
    <t>Rented</t>
  </si>
  <si>
    <t>Rent Free</t>
  </si>
  <si>
    <t>No</t>
  </si>
  <si>
    <t>Yes</t>
  </si>
  <si>
    <t>Bad</t>
  </si>
  <si>
    <t>Good</t>
  </si>
  <si>
    <t>Check_Acct_Balance</t>
  </si>
  <si>
    <t>Saving_Acct_Balance</t>
  </si>
  <si>
    <t>Skill Type</t>
  </si>
  <si>
    <t>Employment_Type</t>
  </si>
  <si>
    <t>Residential_Status</t>
  </si>
  <si>
    <t>Column Name</t>
  </si>
  <si>
    <t>Data Type</t>
  </si>
  <si>
    <t>Purpose</t>
  </si>
  <si>
    <t>Demographics</t>
  </si>
  <si>
    <t>Residence &amp; Assets</t>
  </si>
  <si>
    <t>Employement</t>
  </si>
  <si>
    <t>Banking Information</t>
  </si>
  <si>
    <t>Loan Details</t>
  </si>
  <si>
    <t>Credit Information</t>
  </si>
  <si>
    <t>Target Variable</t>
  </si>
  <si>
    <t>Age_Range</t>
  </si>
  <si>
    <t>Start_Age</t>
  </si>
  <si>
    <t>19-29</t>
  </si>
  <si>
    <t>29-39</t>
  </si>
  <si>
    <t>39-49</t>
  </si>
  <si>
    <t>49-59</t>
  </si>
  <si>
    <t>59-69</t>
  </si>
  <si>
    <t>69-76</t>
  </si>
  <si>
    <t>Divorced/Separated</t>
  </si>
  <si>
    <t>Total Customers</t>
  </si>
  <si>
    <t>Credit Risk</t>
  </si>
  <si>
    <t>Age Range</t>
  </si>
  <si>
    <t>ID</t>
  </si>
  <si>
    <t>Marital Status with Highest Credit Risk (%)</t>
  </si>
  <si>
    <t>% of Total</t>
  </si>
  <si>
    <t xml:space="preserve">Customer Distribution by Gender </t>
  </si>
  <si>
    <t>Credit Risk Count</t>
  </si>
  <si>
    <t>Foreign Workers</t>
  </si>
  <si>
    <t xml:space="preserve">Credit Risk Count of Foreign Workers </t>
  </si>
  <si>
    <t>Age Range &amp; Gender Count</t>
  </si>
  <si>
    <t>KPIs</t>
  </si>
  <si>
    <t>Value</t>
  </si>
  <si>
    <t>KPI</t>
  </si>
  <si>
    <t>Male %</t>
  </si>
  <si>
    <t>Female %</t>
  </si>
  <si>
    <t>Bad Credit Risk %</t>
  </si>
  <si>
    <t>Good Credit Risk %</t>
  </si>
  <si>
    <t>Highest Credit Risk Age Range</t>
  </si>
  <si>
    <t xml:space="preserve">Checking Acct. Balance Credit Risk % </t>
  </si>
  <si>
    <t>Checking Acct. Balance</t>
  </si>
  <si>
    <t>Saving Acct. Balance Credit Risk %</t>
  </si>
  <si>
    <t>Housing Status</t>
  </si>
  <si>
    <t>Saving Acct. Balance</t>
  </si>
  <si>
    <t>Negative Balance | Low Savings</t>
  </si>
  <si>
    <t>Grand Total</t>
  </si>
  <si>
    <t>Loan Purpose</t>
  </si>
  <si>
    <t>Avg. Credit Amount</t>
  </si>
  <si>
    <t>-</t>
  </si>
  <si>
    <t>Credit History</t>
  </si>
  <si>
    <t>Avg. Loan Duration (in months)</t>
  </si>
  <si>
    <t>Employed</t>
  </si>
  <si>
    <t>Years of Employment</t>
  </si>
  <si>
    <t>Employment years</t>
  </si>
  <si>
    <t>Loan_Duration_Range</t>
  </si>
  <si>
    <t>0-12</t>
  </si>
  <si>
    <t>13-24</t>
  </si>
  <si>
    <t>25-36</t>
  </si>
  <si>
    <t>37-48</t>
  </si>
  <si>
    <t>49-56</t>
  </si>
  <si>
    <t>57-72</t>
  </si>
  <si>
    <t>Loan Duration Range</t>
  </si>
  <si>
    <t>Employment Type</t>
  </si>
  <si>
    <t>%</t>
  </si>
  <si>
    <t>Credit Risk %</t>
  </si>
  <si>
    <t>Bad Credit Risk by Assets</t>
  </si>
  <si>
    <t>Bad Risk (Count) Distribution among Acct. Balances</t>
  </si>
  <si>
    <t>Min. Credit</t>
  </si>
  <si>
    <t>Max. Credit</t>
  </si>
  <si>
    <t xml:space="preserve">Avg. Credit </t>
  </si>
  <si>
    <t>(All)</t>
  </si>
  <si>
    <t>Risk by Credit History</t>
  </si>
  <si>
    <t>Count</t>
  </si>
  <si>
    <t>Risk Count by Loan Duration</t>
  </si>
  <si>
    <t>Marital_Status</t>
  </si>
  <si>
    <t>Owned_Assets</t>
  </si>
  <si>
    <t>Skill_Type</t>
  </si>
  <si>
    <t>Years_of_Employment</t>
  </si>
  <si>
    <t>Loan_Purpose</t>
  </si>
  <si>
    <t>#</t>
  </si>
  <si>
    <t>Data Types</t>
  </si>
  <si>
    <t>Text</t>
  </si>
  <si>
    <t>Number</t>
  </si>
  <si>
    <t>Accounting</t>
  </si>
  <si>
    <t>General</t>
  </si>
  <si>
    <t>Customer has good or bad credit risk</t>
  </si>
  <si>
    <t>Range of months in which Credit_Amount has to be repaid</t>
  </si>
  <si>
    <t>Number of months in which the Credit_Amount has to be repaid</t>
  </si>
  <si>
    <t>Entities that are involved in applyling for the loan</t>
  </si>
  <si>
    <t xml:space="preserve">Reason for which the loan is applied </t>
  </si>
  <si>
    <t>The amount of credit/loan given to the customer</t>
  </si>
  <si>
    <t>Installment_Burden</t>
  </si>
  <si>
    <t>Number of installments in which the debt is to be repaid</t>
  </si>
  <si>
    <t>Status of the customers previous record</t>
  </si>
  <si>
    <t>Status of the customers previous credit record</t>
  </si>
  <si>
    <t>Range of years of the customers has been employed</t>
  </si>
  <si>
    <t>Type of employment of the customer</t>
  </si>
  <si>
    <t>Type of skill possessed by the customer</t>
  </si>
  <si>
    <t>Status of customer's saving account</t>
  </si>
  <si>
    <t>Status of customer's checking account</t>
  </si>
  <si>
    <t>Indicate whether customer owns a telephone or not</t>
  </si>
  <si>
    <t>Unique identifier for each customer</t>
  </si>
  <si>
    <t>Customer's age</t>
  </si>
  <si>
    <t>Age group of the customer</t>
  </si>
  <si>
    <t>Gender of the customer</t>
  </si>
  <si>
    <t>Marital status of the customer</t>
  </si>
  <si>
    <t>Number of dependents of the customer</t>
  </si>
  <si>
    <t>Indicates whether the customer is a foreign worker</t>
  </si>
  <si>
    <t>Residential status of the customer</t>
  </si>
  <si>
    <t>Type of housing of the customer</t>
  </si>
  <si>
    <t>Number of years the customer has lived at the current residence</t>
  </si>
  <si>
    <t>Number of assets owned by the customer</t>
  </si>
  <si>
    <t>Housing Status Credit Risk</t>
  </si>
  <si>
    <t>Customer Distribution by Age Range &amp; Risk</t>
  </si>
  <si>
    <t>Supporting Data (PivotTables)</t>
  </si>
  <si>
    <t>Loan Purpose Credit Risk %</t>
  </si>
  <si>
    <t>Loan Purpose with Highest Bad Credit Risk</t>
  </si>
  <si>
    <t>Highest Avg. Bad Credit Risk by Loan Purpose</t>
  </si>
  <si>
    <t>Top Bad Credit Risk Count by Credit History</t>
  </si>
  <si>
    <t xml:space="preserve"> Category</t>
  </si>
  <si>
    <t>Years of Experience</t>
  </si>
  <si>
    <t>Checking Acct. Balance Highest Bad Risk %</t>
  </si>
  <si>
    <t>Saving Acct. Balance Highest Bad Risk %</t>
  </si>
  <si>
    <t>Owned Assets with Highest bad Risk</t>
  </si>
  <si>
    <t>Top Bad Credit Risk for Housing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</si>
</sst>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409]* #,##0_ ;_-[$$-409]* \-#,##0\ ;_-[$$-409]* &quot;-&quot;??_ ;_-@_ "/>
    <numFmt numFmtId="165" formatCode="0.0%"/>
    <numFmt numFmtId="166" formatCode="_-[$$-409]* #,##0.00_ ;_-[$$-409]* \-#,##0.00\ ;_-[$$-409]* &quot;-&quot;??_ ;_-@_ "/>
    <numFmt numFmtId="167"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8" tint="0.59999389629810485"/>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dotted">
        <color indexed="64"/>
      </left>
      <right/>
      <top/>
      <bottom/>
      <diagonal/>
    </border>
    <border>
      <left/>
      <right style="dashed">
        <color indexed="64"/>
      </right>
      <top/>
      <bottom/>
      <diagonal/>
    </border>
    <border>
      <left style="dashed">
        <color indexed="64"/>
      </left>
      <right/>
      <top/>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4">
    <xf numFmtId="0" fontId="0" fillId="0" borderId="0" xfId="0"/>
    <xf numFmtId="0" fontId="0" fillId="0" borderId="0" xfId="0" applyNumberFormat="1"/>
    <xf numFmtId="49" fontId="0" fillId="0" borderId="0" xfId="0" applyNumberFormat="1"/>
    <xf numFmtId="1" fontId="0" fillId="0" borderId="0" xfId="0" applyNumberFormat="1" applyAlignment="1">
      <alignment horizontal="left"/>
    </xf>
    <xf numFmtId="49" fontId="0" fillId="0" borderId="0" xfId="0" applyNumberFormat="1" applyAlignment="1">
      <alignment horizontal="left"/>
    </xf>
    <xf numFmtId="164" fontId="0" fillId="0" borderId="0" xfId="1" applyNumberFormat="1" applyFont="1" applyAlignment="1">
      <alignment horizontal="left"/>
    </xf>
    <xf numFmtId="16" fontId="0" fillId="0" borderId="0" xfId="0" applyNumberFormat="1"/>
    <xf numFmtId="0" fontId="0" fillId="0" borderId="13" xfId="0" applyBorder="1"/>
    <xf numFmtId="0" fontId="0" fillId="0" borderId="0" xfId="0" pivotButton="1"/>
    <xf numFmtId="0" fontId="0" fillId="0" borderId="0" xfId="0" applyAlignment="1">
      <alignment horizontal="left"/>
    </xf>
    <xf numFmtId="0" fontId="0" fillId="0" borderId="0" xfId="0" applyBorder="1"/>
    <xf numFmtId="1" fontId="0" fillId="0" borderId="13" xfId="0" applyNumberFormat="1" applyBorder="1" applyAlignment="1">
      <alignment horizontal="left"/>
    </xf>
    <xf numFmtId="0" fontId="0" fillId="0" borderId="14" xfId="0" applyBorder="1"/>
    <xf numFmtId="49" fontId="0" fillId="0" borderId="14" xfId="0" applyNumberFormat="1" applyBorder="1"/>
    <xf numFmtId="49" fontId="0" fillId="0" borderId="14" xfId="0" applyNumberFormat="1" applyBorder="1" applyAlignment="1">
      <alignment horizontal="left"/>
    </xf>
    <xf numFmtId="165" fontId="0" fillId="0" borderId="0" xfId="0" applyNumberFormat="1"/>
    <xf numFmtId="9" fontId="0" fillId="0" borderId="0" xfId="0" applyNumberFormat="1"/>
    <xf numFmtId="9" fontId="0" fillId="0" borderId="0" xfId="0" applyNumberFormat="1" applyAlignment="1">
      <alignment horizontal="left"/>
    </xf>
    <xf numFmtId="0" fontId="0" fillId="0" borderId="0" xfId="0" applyNumberFormat="1" applyAlignment="1">
      <alignment horizontal="left"/>
    </xf>
    <xf numFmtId="0" fontId="0" fillId="0" borderId="15" xfId="0" applyBorder="1"/>
    <xf numFmtId="49" fontId="0" fillId="0" borderId="16" xfId="0" applyNumberFormat="1" applyBorder="1"/>
    <xf numFmtId="1" fontId="0" fillId="0" borderId="14" xfId="0" applyNumberFormat="1" applyBorder="1" applyAlignment="1">
      <alignment horizontal="left"/>
    </xf>
    <xf numFmtId="164" fontId="0" fillId="0" borderId="14" xfId="1" applyNumberFormat="1" applyFont="1" applyBorder="1" applyAlignment="1">
      <alignment horizontal="left"/>
    </xf>
    <xf numFmtId="0" fontId="0" fillId="0" borderId="0" xfId="0" applyAlignment="1"/>
    <xf numFmtId="10" fontId="0" fillId="0" borderId="0" xfId="0" applyNumberFormat="1"/>
    <xf numFmtId="166" fontId="0" fillId="0" borderId="0" xfId="0" applyNumberFormat="1"/>
    <xf numFmtId="166" fontId="0" fillId="0" borderId="0" xfId="1" applyNumberFormat="1" applyFont="1"/>
    <xf numFmtId="167" fontId="0" fillId="0" borderId="0" xfId="43" applyNumberFormat="1" applyFont="1"/>
    <xf numFmtId="0" fontId="0" fillId="0" borderId="0" xfId="0" applyNumberFormat="1" applyAlignment="1">
      <alignment wrapText="1"/>
    </xf>
    <xf numFmtId="0" fontId="0" fillId="0" borderId="0" xfId="0" applyBorder="1" applyAlignment="1">
      <alignment horizontal="left"/>
    </xf>
    <xf numFmtId="0" fontId="0" fillId="0" borderId="0" xfId="0" applyAlignment="1">
      <alignment horizontal="center"/>
    </xf>
    <xf numFmtId="0" fontId="16" fillId="0" borderId="0" xfId="0" applyFont="1" applyAlignment="1">
      <alignment horizontal="center"/>
    </xf>
    <xf numFmtId="0" fontId="16" fillId="0" borderId="0" xfId="0" applyFont="1"/>
    <xf numFmtId="49" fontId="19" fillId="33" borderId="11" xfId="0" applyNumberFormat="1" applyFont="1" applyFill="1" applyBorder="1" applyAlignment="1">
      <alignment horizontal="left"/>
    </xf>
    <xf numFmtId="49" fontId="19" fillId="33" borderId="12" xfId="0" applyNumberFormat="1" applyFont="1" applyFill="1" applyBorder="1" applyAlignment="1">
      <alignment horizontal="center"/>
    </xf>
    <xf numFmtId="0" fontId="0" fillId="0" borderId="18" xfId="0" applyBorder="1"/>
    <xf numFmtId="0" fontId="0" fillId="0" borderId="19" xfId="0" applyBorder="1"/>
    <xf numFmtId="1" fontId="0" fillId="0" borderId="0" xfId="0" applyNumberFormat="1"/>
    <xf numFmtId="0" fontId="0" fillId="0" borderId="0" xfId="43" applyNumberFormat="1" applyFont="1"/>
    <xf numFmtId="10" fontId="0" fillId="0" borderId="0" xfId="0" applyNumberFormat="1" applyAlignment="1">
      <alignment horizontal="left"/>
    </xf>
    <xf numFmtId="164" fontId="0" fillId="0" borderId="0" xfId="1" applyNumberFormat="1" applyFont="1"/>
    <xf numFmtId="1" fontId="19" fillId="33" borderId="10" xfId="0" applyNumberFormat="1" applyFont="1" applyFill="1" applyBorder="1" applyAlignment="1">
      <alignment horizontal="center"/>
    </xf>
    <xf numFmtId="1" fontId="19" fillId="33" borderId="11" xfId="0" applyNumberFormat="1" applyFont="1" applyFill="1" applyBorder="1" applyAlignment="1">
      <alignment horizontal="center"/>
    </xf>
    <xf numFmtId="1" fontId="19" fillId="33" borderId="12" xfId="0" applyNumberFormat="1" applyFont="1" applyFill="1" applyBorder="1" applyAlignment="1">
      <alignment horizontal="center"/>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7" xfId="0" applyFont="1" applyFill="1" applyBorder="1" applyAlignment="1">
      <alignment horizontal="center"/>
    </xf>
    <xf numFmtId="1" fontId="19" fillId="33" borderId="15" xfId="0" applyNumberFormat="1" applyFont="1" applyFill="1" applyBorder="1" applyAlignment="1">
      <alignment horizontal="center"/>
    </xf>
    <xf numFmtId="1" fontId="19" fillId="33" borderId="16" xfId="0" applyNumberFormat="1" applyFont="1" applyFill="1" applyBorder="1" applyAlignment="1">
      <alignment horizontal="center"/>
    </xf>
    <xf numFmtId="0" fontId="20" fillId="34" borderId="18" xfId="0" applyFont="1" applyFill="1" applyBorder="1" applyAlignment="1">
      <alignment horizontal="center"/>
    </xf>
    <xf numFmtId="0" fontId="20" fillId="34" borderId="0" xfId="0" applyFont="1" applyFill="1" applyBorder="1" applyAlignment="1">
      <alignment horizontal="center"/>
    </xf>
    <xf numFmtId="0" fontId="20" fillId="34" borderId="20" xfId="0" applyFont="1" applyFill="1" applyBorder="1" applyAlignment="1">
      <alignment horizontal="center"/>
    </xf>
    <xf numFmtId="0" fontId="20" fillId="34" borderId="13" xfId="0" applyFont="1" applyFill="1" applyBorder="1"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80">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1" formatCode="0"/>
      <alignment horizontal="left" vertical="bottom" textRotation="0" wrapText="0" indent="0" justifyLastLine="0" shrinkToFit="0" readingOrder="0"/>
    </dxf>
    <dxf>
      <numFmt numFmtId="0" formatCode="General"/>
    </dxf>
    <dxf>
      <numFmt numFmtId="0" formatCode="General"/>
    </dxf>
    <dxf>
      <numFmt numFmtId="166" formatCode="_-[$$-409]* #,##0.00_ ;_-[$$-409]* \-#,##0.00\ ;_-[$$-409]* &quot;-&quot;??_ ;_-@_ "/>
    </dxf>
    <dxf>
      <numFmt numFmtId="14" formatCode="0.00%"/>
    </dxf>
    <dxf>
      <alignment horizontal="general" vertical="bottom" textRotation="0" wrapText="0" indent="0" justifyLastLine="0" shrinkToFit="0" readingOrder="0"/>
    </dxf>
    <dxf>
      <numFmt numFmtId="1" formatCode="0"/>
    </dxf>
    <dxf>
      <numFmt numFmtId="167" formatCode="0.0"/>
    </dxf>
    <dxf>
      <numFmt numFmtId="0" formatCode="General"/>
    </dxf>
    <dxf>
      <numFmt numFmtId="30" formatCode="@"/>
    </dxf>
    <dxf>
      <numFmt numFmtId="165" formatCode="0.0%"/>
    </dxf>
    <dxf>
      <numFmt numFmtId="14" formatCode="0.0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13" formatCode="0%"/>
    </dxf>
    <dxf>
      <numFmt numFmtId="165" formatCode="0.0%"/>
    </dxf>
    <dxf>
      <numFmt numFmtId="165" formatCode="0.0%"/>
    </dxf>
    <dxf>
      <numFmt numFmtId="14" formatCode="0.00%"/>
    </dxf>
    <dxf>
      <numFmt numFmtId="13" formatCode="0%"/>
    </dxf>
    <dxf>
      <numFmt numFmtId="165" formatCode="0.0%"/>
    </dxf>
    <dxf>
      <numFmt numFmtId="165" formatCode="0.0%"/>
    </dxf>
    <dxf>
      <numFmt numFmtId="13" formatCode="0%"/>
    </dxf>
    <dxf>
      <numFmt numFmtId="165" formatCode="0.0%"/>
    </dxf>
    <dxf>
      <alignment horizontal="left"/>
    </dxf>
    <dxf>
      <numFmt numFmtId="13" formatCode="0%"/>
    </dxf>
    <dxf>
      <numFmt numFmtId="14" formatCode="0.00%"/>
    </dxf>
    <dxf>
      <border>
        <left/>
      </border>
    </dxf>
    <dxf>
      <border>
        <left/>
      </border>
    </dxf>
    <dxf>
      <border>
        <left/>
      </border>
    </dxf>
    <dxf>
      <numFmt numFmtId="30" formatCode="@"/>
    </dxf>
    <dxf>
      <numFmt numFmtId="1" formatCode="0"/>
      <alignment horizontal="left" vertical="bottom" textRotation="0" wrapText="0" indent="0" justifyLastLine="0" shrinkToFit="0" readingOrder="0"/>
      <border diagonalUp="0" diagonalDown="0">
        <left/>
        <right style="thin">
          <color indexed="64"/>
        </right>
        <vertical/>
      </border>
    </dxf>
    <dxf>
      <numFmt numFmtId="0" formatCode="General"/>
    </dxf>
    <dxf>
      <numFmt numFmtId="30" formatCode="@"/>
    </dxf>
    <dxf>
      <numFmt numFmtId="30" formatCode="@"/>
      <alignment horizontal="left" vertical="bottom" textRotation="0" wrapText="0" indent="0" justifyLastLine="0" shrinkToFit="0" readingOrder="0"/>
      <border diagonalUp="0" diagonalDown="0">
        <left/>
        <right style="thin">
          <color indexed="64"/>
        </right>
        <vertical/>
      </border>
    </dxf>
    <dxf>
      <numFmt numFmtId="30" formatCode="@"/>
    </dxf>
    <dxf>
      <numFmt numFmtId="30" formatCode="@"/>
    </dxf>
    <dxf>
      <numFmt numFmtId="164" formatCode="_-[$$-409]* #,##0_ ;_-[$$-409]* \-#,##0\ ;_-[$$-409]* &quot;-&quot;??_ ;_-@_ "/>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border diagonalUp="0" diagonalDown="0">
        <left/>
        <right style="thin">
          <color indexed="64"/>
        </right>
        <vertical/>
      </border>
    </dxf>
    <dxf>
      <numFmt numFmtId="30" formatCode="@"/>
    </dxf>
    <dxf>
      <numFmt numFmtId="30" formatCode="@"/>
    </dxf>
    <dxf>
      <numFmt numFmtId="30" formatCode="@"/>
    </dxf>
    <dxf>
      <numFmt numFmtId="30" formatCode="@"/>
      <border diagonalUp="0" diagonalDown="0">
        <left/>
        <right style="thin">
          <color indexed="64"/>
        </right>
        <top/>
        <bottom/>
        <vertical/>
        <horizontal/>
      </border>
    </dxf>
    <dxf>
      <numFmt numFmtId="30" formatCode="@"/>
      <border diagonalUp="0" diagonalDown="0">
        <left/>
        <right style="thin">
          <color indexed="64"/>
        </right>
        <vertical/>
      </border>
    </dxf>
    <dxf>
      <numFmt numFmtId="30" formatCode="@"/>
    </dxf>
    <dxf>
      <numFmt numFmtId="30" formatCode="@"/>
      <border diagonalUp="0" diagonalDown="0">
        <left/>
        <right style="thin">
          <color indexed="64"/>
        </right>
        <vertical/>
      </border>
    </dxf>
    <dxf>
      <numFmt numFmtId="30" formatCode="@"/>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dxf>
    <dxf>
      <numFmt numFmtId="30" formatCode="@"/>
      <alignment horizontal="left" vertical="bottom" textRotation="0" wrapText="0" indent="0" justifyLastLine="0" shrinkToFit="0" readingOrder="0"/>
      <border diagonalUp="0" diagonalDown="0">
        <left/>
        <right style="thin">
          <color indexed="64"/>
        </right>
        <vertical/>
      </border>
    </dxf>
    <dxf>
      <numFmt numFmtId="1" formatCode="0"/>
      <alignment horizontal="left" vertical="bottom" textRotation="0" wrapText="0" indent="0" justifyLastLine="0" shrinkToFit="0" readingOrder="0"/>
    </dxf>
    <dxf>
      <numFmt numFmtId="30" formatCode="@"/>
    </dxf>
    <dxf>
      <numFmt numFmtId="30" formatCode="@"/>
    </dxf>
    <dxf>
      <numFmt numFmtId="30" formatCode="@"/>
    </dxf>
    <dxf>
      <numFmt numFmtId="30" formatCode="@"/>
    </dxf>
    <dxf>
      <numFmt numFmtId="1" formatCode="0"/>
      <alignment horizontal="left" vertical="bottom" textRotation="0" wrapText="0" indent="0" justifyLastLine="0" shrinkToFit="0" readingOrder="0"/>
      <border diagonalUp="0" diagonalDown="0">
        <left style="thin">
          <color indexed="64"/>
        </left>
        <right/>
        <vertical/>
      </border>
    </dxf>
    <dxf>
      <numFmt numFmtId="30" formatCode="@"/>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Table Style 1" pivot="0" count="0" xr9:uid="{E5FA8701-B91B-4180-B6AA-B5C78161F23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[Analysis.xlsx]3.1 Customer_Demographics!PivotTable1</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900"/>
              <a:t>Credit Risk %</a:t>
            </a:r>
          </a:p>
        </c:rich>
      </c:tx>
      <c:layout>
        <c:manualLayout>
          <c:xMode val="edge"/>
          <c:yMode val="edge"/>
          <c:x val="0.36002904380275474"/>
          <c:y val="4.9353213153930084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60000"/>
              <a:lumOff val="40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s>
    <c:plotArea>
      <c:layout>
        <c:manualLayout>
          <c:layoutTarget val="inner"/>
          <c:xMode val="edge"/>
          <c:yMode val="edge"/>
          <c:x val="0.14906096189428114"/>
          <c:y val="0.13422929134701636"/>
          <c:w val="0.6949509037886249"/>
          <c:h val="0.81135986932829929"/>
        </c:manualLayout>
      </c:layout>
      <c:doughnutChart>
        <c:varyColors val="1"/>
        <c:ser>
          <c:idx val="0"/>
          <c:order val="0"/>
          <c:tx>
            <c:strRef>
              <c:f>'3.1 Customer_Demographics'!$Q$15</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0A2E-4717-93E2-FC34ADA8BB42}"/>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0A2E-4717-93E2-FC34ADA8BB4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'3.1 Customer_Demographics'!$P$16:$P$17</c:f>
              <c:strCache>
                <c:ptCount val="2"/>
                <c:pt idx="0">
                  <c:v>Bad</c:v>
                </c:pt>
                <c:pt idx="1">
                  <c:v>Good</c:v>
                </c:pt>
              </c:strCache>
            </c:strRef>
          </c:cat>
          <c:val>
            <c:numRef>
              <c:f>'3.1 Customer_Demographics'!$Q$16:$Q$17</c:f>
              <c:numCache>
                <c:formatCode>0%</c:formatCode>
                <c:ptCount val="2"/>
                <c:pt idx="0">
                  <c:v>0.3</c:v>
                </c:pt>
                <c:pt idx="1">
                  <c:v>0.7</c:v>
                </c:pt>
              </c:numCache>
            </c:numRef>
          </c:val>
          <c:extLst>
            <c:ext xmlns:c16="http://schemas.microsoft.com/office/drawing/2014/chart" uri="{C3380CC4-5D6E-409C-BE32-E72D297353CC}">
              <c16:uniqueId val="{00000000-1C70-4BA0-BAAE-ED4A5EEF9F34}"/>
            </c:ext>
          </c:extLst>
        </c:ser>
        <c:dLbls>
          <c:showLegendKey val="0"/>
          <c:showVal val="0"/>
          <c:showCatName val="0"/>
          <c:showSerName val="0"/>
          <c:showPercent val="0"/>
          <c:showBubbleSize val="0"/>
          <c:showLeaderLines val="0"/>
        </c:dLbls>
        <c:firstSliceAng val="0"/>
        <c:holeSize val="70"/>
      </c:doughnutChart>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[Analysis.xlsx]3.1 Customer_Demographics!Customer Distribution by Gender</c:name>
    <c:fmtId val="7"/>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Customer Distribution by Gender</a:t>
            </a:r>
          </a:p>
        </c:rich>
      </c:tx>
      <c:layout>
        <c:manualLayout>
          <c:xMode val="edge"/>
          <c:yMode val="edge"/>
          <c:x val="0.13988168437949022"/>
          <c:y val="5.3037510936132987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w="19050">
            <a:solidFill>
              <a:schemeClr val="lt1"/>
            </a:solidFill>
          </a:ln>
          <a:effectLst/>
        </c:spPr>
      </c:pivotFmt>
      <c:pivotFmt>
        <c:idx val="3"/>
        <c:spPr>
          <a:solidFill>
            <a:schemeClr val="accent5">
              <a:lumMod val="75000"/>
            </a:schemeClr>
          </a:solidFill>
          <a:ln w="19050">
            <a:solidFill>
              <a:schemeClr val="lt1"/>
            </a:solidFill>
          </a:ln>
          <a:effectLst/>
        </c:spPr>
      </c:pivotFmt>
    </c:pivotFmts>
    <c:plotArea>
      <c:layout>
        <c:manualLayout>
          <c:layoutTarget val="inner"/>
          <c:xMode val="edge"/>
          <c:yMode val="edge"/>
          <c:x val="0.13053418792927132"/>
          <c:y val="0.18936964274814486"/>
          <c:w val="0.73518834038081871"/>
          <c:h val="0.71809061657990436"/>
        </c:manualLayout>
      </c:layout>
      <c:doughnutChart>
        <c:varyColors val="1"/>
        <c:ser>
          <c:idx val="0"/>
          <c:order val="0"/>
          <c:tx>
            <c:strRef>
              <c:f>'3.1 Customer_Demographics'!$Q$27</c:f>
              <c:strCache>
                <c:ptCount val="1"/>
                <c:pt idx="0">
                  <c:v>Total</c:v>
                </c:pt>
              </c:strCache>
            </c:strRef>
          </c:tx>
          <c:spPr>
            <a:solidFill>
              <a:schemeClr val="accent5">
                <a:lumMod val="75000"/>
              </a:schemeClr>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C03B-4833-8A87-BA6947E2F74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03B-4833-8A87-BA6947E2F7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'3.1 Customer_Demographics'!$P$28:$P$29</c:f>
              <c:strCache>
                <c:ptCount val="2"/>
                <c:pt idx="0">
                  <c:v>Female</c:v>
                </c:pt>
                <c:pt idx="1">
                  <c:v>Male</c:v>
                </c:pt>
              </c:strCache>
            </c:strRef>
          </c:cat>
          <c:val>
            <c:numRef>
              <c:f>'3.1 Customer_Demographics'!$Q$28:$Q$29</c:f>
              <c:numCache>
                <c:formatCode>0%</c:formatCode>
                <c:ptCount val="2"/>
                <c:pt idx="0">
                  <c:v>0.33574225774225774</c:v>
                </c:pt>
                <c:pt idx="1">
                  <c:v>0.66425774225774226</c:v>
                </c:pt>
              </c:numCache>
            </c:numRef>
          </c:val>
          <c:extLst>
            <c:ext xmlns:c16="http://schemas.microsoft.com/office/drawing/2014/chart" uri="{C3380CC4-5D6E-409C-BE32-E72D297353CC}">
              <c16:uniqueId val="{00000000-7A02-4565-B7AF-8B901143326D}"/>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[Analysis.xlsx]3.1 Customer_Demographics!PivotTable2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Customer Distribution by Age Range &amp; Credit Risk</a:t>
            </a:r>
          </a:p>
        </c:rich>
      </c:tx>
      <c:layout>
        <c:manualLayout>
          <c:xMode val="edge"/>
          <c:yMode val="edge"/>
          <c:x val="0.12531493774876032"/>
          <c:y val="1.3533832983975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B8636C00-C0DC-4D36-B8E9-74EFC6EB16CE}"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lumMod val="75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A8F7022D-8049-4B64-B7A8-024D43452144}"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'3.1 Customer_Demographics'!$U$14:$U$15</c:f>
              <c:strCache>
                <c:ptCount val="1"/>
                <c:pt idx="0">
                  <c:v>Bad</c:v>
                </c:pt>
              </c:strCache>
            </c:strRef>
          </c:tx>
          <c:spPr>
            <a:solidFill>
              <a:schemeClr val="accent5">
                <a:lumMod val="60000"/>
                <a:lumOff val="40000"/>
              </a:schemeClr>
            </a:solidFill>
            <a:ln>
              <a:noFill/>
            </a:ln>
            <a:effectLst/>
          </c:spPr>
          <c:invertIfNegative val="0"/>
          <c:dPt>
            <c:idx val="0"/>
            <c:invertIfNegative val="0"/>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0-F6CA-4876-895B-C21A0512025C}"/>
              </c:ext>
            </c:extLst>
          </c:dPt>
          <c:dLbls>
            <c:dLbl>
              <c:idx val="0"/>
              <c:tx>
                <c:rich>
                  <a:bodyPr/>
                  <a:lstStyle/>
                  <a:p>
                    <a:fld id="{B8636C00-C0DC-4D36-B8E9-74EFC6EB16CE}"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6CA-4876-895B-C21A0512025C}"/>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 Customer_Demographics'!$T$16:$T$21</c:f>
              <c:strCache>
                <c:ptCount val="6"/>
                <c:pt idx="0">
                  <c:v>19-29</c:v>
                </c:pt>
                <c:pt idx="1">
                  <c:v>29-39</c:v>
                </c:pt>
                <c:pt idx="2">
                  <c:v>39-49</c:v>
                </c:pt>
                <c:pt idx="3">
                  <c:v>49-59</c:v>
                </c:pt>
                <c:pt idx="4">
                  <c:v>59-69</c:v>
                </c:pt>
                <c:pt idx="5">
                  <c:v>69-76</c:v>
                </c:pt>
              </c:strCache>
            </c:strRef>
          </c:cat>
          <c:val>
            <c:numRef>
              <c:f>'3.1 Customer_Demographics'!$U$16:$U$21</c:f>
              <c:numCache>
                <c:formatCode>0.0%</c:formatCode>
                <c:ptCount val="6"/>
                <c:pt idx="0">
                  <c:v>0.3652694610778443</c:v>
                </c:pt>
                <c:pt idx="1">
                  <c:v>0.27167630057803466</c:v>
                </c:pt>
                <c:pt idx="2">
                  <c:v>0.27071823204419887</c:v>
                </c:pt>
                <c:pt idx="3">
                  <c:v>0.24705882352941178</c:v>
                </c:pt>
                <c:pt idx="4">
                  <c:v>0.27659574468085107</c:v>
                </c:pt>
                <c:pt idx="5">
                  <c:v>0.14285714285714285</c:v>
                </c:pt>
              </c:numCache>
            </c:numRef>
          </c:val>
          <c:extLst>
            <c:ext xmlns:c16="http://schemas.microsoft.com/office/drawing/2014/chart" uri="{C3380CC4-5D6E-409C-BE32-E72D297353CC}">
              <c16:uniqueId val="{00000000-3E99-4013-A907-ED462C0362BF}"/>
            </c:ext>
          </c:extLst>
        </c:ser>
        <c:ser>
          <c:idx val="1"/>
          <c:order val="1"/>
          <c:tx>
            <c:strRef>
              <c:f>'3.1 Customer_Demographics'!$V$14:$V$15</c:f>
              <c:strCache>
                <c:ptCount val="1"/>
                <c:pt idx="0">
                  <c:v>Good</c:v>
                </c:pt>
              </c:strCache>
            </c:strRef>
          </c:tx>
          <c:spPr>
            <a:solidFill>
              <a:schemeClr val="accent5">
                <a:lumMod val="75000"/>
              </a:schemeClr>
            </a:solidFill>
            <a:ln>
              <a:noFill/>
            </a:ln>
            <a:effectLst/>
          </c:spPr>
          <c:invertIfNegative val="0"/>
          <c:dPt>
            <c:idx val="5"/>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1-F6CA-4876-895B-C21A0512025C}"/>
              </c:ext>
            </c:extLst>
          </c:dPt>
          <c:dLbls>
            <c:dLbl>
              <c:idx val="5"/>
              <c:tx>
                <c:rich>
                  <a:bodyPr/>
                  <a:lstStyle/>
                  <a:p>
                    <a:fld id="{A8F7022D-8049-4B64-B7A8-024D43452144}"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6CA-4876-895B-C21A0512025C}"/>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 Customer_Demographics'!$T$16:$T$21</c:f>
              <c:strCache>
                <c:ptCount val="6"/>
                <c:pt idx="0">
                  <c:v>19-29</c:v>
                </c:pt>
                <c:pt idx="1">
                  <c:v>29-39</c:v>
                </c:pt>
                <c:pt idx="2">
                  <c:v>39-49</c:v>
                </c:pt>
                <c:pt idx="3">
                  <c:v>49-59</c:v>
                </c:pt>
                <c:pt idx="4">
                  <c:v>59-69</c:v>
                </c:pt>
                <c:pt idx="5">
                  <c:v>69-76</c:v>
                </c:pt>
              </c:strCache>
            </c:strRef>
          </c:cat>
          <c:val>
            <c:numRef>
              <c:f>'3.1 Customer_Demographics'!$V$16:$V$21</c:f>
              <c:numCache>
                <c:formatCode>0.0%</c:formatCode>
                <c:ptCount val="6"/>
                <c:pt idx="0">
                  <c:v>0.6347305389221557</c:v>
                </c:pt>
                <c:pt idx="1">
                  <c:v>0.72832369942196529</c:v>
                </c:pt>
                <c:pt idx="2">
                  <c:v>0.72928176795580113</c:v>
                </c:pt>
                <c:pt idx="3">
                  <c:v>0.75294117647058822</c:v>
                </c:pt>
                <c:pt idx="4">
                  <c:v>0.72340425531914898</c:v>
                </c:pt>
                <c:pt idx="5">
                  <c:v>0.8571428571428571</c:v>
                </c:pt>
              </c:numCache>
            </c:numRef>
          </c:val>
          <c:extLst>
            <c:ext xmlns:c16="http://schemas.microsoft.com/office/drawing/2014/chart" uri="{C3380CC4-5D6E-409C-BE32-E72D297353CC}">
              <c16:uniqueId val="{00000001-3E99-4013-A907-ED462C0362BF}"/>
            </c:ext>
          </c:extLst>
        </c:ser>
        <c:dLbls>
          <c:dLblPos val="outEnd"/>
          <c:showLegendKey val="0"/>
          <c:showVal val="1"/>
          <c:showCatName val="0"/>
          <c:showSerName val="0"/>
          <c:showPercent val="0"/>
          <c:showBubbleSize val="0"/>
        </c:dLbls>
        <c:gapWidth val="219"/>
        <c:overlap val="-27"/>
        <c:axId val="1266676895"/>
        <c:axId val="1185731183"/>
      </c:barChart>
      <c:catAx>
        <c:axId val="126667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85731183"/>
        <c:crosses val="autoZero"/>
        <c:auto val="1"/>
        <c:lblAlgn val="ctr"/>
        <c:lblOffset val="100"/>
        <c:noMultiLvlLbl val="0"/>
      </c:catAx>
      <c:valAx>
        <c:axId val="11857311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667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[Analysis.xlsx]3.1 Customer_Demographics!PivotTable4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Marital Status with Highest Credit Risk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9A4DECC1-C627-43B8-BB8D-600E5D073511}"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75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78E3C397-7F91-4BAA-9C3D-BC44249D7F60}"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'3.1 Customer_Demographics'!$U$26:$U$27</c:f>
              <c:strCache>
                <c:ptCount val="1"/>
                <c:pt idx="0">
                  <c:v>Bad</c:v>
                </c:pt>
              </c:strCache>
            </c:strRef>
          </c:tx>
          <c:spPr>
            <a:solidFill>
              <a:schemeClr val="accent5">
                <a:lumMod val="60000"/>
                <a:lumOff val="40000"/>
              </a:schemeClr>
            </a:solidFill>
            <a:ln>
              <a:noFill/>
            </a:ln>
            <a:effectLst/>
          </c:spPr>
          <c:invertIfNegative val="0"/>
          <c:dPt>
            <c:idx val="1"/>
            <c:invertIfNegative val="0"/>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0-E8DC-4610-AA85-AF38692E80BC}"/>
              </c:ext>
            </c:extLst>
          </c:dPt>
          <c:dLbls>
            <c:dLbl>
              <c:idx val="1"/>
              <c:tx>
                <c:rich>
                  <a:bodyPr/>
                  <a:lstStyle/>
                  <a:p>
                    <a:fld id="{9A4DECC1-C627-43B8-BB8D-600E5D073511}"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8DC-4610-AA85-AF38692E80BC}"/>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 Customer_Demographics'!$T$28:$T$31</c:f>
              <c:strCache>
                <c:ptCount val="4"/>
                <c:pt idx="0">
                  <c:v>Divorced with Dependents</c:v>
                </c:pt>
                <c:pt idx="1">
                  <c:v>Divorced/Separated</c:v>
                </c:pt>
                <c:pt idx="2">
                  <c:v>Married/Widowed</c:v>
                </c:pt>
                <c:pt idx="3">
                  <c:v>Single</c:v>
                </c:pt>
              </c:strCache>
            </c:strRef>
          </c:cat>
          <c:val>
            <c:numRef>
              <c:f>'3.1 Customer_Demographics'!$U$28:$U$31</c:f>
              <c:numCache>
                <c:formatCode>0.0%</c:formatCode>
                <c:ptCount val="4"/>
                <c:pt idx="0">
                  <c:v>0.35161290322580646</c:v>
                </c:pt>
                <c:pt idx="1">
                  <c:v>0.4</c:v>
                </c:pt>
                <c:pt idx="2">
                  <c:v>0.27173913043478259</c:v>
                </c:pt>
                <c:pt idx="3">
                  <c:v>0.26642335766423358</c:v>
                </c:pt>
              </c:numCache>
            </c:numRef>
          </c:val>
          <c:extLst>
            <c:ext xmlns:c16="http://schemas.microsoft.com/office/drawing/2014/chart" uri="{C3380CC4-5D6E-409C-BE32-E72D297353CC}">
              <c16:uniqueId val="{00000000-93C6-4681-A515-7E9CDB14FE80}"/>
            </c:ext>
          </c:extLst>
        </c:ser>
        <c:ser>
          <c:idx val="1"/>
          <c:order val="1"/>
          <c:tx>
            <c:strRef>
              <c:f>'3.1 Customer_Demographics'!$V$26:$V$27</c:f>
              <c:strCache>
                <c:ptCount val="1"/>
                <c:pt idx="0">
                  <c:v>Good</c:v>
                </c:pt>
              </c:strCache>
            </c:strRef>
          </c:tx>
          <c:spPr>
            <a:solidFill>
              <a:schemeClr val="accent5">
                <a:lumMod val="75000"/>
              </a:schemeClr>
            </a:solidFill>
            <a:ln>
              <a:noFill/>
            </a:ln>
            <a:effectLst/>
          </c:spPr>
          <c:invertIfNegative val="0"/>
          <c:dPt>
            <c:idx val="3"/>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1-E8DC-4610-AA85-AF38692E80BC}"/>
              </c:ext>
            </c:extLst>
          </c:dPt>
          <c:dLbls>
            <c:dLbl>
              <c:idx val="3"/>
              <c:tx>
                <c:rich>
                  <a:bodyPr/>
                  <a:lstStyle/>
                  <a:p>
                    <a:fld id="{78E3C397-7F91-4BAA-9C3D-BC44249D7F60}"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8DC-4610-AA85-AF38692E80BC}"/>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 Customer_Demographics'!$T$28:$T$31</c:f>
              <c:strCache>
                <c:ptCount val="4"/>
                <c:pt idx="0">
                  <c:v>Divorced with Dependents</c:v>
                </c:pt>
                <c:pt idx="1">
                  <c:v>Divorced/Separated</c:v>
                </c:pt>
                <c:pt idx="2">
                  <c:v>Married/Widowed</c:v>
                </c:pt>
                <c:pt idx="3">
                  <c:v>Single</c:v>
                </c:pt>
              </c:strCache>
            </c:strRef>
          </c:cat>
          <c:val>
            <c:numRef>
              <c:f>'3.1 Customer_Demographics'!$V$28:$V$31</c:f>
              <c:numCache>
                <c:formatCode>0.0%</c:formatCode>
                <c:ptCount val="4"/>
                <c:pt idx="0">
                  <c:v>0.64838709677419359</c:v>
                </c:pt>
                <c:pt idx="1">
                  <c:v>0.6</c:v>
                </c:pt>
                <c:pt idx="2">
                  <c:v>0.72826086956521741</c:v>
                </c:pt>
                <c:pt idx="3">
                  <c:v>0.73357664233576647</c:v>
                </c:pt>
              </c:numCache>
            </c:numRef>
          </c:val>
          <c:extLst>
            <c:ext xmlns:c16="http://schemas.microsoft.com/office/drawing/2014/chart" uri="{C3380CC4-5D6E-409C-BE32-E72D297353CC}">
              <c16:uniqueId val="{00000001-93C6-4681-A515-7E9CDB14FE80}"/>
            </c:ext>
          </c:extLst>
        </c:ser>
        <c:dLbls>
          <c:dLblPos val="outEnd"/>
          <c:showLegendKey val="0"/>
          <c:showVal val="1"/>
          <c:showCatName val="0"/>
          <c:showSerName val="0"/>
          <c:showPercent val="0"/>
          <c:showBubbleSize val="0"/>
        </c:dLbls>
        <c:gapWidth val="219"/>
        <c:overlap val="-27"/>
        <c:axId val="1361715407"/>
        <c:axId val="1185708367"/>
      </c:barChart>
      <c:catAx>
        <c:axId val="1361715407"/>
        <c:scaling>
          <c:orientation val="minMax"/>
        </c:scaling>
        <c:delete val="0"/>
        <c:axPos val="b"/>
        <c:numFmt formatCode="General" sourceLinked="1"/>
        <c:majorTickMark val="out"/>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PK"/>
          </a:p>
        </c:txPr>
        <c:crossAx val="1185708367"/>
        <c:crosses val="autoZero"/>
        <c:auto val="1"/>
        <c:lblAlgn val="ctr"/>
        <c:lblOffset val="100"/>
        <c:noMultiLvlLbl val="0"/>
      </c:catAx>
      <c:valAx>
        <c:axId val="11857083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61715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[Analysis.xlsx]3.1 Customer_Demographics!PivotTable7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Gender Distribution by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DCCC6257-BAAF-4FB4-B4EE-77F331188C96}"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75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fld id="{82791894-017B-4B73-A22F-17EAE2513605}" type="VALUE">
                  <a:rPr lang="en-US" sz="800" b="1"/>
                  <a:pPr>
                    <a:defRPr sz="600">
                      <a:solidFill>
                        <a:schemeClr val="bg1"/>
                      </a:solidFill>
                    </a:defRPr>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percentStacked"/>
        <c:varyColors val="0"/>
        <c:ser>
          <c:idx val="0"/>
          <c:order val="0"/>
          <c:tx>
            <c:strRef>
              <c:f>'3.1 Customer_Demographics'!$U$36:$U$37</c:f>
              <c:strCache>
                <c:ptCount val="1"/>
                <c:pt idx="0">
                  <c:v>Female</c:v>
                </c:pt>
              </c:strCache>
            </c:strRef>
          </c:tx>
          <c:spPr>
            <a:solidFill>
              <a:schemeClr val="accent5">
                <a:lumMod val="60000"/>
                <a:lumOff val="40000"/>
              </a:schemeClr>
            </a:solidFill>
            <a:ln>
              <a:noFill/>
            </a:ln>
            <a:effectLst/>
          </c:spPr>
          <c:invertIfNegative val="0"/>
          <c:dPt>
            <c:idx val="0"/>
            <c:invertIfNegative val="0"/>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1-2040-4424-B87D-33B853643552}"/>
              </c:ext>
            </c:extLst>
          </c:dPt>
          <c:dLbls>
            <c:dLbl>
              <c:idx val="0"/>
              <c:tx>
                <c:rich>
                  <a:bodyPr/>
                  <a:lstStyle/>
                  <a:p>
                    <a:fld id="{DCCC6257-BAAF-4FB4-B4EE-77F331188C96}" type="VALUE">
                      <a:rPr lang="en-US" sz="800" b="1"/>
                      <a:pPr/>
                      <a:t>[VALUE]</a:t>
                    </a:fld>
                    <a:endParaRPr lang="en-PK"/>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040-4424-B87D-33B853643552}"/>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 Customer_Demographics'!$T$38:$T$43</c:f>
              <c:strCache>
                <c:ptCount val="6"/>
                <c:pt idx="0">
                  <c:v>19-29</c:v>
                </c:pt>
                <c:pt idx="1">
                  <c:v>29-39</c:v>
                </c:pt>
                <c:pt idx="2">
                  <c:v>39-49</c:v>
                </c:pt>
                <c:pt idx="3">
                  <c:v>49-59</c:v>
                </c:pt>
                <c:pt idx="4">
                  <c:v>59-69</c:v>
                </c:pt>
                <c:pt idx="5">
                  <c:v>69-76</c:v>
                </c:pt>
              </c:strCache>
            </c:strRef>
          </c:cat>
          <c:val>
            <c:numRef>
              <c:f>'3.1 Customer_Demographics'!$U$38:$U$43</c:f>
              <c:numCache>
                <c:formatCode>General</c:formatCode>
                <c:ptCount val="6"/>
                <c:pt idx="0">
                  <c:v>154</c:v>
                </c:pt>
                <c:pt idx="1">
                  <c:v>83</c:v>
                </c:pt>
                <c:pt idx="2">
                  <c:v>34</c:v>
                </c:pt>
                <c:pt idx="3">
                  <c:v>25</c:v>
                </c:pt>
                <c:pt idx="4">
                  <c:v>12</c:v>
                </c:pt>
                <c:pt idx="5">
                  <c:v>2</c:v>
                </c:pt>
              </c:numCache>
            </c:numRef>
          </c:val>
          <c:extLst>
            <c:ext xmlns:c16="http://schemas.microsoft.com/office/drawing/2014/chart" uri="{C3380CC4-5D6E-409C-BE32-E72D297353CC}">
              <c16:uniqueId val="{00000000-C493-416C-A249-20A00F38554D}"/>
            </c:ext>
          </c:extLst>
        </c:ser>
        <c:ser>
          <c:idx val="1"/>
          <c:order val="1"/>
          <c:tx>
            <c:strRef>
              <c:f>'3.1 Customer_Demographics'!$V$36:$V$37</c:f>
              <c:strCache>
                <c:ptCount val="1"/>
                <c:pt idx="0">
                  <c:v>Male</c:v>
                </c:pt>
              </c:strCache>
            </c:strRef>
          </c:tx>
          <c:spPr>
            <a:solidFill>
              <a:schemeClr val="accent5">
                <a:lumMod val="75000"/>
              </a:schemeClr>
            </a:solidFill>
            <a:ln>
              <a:noFill/>
            </a:ln>
            <a:effectLst/>
          </c:spPr>
          <c:invertIfNegative val="0"/>
          <c:dPt>
            <c:idx val="1"/>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2-2040-4424-B87D-33B853643552}"/>
              </c:ext>
            </c:extLst>
          </c:dPt>
          <c:dLbls>
            <c:dLbl>
              <c:idx val="1"/>
              <c:tx>
                <c:rich>
                  <a:bodyPr/>
                  <a:lstStyle/>
                  <a:p>
                    <a:fld id="{82791894-017B-4B73-A22F-17EAE2513605}" type="VALUE">
                      <a:rPr lang="en-US" sz="800" b="1"/>
                      <a:pPr/>
                      <a:t>[VALUE]</a:t>
                    </a:fld>
                    <a:endParaRPr lang="en-PK"/>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040-4424-B87D-33B853643552}"/>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 Customer_Demographics'!$T$38:$T$43</c:f>
              <c:strCache>
                <c:ptCount val="6"/>
                <c:pt idx="0">
                  <c:v>19-29</c:v>
                </c:pt>
                <c:pt idx="1">
                  <c:v>29-39</c:v>
                </c:pt>
                <c:pt idx="2">
                  <c:v>39-49</c:v>
                </c:pt>
                <c:pt idx="3">
                  <c:v>49-59</c:v>
                </c:pt>
                <c:pt idx="4">
                  <c:v>59-69</c:v>
                </c:pt>
                <c:pt idx="5">
                  <c:v>69-76</c:v>
                </c:pt>
              </c:strCache>
            </c:strRef>
          </c:cat>
          <c:val>
            <c:numRef>
              <c:f>'3.1 Customer_Demographics'!$V$38:$V$43</c:f>
              <c:numCache>
                <c:formatCode>General</c:formatCode>
                <c:ptCount val="6"/>
                <c:pt idx="0">
                  <c:v>180</c:v>
                </c:pt>
                <c:pt idx="1">
                  <c:v>263</c:v>
                </c:pt>
                <c:pt idx="2">
                  <c:v>147</c:v>
                </c:pt>
                <c:pt idx="3">
                  <c:v>60</c:v>
                </c:pt>
                <c:pt idx="4">
                  <c:v>35</c:v>
                </c:pt>
                <c:pt idx="5">
                  <c:v>5</c:v>
                </c:pt>
              </c:numCache>
            </c:numRef>
          </c:val>
          <c:extLst>
            <c:ext xmlns:c16="http://schemas.microsoft.com/office/drawing/2014/chart" uri="{C3380CC4-5D6E-409C-BE32-E72D297353CC}">
              <c16:uniqueId val="{00000001-C493-416C-A249-20A00F38554D}"/>
            </c:ext>
          </c:extLst>
        </c:ser>
        <c:dLbls>
          <c:dLblPos val="ctr"/>
          <c:showLegendKey val="0"/>
          <c:showVal val="1"/>
          <c:showCatName val="0"/>
          <c:showSerName val="0"/>
          <c:showPercent val="0"/>
          <c:showBubbleSize val="0"/>
        </c:dLbls>
        <c:gapWidth val="150"/>
        <c:overlap val="100"/>
        <c:axId val="1363256847"/>
        <c:axId val="1185693487"/>
      </c:barChart>
      <c:catAx>
        <c:axId val="1363256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PK"/>
          </a:p>
        </c:txPr>
        <c:crossAx val="1185693487"/>
        <c:crosses val="autoZero"/>
        <c:auto val="1"/>
        <c:lblAlgn val="ctr"/>
        <c:lblOffset val="100"/>
        <c:noMultiLvlLbl val="0"/>
      </c:catAx>
      <c:valAx>
        <c:axId val="118569348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63256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[Analysis.xlsx]3.1 Customer_Demographics!PivotTable6</c:name>
    <c:fmtId val="6"/>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Credit Risk Count of Foreign Workers </a:t>
            </a:r>
          </a:p>
        </c:rich>
      </c:tx>
      <c:layout>
        <c:manualLayout>
          <c:xMode val="edge"/>
          <c:yMode val="edge"/>
          <c:x val="0.14319283026686003"/>
          <c:y val="4.2635667589506925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lumMod val="60000"/>
              <a:lumOff val="40000"/>
            </a:schemeClr>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B722394D-0203-454A-A346-4AADF798FD9C}"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60000"/>
              <a:lumOff val="40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7E780ABB-5F24-43AB-A6DB-74E4FBBF0F32}"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'3.1 Customer_Demographics'!$Q$36:$Q$37</c:f>
              <c:strCache>
                <c:ptCount val="1"/>
                <c:pt idx="0">
                  <c:v>Bad</c:v>
                </c:pt>
              </c:strCache>
            </c:strRef>
          </c:tx>
          <c:spPr>
            <a:solidFill>
              <a:schemeClr val="accent5">
                <a:lumMod val="60000"/>
                <a:lumOff val="40000"/>
              </a:schemeClr>
            </a:solidFill>
            <a:ln>
              <a:solidFill>
                <a:schemeClr val="accent5">
                  <a:lumMod val="50000"/>
                </a:schemeClr>
              </a:solidFill>
            </a:ln>
            <a:effectLst/>
          </c:spPr>
          <c:invertIfNegative val="0"/>
          <c:dPt>
            <c:idx val="1"/>
            <c:invertIfNegative val="0"/>
            <c:bubble3D val="0"/>
            <c:extLst>
              <c:ext xmlns:c16="http://schemas.microsoft.com/office/drawing/2014/chart" uri="{C3380CC4-5D6E-409C-BE32-E72D297353CC}">
                <c16:uniqueId val="{00000001-17C7-4238-98A4-C3FD95F7321C}"/>
              </c:ext>
            </c:extLst>
          </c:dPt>
          <c:dLbls>
            <c:dLbl>
              <c:idx val="1"/>
              <c:tx>
                <c:rich>
                  <a:bodyPr/>
                  <a:lstStyle/>
                  <a:p>
                    <a:fld id="{7E780ABB-5F24-43AB-A6DB-74E4FBBF0F32}"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7C7-4238-98A4-C3FD95F7321C}"/>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 Customer_Demographics'!$P$38:$P$39</c:f>
              <c:strCache>
                <c:ptCount val="2"/>
                <c:pt idx="0">
                  <c:v>No</c:v>
                </c:pt>
                <c:pt idx="1">
                  <c:v>Yes</c:v>
                </c:pt>
              </c:strCache>
            </c:strRef>
          </c:cat>
          <c:val>
            <c:numRef>
              <c:f>'3.1 Customer_Demographics'!$Q$38:$Q$39</c:f>
              <c:numCache>
                <c:formatCode>General</c:formatCode>
                <c:ptCount val="2"/>
                <c:pt idx="0">
                  <c:v>4</c:v>
                </c:pt>
                <c:pt idx="1">
                  <c:v>296</c:v>
                </c:pt>
              </c:numCache>
            </c:numRef>
          </c:val>
          <c:extLst>
            <c:ext xmlns:c16="http://schemas.microsoft.com/office/drawing/2014/chart" uri="{C3380CC4-5D6E-409C-BE32-E72D297353CC}">
              <c16:uniqueId val="{00000000-0B0D-4649-9965-2D576BB045AA}"/>
            </c:ext>
          </c:extLst>
        </c:ser>
        <c:ser>
          <c:idx val="1"/>
          <c:order val="1"/>
          <c:tx>
            <c:strRef>
              <c:f>'3.1 Customer_Demographics'!$R$36:$R$37</c:f>
              <c:strCache>
                <c:ptCount val="1"/>
                <c:pt idx="0">
                  <c:v>Good</c:v>
                </c:pt>
              </c:strCache>
            </c:strRef>
          </c:tx>
          <c:spPr>
            <a:solidFill>
              <a:schemeClr val="accent5">
                <a:lumMod val="75000"/>
              </a:schemeClr>
            </a:solidFill>
            <a:ln>
              <a:noFill/>
            </a:ln>
            <a:effectLst/>
          </c:spPr>
          <c:invertIfNegative val="0"/>
          <c:dPt>
            <c:idx val="1"/>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0-17C7-4238-98A4-C3FD95F7321C}"/>
              </c:ext>
            </c:extLst>
          </c:dPt>
          <c:dLbls>
            <c:dLbl>
              <c:idx val="1"/>
              <c:tx>
                <c:rich>
                  <a:bodyPr/>
                  <a:lstStyle/>
                  <a:p>
                    <a:fld id="{B722394D-0203-454A-A346-4AADF798FD9C}"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7C7-4238-98A4-C3FD95F7321C}"/>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 Customer_Demographics'!$P$38:$P$39</c:f>
              <c:strCache>
                <c:ptCount val="2"/>
                <c:pt idx="0">
                  <c:v>No</c:v>
                </c:pt>
                <c:pt idx="1">
                  <c:v>Yes</c:v>
                </c:pt>
              </c:strCache>
            </c:strRef>
          </c:cat>
          <c:val>
            <c:numRef>
              <c:f>'3.1 Customer_Demographics'!$R$38:$R$39</c:f>
              <c:numCache>
                <c:formatCode>General</c:formatCode>
                <c:ptCount val="2"/>
                <c:pt idx="0">
                  <c:v>33</c:v>
                </c:pt>
                <c:pt idx="1">
                  <c:v>667</c:v>
                </c:pt>
              </c:numCache>
            </c:numRef>
          </c:val>
          <c:extLst>
            <c:ext xmlns:c16="http://schemas.microsoft.com/office/drawing/2014/chart" uri="{C3380CC4-5D6E-409C-BE32-E72D297353CC}">
              <c16:uniqueId val="{00000001-0B0D-4649-9965-2D576BB045AA}"/>
            </c:ext>
          </c:extLst>
        </c:ser>
        <c:dLbls>
          <c:dLblPos val="outEnd"/>
          <c:showLegendKey val="0"/>
          <c:showVal val="1"/>
          <c:showCatName val="0"/>
          <c:showSerName val="0"/>
          <c:showPercent val="0"/>
          <c:showBubbleSize val="0"/>
        </c:dLbls>
        <c:gapWidth val="219"/>
        <c:overlap val="-27"/>
        <c:axId val="756149583"/>
        <c:axId val="1384863055"/>
      </c:barChart>
      <c:catAx>
        <c:axId val="7561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84863055"/>
        <c:crosses val="autoZero"/>
        <c:auto val="1"/>
        <c:lblAlgn val="ctr"/>
        <c:lblOffset val="100"/>
        <c:noMultiLvlLbl val="0"/>
      </c:catAx>
      <c:valAx>
        <c:axId val="1384863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5614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[Analysis.xlsx]3.2 Financial_Status!PivotTable1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Checking Acct. Balance Credit Risk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50000"/>
              </a:schemeClr>
            </a:solidFill>
          </a:ln>
          <a:effectLst/>
        </c:spPr>
        <c:dLbl>
          <c:idx val="0"/>
          <c:layout>
            <c:manualLayout>
              <c:x val="-1.3122310959506212E-2"/>
              <c:y val="-6.5762016066644363E-2"/>
            </c:manualLayout>
          </c:layout>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E3BFCD0A-8A2E-4517-AC11-9A0612635DB7}"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75000"/>
            </a:schemeClr>
          </a:solidFill>
          <a:ln>
            <a:noFill/>
          </a:ln>
          <a:effectLst/>
        </c:spPr>
        <c:dLbl>
          <c:idx val="0"/>
          <c:layout>
            <c:manualLayout>
              <c:x val="1.3122310959506212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48BF44EF-BE40-4ACE-A743-91CAEDB35488}"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'3.2 Financial_Status'!$Q$12:$Q$13</c:f>
              <c:strCache>
                <c:ptCount val="1"/>
                <c:pt idx="0">
                  <c:v>Bad</c:v>
                </c:pt>
              </c:strCache>
            </c:strRef>
          </c:tx>
          <c:spPr>
            <a:solidFill>
              <a:schemeClr val="accent5">
                <a:lumMod val="60000"/>
                <a:lumOff val="40000"/>
              </a:schemeClr>
            </a:solidFill>
            <a:ln>
              <a:noFill/>
            </a:ln>
            <a:effectLst/>
          </c:spPr>
          <c:invertIfNegative val="0"/>
          <c:dPt>
            <c:idx val="2"/>
            <c:invertIfNegative val="0"/>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0-A2CA-4B34-A138-BF5D2615C9EB}"/>
              </c:ext>
            </c:extLst>
          </c:dPt>
          <c:dLbls>
            <c:dLbl>
              <c:idx val="2"/>
              <c:layout>
                <c:manualLayout>
                  <c:x val="-1.3122310959506212E-2"/>
                  <c:y val="-6.5762016066644363E-2"/>
                </c:manualLayout>
              </c:layout>
              <c:tx>
                <c:rich>
                  <a:bodyPr/>
                  <a:lstStyle/>
                  <a:p>
                    <a:fld id="{E3BFCD0A-8A2E-4517-AC11-9A0612635DB7}"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2CA-4B34-A138-BF5D2615C9EB}"/>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 Financial_Status'!$P$14:$P$17</c:f>
              <c:strCache>
                <c:ptCount val="4"/>
                <c:pt idx="0">
                  <c:v>High Balance</c:v>
                </c:pt>
                <c:pt idx="1">
                  <c:v>Low Balance</c:v>
                </c:pt>
                <c:pt idx="2">
                  <c:v>Negative Balance</c:v>
                </c:pt>
                <c:pt idx="3">
                  <c:v>No Account</c:v>
                </c:pt>
              </c:strCache>
            </c:strRef>
          </c:cat>
          <c:val>
            <c:numRef>
              <c:f>'3.2 Financial_Status'!$Q$14:$Q$17</c:f>
              <c:numCache>
                <c:formatCode>0.0%</c:formatCode>
                <c:ptCount val="4"/>
                <c:pt idx="0">
                  <c:v>0.22222222222222221</c:v>
                </c:pt>
                <c:pt idx="1">
                  <c:v>0.3903345724907063</c:v>
                </c:pt>
                <c:pt idx="2">
                  <c:v>0.49270072992700731</c:v>
                </c:pt>
                <c:pt idx="3">
                  <c:v>0.116751269035533</c:v>
                </c:pt>
              </c:numCache>
            </c:numRef>
          </c:val>
          <c:extLst>
            <c:ext xmlns:c16="http://schemas.microsoft.com/office/drawing/2014/chart" uri="{C3380CC4-5D6E-409C-BE32-E72D297353CC}">
              <c16:uniqueId val="{00000000-C7FA-4D9C-8B2A-71E0C312268D}"/>
            </c:ext>
          </c:extLst>
        </c:ser>
        <c:ser>
          <c:idx val="1"/>
          <c:order val="1"/>
          <c:tx>
            <c:strRef>
              <c:f>'3.2 Financial_Status'!$R$12:$R$13</c:f>
              <c:strCache>
                <c:ptCount val="1"/>
                <c:pt idx="0">
                  <c:v>Good</c:v>
                </c:pt>
              </c:strCache>
            </c:strRef>
          </c:tx>
          <c:spPr>
            <a:solidFill>
              <a:schemeClr val="accent5">
                <a:lumMod val="75000"/>
              </a:schemeClr>
            </a:solidFill>
            <a:ln>
              <a:noFill/>
            </a:ln>
            <a:effectLst/>
          </c:spPr>
          <c:invertIfNegative val="0"/>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1-A2CA-4B34-A138-BF5D2615C9EB}"/>
              </c:ext>
            </c:extLst>
          </c:dPt>
          <c:dPt>
            <c:idx val="3"/>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4-A77F-4E1F-A83A-2799FB4D4B50}"/>
              </c:ext>
            </c:extLst>
          </c:dPt>
          <c:dLbls>
            <c:dLbl>
              <c:idx val="2"/>
              <c:layout>
                <c:manualLayout>
                  <c:x val="1.312231095950621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CA-4B34-A138-BF5D2615C9EB}"/>
                </c:ext>
              </c:extLst>
            </c:dLbl>
            <c:dLbl>
              <c:idx val="3"/>
              <c:tx>
                <c:rich>
                  <a:bodyPr/>
                  <a:lstStyle/>
                  <a:p>
                    <a:fld id="{48BF44EF-BE40-4ACE-A743-91CAEDB35488}"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77F-4E1F-A83A-2799FB4D4B50}"/>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 Financial_Status'!$P$14:$P$17</c:f>
              <c:strCache>
                <c:ptCount val="4"/>
                <c:pt idx="0">
                  <c:v>High Balance</c:v>
                </c:pt>
                <c:pt idx="1">
                  <c:v>Low Balance</c:v>
                </c:pt>
                <c:pt idx="2">
                  <c:v>Negative Balance</c:v>
                </c:pt>
                <c:pt idx="3">
                  <c:v>No Account</c:v>
                </c:pt>
              </c:strCache>
            </c:strRef>
          </c:cat>
          <c:val>
            <c:numRef>
              <c:f>'3.2 Financial_Status'!$R$14:$R$17</c:f>
              <c:numCache>
                <c:formatCode>0.0%</c:formatCode>
                <c:ptCount val="4"/>
                <c:pt idx="0">
                  <c:v>0.77777777777777779</c:v>
                </c:pt>
                <c:pt idx="1">
                  <c:v>0.60966542750929364</c:v>
                </c:pt>
                <c:pt idx="2">
                  <c:v>0.50729927007299269</c:v>
                </c:pt>
                <c:pt idx="3">
                  <c:v>0.88324873096446699</c:v>
                </c:pt>
              </c:numCache>
            </c:numRef>
          </c:val>
          <c:extLst>
            <c:ext xmlns:c16="http://schemas.microsoft.com/office/drawing/2014/chart" uri="{C3380CC4-5D6E-409C-BE32-E72D297353CC}">
              <c16:uniqueId val="{00000001-C7FA-4D9C-8B2A-71E0C312268D}"/>
            </c:ext>
          </c:extLst>
        </c:ser>
        <c:dLbls>
          <c:dLblPos val="outEnd"/>
          <c:showLegendKey val="0"/>
          <c:showVal val="1"/>
          <c:showCatName val="0"/>
          <c:showSerName val="0"/>
          <c:showPercent val="0"/>
          <c:showBubbleSize val="0"/>
        </c:dLbls>
        <c:gapWidth val="219"/>
        <c:overlap val="-27"/>
        <c:axId val="1186218463"/>
        <c:axId val="1424768271"/>
      </c:barChart>
      <c:catAx>
        <c:axId val="118621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PK"/>
          </a:p>
        </c:txPr>
        <c:crossAx val="1424768271"/>
        <c:crosses val="autoZero"/>
        <c:auto val="1"/>
        <c:lblAlgn val="ctr"/>
        <c:lblOffset val="100"/>
        <c:noMultiLvlLbl val="0"/>
      </c:catAx>
      <c:valAx>
        <c:axId val="14247682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862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[Analysis.xlsx]3.2 Financial_Status!PivotTable2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Saving Acct. Balance Credit Risk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0">
                <a:spAutoFit/>
              </a:bodyPr>
              <a:lstStyle/>
              <a:p>
                <a:pPr algn="ctr">
                  <a:defRPr lang="en-US" sz="600" b="0" i="0" u="none" strike="noStrike" kern="1200" baseline="0">
                    <a:solidFill>
                      <a:schemeClr val="tx1">
                        <a:lumMod val="75000"/>
                        <a:lumOff val="25000"/>
                      </a:schemeClr>
                    </a:solidFill>
                    <a:latin typeface="+mn-lt"/>
                    <a:ea typeface="+mn-ea"/>
                    <a:cs typeface="+mn-cs"/>
                  </a:defRPr>
                </a:pPr>
                <a:fld id="{F20BB193-A204-41FD-9F12-884B637F8E1A}" type="VALUE">
                  <a:rPr lang="en-US" sz="800" b="1"/>
                  <a:pPr algn="ctr">
                    <a:defRPr lang="en-US" sz="600"/>
                  </a:pPr>
                  <a:t>[VALUE]</a:t>
                </a:fld>
                <a:endParaRPr lang="en-PK"/>
              </a:p>
            </c:rich>
          </c:tx>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75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C42DB8EF-8DC0-403B-A90C-6146BA87F649}"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'3.2 Financial_Status'!$V$12:$V$13</c:f>
              <c:strCache>
                <c:ptCount val="1"/>
                <c:pt idx="0">
                  <c:v>Bad</c:v>
                </c:pt>
              </c:strCache>
            </c:strRef>
          </c:tx>
          <c:spPr>
            <a:solidFill>
              <a:schemeClr val="accent5">
                <a:lumMod val="60000"/>
                <a:lumOff val="40000"/>
              </a:schemeClr>
            </a:solidFill>
            <a:ln>
              <a:noFill/>
            </a:ln>
            <a:effectLst/>
          </c:spPr>
          <c:invertIfNegative val="0"/>
          <c:dPt>
            <c:idx val="1"/>
            <c:invertIfNegative val="0"/>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0-84AC-4A21-84ED-A63D263455FE}"/>
              </c:ext>
            </c:extLst>
          </c:dPt>
          <c:dLbls>
            <c:dLbl>
              <c:idx val="1"/>
              <c:tx>
                <c:rich>
                  <a:bodyPr/>
                  <a:lstStyle/>
                  <a:p>
                    <a:fld id="{F20BB193-A204-41FD-9F12-884B637F8E1A}"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4AC-4A21-84ED-A63D263455FE}"/>
                </c:ext>
              </c:extLst>
            </c:dLbl>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 Financial_Status'!$U$14:$U$18</c:f>
              <c:strCache>
                <c:ptCount val="5"/>
                <c:pt idx="0">
                  <c:v>High Savings</c:v>
                </c:pt>
                <c:pt idx="1">
                  <c:v>Low Savings</c:v>
                </c:pt>
                <c:pt idx="2">
                  <c:v>Medium Savings</c:v>
                </c:pt>
                <c:pt idx="3">
                  <c:v>No Savings</c:v>
                </c:pt>
                <c:pt idx="4">
                  <c:v>Very High Savings</c:v>
                </c:pt>
              </c:strCache>
            </c:strRef>
          </c:cat>
          <c:val>
            <c:numRef>
              <c:f>'3.2 Financial_Status'!$V$14:$V$18</c:f>
              <c:numCache>
                <c:formatCode>0.0%</c:formatCode>
                <c:ptCount val="5"/>
                <c:pt idx="0">
                  <c:v>0.17460317460317459</c:v>
                </c:pt>
                <c:pt idx="1">
                  <c:v>0.35986733001658378</c:v>
                </c:pt>
                <c:pt idx="2">
                  <c:v>0.3300970873786408</c:v>
                </c:pt>
                <c:pt idx="3">
                  <c:v>0.17486338797814208</c:v>
                </c:pt>
                <c:pt idx="4">
                  <c:v>0.125</c:v>
                </c:pt>
              </c:numCache>
            </c:numRef>
          </c:val>
          <c:extLst>
            <c:ext xmlns:c16="http://schemas.microsoft.com/office/drawing/2014/chart" uri="{C3380CC4-5D6E-409C-BE32-E72D297353CC}">
              <c16:uniqueId val="{00000000-E51D-470E-AF36-4777917D3192}"/>
            </c:ext>
          </c:extLst>
        </c:ser>
        <c:ser>
          <c:idx val="1"/>
          <c:order val="1"/>
          <c:tx>
            <c:strRef>
              <c:f>'3.2 Financial_Status'!$W$12:$W$13</c:f>
              <c:strCache>
                <c:ptCount val="1"/>
                <c:pt idx="0">
                  <c:v>Good</c:v>
                </c:pt>
              </c:strCache>
            </c:strRef>
          </c:tx>
          <c:spPr>
            <a:solidFill>
              <a:schemeClr val="accent5">
                <a:lumMod val="75000"/>
              </a:schemeClr>
            </a:solidFill>
            <a:ln>
              <a:noFill/>
            </a:ln>
            <a:effectLst/>
          </c:spPr>
          <c:invertIfNegative val="0"/>
          <c:dPt>
            <c:idx val="4"/>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1-84AC-4A21-84ED-A63D263455FE}"/>
              </c:ext>
            </c:extLst>
          </c:dPt>
          <c:dLbls>
            <c:dLbl>
              <c:idx val="4"/>
              <c:tx>
                <c:rich>
                  <a:bodyPr/>
                  <a:lstStyle/>
                  <a:p>
                    <a:fld id="{C42DB8EF-8DC0-403B-A90C-6146BA87F649}"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4AC-4A21-84ED-A63D263455FE}"/>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 Financial_Status'!$U$14:$U$18</c:f>
              <c:strCache>
                <c:ptCount val="5"/>
                <c:pt idx="0">
                  <c:v>High Savings</c:v>
                </c:pt>
                <c:pt idx="1">
                  <c:v>Low Savings</c:v>
                </c:pt>
                <c:pt idx="2">
                  <c:v>Medium Savings</c:v>
                </c:pt>
                <c:pt idx="3">
                  <c:v>No Savings</c:v>
                </c:pt>
                <c:pt idx="4">
                  <c:v>Very High Savings</c:v>
                </c:pt>
              </c:strCache>
            </c:strRef>
          </c:cat>
          <c:val>
            <c:numRef>
              <c:f>'3.2 Financial_Status'!$W$14:$W$18</c:f>
              <c:numCache>
                <c:formatCode>0.0%</c:formatCode>
                <c:ptCount val="5"/>
                <c:pt idx="0">
                  <c:v>0.82539682539682535</c:v>
                </c:pt>
                <c:pt idx="1">
                  <c:v>0.64013266998341622</c:v>
                </c:pt>
                <c:pt idx="2">
                  <c:v>0.66990291262135926</c:v>
                </c:pt>
                <c:pt idx="3">
                  <c:v>0.82513661202185795</c:v>
                </c:pt>
                <c:pt idx="4">
                  <c:v>0.875</c:v>
                </c:pt>
              </c:numCache>
            </c:numRef>
          </c:val>
          <c:extLst>
            <c:ext xmlns:c16="http://schemas.microsoft.com/office/drawing/2014/chart" uri="{C3380CC4-5D6E-409C-BE32-E72D297353CC}">
              <c16:uniqueId val="{00000001-E51D-470E-AF36-4777917D3192}"/>
            </c:ext>
          </c:extLst>
        </c:ser>
        <c:dLbls>
          <c:dLblPos val="outEnd"/>
          <c:showLegendKey val="0"/>
          <c:showVal val="1"/>
          <c:showCatName val="0"/>
          <c:showSerName val="0"/>
          <c:showPercent val="0"/>
          <c:showBubbleSize val="0"/>
        </c:dLbls>
        <c:gapWidth val="219"/>
        <c:overlap val="-27"/>
        <c:axId val="1172279999"/>
        <c:axId val="1424797535"/>
      </c:barChart>
      <c:catAx>
        <c:axId val="117227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PK"/>
          </a:p>
        </c:txPr>
        <c:crossAx val="1424797535"/>
        <c:crosses val="autoZero"/>
        <c:auto val="1"/>
        <c:lblAlgn val="ctr"/>
        <c:lblOffset val="100"/>
        <c:noMultiLvlLbl val="0"/>
      </c:catAx>
      <c:valAx>
        <c:axId val="14247975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72279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[Analysis.xlsx]3.2 Financial_Status!PivotTable3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Bad Credit Risk by</a:t>
            </a:r>
            <a:r>
              <a:rPr lang="en-US" sz="900" baseline="0"/>
              <a:t>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7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lumMod val="60000"/>
              <a:lumOff val="40000"/>
            </a:schemeClr>
          </a:solidFill>
          <a:ln w="19050">
            <a:solidFill>
              <a:schemeClr val="lt1"/>
            </a:solidFill>
          </a:ln>
          <a:effectLst/>
        </c:spPr>
        <c:dLbl>
          <c:idx val="0"/>
          <c:layout>
            <c:manualLayout>
              <c:x val="-5.6375889807595038E-2"/>
              <c:y val="-1.9406944400965003E-2"/>
            </c:manualLayout>
          </c:layout>
          <c:tx>
            <c:rich>
              <a:bodyPr rot="0" spcFirstLastPara="1" vertOverflow="clip" horzOverflow="clip" vert="horz" wrap="square" lIns="38100" tIns="19050" rIns="38100" bIns="19050" anchor="ctr" anchorCtr="1">
                <a:noAutofit/>
              </a:bodyPr>
              <a:lstStyle/>
              <a:p>
                <a:pPr>
                  <a:defRPr sz="600" b="0" i="0" u="none" strike="noStrike" kern="1200" baseline="0">
                    <a:solidFill>
                      <a:schemeClr val="dk1">
                        <a:lumMod val="65000"/>
                        <a:lumOff val="35000"/>
                      </a:schemeClr>
                    </a:solidFill>
                    <a:latin typeface="+mn-lt"/>
                    <a:ea typeface="+mn-ea"/>
                    <a:cs typeface="+mn-cs"/>
                  </a:defRPr>
                </a:pPr>
                <a:fld id="{A475638E-E353-4A5B-BEB5-9AA94B74C650}" type="CATEGORYNAME">
                  <a:rPr lang="en-US" sz="600"/>
                  <a:pPr>
                    <a:defRPr sz="600"/>
                  </a:pPr>
                  <a:t>[CATEGORY NAME]</a:t>
                </a:fld>
                <a:r>
                  <a:rPr lang="en-US" sz="600" baseline="0"/>
                  <a:t>
</a:t>
                </a:r>
                <a:fld id="{F79A453F-0474-4E98-99B1-6B32D6CDAF34}" type="PERCENTAGE">
                  <a:rPr lang="en-US" sz="600" baseline="0"/>
                  <a:pPr>
                    <a:defRPr sz="600"/>
                  </a:pPr>
                  <a:t>[PERCENTAGE]</a:t>
                </a:fld>
                <a:endParaRPr lang="en-US" sz="6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6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44868723223758"/>
                  <c:h val="0.1331086639355325"/>
                </c:manualLayout>
              </c15:layout>
              <c15:dlblFieldTable/>
              <c15:showDataLabelsRange val="0"/>
            </c:ext>
          </c:extLst>
        </c:dLbl>
      </c:pivotFmt>
      <c:pivotFmt>
        <c:idx val="3"/>
        <c:spPr>
          <a:solidFill>
            <a:schemeClr val="accent5">
              <a:lumMod val="20000"/>
              <a:lumOff val="80000"/>
            </a:schemeClr>
          </a:solidFill>
          <a:ln w="19050">
            <a:solidFill>
              <a:schemeClr val="lt1"/>
            </a:solidFill>
          </a:ln>
          <a:effectLst/>
        </c:spPr>
        <c:dLbl>
          <c:idx val="0"/>
          <c:layout>
            <c:manualLayout>
              <c:x val="-4.2302685521397917E-2"/>
              <c:y val="-9.651341627318730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181773168212454"/>
                  <c:h val="0.14794156542944545"/>
                </c:manualLayout>
              </c15:layout>
            </c:ext>
          </c:extLst>
        </c:dLbl>
      </c:pivotFmt>
      <c:pivotFmt>
        <c:idx val="4"/>
        <c:spPr>
          <a:solidFill>
            <a:schemeClr val="accent1"/>
          </a:solidFill>
          <a:ln w="19050">
            <a:solidFill>
              <a:schemeClr val="lt1"/>
            </a:solidFill>
          </a:ln>
          <a:effectLst/>
        </c:spPr>
      </c:pivotFmt>
    </c:pivotFmts>
    <c:plotArea>
      <c:layout>
        <c:manualLayout>
          <c:layoutTarget val="inner"/>
          <c:xMode val="edge"/>
          <c:yMode val="edge"/>
          <c:x val="0.17536668161147762"/>
          <c:y val="0.14646417436634221"/>
          <c:w val="0.80897596020410356"/>
          <c:h val="0.80106562029233552"/>
        </c:manualLayout>
      </c:layout>
      <c:doughnutChart>
        <c:varyColors val="1"/>
        <c:ser>
          <c:idx val="0"/>
          <c:order val="0"/>
          <c:tx>
            <c:strRef>
              <c:f>'3.2 Financial_Status'!$Q$22:$Q$23</c:f>
              <c:strCache>
                <c:ptCount val="1"/>
                <c:pt idx="0">
                  <c:v>Bad</c:v>
                </c:pt>
              </c:strCache>
            </c:strRef>
          </c:tx>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8DFA-4EA3-8307-B4AC56300E9B}"/>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8DFA-4EA3-8307-B4AC56300E9B}"/>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8DFA-4EA3-8307-B4AC56300E9B}"/>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8DFA-4EA3-8307-B4AC56300E9B}"/>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DFA-4EA3-8307-B4AC56300E9B}"/>
                </c:ext>
              </c:extLst>
            </c:dLbl>
            <c:dLbl>
              <c:idx val="1"/>
              <c:layout>
                <c:manualLayout>
                  <c:x val="-5.6375889807595038E-2"/>
                  <c:y val="-1.9406944400965003E-2"/>
                </c:manualLayout>
              </c:layout>
              <c:tx>
                <c:rich>
                  <a:bodyPr rot="0" spcFirstLastPara="1" vertOverflow="clip" horzOverflow="clip" vert="horz" wrap="square" lIns="38100" tIns="19050" rIns="38100" bIns="19050" anchor="ctr" anchorCtr="1">
                    <a:noAutofit/>
                  </a:bodyPr>
                  <a:lstStyle/>
                  <a:p>
                    <a:pPr>
                      <a:defRPr sz="600" b="0" i="0" u="none" strike="noStrike" kern="1200" baseline="0">
                        <a:solidFill>
                          <a:schemeClr val="dk1">
                            <a:lumMod val="65000"/>
                            <a:lumOff val="35000"/>
                          </a:schemeClr>
                        </a:solidFill>
                        <a:latin typeface="+mn-lt"/>
                        <a:ea typeface="+mn-ea"/>
                        <a:cs typeface="+mn-cs"/>
                      </a:defRPr>
                    </a:pPr>
                    <a:fld id="{A475638E-E353-4A5B-BEB5-9AA94B74C650}" type="CATEGORYNAME">
                      <a:rPr lang="en-US" sz="600"/>
                      <a:pPr>
                        <a:defRPr sz="600"/>
                      </a:pPr>
                      <a:t>[CATEGORY NAME]</a:t>
                    </a:fld>
                    <a:r>
                      <a:rPr lang="en-US" sz="600" baseline="0"/>
                      <a:t>
</a:t>
                    </a:r>
                    <a:fld id="{F79A453F-0474-4E98-99B1-6B32D6CDAF34}" type="PERCENTAGE">
                      <a:rPr lang="en-US" sz="600" baseline="0"/>
                      <a:pPr>
                        <a:defRPr sz="600"/>
                      </a:pPr>
                      <a:t>[PERCENTAGE]</a:t>
                    </a:fld>
                    <a:endParaRPr lang="en-US" sz="6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6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44868723223758"/>
                      <c:h val="0.1331086639355325"/>
                    </c:manualLayout>
                  </c15:layout>
                  <c15:dlblFieldTable/>
                  <c15:showDataLabelsRange val="0"/>
                </c:ext>
                <c:ext xmlns:c16="http://schemas.microsoft.com/office/drawing/2014/chart" uri="{C3380CC4-5D6E-409C-BE32-E72D297353CC}">
                  <c16:uniqueId val="{00000003-8DFA-4EA3-8307-B4AC56300E9B}"/>
                </c:ext>
              </c:extLst>
            </c:dLbl>
            <c:dLbl>
              <c:idx val="2"/>
              <c:layout>
                <c:manualLayout>
                  <c:x val="-4.2302685521397917E-2"/>
                  <c:y val="-9.651341627318730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181773168212454"/>
                      <c:h val="0.14794156542944545"/>
                    </c:manualLayout>
                  </c15:layout>
                </c:ext>
                <c:ext xmlns:c16="http://schemas.microsoft.com/office/drawing/2014/chart" uri="{C3380CC4-5D6E-409C-BE32-E72D297353CC}">
                  <c16:uniqueId val="{00000005-8DFA-4EA3-8307-B4AC56300E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'3.2 Financial_Status'!$P$24:$P$26</c:f>
              <c:strCache>
                <c:ptCount val="3"/>
                <c:pt idx="0">
                  <c:v>Car</c:v>
                </c:pt>
                <c:pt idx="1">
                  <c:v>Life Insurance</c:v>
                </c:pt>
                <c:pt idx="2">
                  <c:v>No Property</c:v>
                </c:pt>
              </c:strCache>
            </c:strRef>
          </c:cat>
          <c:val>
            <c:numRef>
              <c:f>'3.2 Financial_Status'!$Q$24:$Q$26</c:f>
              <c:numCache>
                <c:formatCode>General</c:formatCode>
                <c:ptCount val="3"/>
                <c:pt idx="0">
                  <c:v>102</c:v>
                </c:pt>
                <c:pt idx="1">
                  <c:v>71</c:v>
                </c:pt>
                <c:pt idx="2">
                  <c:v>67</c:v>
                </c:pt>
              </c:numCache>
            </c:numRef>
          </c:val>
          <c:extLst>
            <c:ext xmlns:c16="http://schemas.microsoft.com/office/drawing/2014/chart" uri="{C3380CC4-5D6E-409C-BE32-E72D297353CC}">
              <c16:uniqueId val="{00000000-D76E-4AEB-BAFB-1EEB583BE9B0}"/>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[Analysis.xlsx]3.2 Financial_Status!PivotTable4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Housing Status Credit Risk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
        <c:idx val="4"/>
        <c:spPr>
          <a:solidFill>
            <a:schemeClr val="accent5">
              <a:lumMod val="20000"/>
              <a:lumOff val="80000"/>
            </a:schemeClr>
          </a:solidFill>
          <a:ln>
            <a:noFill/>
          </a:ln>
          <a:effectLst/>
        </c:spPr>
      </c:pivotFmt>
    </c:pivotFmts>
    <c:plotArea>
      <c:layout>
        <c:manualLayout>
          <c:layoutTarget val="inner"/>
          <c:xMode val="edge"/>
          <c:yMode val="edge"/>
          <c:x val="0.3061505940127941"/>
          <c:y val="0.20438680323270936"/>
          <c:w val="0.56494514272672436"/>
          <c:h val="0.6425903226476638"/>
        </c:manualLayout>
      </c:layout>
      <c:barChart>
        <c:barDir val="bar"/>
        <c:grouping val="percentStacked"/>
        <c:varyColors val="0"/>
        <c:ser>
          <c:idx val="0"/>
          <c:order val="0"/>
          <c:tx>
            <c:strRef>
              <c:f>'3.2 Financial_Status'!$V$22</c:f>
              <c:strCache>
                <c:ptCount val="1"/>
                <c:pt idx="0">
                  <c:v>Total</c:v>
                </c:pt>
              </c:strCache>
            </c:strRef>
          </c:tx>
          <c:spPr>
            <a:solidFill>
              <a:schemeClr val="accent1"/>
            </a:solidFill>
            <a:ln>
              <a:noFill/>
            </a:ln>
            <a:effectLst/>
          </c:spPr>
          <c:invertIfNegative val="0"/>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6501-44C8-B075-77026E7BBCB8}"/>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2-6501-44C8-B075-77026E7BBCB8}"/>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 Financial_Status'!$U$23:$U$25</c:f>
              <c:strCache>
                <c:ptCount val="3"/>
                <c:pt idx="0">
                  <c:v>Owned</c:v>
                </c:pt>
                <c:pt idx="1">
                  <c:v>Rent Free</c:v>
                </c:pt>
                <c:pt idx="2">
                  <c:v>Rented</c:v>
                </c:pt>
              </c:strCache>
            </c:strRef>
          </c:cat>
          <c:val>
            <c:numRef>
              <c:f>'3.2 Financial_Status'!$V$23:$V$25</c:f>
              <c:numCache>
                <c:formatCode>General</c:formatCode>
                <c:ptCount val="3"/>
                <c:pt idx="0">
                  <c:v>186</c:v>
                </c:pt>
                <c:pt idx="1">
                  <c:v>44</c:v>
                </c:pt>
                <c:pt idx="2">
                  <c:v>70</c:v>
                </c:pt>
              </c:numCache>
            </c:numRef>
          </c:val>
          <c:extLst>
            <c:ext xmlns:c16="http://schemas.microsoft.com/office/drawing/2014/chart" uri="{C3380CC4-5D6E-409C-BE32-E72D297353CC}">
              <c16:uniqueId val="{00000000-2853-4DC4-8039-B17ACA8201DD}"/>
            </c:ext>
          </c:extLst>
        </c:ser>
        <c:dLbls>
          <c:dLblPos val="ctr"/>
          <c:showLegendKey val="0"/>
          <c:showVal val="1"/>
          <c:showCatName val="0"/>
          <c:showSerName val="0"/>
          <c:showPercent val="0"/>
          <c:showBubbleSize val="0"/>
        </c:dLbls>
        <c:gapWidth val="150"/>
        <c:overlap val="100"/>
        <c:axId val="888186431"/>
        <c:axId val="1384861567"/>
      </c:barChart>
      <c:catAx>
        <c:axId val="888186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84861567"/>
        <c:crosses val="autoZero"/>
        <c:auto val="1"/>
        <c:lblAlgn val="ctr"/>
        <c:lblOffset val="100"/>
        <c:noMultiLvlLbl val="0"/>
      </c:catAx>
      <c:valAx>
        <c:axId val="138486156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88818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[Analysis.xlsx]3.2 Financial_Status!PivotTable5</c:name>
    <c:fmtId val="26"/>
  </c:pivotSource>
  <c:chart>
    <c:title>
      <c:tx>
        <c:rich>
          <a:bodyPr rot="0" spcFirstLastPara="1" vertOverflow="ellipsis" vert="horz" wrap="square" anchor="ctr" anchorCtr="1"/>
          <a:lstStyle/>
          <a:p>
            <a:pPr>
              <a:defRPr lang="en-US" sz="720" b="0" i="0" u="none" strike="noStrike" kern="1200" spc="0" baseline="0">
                <a:solidFill>
                  <a:schemeClr val="tx1">
                    <a:lumMod val="75000"/>
                    <a:lumOff val="25000"/>
                  </a:schemeClr>
                </a:solidFill>
                <a:latin typeface="+mn-lt"/>
                <a:ea typeface="+mn-ea"/>
                <a:cs typeface="+mn-cs"/>
              </a:defRPr>
            </a:pPr>
            <a:r>
              <a:rPr lang="en-US"/>
              <a:t>Bad Risk Distribution by Checking &amp; Saving Accts.</a:t>
            </a:r>
          </a:p>
        </c:rich>
      </c:tx>
      <c:overlay val="0"/>
      <c:spPr>
        <a:noFill/>
        <a:ln>
          <a:noFill/>
        </a:ln>
        <a:effectLst/>
      </c:spPr>
      <c:txPr>
        <a:bodyPr rot="0" spcFirstLastPara="1" vertOverflow="ellipsis" vert="horz" wrap="square" anchor="ctr" anchorCtr="1"/>
        <a:lstStyle/>
        <a:p>
          <a:pPr>
            <a:defRPr lang="en-US" sz="720" b="0" i="0" u="none" strike="noStrike" kern="1200" spc="0" baseline="0">
              <a:solidFill>
                <a:schemeClr val="tx1">
                  <a:lumMod val="75000"/>
                  <a:lumOff val="25000"/>
                </a:schemeClr>
              </a:solidFill>
              <a:latin typeface="+mn-lt"/>
              <a:ea typeface="+mn-ea"/>
              <a:cs typeface="+mn-cs"/>
            </a:defRPr>
          </a:pPr>
          <a:endParaRPr lang="en-PK"/>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solidFill>
              <a:schemeClr val="accent5">
                <a:lumMod val="50000"/>
              </a:schemeClr>
            </a:solidFill>
          </a:ln>
          <a:effectLst/>
        </c:spPr>
        <c:dLbl>
          <c:idx val="0"/>
          <c:tx>
            <c:rich>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fld id="{19AA8CBB-DE71-4BAF-90FB-02C13E0DCE18}" type="VALUE">
                  <a:rPr lang="en-US" sz="800" b="1"/>
                  <a:pPr>
                    <a:defRPr/>
                  </a:pPr>
                  <a:t>[VALUE]</a:t>
                </a:fld>
                <a:endParaRPr lang="en-PK"/>
              </a:p>
            </c:rich>
          </c:tx>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lumMod val="60000"/>
              <a:lumOff val="40000"/>
            </a:schemeClr>
          </a:solidFill>
          <a:ln>
            <a:solidFill>
              <a:schemeClr val="accent5">
                <a:lumMod val="50000"/>
              </a:schemeClr>
            </a:solidFill>
          </a:ln>
          <a:effectLst/>
        </c:spPr>
        <c:dLbl>
          <c:idx val="0"/>
          <c:spPr>
            <a:noFill/>
            <a:ln>
              <a:noFill/>
            </a:ln>
            <a:effectLst/>
          </c:spPr>
          <c:txPr>
            <a:bodyPr rot="0" spcFirstLastPara="1" vertOverflow="ellipsis" vert="horz" wrap="square" anchor="ctr" anchorCtr="1"/>
            <a:lstStyle/>
            <a:p>
              <a:pPr>
                <a:defRPr lang="en-US" sz="8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'3.2 Financial_Status'!$Q$32:$Q$33</c:f>
              <c:strCache>
                <c:ptCount val="1"/>
                <c:pt idx="0">
                  <c:v>High Savings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 Financial_Status'!$P$34:$P$37</c:f>
              <c:strCache>
                <c:ptCount val="4"/>
                <c:pt idx="0">
                  <c:v>High Balance</c:v>
                </c:pt>
                <c:pt idx="1">
                  <c:v>Low Balance</c:v>
                </c:pt>
                <c:pt idx="2">
                  <c:v>Negative Balance</c:v>
                </c:pt>
                <c:pt idx="3">
                  <c:v>No Account</c:v>
                </c:pt>
              </c:strCache>
            </c:strRef>
          </c:cat>
          <c:val>
            <c:numRef>
              <c:f>'3.2 Financial_Status'!$Q$34:$Q$37</c:f>
              <c:numCache>
                <c:formatCode>General</c:formatCode>
                <c:ptCount val="4"/>
                <c:pt idx="0">
                  <c:v>1</c:v>
                </c:pt>
                <c:pt idx="1">
                  <c:v>3</c:v>
                </c:pt>
                <c:pt idx="2">
                  <c:v>2</c:v>
                </c:pt>
                <c:pt idx="3">
                  <c:v>5</c:v>
                </c:pt>
              </c:numCache>
            </c:numRef>
          </c:val>
          <c:extLst>
            <c:ext xmlns:c16="http://schemas.microsoft.com/office/drawing/2014/chart" uri="{C3380CC4-5D6E-409C-BE32-E72D297353CC}">
              <c16:uniqueId val="{00000000-9F5E-4A25-B4BA-AB0F3F9AFA51}"/>
            </c:ext>
          </c:extLst>
        </c:ser>
        <c:ser>
          <c:idx val="1"/>
          <c:order val="1"/>
          <c:tx>
            <c:strRef>
              <c:f>'3.2 Financial_Status'!$R$32:$R$33</c:f>
              <c:strCache>
                <c:ptCount val="1"/>
                <c:pt idx="0">
                  <c:v>Low Savings</c:v>
                </c:pt>
              </c:strCache>
            </c:strRef>
          </c:tx>
          <c:spPr>
            <a:solidFill>
              <a:schemeClr val="accent5">
                <a:lumMod val="75000"/>
              </a:schemeClr>
            </a:solidFill>
            <a:ln>
              <a:noFill/>
            </a:ln>
            <a:effectLst/>
          </c:spPr>
          <c:invertIfNegative val="0"/>
          <c:dPt>
            <c:idx val="2"/>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0-A4DE-4E64-A0D7-93260190C299}"/>
              </c:ext>
            </c:extLst>
          </c:dPt>
          <c:dLbls>
            <c:dLbl>
              <c:idx val="2"/>
              <c:tx>
                <c:rich>
                  <a:bodyPr/>
                  <a:lstStyle/>
                  <a:p>
                    <a:fld id="{19AA8CBB-DE71-4BAF-90FB-02C13E0DCE18}"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4DE-4E64-A0D7-93260190C299}"/>
                </c:ext>
              </c:extLst>
            </c:dLbl>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 Financial_Status'!$P$34:$P$37</c:f>
              <c:strCache>
                <c:ptCount val="4"/>
                <c:pt idx="0">
                  <c:v>High Balance</c:v>
                </c:pt>
                <c:pt idx="1">
                  <c:v>Low Balance</c:v>
                </c:pt>
                <c:pt idx="2">
                  <c:v>Negative Balance</c:v>
                </c:pt>
                <c:pt idx="3">
                  <c:v>No Account</c:v>
                </c:pt>
              </c:strCache>
            </c:strRef>
          </c:cat>
          <c:val>
            <c:numRef>
              <c:f>'3.2 Financial_Status'!$R$34:$R$37</c:f>
              <c:numCache>
                <c:formatCode>General</c:formatCode>
                <c:ptCount val="4"/>
                <c:pt idx="0">
                  <c:v>10</c:v>
                </c:pt>
                <c:pt idx="1">
                  <c:v>67</c:v>
                </c:pt>
                <c:pt idx="2">
                  <c:v>114</c:v>
                </c:pt>
                <c:pt idx="3">
                  <c:v>26</c:v>
                </c:pt>
              </c:numCache>
            </c:numRef>
          </c:val>
          <c:extLst>
            <c:ext xmlns:c16="http://schemas.microsoft.com/office/drawing/2014/chart" uri="{C3380CC4-5D6E-409C-BE32-E72D297353CC}">
              <c16:uniqueId val="{00000001-9F5E-4A25-B4BA-AB0F3F9AFA51}"/>
            </c:ext>
          </c:extLst>
        </c:ser>
        <c:ser>
          <c:idx val="2"/>
          <c:order val="2"/>
          <c:tx>
            <c:strRef>
              <c:f>'3.2 Financial_Status'!$S$32:$S$33</c:f>
              <c:strCache>
                <c:ptCount val="1"/>
                <c:pt idx="0">
                  <c:v>Medium Savings</c:v>
                </c:pt>
              </c:strCache>
            </c:strRef>
          </c:tx>
          <c:spPr>
            <a:solidFill>
              <a:schemeClr val="accent5">
                <a:lumMod val="60000"/>
                <a:lumOff val="40000"/>
              </a:schemeClr>
            </a:solidFill>
            <a:ln>
              <a:noFill/>
            </a:ln>
            <a:effectLst/>
          </c:spPr>
          <c:invertIfNegative val="0"/>
          <c:dPt>
            <c:idx val="1"/>
            <c:invertIfNegative val="0"/>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1-A4DE-4E64-A0D7-93260190C299}"/>
              </c:ext>
            </c:extLst>
          </c:dPt>
          <c:dLbls>
            <c:dLbl>
              <c:idx val="1"/>
              <c:spPr>
                <a:noFill/>
                <a:ln>
                  <a:noFill/>
                </a:ln>
                <a:effectLst/>
              </c:spPr>
              <c:txPr>
                <a:bodyPr rot="0" spcFirstLastPara="1" vertOverflow="ellipsis" vert="horz" wrap="square" anchor="ctr" anchorCtr="1"/>
                <a:lstStyle/>
                <a:p>
                  <a:pPr>
                    <a:defRPr lang="en-US" sz="8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A4DE-4E64-A0D7-93260190C299}"/>
                </c:ext>
              </c:extLst>
            </c:dLbl>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 Financial_Status'!$P$34:$P$37</c:f>
              <c:strCache>
                <c:ptCount val="4"/>
                <c:pt idx="0">
                  <c:v>High Balance</c:v>
                </c:pt>
                <c:pt idx="1">
                  <c:v>Low Balance</c:v>
                </c:pt>
                <c:pt idx="2">
                  <c:v>Negative Balance</c:v>
                </c:pt>
                <c:pt idx="3">
                  <c:v>No Account</c:v>
                </c:pt>
              </c:strCache>
            </c:strRef>
          </c:cat>
          <c:val>
            <c:numRef>
              <c:f>'3.2 Financial_Status'!$S$34:$S$37</c:f>
              <c:numCache>
                <c:formatCode>General</c:formatCode>
                <c:ptCount val="4"/>
                <c:pt idx="0">
                  <c:v>1</c:v>
                </c:pt>
                <c:pt idx="1">
                  <c:v>24</c:v>
                </c:pt>
                <c:pt idx="2">
                  <c:v>5</c:v>
                </c:pt>
                <c:pt idx="3">
                  <c:v>4</c:v>
                </c:pt>
              </c:numCache>
            </c:numRef>
          </c:val>
          <c:extLst>
            <c:ext xmlns:c16="http://schemas.microsoft.com/office/drawing/2014/chart" uri="{C3380CC4-5D6E-409C-BE32-E72D297353CC}">
              <c16:uniqueId val="{00000002-9F5E-4A25-B4BA-AB0F3F9AFA51}"/>
            </c:ext>
          </c:extLst>
        </c:ser>
        <c:ser>
          <c:idx val="3"/>
          <c:order val="3"/>
          <c:tx>
            <c:strRef>
              <c:f>'3.2 Financial_Status'!$T$32:$T$33</c:f>
              <c:strCache>
                <c:ptCount val="1"/>
                <c:pt idx="0">
                  <c:v>No Savings</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 Financial_Status'!$P$34:$P$37</c:f>
              <c:strCache>
                <c:ptCount val="4"/>
                <c:pt idx="0">
                  <c:v>High Balance</c:v>
                </c:pt>
                <c:pt idx="1">
                  <c:v>Low Balance</c:v>
                </c:pt>
                <c:pt idx="2">
                  <c:v>Negative Balance</c:v>
                </c:pt>
                <c:pt idx="3">
                  <c:v>No Account</c:v>
                </c:pt>
              </c:strCache>
            </c:strRef>
          </c:cat>
          <c:val>
            <c:numRef>
              <c:f>'3.2 Financial_Status'!$T$34:$T$37</c:f>
              <c:numCache>
                <c:formatCode>General</c:formatCode>
                <c:ptCount val="4"/>
                <c:pt idx="0">
                  <c:v>2</c:v>
                </c:pt>
                <c:pt idx="1">
                  <c:v>7</c:v>
                </c:pt>
                <c:pt idx="2">
                  <c:v>14</c:v>
                </c:pt>
                <c:pt idx="3">
                  <c:v>9</c:v>
                </c:pt>
              </c:numCache>
            </c:numRef>
          </c:val>
          <c:extLst>
            <c:ext xmlns:c16="http://schemas.microsoft.com/office/drawing/2014/chart" uri="{C3380CC4-5D6E-409C-BE32-E72D297353CC}">
              <c16:uniqueId val="{00000003-9F5E-4A25-B4BA-AB0F3F9AFA51}"/>
            </c:ext>
          </c:extLst>
        </c:ser>
        <c:ser>
          <c:idx val="4"/>
          <c:order val="4"/>
          <c:tx>
            <c:strRef>
              <c:f>'3.2 Financial_Status'!$U$32:$U$33</c:f>
              <c:strCache>
                <c:ptCount val="1"/>
                <c:pt idx="0">
                  <c:v>Very High Savings</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'3.2 Financial_Status'!$P$34:$P$37</c:f>
              <c:strCache>
                <c:ptCount val="4"/>
                <c:pt idx="0">
                  <c:v>High Balance</c:v>
                </c:pt>
                <c:pt idx="1">
                  <c:v>Low Balance</c:v>
                </c:pt>
                <c:pt idx="2">
                  <c:v>Negative Balance</c:v>
                </c:pt>
                <c:pt idx="3">
                  <c:v>No Account</c:v>
                </c:pt>
              </c:strCache>
            </c:strRef>
          </c:cat>
          <c:val>
            <c:numRef>
              <c:f>'3.2 Financial_Status'!$U$34:$U$37</c:f>
              <c:numCache>
                <c:formatCode>General</c:formatCode>
                <c:ptCount val="4"/>
                <c:pt idx="1">
                  <c:v>4</c:v>
                </c:pt>
                <c:pt idx="3">
                  <c:v>2</c:v>
                </c:pt>
              </c:numCache>
            </c:numRef>
          </c:val>
          <c:extLst>
            <c:ext xmlns:c16="http://schemas.microsoft.com/office/drawing/2014/chart" uri="{C3380CC4-5D6E-409C-BE32-E72D297353CC}">
              <c16:uniqueId val="{00000004-9F5E-4A25-B4BA-AB0F3F9AFA51}"/>
            </c:ext>
          </c:extLst>
        </c:ser>
        <c:dLbls>
          <c:dLblPos val="outEnd"/>
          <c:showLegendKey val="0"/>
          <c:showVal val="1"/>
          <c:showCatName val="0"/>
          <c:showSerName val="0"/>
          <c:showPercent val="0"/>
          <c:showBubbleSize val="0"/>
        </c:dLbls>
        <c:gapWidth val="219"/>
        <c:overlap val="-27"/>
        <c:axId val="792435360"/>
        <c:axId val="789912096"/>
      </c:barChart>
      <c:catAx>
        <c:axId val="792435360"/>
        <c:scaling>
          <c:orientation val="minMax"/>
        </c:scaling>
        <c:delete val="0"/>
        <c:axPos val="b"/>
        <c:title>
          <c:tx>
            <c:rich>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r>
                  <a:rPr lang="en-US"/>
                  <a:t>Checking Acct. Status</a:t>
                </a:r>
              </a:p>
            </c:rich>
          </c:tx>
          <c:overlay val="0"/>
          <c:spPr>
            <a:noFill/>
            <a:ln>
              <a:noFill/>
            </a:ln>
            <a:effectLst/>
          </c:spPr>
          <c:txPr>
            <a:bodyPr rot="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crossAx val="789912096"/>
        <c:crosses val="autoZero"/>
        <c:auto val="1"/>
        <c:lblAlgn val="ctr"/>
        <c:lblOffset val="100"/>
        <c:noMultiLvlLbl val="0"/>
      </c:catAx>
      <c:valAx>
        <c:axId val="78991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600" b="0" i="0" u="none" strike="noStrike" kern="1200" baseline="0">
                <a:solidFill>
                  <a:schemeClr val="tx1">
                    <a:lumMod val="75000"/>
                    <a:lumOff val="25000"/>
                  </a:schemeClr>
                </a:solidFill>
                <a:latin typeface="+mn-lt"/>
                <a:ea typeface="+mn-ea"/>
                <a:cs typeface="+mn-cs"/>
              </a:defRPr>
            </a:pPr>
            <a:endParaRPr lang="en-PK"/>
          </a:p>
        </c:txPr>
        <c:crossAx val="792435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600" b="0" i="0" u="none" strike="noStrike" kern="1200" baseline="0">
          <a:solidFill>
            <a:schemeClr val="tx1">
              <a:lumMod val="75000"/>
              <a:lumOff val="25000"/>
            </a:schemeClr>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[Analysis.xlsx]3.3 Loan_&amp;_Employment!PivotTable7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Risk Count by Loan Duration (in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965F0A49-9CD6-40D1-B54B-8C00A3386B1E}"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60000"/>
              <a:lumOff val="40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4F78BCA5-4DC5-4674-A88F-CD63CCAB859A}"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'3.3 Loan_&amp;_Employment'!$X$41:$X$42</c:f>
              <c:strCache>
                <c:ptCount val="1"/>
                <c:pt idx="0">
                  <c:v>Bad</c:v>
                </c:pt>
              </c:strCache>
            </c:strRef>
          </c:tx>
          <c:spPr>
            <a:solidFill>
              <a:schemeClr val="accent5">
                <a:lumMod val="60000"/>
                <a:lumOff val="40000"/>
              </a:schemeClr>
            </a:solidFill>
            <a:ln>
              <a:noFill/>
            </a:ln>
            <a:effectLst/>
          </c:spPr>
          <c:invertIfNegative val="0"/>
          <c:dPt>
            <c:idx val="1"/>
            <c:invertIfNegative val="0"/>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1-E2C1-4850-A2ED-529864802056}"/>
              </c:ext>
            </c:extLst>
          </c:dPt>
          <c:dLbls>
            <c:dLbl>
              <c:idx val="1"/>
              <c:tx>
                <c:rich>
                  <a:bodyPr/>
                  <a:lstStyle/>
                  <a:p>
                    <a:fld id="{4F78BCA5-4DC5-4674-A88F-CD63CCAB859A}"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2C1-4850-A2ED-529864802056}"/>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'3.3 Loan_&amp;_Employment'!$W$43:$W$48</c:f>
              <c:strCache>
                <c:ptCount val="6"/>
                <c:pt idx="0">
                  <c:v>0-12</c:v>
                </c:pt>
                <c:pt idx="1">
                  <c:v>13-24</c:v>
                </c:pt>
                <c:pt idx="2">
                  <c:v>25-36</c:v>
                </c:pt>
                <c:pt idx="3">
                  <c:v>37-48</c:v>
                </c:pt>
                <c:pt idx="4">
                  <c:v>49-56</c:v>
                </c:pt>
                <c:pt idx="5">
                  <c:v>57-72</c:v>
                </c:pt>
              </c:strCache>
            </c:strRef>
          </c:cat>
          <c:val>
            <c:numRef>
              <c:f>'3.3 Loan_&amp;_Employment'!$X$43:$X$48</c:f>
              <c:numCache>
                <c:formatCode>General</c:formatCode>
                <c:ptCount val="6"/>
                <c:pt idx="0">
                  <c:v>76</c:v>
                </c:pt>
                <c:pt idx="1">
                  <c:v>122</c:v>
                </c:pt>
                <c:pt idx="2">
                  <c:v>57</c:v>
                </c:pt>
                <c:pt idx="3">
                  <c:v>37</c:v>
                </c:pt>
                <c:pt idx="4">
                  <c:v>1</c:v>
                </c:pt>
                <c:pt idx="5">
                  <c:v>7</c:v>
                </c:pt>
              </c:numCache>
            </c:numRef>
          </c:val>
          <c:extLst>
            <c:ext xmlns:c16="http://schemas.microsoft.com/office/drawing/2014/chart" uri="{C3380CC4-5D6E-409C-BE32-E72D297353CC}">
              <c16:uniqueId val="{00000000-93B8-4062-842F-981D04B79228}"/>
            </c:ext>
          </c:extLst>
        </c:ser>
        <c:ser>
          <c:idx val="1"/>
          <c:order val="1"/>
          <c:tx>
            <c:strRef>
              <c:f>'3.3 Loan_&amp;_Employment'!$Y$41:$Y$42</c:f>
              <c:strCache>
                <c:ptCount val="1"/>
                <c:pt idx="0">
                  <c:v>Good</c:v>
                </c:pt>
              </c:strCache>
            </c:strRef>
          </c:tx>
          <c:spPr>
            <a:solidFill>
              <a:schemeClr val="accent5">
                <a:lumMod val="75000"/>
              </a:schemeClr>
            </a:solidFill>
            <a:ln>
              <a:noFill/>
            </a:ln>
            <a:effectLst/>
          </c:spPr>
          <c:invertIfNegative val="0"/>
          <c:dPt>
            <c:idx val="1"/>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0-E2C1-4850-A2ED-529864802056}"/>
              </c:ext>
            </c:extLst>
          </c:dPt>
          <c:dLbls>
            <c:dLbl>
              <c:idx val="1"/>
              <c:tx>
                <c:rich>
                  <a:bodyPr/>
                  <a:lstStyle/>
                  <a:p>
                    <a:fld id="{965F0A49-9CD6-40D1-B54B-8C00A3386B1E}"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2C1-4850-A2ED-529864802056}"/>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'3.3 Loan_&amp;_Employment'!$W$43:$W$48</c:f>
              <c:strCache>
                <c:ptCount val="6"/>
                <c:pt idx="0">
                  <c:v>0-12</c:v>
                </c:pt>
                <c:pt idx="1">
                  <c:v>13-24</c:v>
                </c:pt>
                <c:pt idx="2">
                  <c:v>25-36</c:v>
                </c:pt>
                <c:pt idx="3">
                  <c:v>37-48</c:v>
                </c:pt>
                <c:pt idx="4">
                  <c:v>49-56</c:v>
                </c:pt>
                <c:pt idx="5">
                  <c:v>57-72</c:v>
                </c:pt>
              </c:strCache>
            </c:strRef>
          </c:cat>
          <c:val>
            <c:numRef>
              <c:f>'3.3 Loan_&amp;_Employment'!$Y$43:$Y$48</c:f>
              <c:numCache>
                <c:formatCode>General</c:formatCode>
                <c:ptCount val="6"/>
                <c:pt idx="0">
                  <c:v>283</c:v>
                </c:pt>
                <c:pt idx="1">
                  <c:v>289</c:v>
                </c:pt>
                <c:pt idx="2">
                  <c:v>86</c:v>
                </c:pt>
                <c:pt idx="3">
                  <c:v>34</c:v>
                </c:pt>
                <c:pt idx="4">
                  <c:v>1</c:v>
                </c:pt>
                <c:pt idx="5">
                  <c:v>7</c:v>
                </c:pt>
              </c:numCache>
            </c:numRef>
          </c:val>
          <c:extLst>
            <c:ext xmlns:c16="http://schemas.microsoft.com/office/drawing/2014/chart" uri="{C3380CC4-5D6E-409C-BE32-E72D297353CC}">
              <c16:uniqueId val="{00000001-93B8-4062-842F-981D04B79228}"/>
            </c:ext>
          </c:extLst>
        </c:ser>
        <c:dLbls>
          <c:dLblPos val="outEnd"/>
          <c:showLegendKey val="0"/>
          <c:showVal val="1"/>
          <c:showCatName val="0"/>
          <c:showSerName val="0"/>
          <c:showPercent val="0"/>
          <c:showBubbleSize val="0"/>
        </c:dLbls>
        <c:gapWidth val="219"/>
        <c:overlap val="-27"/>
        <c:axId val="116932064"/>
        <c:axId val="119220032"/>
      </c:barChart>
      <c:catAx>
        <c:axId val="11693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9220032"/>
        <c:crosses val="autoZero"/>
        <c:auto val="1"/>
        <c:lblAlgn val="ctr"/>
        <c:lblOffset val="100"/>
        <c:noMultiLvlLbl val="0"/>
      </c:catAx>
      <c:valAx>
        <c:axId val="11922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693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[Analysis.xlsx]3.3 Loan_&amp;_Employment!PivotTable5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Customer Distribution by Employmen</a:t>
            </a:r>
            <a:r>
              <a:rPr lang="en-US" sz="1000" baseline="0"/>
              <a:t>t Years</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fld id="{D4C665B8-DFD8-48F6-85BA-BAD4B2668F3C}" type="VALUE">
                  <a:rPr lang="en-US" sz="800" b="1"/>
                  <a:pPr>
                    <a:defRPr sz="600">
                      <a:solidFill>
                        <a:schemeClr val="bg1"/>
                      </a:solidFill>
                    </a:defRPr>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stacked"/>
        <c:varyColors val="0"/>
        <c:ser>
          <c:idx val="0"/>
          <c:order val="0"/>
          <c:tx>
            <c:strRef>
              <c:f>'3.3 Loan_&amp;_Employment'!$R$41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solidFill>
                  <a:schemeClr val="accent5">
                    <a:lumMod val="50000"/>
                  </a:schemeClr>
                </a:solidFill>
              </a:ln>
              <a:effectLst/>
            </c:spPr>
            <c:extLst>
              <c:ext xmlns:c16="http://schemas.microsoft.com/office/drawing/2014/chart" uri="{C3380CC4-5D6E-409C-BE32-E72D297353CC}">
                <c16:uniqueId val="{00000000-178C-42C8-9411-AF9315FF960D}"/>
              </c:ext>
            </c:extLst>
          </c:dPt>
          <c:dLbls>
            <c:dLbl>
              <c:idx val="0"/>
              <c:tx>
                <c:rich>
                  <a:bodyPr/>
                  <a:lstStyle/>
                  <a:p>
                    <a:fld id="{D4C665B8-DFD8-48F6-85BA-BAD4B2668F3C}" type="VALUE">
                      <a:rPr lang="en-US" sz="800" b="1"/>
                      <a:pPr/>
                      <a:t>[VALUE]</a:t>
                    </a:fld>
                    <a:endParaRPr lang="en-PK"/>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78C-42C8-9411-AF9315FF960D}"/>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'3.3 Loan_&amp;_Employment'!$Q$42:$Q$46</c:f>
              <c:strCache>
                <c:ptCount val="5"/>
                <c:pt idx="0">
                  <c:v>1-4</c:v>
                </c:pt>
                <c:pt idx="1">
                  <c:v>4-7</c:v>
                </c:pt>
                <c:pt idx="2">
                  <c:v>Greater than 7</c:v>
                </c:pt>
                <c:pt idx="3">
                  <c:v>Less than 1</c:v>
                </c:pt>
                <c:pt idx="4">
                  <c:v>Unemployed</c:v>
                </c:pt>
              </c:strCache>
            </c:strRef>
          </c:cat>
          <c:val>
            <c:numRef>
              <c:f>'3.3 Loan_&amp;_Employment'!$R$42:$R$46</c:f>
              <c:numCache>
                <c:formatCode>General</c:formatCode>
                <c:ptCount val="5"/>
                <c:pt idx="0">
                  <c:v>339</c:v>
                </c:pt>
                <c:pt idx="1">
                  <c:v>174</c:v>
                </c:pt>
                <c:pt idx="2">
                  <c:v>253</c:v>
                </c:pt>
                <c:pt idx="3">
                  <c:v>172</c:v>
                </c:pt>
                <c:pt idx="4">
                  <c:v>62</c:v>
                </c:pt>
              </c:numCache>
            </c:numRef>
          </c:val>
          <c:extLst>
            <c:ext xmlns:c16="http://schemas.microsoft.com/office/drawing/2014/chart" uri="{C3380CC4-5D6E-409C-BE32-E72D297353CC}">
              <c16:uniqueId val="{00000000-F581-41C6-A1E2-2D4BA909C220}"/>
            </c:ext>
          </c:extLst>
        </c:ser>
        <c:dLbls>
          <c:dLblPos val="ctr"/>
          <c:showLegendKey val="0"/>
          <c:showVal val="1"/>
          <c:showCatName val="0"/>
          <c:showSerName val="0"/>
          <c:showPercent val="0"/>
          <c:showBubbleSize val="0"/>
        </c:dLbls>
        <c:gapWidth val="150"/>
        <c:overlap val="100"/>
        <c:axId val="145746144"/>
        <c:axId val="150976032"/>
      </c:barChart>
      <c:catAx>
        <c:axId val="14574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50976032"/>
        <c:crosses val="autoZero"/>
        <c:auto val="1"/>
        <c:lblAlgn val="ctr"/>
        <c:lblOffset val="100"/>
        <c:noMultiLvlLbl val="0"/>
      </c:catAx>
      <c:valAx>
        <c:axId val="15097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74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[Analysis.xlsx]3.3 Loan_&amp;_Employment!PivotTable1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Loan Purpose Credit Risk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A7F858CF-DDE4-4517-9DB7-8C6B17F2F9C0}"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60000"/>
              <a:lumOff val="40000"/>
            </a:schemeClr>
          </a:solidFill>
          <a:ln>
            <a:solidFill>
              <a:schemeClr val="accent5">
                <a:lumMod val="50000"/>
              </a:schemeClr>
            </a:solid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C9742ED0-D996-43A4-BC49-D4337196010C}" type="VALUE">
                  <a:rPr lang="en-US" sz="800" b="1"/>
                  <a:pPr>
                    <a:defRPr sz="600"/>
                  </a:pPr>
                  <a:t>[VALUE]</a:t>
                </a:fld>
                <a:endParaRPr lang="en-PK"/>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'3.3 Loan_&amp;_Employment'!$R$16:$R$17</c:f>
              <c:strCache>
                <c:ptCount val="1"/>
                <c:pt idx="0">
                  <c:v>Bad</c:v>
                </c:pt>
              </c:strCache>
            </c:strRef>
          </c:tx>
          <c:spPr>
            <a:solidFill>
              <a:schemeClr val="accent5">
                <a:lumMod val="60000"/>
                <a:lumOff val="40000"/>
              </a:schemeClr>
            </a:solidFill>
            <a:ln>
              <a:noFill/>
            </a:ln>
            <a:effectLst/>
          </c:spPr>
          <c:invertIfNegative val="0"/>
          <c:dPt>
            <c:idx val="2"/>
            <c:invertIfNegative val="0"/>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1-A275-4321-A1CA-9D74B86BA46D}"/>
              </c:ext>
            </c:extLst>
          </c:dPt>
          <c:dLbls>
            <c:dLbl>
              <c:idx val="2"/>
              <c:tx>
                <c:rich>
                  <a:bodyPr/>
                  <a:lstStyle/>
                  <a:p>
                    <a:fld id="{C9742ED0-D996-43A4-BC49-D4337196010C}"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275-4321-A1CA-9D74B86BA46D}"/>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'3.3 Loan_&amp;_Employment'!$Q$18:$Q$22</c:f>
              <c:strCache>
                <c:ptCount val="5"/>
                <c:pt idx="0">
                  <c:v>Business</c:v>
                </c:pt>
                <c:pt idx="1">
                  <c:v>Furniture/Equipment</c:v>
                </c:pt>
                <c:pt idx="2">
                  <c:v>New Car</c:v>
                </c:pt>
                <c:pt idx="3">
                  <c:v>Radio/TV</c:v>
                </c:pt>
                <c:pt idx="4">
                  <c:v>Used Car</c:v>
                </c:pt>
              </c:strCache>
            </c:strRef>
          </c:cat>
          <c:val>
            <c:numRef>
              <c:f>'3.3 Loan_&amp;_Employment'!$R$18:$R$22</c:f>
              <c:numCache>
                <c:formatCode>0.00%</c:formatCode>
                <c:ptCount val="5"/>
                <c:pt idx="0">
                  <c:v>0.35051546391752575</c:v>
                </c:pt>
                <c:pt idx="1">
                  <c:v>0.32044198895027626</c:v>
                </c:pt>
                <c:pt idx="2">
                  <c:v>0.38034188034188032</c:v>
                </c:pt>
                <c:pt idx="3">
                  <c:v>0.22142857142857142</c:v>
                </c:pt>
                <c:pt idx="4">
                  <c:v>0.1650485436893204</c:v>
                </c:pt>
              </c:numCache>
            </c:numRef>
          </c:val>
          <c:extLst>
            <c:ext xmlns:c16="http://schemas.microsoft.com/office/drawing/2014/chart" uri="{C3380CC4-5D6E-409C-BE32-E72D297353CC}">
              <c16:uniqueId val="{00000000-A3DD-47E2-9742-6F441F7045FA}"/>
            </c:ext>
          </c:extLst>
        </c:ser>
        <c:ser>
          <c:idx val="1"/>
          <c:order val="1"/>
          <c:tx>
            <c:strRef>
              <c:f>'3.3 Loan_&amp;_Employment'!$S$16:$S$17</c:f>
              <c:strCache>
                <c:ptCount val="1"/>
                <c:pt idx="0">
                  <c:v>Good</c:v>
                </c:pt>
              </c:strCache>
            </c:strRef>
          </c:tx>
          <c:spPr>
            <a:solidFill>
              <a:schemeClr val="accent5">
                <a:lumMod val="75000"/>
              </a:schemeClr>
            </a:solidFill>
            <a:ln>
              <a:noFill/>
            </a:ln>
            <a:effectLst/>
          </c:spPr>
          <c:invertIfNegative val="0"/>
          <c:dPt>
            <c:idx val="4"/>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0-A275-4321-A1CA-9D74B86BA46D}"/>
              </c:ext>
            </c:extLst>
          </c:dPt>
          <c:dLbls>
            <c:dLbl>
              <c:idx val="4"/>
              <c:tx>
                <c:rich>
                  <a:bodyPr/>
                  <a:lstStyle/>
                  <a:p>
                    <a:fld id="{A7F858CF-DDE4-4517-9DB7-8C6B17F2F9C0}" type="VALUE">
                      <a:rPr lang="en-US" sz="800" b="1"/>
                      <a:pPr/>
                      <a:t>[VALUE]</a:t>
                    </a:fld>
                    <a:endParaRPr lang="en-PK"/>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275-4321-A1CA-9D74B86BA46D}"/>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'3.3 Loan_&amp;_Employment'!$Q$18:$Q$22</c:f>
              <c:strCache>
                <c:ptCount val="5"/>
                <c:pt idx="0">
                  <c:v>Business</c:v>
                </c:pt>
                <c:pt idx="1">
                  <c:v>Furniture/Equipment</c:v>
                </c:pt>
                <c:pt idx="2">
                  <c:v>New Car</c:v>
                </c:pt>
                <c:pt idx="3">
                  <c:v>Radio/TV</c:v>
                </c:pt>
                <c:pt idx="4">
                  <c:v>Used Car</c:v>
                </c:pt>
              </c:strCache>
            </c:strRef>
          </c:cat>
          <c:val>
            <c:numRef>
              <c:f>'3.3 Loan_&amp;_Employment'!$S$18:$S$22</c:f>
              <c:numCache>
                <c:formatCode>0.00%</c:formatCode>
                <c:ptCount val="5"/>
                <c:pt idx="0">
                  <c:v>0.64948453608247425</c:v>
                </c:pt>
                <c:pt idx="1">
                  <c:v>0.6795580110497238</c:v>
                </c:pt>
                <c:pt idx="2">
                  <c:v>0.61965811965811968</c:v>
                </c:pt>
                <c:pt idx="3">
                  <c:v>0.77857142857142858</c:v>
                </c:pt>
                <c:pt idx="4">
                  <c:v>0.83495145631067957</c:v>
                </c:pt>
              </c:numCache>
            </c:numRef>
          </c:val>
          <c:extLst>
            <c:ext xmlns:c16="http://schemas.microsoft.com/office/drawing/2014/chart" uri="{C3380CC4-5D6E-409C-BE32-E72D297353CC}">
              <c16:uniqueId val="{00000001-A3DD-47E2-9742-6F441F7045FA}"/>
            </c:ext>
          </c:extLst>
        </c:ser>
        <c:dLbls>
          <c:dLblPos val="outEnd"/>
          <c:showLegendKey val="0"/>
          <c:showVal val="1"/>
          <c:showCatName val="0"/>
          <c:showSerName val="0"/>
          <c:showPercent val="0"/>
          <c:showBubbleSize val="0"/>
        </c:dLbls>
        <c:gapWidth val="219"/>
        <c:overlap val="-27"/>
        <c:axId val="2060524176"/>
        <c:axId val="1902088592"/>
      </c:barChart>
      <c:catAx>
        <c:axId val="206052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PK"/>
          </a:p>
        </c:txPr>
        <c:crossAx val="1902088592"/>
        <c:crosses val="autoZero"/>
        <c:auto val="1"/>
        <c:lblAlgn val="ctr"/>
        <c:lblOffset val="100"/>
        <c:noMultiLvlLbl val="0"/>
      </c:catAx>
      <c:valAx>
        <c:axId val="1902088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06052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[Analysis.xlsx]3.3 Loan_&amp;_Employment!PivotTable3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Bad</a:t>
            </a:r>
            <a:r>
              <a:rPr lang="en-US" sz="1000" baseline="0"/>
              <a:t> </a:t>
            </a:r>
            <a:r>
              <a:rPr lang="en-US" sz="1000"/>
              <a:t>Risk</a:t>
            </a:r>
            <a:r>
              <a:rPr lang="en-US" sz="1000" baseline="0"/>
              <a:t> by Credit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75000"/>
            </a:schemeClr>
          </a:solidFill>
          <a:ln w="19050">
            <a:solidFill>
              <a:schemeClr val="lt1"/>
            </a:solidFill>
          </a:ln>
          <a:effectLst/>
        </c:spPr>
        <c:dLbl>
          <c:idx val="0"/>
          <c:layout>
            <c:manualLayout>
              <c:x val="-7.5272365650303402E-2"/>
              <c:y val="-0.1106151868941810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B07E343-5D9F-408A-9545-075442D8ED7B}" type="CATEGORYNAME">
                  <a:rPr lang="en-US" sz="600"/>
                  <a:pPr>
                    <a:defRPr/>
                  </a:pPr>
                  <a:t>[CATEGORY NAME]</a:t>
                </a:fld>
                <a:r>
                  <a:rPr lang="en-US" sz="600" baseline="0"/>
                  <a:t>
</a:t>
                </a:r>
                <a:fld id="{3B398D65-D714-467C-8706-FEB79886E094}" type="PERCENTAGE">
                  <a:rPr lang="en-US" sz="600" baseline="0"/>
                  <a:pPr>
                    <a:defRPr/>
                  </a:pPr>
                  <a:t>[PERCENTAGE]</a:t>
                </a:fld>
                <a:endParaRPr lang="en-US" sz="6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60567160665885"/>
                  <c:h val="0.15497739308166361"/>
                </c:manualLayout>
              </c15:layout>
              <c15:dlblFieldTable/>
              <c15:showDataLabelsRange val="0"/>
            </c:ext>
          </c:extLst>
        </c:dLbl>
      </c:pivotFmt>
      <c:pivotFmt>
        <c:idx val="2"/>
        <c:spPr>
          <a:solidFill>
            <a:schemeClr val="accent5">
              <a:lumMod val="60000"/>
              <a:lumOff val="4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280874245686651"/>
                  <c:h val="0.15608064166486019"/>
                </c:manualLayout>
              </c15:layout>
            </c:ext>
          </c:extLst>
        </c:dLbl>
      </c:pivotFmt>
      <c:pivotFmt>
        <c:idx val="3"/>
      </c:pivotFmt>
      <c:pivotFmt>
        <c:idx val="4"/>
      </c:pivotFmt>
      <c:pivotFmt>
        <c:idx val="5"/>
      </c:pivotFmt>
    </c:pivotFmts>
    <c:plotArea>
      <c:layout>
        <c:manualLayout>
          <c:layoutTarget val="inner"/>
          <c:xMode val="edge"/>
          <c:yMode val="edge"/>
          <c:x val="0.19183004757610625"/>
          <c:y val="0.16694576142197523"/>
          <c:w val="0.6163402935414658"/>
          <c:h val="0.77256757592928327"/>
        </c:manualLayout>
      </c:layout>
      <c:doughnutChart>
        <c:varyColors val="1"/>
        <c:ser>
          <c:idx val="0"/>
          <c:order val="0"/>
          <c:tx>
            <c:strRef>
              <c:f>'3.3 Loan_&amp;_Employment'!$R$31</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9659-49CB-A039-212B1DA69D46}"/>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9659-49CB-A039-212B1DA69D46}"/>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280874245686651"/>
                      <c:h val="0.15608064166486019"/>
                    </c:manualLayout>
                  </c15:layout>
                </c:ext>
                <c:ext xmlns:c16="http://schemas.microsoft.com/office/drawing/2014/chart" uri="{C3380CC4-5D6E-409C-BE32-E72D297353CC}">
                  <c16:uniqueId val="{00000007-9659-49CB-A039-212B1DA69D46}"/>
                </c:ext>
              </c:extLst>
            </c:dLbl>
            <c:dLbl>
              <c:idx val="1"/>
              <c:layout>
                <c:manualLayout>
                  <c:x val="-7.5272365650303402E-2"/>
                  <c:y val="-0.11061518689418104"/>
                </c:manualLayout>
              </c:layout>
              <c:tx>
                <c:rich>
                  <a:bodyPr/>
                  <a:lstStyle/>
                  <a:p>
                    <a:fld id="{7B07E343-5D9F-408A-9545-075442D8ED7B}" type="CATEGORYNAME">
                      <a:rPr lang="en-US" sz="600"/>
                      <a:pPr/>
                      <a:t>[CATEGORY NAME]</a:t>
                    </a:fld>
                    <a:r>
                      <a:rPr lang="en-US" sz="600" baseline="0"/>
                      <a:t>
</a:t>
                    </a:r>
                    <a:fld id="{3B398D65-D714-467C-8706-FEB79886E094}" type="PERCENTAGE">
                      <a:rPr lang="en-US" sz="600" baseline="0"/>
                      <a:pPr/>
                      <a:t>[PERCENTAGE]</a:t>
                    </a:fld>
                    <a:endParaRPr lang="en-US" sz="600" baseline="0"/>
                  </a:p>
                </c:rich>
              </c:tx>
              <c:showLegendKey val="0"/>
              <c:showVal val="0"/>
              <c:showCatName val="1"/>
              <c:showSerName val="0"/>
              <c:showPercent val="1"/>
              <c:showBubbleSize val="0"/>
              <c:extLst>
                <c:ext xmlns:c15="http://schemas.microsoft.com/office/drawing/2012/chart" uri="{CE6537A1-D6FC-4f65-9D91-7224C49458BB}">
                  <c15:layout>
                    <c:manualLayout>
                      <c:w val="0.29760567160665885"/>
                      <c:h val="0.15497739308166361"/>
                    </c:manualLayout>
                  </c15:layout>
                  <c15:dlblFieldTable/>
                  <c15:showDataLabelsRange val="0"/>
                </c:ext>
                <c:ext xmlns:c16="http://schemas.microsoft.com/office/drawing/2014/chart" uri="{C3380CC4-5D6E-409C-BE32-E72D297353CC}">
                  <c16:uniqueId val="{00000003-9659-49CB-A039-212B1DA69D4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'3.3 Loan_&amp;_Employment'!$Q$32:$Q$33</c:f>
              <c:strCache>
                <c:ptCount val="2"/>
                <c:pt idx="0">
                  <c:v>Critical Credit History</c:v>
                </c:pt>
                <c:pt idx="1">
                  <c:v>Existing Credits Paid</c:v>
                </c:pt>
              </c:strCache>
            </c:strRef>
          </c:cat>
          <c:val>
            <c:numRef>
              <c:f>'3.3 Loan_&amp;_Employment'!$R$32:$R$33</c:f>
              <c:numCache>
                <c:formatCode>General</c:formatCode>
                <c:ptCount val="2"/>
                <c:pt idx="0">
                  <c:v>50</c:v>
                </c:pt>
                <c:pt idx="1">
                  <c:v>169</c:v>
                </c:pt>
              </c:numCache>
            </c:numRef>
          </c:val>
          <c:extLst>
            <c:ext xmlns:c16="http://schemas.microsoft.com/office/drawing/2014/chart" uri="{C3380CC4-5D6E-409C-BE32-E72D297353CC}">
              <c16:uniqueId val="{00000000-9659-49CB-A039-212B1DA69D4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[Analysis.xlsx]3.3 Loan_&amp;_Employment!PivotTable4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Bad Risk by Employmen</a:t>
            </a:r>
            <a:r>
              <a:rPr lang="en-US" sz="1000" baseline="0"/>
              <a:t>t Type</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60000"/>
              <a:lumOff val="40000"/>
            </a:schemeClr>
          </a:solidFill>
          <a:ln w="19050">
            <a:solidFill>
              <a:schemeClr val="lt1"/>
            </a:solidFill>
          </a:ln>
          <a:effectLst/>
        </c:spPr>
        <c:dLbl>
          <c:idx val="0"/>
          <c:layout>
            <c:manualLayout>
              <c:x val="0.30673022304963299"/>
              <c:y val="-6.252975750386066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B1E27A9F-C12A-45F3-82C4-B617AEAA1F97}" type="CATEGORYNAME">
                  <a:rPr lang="en-US" sz="600"/>
                  <a:pPr>
                    <a:defRPr/>
                  </a:pPr>
                  <a:t>[CATEGORY NAME]</a:t>
                </a:fld>
                <a:r>
                  <a:rPr lang="en-US" baseline="0"/>
                  <a:t>
</a:t>
                </a:r>
                <a:fld id="{FBD45ED0-5910-458E-B59B-882C4E6C680A}" type="PERCENTAGE">
                  <a:rPr lang="en-US" sz="600"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2944379900348"/>
                  <c:h val="0.1626137605366178"/>
                </c:manualLayout>
              </c15:layout>
              <c15:dlblFieldTable/>
              <c15:showDataLabelsRange val="0"/>
            </c:ext>
          </c:extLst>
        </c:dLbl>
      </c:pivotFmt>
      <c:pivotFmt>
        <c:idx val="2"/>
        <c:spPr>
          <a:solidFill>
            <a:schemeClr val="accent5">
              <a:lumMod val="75000"/>
            </a:schemeClr>
          </a:solidFill>
          <a:ln w="19050">
            <a:solidFill>
              <a:schemeClr val="lt1"/>
            </a:solidFill>
          </a:ln>
          <a:effectLst/>
        </c:spPr>
        <c:dLbl>
          <c:idx val="0"/>
          <c:layout>
            <c:manualLayout>
              <c:x val="-5.3807717966608666E-2"/>
              <c:y val="-3.4695629305141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6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20845698157799"/>
                  <c:h val="0.15583034274213112"/>
                </c:manualLayout>
              </c15:layout>
            </c:ext>
          </c:extLst>
        </c:dLbl>
      </c:pivotFmt>
    </c:pivotFmts>
    <c:plotArea>
      <c:layout>
        <c:manualLayout>
          <c:layoutTarget val="inner"/>
          <c:xMode val="edge"/>
          <c:yMode val="edge"/>
          <c:x val="0.14535932155880177"/>
          <c:y val="0.18996701657049236"/>
          <c:w val="0.77443600518321998"/>
          <c:h val="0.73844806258692497"/>
        </c:manualLayout>
      </c:layout>
      <c:doughnutChart>
        <c:varyColors val="1"/>
        <c:ser>
          <c:idx val="0"/>
          <c:order val="0"/>
          <c:tx>
            <c:strRef>
              <c:f>'3.3 Loan_&amp;_Employment'!$X$31</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739-451E-A0F2-335B41446E08}"/>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2-E739-451E-A0F2-335B41446E08}"/>
              </c:ext>
            </c:extLst>
          </c:dPt>
          <c:dLbls>
            <c:dLbl>
              <c:idx val="0"/>
              <c:layout>
                <c:manualLayout>
                  <c:x val="-5.3807717966608666E-2"/>
                  <c:y val="-3.4695629305141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6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20845698157799"/>
                      <c:h val="0.15583034274213112"/>
                    </c:manualLayout>
                  </c15:layout>
                </c:ext>
                <c:ext xmlns:c16="http://schemas.microsoft.com/office/drawing/2014/chart" uri="{C3380CC4-5D6E-409C-BE32-E72D297353CC}">
                  <c16:uniqueId val="{00000003-E739-451E-A0F2-335B41446E08}"/>
                </c:ext>
              </c:extLst>
            </c:dLbl>
            <c:dLbl>
              <c:idx val="1"/>
              <c:layout>
                <c:manualLayout>
                  <c:x val="0.30673022304963299"/>
                  <c:y val="-6.252975750386066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B1E27A9F-C12A-45F3-82C4-B617AEAA1F97}" type="CATEGORYNAME">
                      <a:rPr lang="en-US" sz="600"/>
                      <a:pPr>
                        <a:defRPr/>
                      </a:pPr>
                      <a:t>[CATEGORY NAME]</a:t>
                    </a:fld>
                    <a:r>
                      <a:rPr lang="en-US" baseline="0"/>
                      <a:t>
</a:t>
                    </a:r>
                    <a:fld id="{FBD45ED0-5910-458E-B59B-882C4E6C680A}" type="PERCENTAGE">
                      <a:rPr lang="en-US" sz="600"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82944379900348"/>
                      <c:h val="0.1626137605366178"/>
                    </c:manualLayout>
                  </c15:layout>
                  <c15:dlblFieldTable/>
                  <c15:showDataLabelsRange val="0"/>
                </c:ext>
                <c:ext xmlns:c16="http://schemas.microsoft.com/office/drawing/2014/chart" uri="{C3380CC4-5D6E-409C-BE32-E72D297353CC}">
                  <c16:uniqueId val="{00000002-E739-451E-A0F2-335B41446E0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'3.3 Loan_&amp;_Employment'!$W$32:$W$33</c:f>
              <c:strCache>
                <c:ptCount val="2"/>
                <c:pt idx="0">
                  <c:v>Employed</c:v>
                </c:pt>
                <c:pt idx="1">
                  <c:v>Unemployed</c:v>
                </c:pt>
              </c:strCache>
            </c:strRef>
          </c:cat>
          <c:val>
            <c:numRef>
              <c:f>'3.3 Loan_&amp;_Employment'!$X$32:$X$33</c:f>
              <c:numCache>
                <c:formatCode>0</c:formatCode>
                <c:ptCount val="2"/>
                <c:pt idx="0">
                  <c:v>293</c:v>
                </c:pt>
                <c:pt idx="1">
                  <c:v>7</c:v>
                </c:pt>
              </c:numCache>
            </c:numRef>
          </c:val>
          <c:extLst>
            <c:ext xmlns:c16="http://schemas.microsoft.com/office/drawing/2014/chart" uri="{C3380CC4-5D6E-409C-BE32-E72D297353CC}">
              <c16:uniqueId val="{00000000-E739-451E-A0F2-335B41446E08}"/>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png"/><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3.png"/><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571501</xdr:colOff>
      <xdr:row>0</xdr:row>
      <xdr:rowOff>30480</xdr:rowOff>
    </xdr:from>
    <xdr:to>
      <xdr:col>3</xdr:col>
      <xdr:colOff>517770</xdr:colOff>
      <xdr:row>2</xdr:row>
      <xdr:rowOff>91440</xdr:rowOff>
    </xdr:to>
    <xdr:sp macro="" textlink="">
      <xdr:nvSpPr>
        <xdr:cNvPr id="2" name="Rectangle: Rounded Corners 1">
          <a:extLst>
            <a:ext uri="{FF2B5EF4-FFF2-40B4-BE49-F238E27FC236}">
              <a16:creationId xmlns:a16="http://schemas.microsoft.com/office/drawing/2014/main" id="{B0C4E3F0-0EC1-5840-5F49-8BBC86D71EB1}"/>
            </a:ext>
          </a:extLst>
        </xdr:cNvPr>
        <xdr:cNvSpPr/>
      </xdr:nvSpPr>
      <xdr:spPr>
        <a:xfrm>
          <a:off x="571501" y="30480"/>
          <a:ext cx="1763346" cy="4321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t>CUSTOMER DEMOGRAPHICS</a:t>
          </a:r>
          <a:endParaRPr lang="en-PK" sz="1000" b="1"/>
        </a:p>
      </xdr:txBody>
    </xdr:sp>
    <xdr:clientData/>
  </xdr:twoCellAnchor>
  <xdr:twoCellAnchor>
    <xdr:from>
      <xdr:col>0</xdr:col>
      <xdr:colOff>45720</xdr:colOff>
      <xdr:row>0</xdr:row>
      <xdr:rowOff>30480</xdr:rowOff>
    </xdr:from>
    <xdr:to>
      <xdr:col>0</xdr:col>
      <xdr:colOff>525780</xdr:colOff>
      <xdr:row>25</xdr:row>
      <xdr:rowOff>114300</xdr:rowOff>
    </xdr:to>
    <xdr:sp macro="" textlink="">
      <xdr:nvSpPr>
        <xdr:cNvPr id="3" name="Rectangle: Rounded Corners 2">
          <a:extLst>
            <a:ext uri="{FF2B5EF4-FFF2-40B4-BE49-F238E27FC236}">
              <a16:creationId xmlns:a16="http://schemas.microsoft.com/office/drawing/2014/main" id="{686F8DFE-80F4-8515-9A3C-4AB0B0D96E8C}"/>
            </a:ext>
          </a:extLst>
        </xdr:cNvPr>
        <xdr:cNvSpPr/>
      </xdr:nvSpPr>
      <xdr:spPr>
        <a:xfrm>
          <a:off x="45720" y="30480"/>
          <a:ext cx="480060" cy="465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l"/>
          <a:r>
            <a:rPr lang="en-US" sz="1100" spc="830" baseline="0"/>
            <a:t>  </a:t>
          </a:r>
          <a:r>
            <a:rPr lang="en-US" sz="1100" spc="180" baseline="0"/>
            <a:t>Designed by:</a:t>
          </a:r>
          <a:r>
            <a:rPr lang="en-US" sz="1100" spc="830" baseline="0"/>
            <a:t> Ayesha Batool</a:t>
          </a:r>
          <a:endParaRPr lang="en-PK" sz="1100" spc="830" baseline="0"/>
        </a:p>
      </xdr:txBody>
    </xdr:sp>
    <xdr:clientData/>
  </xdr:twoCellAnchor>
  <xdr:twoCellAnchor>
    <xdr:from>
      <xdr:col>3</xdr:col>
      <xdr:colOff>537309</xdr:colOff>
      <xdr:row>0</xdr:row>
      <xdr:rowOff>39888</xdr:rowOff>
    </xdr:from>
    <xdr:to>
      <xdr:col>5</xdr:col>
      <xdr:colOff>277332</xdr:colOff>
      <xdr:row>2</xdr:row>
      <xdr:rowOff>90488</xdr:rowOff>
    </xdr:to>
    <xdr:sp macro="" textlink="">
      <xdr:nvSpPr>
        <xdr:cNvPr id="8" name="Rectangle: Rounded Corners 7">
          <a:extLst>
            <a:ext uri="{FF2B5EF4-FFF2-40B4-BE49-F238E27FC236}">
              <a16:creationId xmlns:a16="http://schemas.microsoft.com/office/drawing/2014/main" id="{FECFC23E-CCAA-4977-8665-725543A26D3B}"/>
            </a:ext>
          </a:extLst>
        </xdr:cNvPr>
        <xdr:cNvSpPr/>
      </xdr:nvSpPr>
      <xdr:spPr>
        <a:xfrm>
          <a:off x="2366109" y="39888"/>
          <a:ext cx="959223" cy="412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Total Customers 1000</a:t>
          </a:r>
        </a:p>
      </xdr:txBody>
    </xdr:sp>
    <xdr:clientData/>
  </xdr:twoCellAnchor>
  <xdr:twoCellAnchor>
    <xdr:from>
      <xdr:col>5</xdr:col>
      <xdr:colOff>306586</xdr:colOff>
      <xdr:row>0</xdr:row>
      <xdr:rowOff>49295</xdr:rowOff>
    </xdr:from>
    <xdr:to>
      <xdr:col>7</xdr:col>
      <xdr:colOff>49859</xdr:colOff>
      <xdr:row>2</xdr:row>
      <xdr:rowOff>85725</xdr:rowOff>
    </xdr:to>
    <xdr:sp macro="" textlink="">
      <xdr:nvSpPr>
        <xdr:cNvPr id="9" name="Rectangle: Rounded Corners 8">
          <a:extLst>
            <a:ext uri="{FF2B5EF4-FFF2-40B4-BE49-F238E27FC236}">
              <a16:creationId xmlns:a16="http://schemas.microsoft.com/office/drawing/2014/main" id="{BAF5E7BD-CFD7-4741-99A9-0F4910023228}"/>
            </a:ext>
          </a:extLst>
        </xdr:cNvPr>
        <xdr:cNvSpPr/>
      </xdr:nvSpPr>
      <xdr:spPr>
        <a:xfrm>
          <a:off x="3354586" y="49295"/>
          <a:ext cx="962473" cy="398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Bad Credit Risk</a:t>
          </a:r>
          <a:br>
            <a:rPr lang="en-US" sz="800"/>
          </a:br>
          <a:r>
            <a:rPr lang="en-US" sz="800"/>
            <a:t>30%</a:t>
          </a:r>
          <a:endParaRPr lang="en-PK" sz="800"/>
        </a:p>
      </xdr:txBody>
    </xdr:sp>
    <xdr:clientData/>
  </xdr:twoCellAnchor>
  <xdr:twoCellAnchor>
    <xdr:from>
      <xdr:col>8</xdr:col>
      <xdr:colOff>465975</xdr:colOff>
      <xdr:row>0</xdr:row>
      <xdr:rowOff>37938</xdr:rowOff>
    </xdr:from>
    <xdr:to>
      <xdr:col>9</xdr:col>
      <xdr:colOff>498055</xdr:colOff>
      <xdr:row>2</xdr:row>
      <xdr:rowOff>98898</xdr:rowOff>
    </xdr:to>
    <xdr:sp macro="" textlink="">
      <xdr:nvSpPr>
        <xdr:cNvPr id="13" name="Rectangle: Rounded Corners 12">
          <a:extLst>
            <a:ext uri="{FF2B5EF4-FFF2-40B4-BE49-F238E27FC236}">
              <a16:creationId xmlns:a16="http://schemas.microsoft.com/office/drawing/2014/main" id="{34FEE1E1-F3E8-45B0-8D23-4BC9FD259A40}"/>
            </a:ext>
          </a:extLst>
        </xdr:cNvPr>
        <xdr:cNvSpPr/>
      </xdr:nvSpPr>
      <xdr:spPr>
        <a:xfrm>
          <a:off x="5342775" y="37938"/>
          <a:ext cx="641680" cy="4229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Male</a:t>
          </a:r>
        </a:p>
        <a:p>
          <a:pPr algn="ctr"/>
          <a:r>
            <a:rPr lang="en-US" sz="800"/>
            <a:t>33.6%</a:t>
          </a:r>
          <a:endParaRPr lang="en-PK" sz="800"/>
        </a:p>
      </xdr:txBody>
    </xdr:sp>
    <xdr:clientData/>
  </xdr:twoCellAnchor>
  <xdr:twoCellAnchor>
    <xdr:from>
      <xdr:col>7</xdr:col>
      <xdr:colOff>69685</xdr:colOff>
      <xdr:row>0</xdr:row>
      <xdr:rowOff>52388</xdr:rowOff>
    </xdr:from>
    <xdr:to>
      <xdr:col>8</xdr:col>
      <xdr:colOff>437610</xdr:colOff>
      <xdr:row>2</xdr:row>
      <xdr:rowOff>90488</xdr:rowOff>
    </xdr:to>
    <xdr:sp macro="" textlink="">
      <xdr:nvSpPr>
        <xdr:cNvPr id="5" name="Rectangle: Rounded Corners 4">
          <a:extLst>
            <a:ext uri="{FF2B5EF4-FFF2-40B4-BE49-F238E27FC236}">
              <a16:creationId xmlns:a16="http://schemas.microsoft.com/office/drawing/2014/main" id="{B78354CC-289C-448F-9FE8-1A0A194493AE}"/>
            </a:ext>
          </a:extLst>
        </xdr:cNvPr>
        <xdr:cNvSpPr/>
      </xdr:nvSpPr>
      <xdr:spPr>
        <a:xfrm>
          <a:off x="4336885" y="52388"/>
          <a:ext cx="977525" cy="400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Good Credit Risk </a:t>
          </a:r>
          <a:br>
            <a:rPr lang="en-US" sz="800"/>
          </a:br>
          <a:r>
            <a:rPr lang="en-US" sz="800"/>
            <a:t>70%</a:t>
          </a:r>
          <a:endParaRPr lang="en-PK" sz="800"/>
        </a:p>
      </xdr:txBody>
    </xdr:sp>
    <xdr:clientData/>
  </xdr:twoCellAnchor>
  <xdr:twoCellAnchor>
    <xdr:from>
      <xdr:col>9</xdr:col>
      <xdr:colOff>519936</xdr:colOff>
      <xdr:row>0</xdr:row>
      <xdr:rowOff>33196</xdr:rowOff>
    </xdr:from>
    <xdr:to>
      <xdr:col>10</xdr:col>
      <xdr:colOff>552015</xdr:colOff>
      <xdr:row>2</xdr:row>
      <xdr:rowOff>94156</xdr:rowOff>
    </xdr:to>
    <xdr:sp macro="" textlink="">
      <xdr:nvSpPr>
        <xdr:cNvPr id="6" name="Rectangle: Rounded Corners 5">
          <a:extLst>
            <a:ext uri="{FF2B5EF4-FFF2-40B4-BE49-F238E27FC236}">
              <a16:creationId xmlns:a16="http://schemas.microsoft.com/office/drawing/2014/main" id="{521EAC8C-E928-48A8-830B-9BC171600DB1}"/>
            </a:ext>
          </a:extLst>
        </xdr:cNvPr>
        <xdr:cNvSpPr/>
      </xdr:nvSpPr>
      <xdr:spPr>
        <a:xfrm>
          <a:off x="6006336" y="33196"/>
          <a:ext cx="641679" cy="4229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Female</a:t>
          </a:r>
        </a:p>
        <a:p>
          <a:pPr algn="ctr"/>
          <a:r>
            <a:rPr lang="en-US" sz="800"/>
            <a:t>66.43%</a:t>
          </a:r>
          <a:endParaRPr lang="en-PK" sz="800"/>
        </a:p>
      </xdr:txBody>
    </xdr:sp>
    <xdr:clientData/>
  </xdr:twoCellAnchor>
  <xdr:twoCellAnchor>
    <xdr:from>
      <xdr:col>10</xdr:col>
      <xdr:colOff>569924</xdr:colOff>
      <xdr:row>0</xdr:row>
      <xdr:rowOff>38053</xdr:rowOff>
    </xdr:from>
    <xdr:to>
      <xdr:col>13</xdr:col>
      <xdr:colOff>600075</xdr:colOff>
      <xdr:row>2</xdr:row>
      <xdr:rowOff>99013</xdr:rowOff>
    </xdr:to>
    <xdr:sp macro="" textlink="">
      <xdr:nvSpPr>
        <xdr:cNvPr id="12" name="Rectangle: Rounded Corners 11">
          <a:extLst>
            <a:ext uri="{FF2B5EF4-FFF2-40B4-BE49-F238E27FC236}">
              <a16:creationId xmlns:a16="http://schemas.microsoft.com/office/drawing/2014/main" id="{59A6558A-AE76-410C-A222-76DA5A4D053B}"/>
            </a:ext>
          </a:extLst>
        </xdr:cNvPr>
        <xdr:cNvSpPr/>
      </xdr:nvSpPr>
      <xdr:spPr>
        <a:xfrm>
          <a:off x="6665924" y="38053"/>
          <a:ext cx="1858951" cy="4229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Highest Credit Risk Age Range</a:t>
          </a:r>
        </a:p>
        <a:p>
          <a:pPr algn="ctr"/>
          <a:r>
            <a:rPr lang="en-US" sz="800"/>
            <a:t>19.-29</a:t>
          </a:r>
          <a:endParaRPr lang="en-PK" sz="800"/>
        </a:p>
      </xdr:txBody>
    </xdr:sp>
    <xdr:clientData/>
  </xdr:twoCellAnchor>
  <xdr:twoCellAnchor>
    <xdr:from>
      <xdr:col>0</xdr:col>
      <xdr:colOff>571503</xdr:colOff>
      <xdr:row>2</xdr:row>
      <xdr:rowOff>136785</xdr:rowOff>
    </xdr:from>
    <xdr:to>
      <xdr:col>4</xdr:col>
      <xdr:colOff>365760</xdr:colOff>
      <xdr:row>13</xdr:row>
      <xdr:rowOff>83820</xdr:rowOff>
    </xdr:to>
    <xdr:graphicFrame macro="">
      <xdr:nvGraphicFramePr>
        <xdr:cNvPr id="15" name="Chart 14">
          <a:extLst>
            <a:ext uri="{FF2B5EF4-FFF2-40B4-BE49-F238E27FC236}">
              <a16:creationId xmlns:a16="http://schemas.microsoft.com/office/drawing/2014/main" id="{4632DA66-9A49-6DC9-3A22-B86A07EB7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571501</xdr:colOff>
      <xdr:row>13</xdr:row>
      <xdr:rowOff>129540</xdr:rowOff>
    </xdr:from>
    <xdr:to>
      <xdr:col>4</xdr:col>
      <xdr:colOff>358140</xdr:colOff>
      <xdr:row>25</xdr:row>
      <xdr:rowOff>129540</xdr:rowOff>
    </xdr:to>
    <xdr:graphicFrame macro="">
      <xdr:nvGraphicFramePr>
        <xdr:cNvPr id="17" name="Chart 16">
          <a:extLst>
            <a:ext uri="{FF2B5EF4-FFF2-40B4-BE49-F238E27FC236}">
              <a16:creationId xmlns:a16="http://schemas.microsoft.com/office/drawing/2014/main" id="{9BB60E3C-1FCC-EC62-1E89-A0012490C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411011</xdr:colOff>
      <xdr:row>2</xdr:row>
      <xdr:rowOff>142022</xdr:rowOff>
    </xdr:from>
    <xdr:to>
      <xdr:col>9</xdr:col>
      <xdr:colOff>541020</xdr:colOff>
      <xdr:row>13</xdr:row>
      <xdr:rowOff>83819</xdr:rowOff>
    </xdr:to>
    <xdr:graphicFrame macro="">
      <xdr:nvGraphicFramePr>
        <xdr:cNvPr id="19" name="Chart 18">
          <a:extLst>
            <a:ext uri="{FF2B5EF4-FFF2-40B4-BE49-F238E27FC236}">
              <a16:creationId xmlns:a16="http://schemas.microsoft.com/office/drawing/2014/main" id="{D3910C8C-0C60-4D48-8227-222B41A9A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408532</xdr:colOff>
      <xdr:row>13</xdr:row>
      <xdr:rowOff>146137</xdr:rowOff>
    </xdr:from>
    <xdr:to>
      <xdr:col>9</xdr:col>
      <xdr:colOff>553232</xdr:colOff>
      <xdr:row>25</xdr:row>
      <xdr:rowOff>166946</xdr:rowOff>
    </xdr:to>
    <xdr:graphicFrame macro="">
      <xdr:nvGraphicFramePr>
        <xdr:cNvPr id="20" name="Chart 19">
          <a:extLst>
            <a:ext uri="{FF2B5EF4-FFF2-40B4-BE49-F238E27FC236}">
              <a16:creationId xmlns:a16="http://schemas.microsoft.com/office/drawing/2014/main" id="{D5F3AB60-1A7F-70BE-77E8-1201FA48A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600204</xdr:colOff>
      <xdr:row>2</xdr:row>
      <xdr:rowOff>146137</xdr:rowOff>
    </xdr:from>
    <xdr:to>
      <xdr:col>13</xdr:col>
      <xdr:colOff>600204</xdr:colOff>
      <xdr:row>13</xdr:row>
      <xdr:rowOff>77522</xdr:rowOff>
    </xdr:to>
    <xdr:graphicFrame macro="">
      <xdr:nvGraphicFramePr>
        <xdr:cNvPr id="21" name="Chart 20">
          <a:extLst>
            <a:ext uri="{FF2B5EF4-FFF2-40B4-BE49-F238E27FC236}">
              <a16:creationId xmlns:a16="http://schemas.microsoft.com/office/drawing/2014/main" id="{FB4AA232-82CE-F9DC-7FE0-12B7A0733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603623</xdr:colOff>
      <xdr:row>13</xdr:row>
      <xdr:rowOff>149080</xdr:rowOff>
    </xdr:from>
    <xdr:to>
      <xdr:col>13</xdr:col>
      <xdr:colOff>589767</xdr:colOff>
      <xdr:row>25</xdr:row>
      <xdr:rowOff>181943</xdr:rowOff>
    </xdr:to>
    <xdr:graphicFrame macro="">
      <xdr:nvGraphicFramePr>
        <xdr:cNvPr id="24" name="Chart 23">
          <a:extLst>
            <a:ext uri="{FF2B5EF4-FFF2-40B4-BE49-F238E27FC236}">
              <a16:creationId xmlns:a16="http://schemas.microsoft.com/office/drawing/2014/main" id="{35156E6F-B950-0D1A-6740-76305053C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1027833</xdr:colOff>
      <xdr:row>13</xdr:row>
      <xdr:rowOff>9589</xdr:rowOff>
    </xdr:from>
    <xdr:to>
      <xdr:col>27</xdr:col>
      <xdr:colOff>31750</xdr:colOff>
      <xdr:row>20</xdr:row>
      <xdr:rowOff>127001</xdr:rowOff>
    </xdr:to>
    <mc:AlternateContent xmlns:mc="http://schemas.openxmlformats.org/markup-compatibility/2006" xmlns:a14="http://schemas.microsoft.com/office/drawing/2010/main">
      <mc:Choice Requires="a14">
        <xdr:graphicFrame macro="">
          <xdr:nvGraphicFramePr>
            <xdr:cNvPr id="4" name="Check_Acct_Balance">
              <a:extLst>
                <a:ext uri="{FF2B5EF4-FFF2-40B4-BE49-F238E27FC236}">
                  <a16:creationId xmlns:a16="http://schemas.microsoft.com/office/drawing/2014/main" id="{E8F8CFAF-FB3B-B037-BB91-C241BF5C3A4C}"/>
                </a:ext>
              </a:extLst>
            </xdr:cNvPr>
            <xdr:cNvGraphicFramePr/>
          </xdr:nvGraphicFramePr>
          <xdr:xfrm>
            <a:off x="0" y="0"/>
            <a:ext cx="0" cy="0"/>
          </xdr:xfrm>
          <a:graphic>
            <a:graphicData uri="http://schemas.microsoft.com/office/drawing/2010/slicer">
              <sle:slicer xmlns:sle="http://schemas.microsoft.com/office/drawing/2010/slicer" name="Check_Acct_Balance"/>
            </a:graphicData>
          </a:graphic>
        </xdr:graphicFrame>
      </mc:Choice>
      <mc:Fallback xmlns="">
        <xdr:sp macro="" textlink="">
          <xdr:nvSpPr>
            <xdr:cNvPr id="0" name=""/>
            <xdr:cNvSpPr>
              <a:spLocks noTextEdit="1"/>
            </xdr:cNvSpPr>
          </xdr:nvSpPr>
          <xdr:spPr>
            <a:xfrm>
              <a:off x="25901690" y="2458875"/>
              <a:ext cx="2563546" cy="141281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127000</xdr:colOff>
      <xdr:row>13</xdr:row>
      <xdr:rowOff>20321</xdr:rowOff>
    </xdr:from>
    <xdr:to>
      <xdr:col>23</xdr:col>
      <xdr:colOff>936625</xdr:colOff>
      <xdr:row>21</xdr:row>
      <xdr:rowOff>142875</xdr:rowOff>
    </xdr:to>
    <mc:AlternateContent xmlns:mc="http://schemas.openxmlformats.org/markup-compatibility/2006" xmlns:a14="http://schemas.microsoft.com/office/drawing/2010/main">
      <mc:Choice Requires="a14">
        <xdr:graphicFrame macro="">
          <xdr:nvGraphicFramePr>
            <xdr:cNvPr id="7" name="Saving_Acct_Balance">
              <a:extLst>
                <a:ext uri="{FF2B5EF4-FFF2-40B4-BE49-F238E27FC236}">
                  <a16:creationId xmlns:a16="http://schemas.microsoft.com/office/drawing/2014/main" id="{A02FEC0F-2183-25B4-35EE-7F970F0B5FBF}"/>
                </a:ext>
              </a:extLst>
            </xdr:cNvPr>
            <xdr:cNvGraphicFramePr/>
          </xdr:nvGraphicFramePr>
          <xdr:xfrm>
            <a:off x="0" y="0"/>
            <a:ext cx="0" cy="0"/>
          </xdr:xfrm>
          <a:graphic>
            <a:graphicData uri="http://schemas.microsoft.com/office/drawing/2010/slicer">
              <sle:slicer xmlns:sle="http://schemas.microsoft.com/office/drawing/2010/slicer" name="Saving_Acct_Balance"/>
            </a:graphicData>
          </a:graphic>
        </xdr:graphicFrame>
      </mc:Choice>
      <mc:Fallback xmlns="">
        <xdr:sp macro="" textlink="">
          <xdr:nvSpPr>
            <xdr:cNvPr id="0" name=""/>
            <xdr:cNvSpPr>
              <a:spLocks noTextEdit="1"/>
            </xdr:cNvSpPr>
          </xdr:nvSpPr>
          <xdr:spPr>
            <a:xfrm>
              <a:off x="23389771" y="2469607"/>
              <a:ext cx="2420711" cy="160301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64609</xdr:colOff>
      <xdr:row>35</xdr:row>
      <xdr:rowOff>4830</xdr:rowOff>
    </xdr:from>
    <xdr:to>
      <xdr:col>23</xdr:col>
      <xdr:colOff>283550</xdr:colOff>
      <xdr:row>43</xdr:row>
      <xdr:rowOff>85859</xdr:rowOff>
    </xdr:to>
    <mc:AlternateContent xmlns:mc="http://schemas.openxmlformats.org/markup-compatibility/2006" xmlns:a14="http://schemas.microsoft.com/office/drawing/2010/main">
      <mc:Choice Requires="a14">
        <xdr:graphicFrame macro="">
          <xdr:nvGraphicFramePr>
            <xdr:cNvPr id="10" name="Check_Acct_Balance 1">
              <a:extLst>
                <a:ext uri="{FF2B5EF4-FFF2-40B4-BE49-F238E27FC236}">
                  <a16:creationId xmlns:a16="http://schemas.microsoft.com/office/drawing/2014/main" id="{0D6F9A0E-5CFA-0BE0-E118-9B75111B9FCB}"/>
                </a:ext>
              </a:extLst>
            </xdr:cNvPr>
            <xdr:cNvGraphicFramePr/>
          </xdr:nvGraphicFramePr>
          <xdr:xfrm>
            <a:off x="0" y="0"/>
            <a:ext cx="0" cy="0"/>
          </xdr:xfrm>
          <a:graphic>
            <a:graphicData uri="http://schemas.microsoft.com/office/drawing/2010/slicer">
              <sle:slicer xmlns:sle="http://schemas.microsoft.com/office/drawing/2010/slicer" name="Check_Acct_Balance 1"/>
            </a:graphicData>
          </a:graphic>
        </xdr:graphicFrame>
      </mc:Choice>
      <mc:Fallback xmlns="">
        <xdr:sp macro="" textlink="">
          <xdr:nvSpPr>
            <xdr:cNvPr id="0" name=""/>
            <xdr:cNvSpPr>
              <a:spLocks noTextEdit="1"/>
            </xdr:cNvSpPr>
          </xdr:nvSpPr>
          <xdr:spPr>
            <a:xfrm>
              <a:off x="23327380" y="6525373"/>
              <a:ext cx="1830027" cy="156148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340754</xdr:colOff>
      <xdr:row>35</xdr:row>
      <xdr:rowOff>12665</xdr:rowOff>
    </xdr:from>
    <xdr:to>
      <xdr:col>24</xdr:col>
      <xdr:colOff>559695</xdr:colOff>
      <xdr:row>44</xdr:row>
      <xdr:rowOff>42929</xdr:rowOff>
    </xdr:to>
    <mc:AlternateContent xmlns:mc="http://schemas.openxmlformats.org/markup-compatibility/2006" xmlns:a14="http://schemas.microsoft.com/office/drawing/2010/main">
      <mc:Choice Requires="a14">
        <xdr:graphicFrame macro="">
          <xdr:nvGraphicFramePr>
            <xdr:cNvPr id="11" name="Saving_Acct_Balance 1">
              <a:extLst>
                <a:ext uri="{FF2B5EF4-FFF2-40B4-BE49-F238E27FC236}">
                  <a16:creationId xmlns:a16="http://schemas.microsoft.com/office/drawing/2014/main" id="{6FE7D6DA-F30D-BE73-328A-FBE54CC73002}"/>
                </a:ext>
              </a:extLst>
            </xdr:cNvPr>
            <xdr:cNvGraphicFramePr/>
          </xdr:nvGraphicFramePr>
          <xdr:xfrm>
            <a:off x="0" y="0"/>
            <a:ext cx="0" cy="0"/>
          </xdr:xfrm>
          <a:graphic>
            <a:graphicData uri="http://schemas.microsoft.com/office/drawing/2010/slicer">
              <sle:slicer xmlns:sle="http://schemas.microsoft.com/office/drawing/2010/slicer" name="Saving_Acct_Balance 1"/>
            </a:graphicData>
          </a:graphic>
        </xdr:graphicFrame>
      </mc:Choice>
      <mc:Fallback xmlns="">
        <xdr:sp macro="" textlink="">
          <xdr:nvSpPr>
            <xdr:cNvPr id="0" name=""/>
            <xdr:cNvSpPr>
              <a:spLocks noTextEdit="1"/>
            </xdr:cNvSpPr>
          </xdr:nvSpPr>
          <xdr:spPr>
            <a:xfrm>
              <a:off x="25214611" y="6533208"/>
              <a:ext cx="1830027" cy="169577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134891</xdr:colOff>
      <xdr:row>0</xdr:row>
      <xdr:rowOff>160182</xdr:rowOff>
    </xdr:from>
    <xdr:to>
      <xdr:col>0</xdr:col>
      <xdr:colOff>432502</xdr:colOff>
      <xdr:row>2</xdr:row>
      <xdr:rowOff>48576</xdr:rowOff>
    </xdr:to>
    <xdr:pic>
      <xdr:nvPicPr>
        <xdr:cNvPr id="14" name="Picture 13">
          <a:extLst>
            <a:ext uri="{FF2B5EF4-FFF2-40B4-BE49-F238E27FC236}">
              <a16:creationId xmlns:a16="http://schemas.microsoft.com/office/drawing/2014/main" id="{6762DA94-8E63-4623-8DE8-919D2AE468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4891" y="160182"/>
          <a:ext cx="297611" cy="3018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38100</xdr:rowOff>
    </xdr:from>
    <xdr:to>
      <xdr:col>0</xdr:col>
      <xdr:colOff>548640</xdr:colOff>
      <xdr:row>25</xdr:row>
      <xdr:rowOff>152400</xdr:rowOff>
    </xdr:to>
    <xdr:sp macro="" textlink="">
      <xdr:nvSpPr>
        <xdr:cNvPr id="2" name="Rectangle: Rounded Corners 1">
          <a:extLst>
            <a:ext uri="{FF2B5EF4-FFF2-40B4-BE49-F238E27FC236}">
              <a16:creationId xmlns:a16="http://schemas.microsoft.com/office/drawing/2014/main" id="{AA6C0685-450D-4318-9AE1-A316FBEDC772}"/>
            </a:ext>
          </a:extLst>
        </xdr:cNvPr>
        <xdr:cNvSpPr/>
      </xdr:nvSpPr>
      <xdr:spPr>
        <a:xfrm>
          <a:off x="68580" y="38100"/>
          <a:ext cx="480060" cy="468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578971</xdr:colOff>
      <xdr:row>0</xdr:row>
      <xdr:rowOff>37950</xdr:rowOff>
    </xdr:from>
    <xdr:to>
      <xdr:col>3</xdr:col>
      <xdr:colOff>381000</xdr:colOff>
      <xdr:row>2</xdr:row>
      <xdr:rowOff>98910</xdr:rowOff>
    </xdr:to>
    <xdr:sp macro="" textlink="">
      <xdr:nvSpPr>
        <xdr:cNvPr id="3" name="Rectangle: Rounded Corners 2">
          <a:extLst>
            <a:ext uri="{FF2B5EF4-FFF2-40B4-BE49-F238E27FC236}">
              <a16:creationId xmlns:a16="http://schemas.microsoft.com/office/drawing/2014/main" id="{29017C6F-14B2-4D14-8E91-AD8156EE2527}"/>
            </a:ext>
          </a:extLst>
        </xdr:cNvPr>
        <xdr:cNvSpPr/>
      </xdr:nvSpPr>
      <xdr:spPr>
        <a:xfrm>
          <a:off x="578971" y="37950"/>
          <a:ext cx="1630829" cy="426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FINANCIAL STATUS</a:t>
          </a:r>
          <a:endParaRPr lang="en-PK" sz="1200" b="1"/>
        </a:p>
      </xdr:txBody>
    </xdr:sp>
    <xdr:clientData/>
  </xdr:twoCellAnchor>
  <xdr:twoCellAnchor>
    <xdr:from>
      <xdr:col>9</xdr:col>
      <xdr:colOff>363369</xdr:colOff>
      <xdr:row>0</xdr:row>
      <xdr:rowOff>37801</xdr:rowOff>
    </xdr:from>
    <xdr:to>
      <xdr:col>11</xdr:col>
      <xdr:colOff>314961</xdr:colOff>
      <xdr:row>2</xdr:row>
      <xdr:rowOff>98761</xdr:rowOff>
    </xdr:to>
    <xdr:sp macro="" textlink="">
      <xdr:nvSpPr>
        <xdr:cNvPr id="4" name="Rectangle: Rounded Corners 3">
          <a:extLst>
            <a:ext uri="{FF2B5EF4-FFF2-40B4-BE49-F238E27FC236}">
              <a16:creationId xmlns:a16="http://schemas.microsoft.com/office/drawing/2014/main" id="{C3801A60-56A4-4535-8E14-2F215A6B24C1}"/>
            </a:ext>
          </a:extLst>
        </xdr:cNvPr>
        <xdr:cNvSpPr/>
      </xdr:nvSpPr>
      <xdr:spPr>
        <a:xfrm>
          <a:off x="5849769" y="37801"/>
          <a:ext cx="1170792" cy="472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Risk</a:t>
          </a:r>
          <a:r>
            <a:rPr lang="en-US" sz="800" baseline="0"/>
            <a:t> by Housing Status</a:t>
          </a:r>
          <a:br>
            <a:rPr lang="en-US" sz="800" baseline="0"/>
          </a:br>
          <a:r>
            <a:rPr lang="en-US" sz="800" baseline="0"/>
            <a:t>186 | Owned Assets</a:t>
          </a:r>
          <a:endParaRPr lang="en-PK" sz="800"/>
        </a:p>
      </xdr:txBody>
    </xdr:sp>
    <xdr:clientData/>
  </xdr:twoCellAnchor>
  <xdr:twoCellAnchor>
    <xdr:from>
      <xdr:col>7</xdr:col>
      <xdr:colOff>408495</xdr:colOff>
      <xdr:row>0</xdr:row>
      <xdr:rowOff>30031</xdr:rowOff>
    </xdr:from>
    <xdr:to>
      <xdr:col>9</xdr:col>
      <xdr:colOff>345440</xdr:colOff>
      <xdr:row>2</xdr:row>
      <xdr:rowOff>90991</xdr:rowOff>
    </xdr:to>
    <xdr:sp macro="" textlink="">
      <xdr:nvSpPr>
        <xdr:cNvPr id="5" name="Rectangle: Rounded Corners 4">
          <a:extLst>
            <a:ext uri="{FF2B5EF4-FFF2-40B4-BE49-F238E27FC236}">
              <a16:creationId xmlns:a16="http://schemas.microsoft.com/office/drawing/2014/main" id="{5ACD52BB-E7F7-409A-ADEA-40C3A9901A17}"/>
            </a:ext>
          </a:extLst>
        </xdr:cNvPr>
        <xdr:cNvSpPr/>
      </xdr:nvSpPr>
      <xdr:spPr>
        <a:xfrm>
          <a:off x="4675695" y="30031"/>
          <a:ext cx="1156145" cy="472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Risk by Owned Assets</a:t>
          </a:r>
        </a:p>
        <a:p>
          <a:pPr algn="ctr"/>
          <a:r>
            <a:rPr lang="en-US" sz="800" baseline="0"/>
            <a:t>102 | Car</a:t>
          </a:r>
          <a:endParaRPr lang="en-PK" sz="800"/>
        </a:p>
      </xdr:txBody>
    </xdr:sp>
    <xdr:clientData/>
  </xdr:twoCellAnchor>
  <xdr:twoCellAnchor>
    <xdr:from>
      <xdr:col>5</xdr:col>
      <xdr:colOff>516666</xdr:colOff>
      <xdr:row>0</xdr:row>
      <xdr:rowOff>37801</xdr:rowOff>
    </xdr:from>
    <xdr:to>
      <xdr:col>7</xdr:col>
      <xdr:colOff>377072</xdr:colOff>
      <xdr:row>2</xdr:row>
      <xdr:rowOff>98761</xdr:rowOff>
    </xdr:to>
    <xdr:sp macro="" textlink="">
      <xdr:nvSpPr>
        <xdr:cNvPr id="6" name="Rectangle: Rounded Corners 5">
          <a:extLst>
            <a:ext uri="{FF2B5EF4-FFF2-40B4-BE49-F238E27FC236}">
              <a16:creationId xmlns:a16="http://schemas.microsoft.com/office/drawing/2014/main" id="{A1787F75-DABB-467B-BBD0-04A9F95BE5D0}"/>
            </a:ext>
          </a:extLst>
        </xdr:cNvPr>
        <xdr:cNvSpPr/>
      </xdr:nvSpPr>
      <xdr:spPr>
        <a:xfrm>
          <a:off x="3580377" y="37801"/>
          <a:ext cx="1085891" cy="4694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Risk by Saving Acct.</a:t>
          </a:r>
          <a:br>
            <a:rPr lang="en-US" sz="800"/>
          </a:br>
          <a:r>
            <a:rPr lang="en-US" sz="800"/>
            <a:t>36% | Low Savings</a:t>
          </a:r>
        </a:p>
      </xdr:txBody>
    </xdr:sp>
    <xdr:clientData/>
  </xdr:twoCellAnchor>
  <xdr:twoCellAnchor>
    <xdr:from>
      <xdr:col>3</xdr:col>
      <xdr:colOff>415834</xdr:colOff>
      <xdr:row>0</xdr:row>
      <xdr:rowOff>36755</xdr:rowOff>
    </xdr:from>
    <xdr:to>
      <xdr:col>5</xdr:col>
      <xdr:colOff>489857</xdr:colOff>
      <xdr:row>2</xdr:row>
      <xdr:rowOff>94854</xdr:rowOff>
    </xdr:to>
    <xdr:sp macro="" textlink="">
      <xdr:nvSpPr>
        <xdr:cNvPr id="7" name="Rectangle: Rounded Corners 6">
          <a:extLst>
            <a:ext uri="{FF2B5EF4-FFF2-40B4-BE49-F238E27FC236}">
              <a16:creationId xmlns:a16="http://schemas.microsoft.com/office/drawing/2014/main" id="{E9CDEEB0-48D0-4254-BB8E-B465099FC313}"/>
            </a:ext>
          </a:extLst>
        </xdr:cNvPr>
        <xdr:cNvSpPr/>
      </xdr:nvSpPr>
      <xdr:spPr>
        <a:xfrm>
          <a:off x="2244634" y="36755"/>
          <a:ext cx="1293223" cy="4238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Risk by Checking Balance</a:t>
          </a:r>
          <a:br>
            <a:rPr lang="en-US" sz="800"/>
          </a:br>
          <a:r>
            <a:rPr lang="en-US" sz="800"/>
            <a:t>49.3% | Negative Balance</a:t>
          </a:r>
          <a:endParaRPr lang="en-PK" sz="800"/>
        </a:p>
      </xdr:txBody>
    </xdr:sp>
    <xdr:clientData/>
  </xdr:twoCellAnchor>
  <xdr:twoCellAnchor>
    <xdr:from>
      <xdr:col>11</xdr:col>
      <xdr:colOff>337820</xdr:colOff>
      <xdr:row>0</xdr:row>
      <xdr:rowOff>40789</xdr:rowOff>
    </xdr:from>
    <xdr:to>
      <xdr:col>13</xdr:col>
      <xdr:colOff>406400</xdr:colOff>
      <xdr:row>2</xdr:row>
      <xdr:rowOff>101749</xdr:rowOff>
    </xdr:to>
    <xdr:sp macro="" textlink="">
      <xdr:nvSpPr>
        <xdr:cNvPr id="9" name="Rectangle: Rounded Corners 8">
          <a:extLst>
            <a:ext uri="{FF2B5EF4-FFF2-40B4-BE49-F238E27FC236}">
              <a16:creationId xmlns:a16="http://schemas.microsoft.com/office/drawing/2014/main" id="{15A6EDB4-B78C-4A9A-B6ED-A78121DAA7E0}"/>
            </a:ext>
          </a:extLst>
        </xdr:cNvPr>
        <xdr:cNvSpPr/>
      </xdr:nvSpPr>
      <xdr:spPr>
        <a:xfrm>
          <a:off x="7043420" y="40789"/>
          <a:ext cx="1287780" cy="472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Acct. Balances</a:t>
          </a:r>
          <a:r>
            <a:rPr lang="en-US" sz="800" baseline="0"/>
            <a:t> vs. Risk </a:t>
          </a:r>
          <a:br>
            <a:rPr lang="en-US" sz="800" baseline="0"/>
          </a:br>
          <a:r>
            <a:rPr lang="en-US" sz="800" baseline="0"/>
            <a:t>114 | Negative Balance</a:t>
          </a:r>
          <a:endParaRPr lang="en-PK" sz="800"/>
        </a:p>
      </xdr:txBody>
    </xdr:sp>
    <xdr:clientData/>
  </xdr:twoCellAnchor>
  <xdr:twoCellAnchor>
    <xdr:from>
      <xdr:col>0</xdr:col>
      <xdr:colOff>601383</xdr:colOff>
      <xdr:row>2</xdr:row>
      <xdr:rowOff>142875</xdr:rowOff>
    </xdr:from>
    <xdr:to>
      <xdr:col>5</xdr:col>
      <xdr:colOff>463826</xdr:colOff>
      <xdr:row>13</xdr:row>
      <xdr:rowOff>74705</xdr:rowOff>
    </xdr:to>
    <xdr:graphicFrame macro="">
      <xdr:nvGraphicFramePr>
        <xdr:cNvPr id="10" name="Chart 9">
          <a:extLst>
            <a:ext uri="{FF2B5EF4-FFF2-40B4-BE49-F238E27FC236}">
              <a16:creationId xmlns:a16="http://schemas.microsoft.com/office/drawing/2014/main" id="{CDCFC46F-48BD-3079-B01C-10408D42B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601383</xdr:colOff>
      <xdr:row>13</xdr:row>
      <xdr:rowOff>126252</xdr:rowOff>
    </xdr:from>
    <xdr:to>
      <xdr:col>5</xdr:col>
      <xdr:colOff>464820</xdr:colOff>
      <xdr:row>25</xdr:row>
      <xdr:rowOff>156882</xdr:rowOff>
    </xdr:to>
    <xdr:graphicFrame macro="">
      <xdr:nvGraphicFramePr>
        <xdr:cNvPr id="11" name="Chart 10">
          <a:extLst>
            <a:ext uri="{FF2B5EF4-FFF2-40B4-BE49-F238E27FC236}">
              <a16:creationId xmlns:a16="http://schemas.microsoft.com/office/drawing/2014/main" id="{8BA9C49A-3451-E0E3-A385-8A6D62F2D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496956</xdr:colOff>
      <xdr:row>2</xdr:row>
      <xdr:rowOff>137584</xdr:rowOff>
    </xdr:from>
    <xdr:to>
      <xdr:col>9</xdr:col>
      <xdr:colOff>312420</xdr:colOff>
      <xdr:row>13</xdr:row>
      <xdr:rowOff>74545</xdr:rowOff>
    </xdr:to>
    <xdr:graphicFrame macro="">
      <xdr:nvGraphicFramePr>
        <xdr:cNvPr id="13" name="Chart 12">
          <a:extLst>
            <a:ext uri="{FF2B5EF4-FFF2-40B4-BE49-F238E27FC236}">
              <a16:creationId xmlns:a16="http://schemas.microsoft.com/office/drawing/2014/main" id="{C1166D70-1D2E-800E-0E61-8C57EE505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347870</xdr:colOff>
      <xdr:row>2</xdr:row>
      <xdr:rowOff>132292</xdr:rowOff>
    </xdr:from>
    <xdr:to>
      <xdr:col>13</xdr:col>
      <xdr:colOff>388621</xdr:colOff>
      <xdr:row>13</xdr:row>
      <xdr:rowOff>71121</xdr:rowOff>
    </xdr:to>
    <xdr:graphicFrame macro="">
      <xdr:nvGraphicFramePr>
        <xdr:cNvPr id="15" name="Chart 14">
          <a:extLst>
            <a:ext uri="{FF2B5EF4-FFF2-40B4-BE49-F238E27FC236}">
              <a16:creationId xmlns:a16="http://schemas.microsoft.com/office/drawing/2014/main" id="{611432A0-FD01-1A34-488C-E1AFD3719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60316</xdr:colOff>
      <xdr:row>11</xdr:row>
      <xdr:rowOff>5044</xdr:rowOff>
    </xdr:from>
    <xdr:to>
      <xdr:col>24</xdr:col>
      <xdr:colOff>558299</xdr:colOff>
      <xdr:row>15</xdr:row>
      <xdr:rowOff>160986</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983470BE-038B-227B-68A8-8F53F1937B7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633198" y="2029573"/>
              <a:ext cx="1820277" cy="87311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615503</xdr:colOff>
      <xdr:row>11</xdr:row>
      <xdr:rowOff>2147</xdr:rowOff>
    </xdr:from>
    <xdr:to>
      <xdr:col>25</xdr:col>
      <xdr:colOff>1188613</xdr:colOff>
      <xdr:row>18</xdr:row>
      <xdr:rowOff>171719</xdr:rowOff>
    </xdr:to>
    <mc:AlternateContent xmlns:mc="http://schemas.openxmlformats.org/markup-compatibility/2006" xmlns:a14="http://schemas.microsoft.com/office/drawing/2010/main">
      <mc:Choice Requires="a14">
        <xdr:graphicFrame macro="">
          <xdr:nvGraphicFramePr>
            <xdr:cNvPr id="14" name="Marital Status">
              <a:extLst>
                <a:ext uri="{FF2B5EF4-FFF2-40B4-BE49-F238E27FC236}">
                  <a16:creationId xmlns:a16="http://schemas.microsoft.com/office/drawing/2014/main" id="{5E5057B1-4625-B887-A672-51E936AD08C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8510679" y="2026676"/>
              <a:ext cx="1828169" cy="142463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499604</xdr:colOff>
      <xdr:row>13</xdr:row>
      <xdr:rowOff>134368</xdr:rowOff>
    </xdr:from>
    <xdr:to>
      <xdr:col>13</xdr:col>
      <xdr:colOff>381000</xdr:colOff>
      <xdr:row>25</xdr:row>
      <xdr:rowOff>160986</xdr:rowOff>
    </xdr:to>
    <xdr:graphicFrame macro="">
      <xdr:nvGraphicFramePr>
        <xdr:cNvPr id="16" name="Chart 15">
          <a:extLst>
            <a:ext uri="{FF2B5EF4-FFF2-40B4-BE49-F238E27FC236}">
              <a16:creationId xmlns:a16="http://schemas.microsoft.com/office/drawing/2014/main" id="{0585208C-0F5E-61E1-C15B-4B43A77C8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68580</xdr:colOff>
      <xdr:row>0</xdr:row>
      <xdr:rowOff>38100</xdr:rowOff>
    </xdr:from>
    <xdr:to>
      <xdr:col>0</xdr:col>
      <xdr:colOff>548640</xdr:colOff>
      <xdr:row>25</xdr:row>
      <xdr:rowOff>153651</xdr:rowOff>
    </xdr:to>
    <xdr:sp macro="" textlink="">
      <xdr:nvSpPr>
        <xdr:cNvPr id="18" name="Rectangle: Rounded Corners 17">
          <a:extLst>
            <a:ext uri="{FF2B5EF4-FFF2-40B4-BE49-F238E27FC236}">
              <a16:creationId xmlns:a16="http://schemas.microsoft.com/office/drawing/2014/main" id="{0D140EBB-6ADA-4EDD-BB9B-53F0EEC3836B}"/>
            </a:ext>
          </a:extLst>
        </xdr:cNvPr>
        <xdr:cNvSpPr/>
      </xdr:nvSpPr>
      <xdr:spPr>
        <a:xfrm>
          <a:off x="68580" y="38100"/>
          <a:ext cx="480060" cy="47855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l"/>
          <a:r>
            <a:rPr lang="en-US" sz="1100" spc="830" baseline="0"/>
            <a:t>  </a:t>
          </a:r>
          <a:r>
            <a:rPr lang="en-US" sz="1100" spc="180" baseline="0"/>
            <a:t>Designed by:</a:t>
          </a:r>
          <a:r>
            <a:rPr lang="en-US" sz="1100" spc="830" baseline="0"/>
            <a:t> Ayesha Batool</a:t>
          </a:r>
          <a:endParaRPr lang="en-PK" sz="1100" spc="830" baseline="0"/>
        </a:p>
      </xdr:txBody>
    </xdr:sp>
    <xdr:clientData/>
  </xdr:twoCellAnchor>
  <xdr:twoCellAnchor editAs="oneCell">
    <xdr:from>
      <xdr:col>0</xdr:col>
      <xdr:colOff>152401</xdr:colOff>
      <xdr:row>0</xdr:row>
      <xdr:rowOff>157316</xdr:rowOff>
    </xdr:from>
    <xdr:to>
      <xdr:col>0</xdr:col>
      <xdr:colOff>450012</xdr:colOff>
      <xdr:row>2</xdr:row>
      <xdr:rowOff>46181</xdr:rowOff>
    </xdr:to>
    <xdr:pic>
      <xdr:nvPicPr>
        <xdr:cNvPr id="19" name="Picture 18">
          <a:extLst>
            <a:ext uri="{FF2B5EF4-FFF2-40B4-BE49-F238E27FC236}">
              <a16:creationId xmlns:a16="http://schemas.microsoft.com/office/drawing/2014/main" id="{169614A4-91C5-4677-BC72-60FBA9C43D7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2401" y="157316"/>
          <a:ext cx="297611" cy="3018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575236</xdr:colOff>
      <xdr:row>0</xdr:row>
      <xdr:rowOff>37353</xdr:rowOff>
    </xdr:from>
    <xdr:to>
      <xdr:col>3</xdr:col>
      <xdr:colOff>512931</xdr:colOff>
      <xdr:row>2</xdr:row>
      <xdr:rowOff>105485</xdr:rowOff>
    </xdr:to>
    <xdr:sp macro="" textlink="">
      <xdr:nvSpPr>
        <xdr:cNvPr id="4" name="Rectangle: Rounded Corners 3">
          <a:extLst>
            <a:ext uri="{FF2B5EF4-FFF2-40B4-BE49-F238E27FC236}">
              <a16:creationId xmlns:a16="http://schemas.microsoft.com/office/drawing/2014/main" id="{1F7090D7-4B7F-430A-9301-7342BDCD2766}"/>
            </a:ext>
          </a:extLst>
        </xdr:cNvPr>
        <xdr:cNvSpPr/>
      </xdr:nvSpPr>
      <xdr:spPr>
        <a:xfrm>
          <a:off x="575236" y="37353"/>
          <a:ext cx="1775460" cy="426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LOAN &amp; EMPLOYMENT</a:t>
          </a:r>
          <a:endParaRPr lang="en-PK" sz="1200" b="1"/>
        </a:p>
      </xdr:txBody>
    </xdr:sp>
    <xdr:clientData/>
  </xdr:twoCellAnchor>
  <xdr:twoCellAnchor>
    <xdr:from>
      <xdr:col>3</xdr:col>
      <xdr:colOff>544422</xdr:colOff>
      <xdr:row>0</xdr:row>
      <xdr:rowOff>40772</xdr:rowOff>
    </xdr:from>
    <xdr:to>
      <xdr:col>6</xdr:col>
      <xdr:colOff>60960</xdr:colOff>
      <xdr:row>2</xdr:row>
      <xdr:rowOff>108904</xdr:rowOff>
    </xdr:to>
    <xdr:sp macro="" textlink="">
      <xdr:nvSpPr>
        <xdr:cNvPr id="5" name="Rectangle: Rounded Corners 4">
          <a:extLst>
            <a:ext uri="{FF2B5EF4-FFF2-40B4-BE49-F238E27FC236}">
              <a16:creationId xmlns:a16="http://schemas.microsoft.com/office/drawing/2014/main" id="{833831C5-EC98-4B89-A432-3A7300E9BEDA}"/>
            </a:ext>
          </a:extLst>
        </xdr:cNvPr>
        <xdr:cNvSpPr/>
      </xdr:nvSpPr>
      <xdr:spPr>
        <a:xfrm>
          <a:off x="2373222" y="40772"/>
          <a:ext cx="1345338" cy="4338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Top</a:t>
          </a:r>
          <a:r>
            <a:rPr lang="en-US" sz="800" baseline="0"/>
            <a:t> Avg. Credit by Purpose</a:t>
          </a:r>
          <a:br>
            <a:rPr lang="en-US" sz="800" baseline="0"/>
          </a:br>
          <a:r>
            <a:rPr lang="en-US" sz="800" baseline="0"/>
            <a:t>$8,209.33 | Others</a:t>
          </a:r>
          <a:endParaRPr lang="en-PK" sz="800"/>
        </a:p>
      </xdr:txBody>
    </xdr:sp>
    <xdr:clientData/>
  </xdr:twoCellAnchor>
  <xdr:twoCellAnchor>
    <xdr:from>
      <xdr:col>6</xdr:col>
      <xdr:colOff>92537</xdr:colOff>
      <xdr:row>0</xdr:row>
      <xdr:rowOff>45635</xdr:rowOff>
    </xdr:from>
    <xdr:to>
      <xdr:col>8</xdr:col>
      <xdr:colOff>365760</xdr:colOff>
      <xdr:row>2</xdr:row>
      <xdr:rowOff>113767</xdr:rowOff>
    </xdr:to>
    <xdr:sp macro="" textlink="">
      <xdr:nvSpPr>
        <xdr:cNvPr id="6" name="Rectangle: Rounded Corners 5">
          <a:extLst>
            <a:ext uri="{FF2B5EF4-FFF2-40B4-BE49-F238E27FC236}">
              <a16:creationId xmlns:a16="http://schemas.microsoft.com/office/drawing/2014/main" id="{9D9C42FC-8FE1-4430-ACB9-57CF7C9FADCC}"/>
            </a:ext>
          </a:extLst>
        </xdr:cNvPr>
        <xdr:cNvSpPr/>
      </xdr:nvSpPr>
      <xdr:spPr>
        <a:xfrm>
          <a:off x="3750137" y="45635"/>
          <a:ext cx="1492423" cy="4338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0"/>
            <a:t>Top Bad Risk by Loan Purpose </a:t>
          </a:r>
          <a:br>
            <a:rPr lang="en-US" sz="800" b="0"/>
          </a:br>
          <a:r>
            <a:rPr lang="en-US" sz="800" b="0"/>
            <a:t>44% | Education </a:t>
          </a:r>
          <a:endParaRPr lang="en-PK" sz="800" b="0"/>
        </a:p>
      </xdr:txBody>
    </xdr:sp>
    <xdr:clientData/>
  </xdr:twoCellAnchor>
  <xdr:twoCellAnchor>
    <xdr:from>
      <xdr:col>8</xdr:col>
      <xdr:colOff>392813</xdr:colOff>
      <xdr:row>0</xdr:row>
      <xdr:rowOff>39509</xdr:rowOff>
    </xdr:from>
    <xdr:to>
      <xdr:col>9</xdr:col>
      <xdr:colOff>502921</xdr:colOff>
      <xdr:row>2</xdr:row>
      <xdr:rowOff>107641</xdr:rowOff>
    </xdr:to>
    <xdr:sp macro="" textlink="">
      <xdr:nvSpPr>
        <xdr:cNvPr id="9" name="Rectangle: Rounded Corners 8">
          <a:extLst>
            <a:ext uri="{FF2B5EF4-FFF2-40B4-BE49-F238E27FC236}">
              <a16:creationId xmlns:a16="http://schemas.microsoft.com/office/drawing/2014/main" id="{B8CC7075-858E-431E-8BD2-7AA5AF03976C}"/>
            </a:ext>
          </a:extLst>
        </xdr:cNvPr>
        <xdr:cNvSpPr/>
      </xdr:nvSpPr>
      <xdr:spPr>
        <a:xfrm>
          <a:off x="5269613" y="39509"/>
          <a:ext cx="719708" cy="4338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Avg. Credit</a:t>
          </a:r>
          <a:br>
            <a:rPr lang="en-US" sz="800"/>
          </a:br>
          <a:r>
            <a:rPr lang="en-US" sz="800"/>
            <a:t>$3,271.26</a:t>
          </a:r>
          <a:endParaRPr lang="en-PK" sz="800"/>
        </a:p>
      </xdr:txBody>
    </xdr:sp>
    <xdr:clientData/>
  </xdr:twoCellAnchor>
  <xdr:twoCellAnchor>
    <xdr:from>
      <xdr:col>9</xdr:col>
      <xdr:colOff>528192</xdr:colOff>
      <xdr:row>0</xdr:row>
      <xdr:rowOff>37053</xdr:rowOff>
    </xdr:from>
    <xdr:to>
      <xdr:col>11</xdr:col>
      <xdr:colOff>579120</xdr:colOff>
      <xdr:row>2</xdr:row>
      <xdr:rowOff>105185</xdr:rowOff>
    </xdr:to>
    <xdr:sp macro="" textlink="">
      <xdr:nvSpPr>
        <xdr:cNvPr id="10" name="Rectangle: Rounded Corners 9">
          <a:extLst>
            <a:ext uri="{FF2B5EF4-FFF2-40B4-BE49-F238E27FC236}">
              <a16:creationId xmlns:a16="http://schemas.microsoft.com/office/drawing/2014/main" id="{7FAE136B-B029-455B-9E83-213C65547631}"/>
            </a:ext>
          </a:extLst>
        </xdr:cNvPr>
        <xdr:cNvSpPr/>
      </xdr:nvSpPr>
      <xdr:spPr>
        <a:xfrm>
          <a:off x="6014592" y="37053"/>
          <a:ext cx="1270128" cy="43389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t>Top Risk by Credit History</a:t>
          </a:r>
          <a:br>
            <a:rPr lang="en-US" sz="700"/>
          </a:br>
          <a:r>
            <a:rPr lang="en-US" sz="700"/>
            <a:t>63% | No Credit</a:t>
          </a:r>
          <a:endParaRPr lang="en-PK" sz="700"/>
        </a:p>
      </xdr:txBody>
    </xdr:sp>
    <xdr:clientData/>
  </xdr:twoCellAnchor>
  <xdr:twoCellAnchor>
    <xdr:from>
      <xdr:col>11</xdr:col>
      <xdr:colOff>605790</xdr:colOff>
      <xdr:row>0</xdr:row>
      <xdr:rowOff>41311</xdr:rowOff>
    </xdr:from>
    <xdr:to>
      <xdr:col>13</xdr:col>
      <xdr:colOff>576467</xdr:colOff>
      <xdr:row>2</xdr:row>
      <xdr:rowOff>109443</xdr:rowOff>
    </xdr:to>
    <xdr:sp macro="" textlink="">
      <xdr:nvSpPr>
        <xdr:cNvPr id="11" name="Rectangle: Rounded Corners 10">
          <a:extLst>
            <a:ext uri="{FF2B5EF4-FFF2-40B4-BE49-F238E27FC236}">
              <a16:creationId xmlns:a16="http://schemas.microsoft.com/office/drawing/2014/main" id="{CACACDEA-88D0-4E50-8B9C-8276F9FBD2FB}"/>
            </a:ext>
          </a:extLst>
        </xdr:cNvPr>
        <xdr:cNvSpPr/>
      </xdr:nvSpPr>
      <xdr:spPr>
        <a:xfrm>
          <a:off x="7311390" y="41311"/>
          <a:ext cx="1189877" cy="4364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t>Avg. Loan Duration</a:t>
          </a:r>
          <a:br>
            <a:rPr lang="en-US" sz="800"/>
          </a:br>
          <a:r>
            <a:rPr lang="en-US" sz="800"/>
            <a:t>20.9</a:t>
          </a:r>
          <a:endParaRPr lang="en-PK" sz="800"/>
        </a:p>
      </xdr:txBody>
    </xdr:sp>
    <xdr:clientData/>
  </xdr:twoCellAnchor>
  <xdr:twoCellAnchor>
    <xdr:from>
      <xdr:col>7</xdr:col>
      <xdr:colOff>169157</xdr:colOff>
      <xdr:row>2</xdr:row>
      <xdr:rowOff>161804</xdr:rowOff>
    </xdr:from>
    <xdr:to>
      <xdr:col>13</xdr:col>
      <xdr:colOff>593312</xdr:colOff>
      <xdr:row>14</xdr:row>
      <xdr:rowOff>81435</xdr:rowOff>
    </xdr:to>
    <xdr:graphicFrame macro="">
      <xdr:nvGraphicFramePr>
        <xdr:cNvPr id="15" name="Chart 14">
          <a:extLst>
            <a:ext uri="{FF2B5EF4-FFF2-40B4-BE49-F238E27FC236}">
              <a16:creationId xmlns:a16="http://schemas.microsoft.com/office/drawing/2014/main" id="{9F944CA8-F975-0904-F771-A6F1E1731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561975</xdr:colOff>
      <xdr:row>14</xdr:row>
      <xdr:rowOff>123944</xdr:rowOff>
    </xdr:from>
    <xdr:to>
      <xdr:col>13</xdr:col>
      <xdr:colOff>590550</xdr:colOff>
      <xdr:row>26</xdr:row>
      <xdr:rowOff>29882</xdr:rowOff>
    </xdr:to>
    <xdr:graphicFrame macro="">
      <xdr:nvGraphicFramePr>
        <xdr:cNvPr id="16" name="Chart 15">
          <a:extLst>
            <a:ext uri="{FF2B5EF4-FFF2-40B4-BE49-F238E27FC236}">
              <a16:creationId xmlns:a16="http://schemas.microsoft.com/office/drawing/2014/main" id="{4788CC4C-3138-3071-D4A4-94CF93A27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571500</xdr:colOff>
      <xdr:row>2</xdr:row>
      <xdr:rowOff>160020</xdr:rowOff>
    </xdr:from>
    <xdr:to>
      <xdr:col>7</xdr:col>
      <xdr:colOff>137948</xdr:colOff>
      <xdr:row>14</xdr:row>
      <xdr:rowOff>78828</xdr:rowOff>
    </xdr:to>
    <xdr:graphicFrame macro="">
      <xdr:nvGraphicFramePr>
        <xdr:cNvPr id="17" name="Chart 16">
          <a:extLst>
            <a:ext uri="{FF2B5EF4-FFF2-40B4-BE49-F238E27FC236}">
              <a16:creationId xmlns:a16="http://schemas.microsoft.com/office/drawing/2014/main" id="{FE796FF1-1FFB-1ABC-5E64-2CA58CB11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571500</xdr:colOff>
      <xdr:row>14</xdr:row>
      <xdr:rowOff>114300</xdr:rowOff>
    </xdr:from>
    <xdr:to>
      <xdr:col>4</xdr:col>
      <xdr:colOff>500529</xdr:colOff>
      <xdr:row>26</xdr:row>
      <xdr:rowOff>15240</xdr:rowOff>
    </xdr:to>
    <xdr:graphicFrame macro="">
      <xdr:nvGraphicFramePr>
        <xdr:cNvPr id="18" name="Chart 17">
          <a:extLst>
            <a:ext uri="{FF2B5EF4-FFF2-40B4-BE49-F238E27FC236}">
              <a16:creationId xmlns:a16="http://schemas.microsoft.com/office/drawing/2014/main" id="{4FAA88B4-E85A-0E24-74D3-69E9C80DA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545651</xdr:colOff>
      <xdr:row>14</xdr:row>
      <xdr:rowOff>131297</xdr:rowOff>
    </xdr:from>
    <xdr:to>
      <xdr:col>8</xdr:col>
      <xdr:colOff>530412</xdr:colOff>
      <xdr:row>26</xdr:row>
      <xdr:rowOff>26521</xdr:rowOff>
    </xdr:to>
    <xdr:graphicFrame macro="">
      <xdr:nvGraphicFramePr>
        <xdr:cNvPr id="19" name="Chart 18">
          <a:extLst>
            <a:ext uri="{FF2B5EF4-FFF2-40B4-BE49-F238E27FC236}">
              <a16:creationId xmlns:a16="http://schemas.microsoft.com/office/drawing/2014/main" id="{C4837401-B5B4-EE32-9769-7E9BEFE8D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52294</xdr:colOff>
      <xdr:row>0</xdr:row>
      <xdr:rowOff>37353</xdr:rowOff>
    </xdr:from>
    <xdr:to>
      <xdr:col>0</xdr:col>
      <xdr:colOff>532354</xdr:colOff>
      <xdr:row>25</xdr:row>
      <xdr:rowOff>164843</xdr:rowOff>
    </xdr:to>
    <xdr:sp macro="" textlink="">
      <xdr:nvSpPr>
        <xdr:cNvPr id="3" name="Rectangle: Rounded Corners 2">
          <a:extLst>
            <a:ext uri="{FF2B5EF4-FFF2-40B4-BE49-F238E27FC236}">
              <a16:creationId xmlns:a16="http://schemas.microsoft.com/office/drawing/2014/main" id="{0C2F20A4-ED6F-4F2E-9019-3FD853D6D745}"/>
            </a:ext>
          </a:extLst>
        </xdr:cNvPr>
        <xdr:cNvSpPr/>
      </xdr:nvSpPr>
      <xdr:spPr>
        <a:xfrm>
          <a:off x="52294" y="37353"/>
          <a:ext cx="480060" cy="47855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l"/>
          <a:r>
            <a:rPr lang="en-US" sz="1100" spc="830" baseline="0"/>
            <a:t>  </a:t>
          </a:r>
          <a:r>
            <a:rPr lang="en-US" sz="1100" spc="180" baseline="0"/>
            <a:t>Designed by:</a:t>
          </a:r>
          <a:r>
            <a:rPr lang="en-US" sz="1100" spc="830" baseline="0"/>
            <a:t> Ayesha Batool</a:t>
          </a:r>
          <a:endParaRPr lang="en-PK" sz="1100" spc="830" baseline="0"/>
        </a:p>
      </xdr:txBody>
    </xdr:sp>
    <xdr:clientData/>
  </xdr:twoCellAnchor>
  <xdr:twoCellAnchor editAs="oneCell">
    <xdr:from>
      <xdr:col>0</xdr:col>
      <xdr:colOff>139272</xdr:colOff>
      <xdr:row>0</xdr:row>
      <xdr:rowOff>156411</xdr:rowOff>
    </xdr:from>
    <xdr:to>
      <xdr:col>0</xdr:col>
      <xdr:colOff>436883</xdr:colOff>
      <xdr:row>2</xdr:row>
      <xdr:rowOff>46339</xdr:rowOff>
    </xdr:to>
    <xdr:pic>
      <xdr:nvPicPr>
        <xdr:cNvPr id="8" name="Picture 7">
          <a:extLst>
            <a:ext uri="{FF2B5EF4-FFF2-40B4-BE49-F238E27FC236}">
              <a16:creationId xmlns:a16="http://schemas.microsoft.com/office/drawing/2014/main" id="{9F4213F9-22EF-0294-A36A-2ABBB2D8707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9272" y="156411"/>
          <a:ext cx="297611" cy="3018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esha Batool" refreshedDate="46108.754790277781" createdVersion="8" refreshedVersion="8" minRefreshableVersion="3" recordCount="1000" xr:uid="{1AF014C9-88BB-406E-A5B5-DF5F70C10535}">
  <cacheSource type="worksheet">
    <worksheetSource name="Table1"/>
  </cacheSource>
  <cacheFields count="34">
    <cacheField name="ID" numFmtId="0">
      <sharedItems containsSemiMixedTypes="0" containsString="0" containsNumber="1" containsInteger="1" minValue="1" maxValue="1000"/>
    </cacheField>
    <cacheField name="Age" numFmtId="1">
      <sharedItems containsSemiMixedTypes="0" containsString="0" containsNumber="1" containsInteger="1" minValue="19" maxValue="75"/>
    </cacheField>
    <cacheField name="Age_Range" numFmtId="0">
      <sharedItems count="6">
        <s v="29-39"/>
        <s v="19-29"/>
        <s v="39-49"/>
        <s v="49-59"/>
        <s v="69-76"/>
        <s v="59-69"/>
      </sharedItems>
    </cacheField>
    <cacheField name="Personal_Status" numFmtId="0">
      <sharedItems/>
    </cacheField>
    <cacheField name="Gender" numFmtId="49">
      <sharedItems count="2">
        <s v="Female"/>
        <s v="Male"/>
      </sharedItems>
    </cacheField>
    <cacheField name="Marital Status" numFmtId="49">
      <sharedItems count="4">
        <s v="Divorced with Dependents"/>
        <s v="Single"/>
        <s v="Married/Widowed"/>
        <s v="Divorced/Separated"/>
      </sharedItems>
    </cacheField>
    <cacheField name="Num_of_Dependents" numFmtId="1">
      <sharedItems containsSemiMixedTypes="0" containsString="0" containsNumber="1" containsInteger="1" minValue="1" maxValue="2"/>
    </cacheField>
    <cacheField name="Foreign_Worker" numFmtId="0">
      <sharedItems count="2">
        <s v="No"/>
        <s v="Yes"/>
      </sharedItems>
    </cacheField>
    <cacheField name="Residential_Status" numFmtId="0">
      <sharedItems/>
    </cacheField>
    <cacheField name="Housing_Status" numFmtId="49">
      <sharedItems count="3">
        <s v="Owned"/>
        <s v="Rented"/>
        <s v="Rent Free"/>
      </sharedItems>
    </cacheField>
    <cacheField name="Residence_Duration" numFmtId="1">
      <sharedItems containsSemiMixedTypes="0" containsString="0" containsNumber="1" containsInteger="1" minValue="1" maxValue="4"/>
    </cacheField>
    <cacheField name="Owned Assets" numFmtId="49">
      <sharedItems count="4">
        <s v="Life Insurance"/>
        <s v="Car"/>
        <s v="Real Estate"/>
        <s v="No Property"/>
      </sharedItems>
    </cacheField>
    <cacheField name="Own_Telephone" numFmtId="0">
      <sharedItems/>
    </cacheField>
    <cacheField name="Checking_Acct_Status" numFmtId="0">
      <sharedItems/>
    </cacheField>
    <cacheField name="Check_Acct_Balance" numFmtId="49">
      <sharedItems count="4">
        <s v="Low Balance"/>
        <s v="Negative Balance"/>
        <s v="No Account"/>
        <s v="High Balance"/>
      </sharedItems>
    </cacheField>
    <cacheField name="Saving_Acct_Status" numFmtId="0">
      <sharedItems/>
    </cacheField>
    <cacheField name="Saving_Acct_Balance" numFmtId="49">
      <sharedItems count="5">
        <s v="Low Savings"/>
        <s v="No Savings"/>
        <s v="Very High Savings"/>
        <s v="Medium Savings"/>
        <s v="High Savings"/>
      </sharedItems>
    </cacheField>
    <cacheField name="Job_Type" numFmtId="0">
      <sharedItems/>
    </cacheField>
    <cacheField name="Skill Type" numFmtId="49">
      <sharedItems/>
    </cacheField>
    <cacheField name="Employment_Type" numFmtId="0">
      <sharedItems count="2">
        <s v="Employed"/>
        <s v="Unemployed"/>
      </sharedItems>
    </cacheField>
    <cacheField name="Employement_Duration" numFmtId="0">
      <sharedItems/>
    </cacheField>
    <cacheField name="Years of Employment" numFmtId="49">
      <sharedItems count="5">
        <s v="1-4"/>
        <s v="Less than 1"/>
        <s v="4-7"/>
        <s v="Greater than 7"/>
        <s v="Unemployed"/>
      </sharedItems>
    </cacheField>
    <cacheField name="Loan_Credit_History" numFmtId="0">
      <sharedItems/>
    </cacheField>
    <cacheField name="Credit_History_Updated" numFmtId="49">
      <sharedItems count="5">
        <s v="No Credit History"/>
        <s v="Existing Credits Paid"/>
        <s v="All Paid"/>
        <s v="Critical Credit History"/>
        <s v="Previously Delayed"/>
      </sharedItems>
    </cacheField>
    <cacheField name="Installement_Burden" numFmtId="1">
      <sharedItems containsSemiMixedTypes="0" containsString="0" containsNumber="1" containsInteger="1" minValue="1" maxValue="4"/>
    </cacheField>
    <cacheField name="Existing_Credits" numFmtId="1">
      <sharedItems containsSemiMixedTypes="0" containsString="0" containsNumber="1" containsInteger="1" minValue="1" maxValue="4"/>
    </cacheField>
    <cacheField name="Credit_Amount" numFmtId="164">
      <sharedItems containsSemiMixedTypes="0" containsString="0" containsNumber="1" containsInteger="1" minValue="250" maxValue="18424"/>
    </cacheField>
    <cacheField name="Others_Parties" numFmtId="0">
      <sharedItems/>
    </cacheField>
    <cacheField name="Other_Parties_Updated" numFmtId="49">
      <sharedItems/>
    </cacheField>
    <cacheField name="Others_Payment_Plans" numFmtId="49">
      <sharedItems/>
    </cacheField>
    <cacheField name="Loan_Purpose " numFmtId="49">
      <sharedItems count="10">
        <s v="Others"/>
        <s v="Furniture/Equipment"/>
        <s v="Used Car"/>
        <s v="New Car"/>
        <s v="Radio/TV"/>
        <s v="Business"/>
        <s v="Repairs"/>
        <s v="Education"/>
        <s v="Domestic Appliance"/>
        <s v="Retraining"/>
      </sharedItems>
    </cacheField>
    <cacheField name="Loan_Duration_Range" numFmtId="0">
      <sharedItems count="6">
        <s v="37-48"/>
        <s v="13-24"/>
        <s v="0-12"/>
        <s v="57-72"/>
        <s v="49-56"/>
        <s v="25-36"/>
      </sharedItems>
    </cacheField>
    <cacheField name="Loan_Duration_Months" numFmtId="1">
      <sharedItems containsSemiMixedTypes="0" containsString="0" containsNumber="1" containsInteger="1" minValue="4" maxValue="72"/>
    </cacheField>
    <cacheField name="Credit_Risk" numFmtId="0">
      <sharedItems count="2">
        <s v="Bad"/>
        <s v="Good"/>
      </sharedItems>
    </cacheField>
  </cacheFields>
  <extLst>
    <ext xmlns:x14="http://schemas.microsoft.com/office/spreadsheetml/2009/9/main" uri="{725AE2AE-9491-48be-B2B4-4EB974FC3084}">
      <x14:pivotCacheDefinition pivotCacheId="19417546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32"/>
    <x v="0"/>
    <s v="Female Divorced with Dependents"/>
    <x v="0"/>
    <x v="0"/>
    <n v="1"/>
    <x v="0"/>
    <s v="Unknown"/>
    <x v="0"/>
    <n v="2"/>
    <x v="0"/>
    <s v="Yes"/>
    <s v="0&lt;=X&lt;200"/>
    <x v="0"/>
    <s v="&lt;100"/>
    <x v="0"/>
    <s v="high qualif/self emp/mgmt"/>
    <s v="Skilled"/>
    <x v="0"/>
    <s v="1&lt;=X&lt;4"/>
    <x v="0"/>
    <s v="no credits/all paid"/>
    <x v="0"/>
    <n v="1"/>
    <n v="1"/>
    <n v="18424"/>
    <s v="No"/>
    <s v="None"/>
    <s v="Bank"/>
    <x v="0"/>
    <x v="0"/>
    <n v="48"/>
    <x v="0"/>
  </r>
  <r>
    <n v="2"/>
    <n v="24"/>
    <x v="1"/>
    <s v="Male single"/>
    <x v="1"/>
    <x v="1"/>
    <n v="1"/>
    <x v="0"/>
    <s v="Resident"/>
    <x v="0"/>
    <n v="1"/>
    <x v="0"/>
    <s v="No"/>
    <s v="&lt;0"/>
    <x v="1"/>
    <s v="&lt;100"/>
    <x v="0"/>
    <s v="unskilled resident"/>
    <s v="Unskilled"/>
    <x v="0"/>
    <s v="&lt;1"/>
    <x v="1"/>
    <s v="existing paid"/>
    <x v="1"/>
    <n v="4"/>
    <n v="1"/>
    <n v="1747"/>
    <s v="co applicant"/>
    <s v="Co-applicant"/>
    <s v="None"/>
    <x v="1"/>
    <x v="1"/>
    <n v="24"/>
    <x v="1"/>
  </r>
  <r>
    <n v="3"/>
    <n v="22"/>
    <x v="1"/>
    <s v="Female Divorced with Dependents"/>
    <x v="0"/>
    <x v="0"/>
    <n v="1"/>
    <x v="0"/>
    <s v="Unknown"/>
    <x v="1"/>
    <n v="4"/>
    <x v="1"/>
    <s v="No"/>
    <s v="&lt;0"/>
    <x v="1"/>
    <s v="&lt;100"/>
    <x v="0"/>
    <s v="skilled"/>
    <s v="Skilled"/>
    <x v="0"/>
    <s v="1&lt;=X&lt;4"/>
    <x v="0"/>
    <s v="all paid"/>
    <x v="2"/>
    <n v="1"/>
    <n v="1"/>
    <n v="3632"/>
    <s v="guarantor"/>
    <s v="Guarantor"/>
    <s v="Bank"/>
    <x v="2"/>
    <x v="1"/>
    <n v="24"/>
    <x v="1"/>
  </r>
  <r>
    <n v="4"/>
    <n v="30"/>
    <x v="0"/>
    <s v="Female Divorced with Dependents"/>
    <x v="0"/>
    <x v="0"/>
    <n v="1"/>
    <x v="0"/>
    <s v="Unknown"/>
    <x v="0"/>
    <n v="2"/>
    <x v="0"/>
    <s v="Yes"/>
    <s v="&lt;0"/>
    <x v="1"/>
    <s v="no known savings"/>
    <x v="1"/>
    <s v="skilled"/>
    <s v="Skilled"/>
    <x v="0"/>
    <s v="&lt;1"/>
    <x v="1"/>
    <s v="existing paid"/>
    <x v="1"/>
    <n v="1"/>
    <n v="1"/>
    <n v="7721"/>
    <s v="No"/>
    <s v="None"/>
    <s v="None"/>
    <x v="1"/>
    <x v="1"/>
    <n v="24"/>
    <x v="1"/>
  </r>
  <r>
    <n v="5"/>
    <n v="24"/>
    <x v="1"/>
    <s v="Male single"/>
    <x v="1"/>
    <x v="1"/>
    <n v="1"/>
    <x v="0"/>
    <s v="Resident"/>
    <x v="0"/>
    <n v="2"/>
    <x v="2"/>
    <s v="No"/>
    <s v="&lt;0"/>
    <x v="1"/>
    <s v="no known savings"/>
    <x v="1"/>
    <s v="unskilled resident"/>
    <s v="Unskilled"/>
    <x v="0"/>
    <s v="4&lt;=X&lt;7"/>
    <x v="2"/>
    <s v="existing paid"/>
    <x v="1"/>
    <n v="2"/>
    <n v="1"/>
    <n v="3763"/>
    <s v="co applicant"/>
    <s v="Co-applicant"/>
    <s v="None"/>
    <x v="3"/>
    <x v="1"/>
    <n v="21"/>
    <x v="1"/>
  </r>
  <r>
    <n v="6"/>
    <n v="33"/>
    <x v="0"/>
    <s v="Male Married/Widowed"/>
    <x v="1"/>
    <x v="2"/>
    <n v="1"/>
    <x v="0"/>
    <s v="Unknown"/>
    <x v="1"/>
    <n v="2"/>
    <x v="0"/>
    <s v="No"/>
    <s v="&lt;0"/>
    <x v="1"/>
    <s v="&lt;100"/>
    <x v="0"/>
    <s v="skilled"/>
    <s v="Skilled"/>
    <x v="0"/>
    <s v="1&lt;=X&lt;4"/>
    <x v="0"/>
    <s v="critical/Others existing credit"/>
    <x v="3"/>
    <n v="4"/>
    <n v="2"/>
    <n v="2235"/>
    <s v="guarantor"/>
    <s v="Guarantor"/>
    <s v="Bank"/>
    <x v="3"/>
    <x v="1"/>
    <n v="20"/>
    <x v="0"/>
  </r>
  <r>
    <n v="7"/>
    <n v="32"/>
    <x v="0"/>
    <s v="Male single"/>
    <x v="1"/>
    <x v="1"/>
    <n v="1"/>
    <x v="0"/>
    <s v="Unknown"/>
    <x v="0"/>
    <n v="3"/>
    <x v="0"/>
    <s v="No"/>
    <s v="no checking"/>
    <x v="2"/>
    <s v="no known savings"/>
    <x v="1"/>
    <s v="skilled"/>
    <s v="Skilled"/>
    <x v="0"/>
    <s v="4&lt;=X&lt;7"/>
    <x v="2"/>
    <s v="existing paid"/>
    <x v="1"/>
    <n v="4"/>
    <n v="1"/>
    <n v="2662"/>
    <s v="No"/>
    <s v="None"/>
    <s v="None"/>
    <x v="3"/>
    <x v="1"/>
    <n v="18"/>
    <x v="1"/>
  </r>
  <r>
    <n v="8"/>
    <n v="27"/>
    <x v="1"/>
    <s v="Male Married/Widowed"/>
    <x v="1"/>
    <x v="2"/>
    <n v="1"/>
    <x v="0"/>
    <s v="Unknown"/>
    <x v="0"/>
    <n v="2"/>
    <x v="2"/>
    <s v="No"/>
    <s v="&lt;0"/>
    <x v="1"/>
    <s v="&lt;100"/>
    <x v="0"/>
    <s v="skilled"/>
    <s v="Skilled"/>
    <x v="0"/>
    <s v="&lt;1"/>
    <x v="1"/>
    <s v="existing paid"/>
    <x v="1"/>
    <n v="4"/>
    <n v="1"/>
    <n v="1053"/>
    <s v="No"/>
    <s v="None"/>
    <s v="None"/>
    <x v="4"/>
    <x v="1"/>
    <n v="15"/>
    <x v="1"/>
  </r>
  <r>
    <n v="9"/>
    <n v="45"/>
    <x v="2"/>
    <s v="Male Divorced/Seperated"/>
    <x v="1"/>
    <x v="3"/>
    <n v="1"/>
    <x v="0"/>
    <s v="Unknown"/>
    <x v="0"/>
    <n v="4"/>
    <x v="0"/>
    <s v="Yes"/>
    <s v="&lt;0"/>
    <x v="1"/>
    <s v="&lt;100"/>
    <x v="0"/>
    <s v="high qualif/self emp/mgmt"/>
    <s v="Skilled"/>
    <x v="0"/>
    <s v="&gt;=7"/>
    <x v="3"/>
    <s v="existing paid"/>
    <x v="1"/>
    <n v="1"/>
    <n v="1"/>
    <n v="8978"/>
    <s v="No"/>
    <s v="None"/>
    <s v="None"/>
    <x v="3"/>
    <x v="1"/>
    <n v="14"/>
    <x v="0"/>
  </r>
  <r>
    <n v="10"/>
    <n v="26"/>
    <x v="1"/>
    <s v="Male Married/Widowed"/>
    <x v="1"/>
    <x v="2"/>
    <n v="1"/>
    <x v="0"/>
    <s v="Unknown"/>
    <x v="0"/>
    <n v="2"/>
    <x v="2"/>
    <s v="Yes"/>
    <s v="no checking"/>
    <x v="2"/>
    <s v="&lt;100"/>
    <x v="0"/>
    <s v="skilled"/>
    <s v="Skilled"/>
    <x v="0"/>
    <s v="1&lt;=X&lt;4"/>
    <x v="0"/>
    <s v="existing paid"/>
    <x v="1"/>
    <n v="2"/>
    <n v="1"/>
    <n v="1076"/>
    <s v="No"/>
    <s v="None"/>
    <s v="None"/>
    <x v="5"/>
    <x v="2"/>
    <n v="12"/>
    <x v="1"/>
  </r>
  <r>
    <n v="11"/>
    <n v="29"/>
    <x v="0"/>
    <s v="Male single"/>
    <x v="1"/>
    <x v="1"/>
    <n v="1"/>
    <x v="0"/>
    <s v="Unknown"/>
    <x v="0"/>
    <n v="3"/>
    <x v="2"/>
    <s v="No"/>
    <s v="0&lt;=X&lt;200"/>
    <x v="0"/>
    <s v="&lt;100"/>
    <x v="0"/>
    <s v="skilled"/>
    <s v="Skilled"/>
    <x v="0"/>
    <s v="4&lt;=X&lt;7"/>
    <x v="2"/>
    <s v="existing paid"/>
    <x v="1"/>
    <n v="4"/>
    <n v="2"/>
    <n v="1103"/>
    <s v="guarantor"/>
    <s v="Guarantor"/>
    <s v="None"/>
    <x v="4"/>
    <x v="2"/>
    <n v="12"/>
    <x v="1"/>
  </r>
  <r>
    <n v="12"/>
    <n v="55"/>
    <x v="3"/>
    <s v="Male single"/>
    <x v="1"/>
    <x v="1"/>
    <n v="1"/>
    <x v="0"/>
    <s v="Unknown"/>
    <x v="0"/>
    <n v="2"/>
    <x v="0"/>
    <s v="No"/>
    <s v="no checking"/>
    <x v="2"/>
    <s v="&gt;=1000"/>
    <x v="2"/>
    <s v="skilled"/>
    <s v="Skilled"/>
    <x v="0"/>
    <s v="4&lt;=X&lt;7"/>
    <x v="2"/>
    <s v="existing paid"/>
    <x v="1"/>
    <n v="3"/>
    <n v="1"/>
    <n v="1413"/>
    <s v="No"/>
    <s v="None"/>
    <s v="None"/>
    <x v="2"/>
    <x v="2"/>
    <n v="12"/>
    <x v="1"/>
  </r>
  <r>
    <n v="13"/>
    <n v="35"/>
    <x v="0"/>
    <s v="Female Divorced with Dependents"/>
    <x v="0"/>
    <x v="0"/>
    <n v="1"/>
    <x v="0"/>
    <s v="Unknown"/>
    <x v="0"/>
    <n v="2"/>
    <x v="0"/>
    <s v="No"/>
    <s v="no checking"/>
    <x v="2"/>
    <s v="&gt;=1000"/>
    <x v="2"/>
    <s v="skilled"/>
    <s v="Skilled"/>
    <x v="0"/>
    <s v="4&lt;=X&lt;7"/>
    <x v="2"/>
    <s v="critical/Others existing credit"/>
    <x v="3"/>
    <n v="3"/>
    <n v="1"/>
    <n v="1592"/>
    <s v="No"/>
    <s v="None"/>
    <s v="None"/>
    <x v="1"/>
    <x v="2"/>
    <n v="12"/>
    <x v="1"/>
  </r>
  <r>
    <n v="14"/>
    <n v="39"/>
    <x v="2"/>
    <s v="Male single"/>
    <x v="1"/>
    <x v="1"/>
    <n v="2"/>
    <x v="0"/>
    <s v="Resident"/>
    <x v="1"/>
    <n v="2"/>
    <x v="2"/>
    <s v="No"/>
    <s v="&lt;0"/>
    <x v="1"/>
    <s v="&lt;100"/>
    <x v="0"/>
    <s v="unskilled resident"/>
    <s v="Unskilled"/>
    <x v="0"/>
    <s v="1&lt;=X&lt;4"/>
    <x v="0"/>
    <s v="critical/Others existing credit"/>
    <x v="3"/>
    <n v="3"/>
    <n v="2"/>
    <n v="2122"/>
    <s v="No"/>
    <s v="None"/>
    <s v="None"/>
    <x v="3"/>
    <x v="2"/>
    <n v="12"/>
    <x v="1"/>
  </r>
  <r>
    <n v="15"/>
    <n v="38"/>
    <x v="0"/>
    <s v="Male single"/>
    <x v="1"/>
    <x v="1"/>
    <n v="1"/>
    <x v="0"/>
    <s v="Resident"/>
    <x v="0"/>
    <n v="4"/>
    <x v="0"/>
    <s v="No"/>
    <s v="&lt;0"/>
    <x v="1"/>
    <s v="&lt;100"/>
    <x v="0"/>
    <s v="unskilled resident"/>
    <s v="Unskilled"/>
    <x v="0"/>
    <s v="1&lt;=X&lt;4"/>
    <x v="0"/>
    <s v="critical/Others existing credit"/>
    <x v="3"/>
    <n v="4"/>
    <n v="2"/>
    <n v="2171"/>
    <s v="No"/>
    <s v="None"/>
    <s v="Bank"/>
    <x v="3"/>
    <x v="2"/>
    <n v="12"/>
    <x v="1"/>
  </r>
  <r>
    <n v="16"/>
    <n v="32"/>
    <x v="0"/>
    <s v="Male single"/>
    <x v="1"/>
    <x v="1"/>
    <n v="2"/>
    <x v="0"/>
    <s v="Resident"/>
    <x v="0"/>
    <n v="4"/>
    <x v="2"/>
    <s v="No"/>
    <s v="no checking"/>
    <x v="2"/>
    <s v="&lt;100"/>
    <x v="0"/>
    <s v="unskilled resident"/>
    <s v="Unskilled"/>
    <x v="0"/>
    <s v="&gt;=7"/>
    <x v="3"/>
    <s v="critical/Others existing credit"/>
    <x v="3"/>
    <n v="3"/>
    <n v="2"/>
    <n v="1231"/>
    <s v="No"/>
    <s v="None"/>
    <s v="None"/>
    <x v="3"/>
    <x v="2"/>
    <n v="10"/>
    <x v="1"/>
  </r>
  <r>
    <n v="17"/>
    <n v="45"/>
    <x v="2"/>
    <s v="Male single"/>
    <x v="1"/>
    <x v="1"/>
    <n v="1"/>
    <x v="0"/>
    <s v="Resident"/>
    <x v="0"/>
    <n v="2"/>
    <x v="0"/>
    <s v="No"/>
    <s v="no checking"/>
    <x v="2"/>
    <s v="no known savings"/>
    <x v="1"/>
    <s v="unskilled resident"/>
    <s v="Unskilled"/>
    <x v="0"/>
    <s v="&gt;=7"/>
    <x v="3"/>
    <s v="existing paid"/>
    <x v="1"/>
    <n v="4"/>
    <n v="1"/>
    <n v="1287"/>
    <s v="co applicant"/>
    <s v="Co-applicant"/>
    <s v="None"/>
    <x v="3"/>
    <x v="2"/>
    <n v="10"/>
    <x v="1"/>
  </r>
  <r>
    <n v="18"/>
    <n v="35"/>
    <x v="0"/>
    <s v="Male single"/>
    <x v="1"/>
    <x v="1"/>
    <n v="1"/>
    <x v="0"/>
    <s v="Resident"/>
    <x v="1"/>
    <n v="2"/>
    <x v="2"/>
    <s v="No"/>
    <s v="no checking"/>
    <x v="2"/>
    <s v="100&lt;=X&lt;500"/>
    <x v="3"/>
    <s v="unskilled resident"/>
    <s v="Unskilled"/>
    <x v="0"/>
    <s v="1&lt;=X&lt;4"/>
    <x v="0"/>
    <s v="existing paid"/>
    <x v="1"/>
    <n v="3"/>
    <n v="1"/>
    <n v="1418"/>
    <s v="No"/>
    <s v="None"/>
    <s v="None"/>
    <x v="3"/>
    <x v="2"/>
    <n v="10"/>
    <x v="1"/>
  </r>
  <r>
    <n v="19"/>
    <n v="31"/>
    <x v="0"/>
    <s v="Male single"/>
    <x v="1"/>
    <x v="1"/>
    <n v="2"/>
    <x v="0"/>
    <s v="Resident"/>
    <x v="0"/>
    <n v="2"/>
    <x v="2"/>
    <s v="No"/>
    <s v="no checking"/>
    <x v="2"/>
    <s v="&lt;100"/>
    <x v="0"/>
    <s v="unskilled resident"/>
    <s v="Unskilled"/>
    <x v="0"/>
    <s v="1&lt;=X&lt;4"/>
    <x v="0"/>
    <s v="existing paid"/>
    <x v="1"/>
    <n v="3"/>
    <n v="1"/>
    <n v="1546"/>
    <s v="No"/>
    <s v="None"/>
    <s v="None"/>
    <x v="3"/>
    <x v="2"/>
    <n v="10"/>
    <x v="1"/>
  </r>
  <r>
    <n v="20"/>
    <n v="40"/>
    <x v="2"/>
    <s v="Male single"/>
    <x v="1"/>
    <x v="1"/>
    <n v="2"/>
    <x v="0"/>
    <s v="Resident"/>
    <x v="1"/>
    <n v="2"/>
    <x v="3"/>
    <s v="No"/>
    <s v="no checking"/>
    <x v="2"/>
    <s v="500&lt;=X&lt;1000"/>
    <x v="4"/>
    <s v="unskilled resident"/>
    <s v="Unskilled"/>
    <x v="0"/>
    <s v="1&lt;=X&lt;4"/>
    <x v="0"/>
    <s v="existing paid"/>
    <x v="1"/>
    <n v="3"/>
    <n v="1"/>
    <n v="1597"/>
    <s v="No"/>
    <s v="None"/>
    <s v="None"/>
    <x v="3"/>
    <x v="2"/>
    <n v="10"/>
    <x v="1"/>
  </r>
  <r>
    <n v="21"/>
    <n v="38"/>
    <x v="0"/>
    <s v="Male single"/>
    <x v="1"/>
    <x v="1"/>
    <n v="1"/>
    <x v="0"/>
    <s v="Unknown"/>
    <x v="0"/>
    <n v="4"/>
    <x v="0"/>
    <s v="Yes"/>
    <s v="no checking"/>
    <x v="2"/>
    <s v="&lt;100"/>
    <x v="0"/>
    <s v="skilled"/>
    <s v="Skilled"/>
    <x v="0"/>
    <s v="1&lt;=X&lt;4"/>
    <x v="0"/>
    <s v="existing paid"/>
    <x v="1"/>
    <n v="1"/>
    <n v="1"/>
    <n v="1924"/>
    <s v="No"/>
    <s v="None"/>
    <s v="None"/>
    <x v="4"/>
    <x v="2"/>
    <n v="10"/>
    <x v="1"/>
  </r>
  <r>
    <n v="22"/>
    <n v="26"/>
    <x v="1"/>
    <s v="Male Married/Widowed"/>
    <x v="1"/>
    <x v="2"/>
    <n v="1"/>
    <x v="0"/>
    <s v="Unknown"/>
    <x v="0"/>
    <n v="1"/>
    <x v="1"/>
    <s v="No"/>
    <s v="no checking"/>
    <x v="2"/>
    <s v="no known savings"/>
    <x v="1"/>
    <s v="skilled"/>
    <s v="Skilled"/>
    <x v="0"/>
    <s v="1&lt;=X&lt;4"/>
    <x v="0"/>
    <s v="critical/Others existing credit"/>
    <x v="3"/>
    <n v="2"/>
    <n v="2"/>
    <n v="2069"/>
    <s v="No"/>
    <s v="None"/>
    <s v="None"/>
    <x v="1"/>
    <x v="2"/>
    <n v="10"/>
    <x v="1"/>
  </r>
  <r>
    <n v="23"/>
    <n v="27"/>
    <x v="1"/>
    <s v="Female Divorced with Dependents"/>
    <x v="0"/>
    <x v="0"/>
    <n v="1"/>
    <x v="0"/>
    <s v="Unknown"/>
    <x v="1"/>
    <n v="3"/>
    <x v="2"/>
    <s v="No"/>
    <s v="&lt;0"/>
    <x v="1"/>
    <s v="no known savings"/>
    <x v="1"/>
    <s v="skilled"/>
    <s v="Skilled"/>
    <x v="0"/>
    <s v="&lt;1"/>
    <x v="1"/>
    <s v="critical/Others existing credit"/>
    <x v="3"/>
    <n v="2"/>
    <n v="2"/>
    <n v="2132"/>
    <s v="co applicant"/>
    <s v="Co-applicant"/>
    <s v="None"/>
    <x v="1"/>
    <x v="2"/>
    <n v="10"/>
    <x v="1"/>
  </r>
  <r>
    <n v="24"/>
    <n v="48"/>
    <x v="2"/>
    <s v="Male single"/>
    <x v="1"/>
    <x v="1"/>
    <n v="2"/>
    <x v="0"/>
    <s v="Resident"/>
    <x v="1"/>
    <n v="3"/>
    <x v="2"/>
    <s v="No"/>
    <s v="&lt;0"/>
    <x v="1"/>
    <s v="&lt;100"/>
    <x v="0"/>
    <s v="unskilled resident"/>
    <s v="Unskilled"/>
    <x v="0"/>
    <s v="&lt;1"/>
    <x v="1"/>
    <s v="critical/Others existing credit"/>
    <x v="3"/>
    <n v="1"/>
    <n v="2"/>
    <n v="2241"/>
    <s v="No"/>
    <s v="None"/>
    <s v="None"/>
    <x v="3"/>
    <x v="2"/>
    <n v="10"/>
    <x v="1"/>
  </r>
  <r>
    <n v="25"/>
    <n v="29"/>
    <x v="0"/>
    <s v="Female Divorced with Dependents"/>
    <x v="0"/>
    <x v="0"/>
    <n v="1"/>
    <x v="0"/>
    <s v="Unknown"/>
    <x v="0"/>
    <n v="2"/>
    <x v="1"/>
    <s v="No"/>
    <s v="0&lt;=X&lt;200"/>
    <x v="0"/>
    <s v="&lt;100"/>
    <x v="0"/>
    <s v="skilled"/>
    <s v="Skilled"/>
    <x v="0"/>
    <s v="1&lt;=X&lt;4"/>
    <x v="0"/>
    <s v="existing paid"/>
    <x v="1"/>
    <n v="1"/>
    <n v="1"/>
    <n v="959"/>
    <s v="No"/>
    <s v="None"/>
    <s v="None"/>
    <x v="1"/>
    <x v="2"/>
    <n v="9"/>
    <x v="0"/>
  </r>
  <r>
    <n v="26"/>
    <n v="48"/>
    <x v="2"/>
    <s v="Male single"/>
    <x v="1"/>
    <x v="1"/>
    <n v="2"/>
    <x v="0"/>
    <s v="Unknown"/>
    <x v="0"/>
    <n v="4"/>
    <x v="2"/>
    <s v="No"/>
    <s v="&lt;0"/>
    <x v="1"/>
    <s v="100&lt;=X&lt;500"/>
    <x v="3"/>
    <s v="skilled"/>
    <s v="Skilled"/>
    <x v="0"/>
    <s v="&gt;=7"/>
    <x v="3"/>
    <s v="critical/Others existing credit"/>
    <x v="3"/>
    <n v="3"/>
    <n v="2"/>
    <n v="1288"/>
    <s v="guarantor"/>
    <s v="Guarantor"/>
    <s v="None"/>
    <x v="6"/>
    <x v="2"/>
    <n v="9"/>
    <x v="1"/>
  </r>
  <r>
    <n v="27"/>
    <n v="26"/>
    <x v="1"/>
    <s v="Male single"/>
    <x v="1"/>
    <x v="1"/>
    <n v="2"/>
    <x v="0"/>
    <s v="Unknown"/>
    <x v="1"/>
    <n v="2"/>
    <x v="2"/>
    <s v="No"/>
    <s v="no checking"/>
    <x v="2"/>
    <s v="100&lt;=X&lt;500"/>
    <x v="3"/>
    <s v="skilled"/>
    <s v="Skilled"/>
    <x v="0"/>
    <s v="1&lt;=X&lt;4"/>
    <x v="0"/>
    <s v="existing paid"/>
    <x v="1"/>
    <n v="1"/>
    <n v="1"/>
    <n v="3577"/>
    <s v="guarantor"/>
    <s v="Guarantor"/>
    <s v="None"/>
    <x v="3"/>
    <x v="2"/>
    <n v="9"/>
    <x v="1"/>
  </r>
  <r>
    <n v="28"/>
    <n v="33"/>
    <x v="0"/>
    <s v="Male single"/>
    <x v="1"/>
    <x v="1"/>
    <n v="1"/>
    <x v="0"/>
    <s v="Unknown"/>
    <x v="0"/>
    <n v="2"/>
    <x v="2"/>
    <s v="No"/>
    <s v="0&lt;=X&lt;200"/>
    <x v="0"/>
    <s v="&lt;100"/>
    <x v="0"/>
    <s v="skilled"/>
    <s v="Skilled"/>
    <x v="0"/>
    <s v="1&lt;=X&lt;4"/>
    <x v="0"/>
    <s v="existing paid"/>
    <x v="1"/>
    <n v="4"/>
    <n v="1"/>
    <n v="1414"/>
    <s v="guarantor"/>
    <s v="Guarantor"/>
    <s v="None"/>
    <x v="4"/>
    <x v="2"/>
    <n v="8"/>
    <x v="1"/>
  </r>
  <r>
    <n v="29"/>
    <n v="39"/>
    <x v="2"/>
    <s v="Male single"/>
    <x v="1"/>
    <x v="1"/>
    <n v="1"/>
    <x v="0"/>
    <s v="Resident"/>
    <x v="0"/>
    <n v="4"/>
    <x v="2"/>
    <s v="No"/>
    <s v="&lt;0"/>
    <x v="1"/>
    <s v="&lt;100"/>
    <x v="0"/>
    <s v="unskilled resident"/>
    <s v="Unskilled"/>
    <x v="0"/>
    <s v="4&lt;=X&lt;7"/>
    <x v="2"/>
    <s v="critical/Others existing credit"/>
    <x v="3"/>
    <n v="1"/>
    <n v="2"/>
    <n v="3398"/>
    <s v="No"/>
    <s v="None"/>
    <s v="None"/>
    <x v="3"/>
    <x v="2"/>
    <n v="8"/>
    <x v="1"/>
  </r>
  <r>
    <n v="30"/>
    <n v="26"/>
    <x v="1"/>
    <s v="Male Married/Widowed"/>
    <x v="1"/>
    <x v="2"/>
    <n v="1"/>
    <x v="0"/>
    <s v="Resident"/>
    <x v="0"/>
    <n v="3"/>
    <x v="2"/>
    <s v="No"/>
    <s v="0&lt;=X&lt;200"/>
    <x v="0"/>
    <s v="&lt;100"/>
    <x v="0"/>
    <s v="unskilled resident"/>
    <s v="Unskilled"/>
    <x v="0"/>
    <s v="&lt;1"/>
    <x v="1"/>
    <s v="existing paid"/>
    <x v="1"/>
    <n v="3"/>
    <n v="1"/>
    <n v="590"/>
    <s v="No"/>
    <s v="None"/>
    <s v="None"/>
    <x v="4"/>
    <x v="2"/>
    <n v="6"/>
    <x v="1"/>
  </r>
  <r>
    <n v="31"/>
    <n v="37"/>
    <x v="0"/>
    <s v="Female Divorced with Dependents"/>
    <x v="0"/>
    <x v="0"/>
    <n v="1"/>
    <x v="0"/>
    <s v="Unknown"/>
    <x v="0"/>
    <n v="3"/>
    <x v="0"/>
    <s v="No"/>
    <s v="&lt;0"/>
    <x v="1"/>
    <s v="&lt;100"/>
    <x v="0"/>
    <s v="skilled"/>
    <s v="Skilled"/>
    <x v="0"/>
    <s v="4&lt;=X&lt;7"/>
    <x v="2"/>
    <s v="critical/Others existing credit"/>
    <x v="3"/>
    <n v="4"/>
    <n v="2"/>
    <n v="609"/>
    <s v="No"/>
    <s v="None"/>
    <s v="None"/>
    <x v="3"/>
    <x v="2"/>
    <n v="6"/>
    <x v="1"/>
  </r>
  <r>
    <n v="32"/>
    <n v="27"/>
    <x v="1"/>
    <s v="Male Married/Widowed"/>
    <x v="1"/>
    <x v="2"/>
    <n v="1"/>
    <x v="0"/>
    <s v="Non-resident"/>
    <x v="0"/>
    <n v="2"/>
    <x v="2"/>
    <s v="No"/>
    <s v="&gt;=200"/>
    <x v="3"/>
    <s v="&gt;=1000"/>
    <x v="2"/>
    <s v="unemp/unskilled non res"/>
    <s v="Unskilled"/>
    <x v="1"/>
    <s v="&lt;1"/>
    <x v="1"/>
    <s v="existing paid"/>
    <x v="1"/>
    <n v="2"/>
    <n v="1"/>
    <n v="709"/>
    <s v="No"/>
    <s v="None"/>
    <s v="None"/>
    <x v="3"/>
    <x v="2"/>
    <n v="6"/>
    <x v="1"/>
  </r>
  <r>
    <n v="33"/>
    <n v="35"/>
    <x v="0"/>
    <s v="Male single"/>
    <x v="1"/>
    <x v="1"/>
    <n v="1"/>
    <x v="0"/>
    <s v="Unknown"/>
    <x v="1"/>
    <n v="1"/>
    <x v="3"/>
    <s v="No"/>
    <s v="no checking"/>
    <x v="2"/>
    <s v="100&lt;=X&lt;500"/>
    <x v="3"/>
    <s v="skilled"/>
    <s v="Skilled"/>
    <x v="0"/>
    <s v="1&lt;=X&lt;4"/>
    <x v="0"/>
    <s v="no credits/all paid"/>
    <x v="0"/>
    <n v="4"/>
    <n v="1"/>
    <n v="1204"/>
    <s v="No"/>
    <s v="None"/>
    <s v="Bank"/>
    <x v="3"/>
    <x v="2"/>
    <n v="6"/>
    <x v="1"/>
  </r>
  <r>
    <n v="34"/>
    <n v="74"/>
    <x v="4"/>
    <s v="Male single"/>
    <x v="1"/>
    <x v="1"/>
    <n v="2"/>
    <x v="0"/>
    <s v="Non-resident"/>
    <x v="0"/>
    <n v="1"/>
    <x v="2"/>
    <s v="No"/>
    <s v="&gt;=200"/>
    <x v="3"/>
    <s v="&lt;100"/>
    <x v="0"/>
    <s v="unemp/unskilled non res"/>
    <s v="Unskilled"/>
    <x v="1"/>
    <s v="1&lt;=X&lt;4"/>
    <x v="0"/>
    <s v="critical/Others existing credit"/>
    <x v="3"/>
    <n v="1"/>
    <n v="3"/>
    <n v="1299"/>
    <s v="No"/>
    <s v="None"/>
    <s v="None"/>
    <x v="3"/>
    <x v="2"/>
    <n v="6"/>
    <x v="1"/>
  </r>
  <r>
    <n v="35"/>
    <n v="46"/>
    <x v="2"/>
    <s v="Male single"/>
    <x v="1"/>
    <x v="1"/>
    <n v="2"/>
    <x v="0"/>
    <s v="Unknown"/>
    <x v="0"/>
    <n v="4"/>
    <x v="2"/>
    <s v="No"/>
    <s v="&gt;=200"/>
    <x v="3"/>
    <s v="&lt;100"/>
    <x v="0"/>
    <s v="skilled"/>
    <s v="Skilled"/>
    <x v="0"/>
    <s v="&gt;=7"/>
    <x v="3"/>
    <s v="critical/Others existing credit"/>
    <x v="3"/>
    <n v="1"/>
    <n v="2"/>
    <n v="1343"/>
    <s v="No"/>
    <s v="None"/>
    <s v="None"/>
    <x v="3"/>
    <x v="2"/>
    <n v="6"/>
    <x v="1"/>
  </r>
  <r>
    <n v="36"/>
    <n v="40"/>
    <x v="2"/>
    <s v="Male single"/>
    <x v="1"/>
    <x v="1"/>
    <n v="2"/>
    <x v="0"/>
    <s v="Resident"/>
    <x v="0"/>
    <n v="4"/>
    <x v="2"/>
    <s v="No"/>
    <s v="&lt;0"/>
    <x v="1"/>
    <s v="&lt;100"/>
    <x v="0"/>
    <s v="unskilled resident"/>
    <s v="Unskilled"/>
    <x v="0"/>
    <s v="&lt;1"/>
    <x v="1"/>
    <s v="critical/Others existing credit"/>
    <x v="3"/>
    <n v="2"/>
    <n v="1"/>
    <n v="1361"/>
    <s v="No"/>
    <s v="None"/>
    <s v="None"/>
    <x v="3"/>
    <x v="2"/>
    <n v="6"/>
    <x v="1"/>
  </r>
  <r>
    <n v="37"/>
    <n v="29"/>
    <x v="0"/>
    <s v="Male single"/>
    <x v="1"/>
    <x v="1"/>
    <n v="2"/>
    <x v="0"/>
    <s v="Resident"/>
    <x v="0"/>
    <n v="2"/>
    <x v="2"/>
    <s v="No"/>
    <s v="&gt;=200"/>
    <x v="3"/>
    <s v="no known savings"/>
    <x v="1"/>
    <s v="unskilled resident"/>
    <s v="Unskilled"/>
    <x v="0"/>
    <s v="&lt;1"/>
    <x v="1"/>
    <s v="existing paid"/>
    <x v="1"/>
    <n v="1"/>
    <n v="1"/>
    <n v="1494"/>
    <s v="No"/>
    <s v="None"/>
    <s v="None"/>
    <x v="3"/>
    <x v="2"/>
    <n v="4"/>
    <x v="1"/>
  </r>
  <r>
    <n v="38"/>
    <n v="24"/>
    <x v="1"/>
    <s v="Male Married/Widowed"/>
    <x v="1"/>
    <x v="2"/>
    <n v="1"/>
    <x v="1"/>
    <s v="Unknown"/>
    <x v="0"/>
    <n v="2"/>
    <x v="1"/>
    <s v="No"/>
    <s v="0&lt;=X&lt;200"/>
    <x v="0"/>
    <s v="100&lt;=X&lt;500"/>
    <x v="3"/>
    <s v="skilled"/>
    <s v="Skilled"/>
    <x v="0"/>
    <s v="1&lt;=X&lt;4"/>
    <x v="0"/>
    <s v="existing paid"/>
    <x v="1"/>
    <n v="2"/>
    <n v="1"/>
    <n v="5595"/>
    <s v="No"/>
    <s v="None"/>
    <s v="None"/>
    <x v="4"/>
    <x v="3"/>
    <n v="72"/>
    <x v="0"/>
  </r>
  <r>
    <n v="39"/>
    <n v="42"/>
    <x v="2"/>
    <s v="Male single"/>
    <x v="1"/>
    <x v="1"/>
    <n v="1"/>
    <x v="1"/>
    <s v="Unknown"/>
    <x v="2"/>
    <n v="4"/>
    <x v="3"/>
    <s v="No"/>
    <s v="0&lt;=X&lt;200"/>
    <x v="0"/>
    <s v="&lt;100"/>
    <x v="0"/>
    <s v="skilled"/>
    <s v="Skilled"/>
    <x v="0"/>
    <s v="1&lt;=X&lt;4"/>
    <x v="0"/>
    <s v="existing paid"/>
    <x v="1"/>
    <n v="4"/>
    <n v="1"/>
    <n v="6288"/>
    <s v="No"/>
    <s v="None"/>
    <s v="None"/>
    <x v="7"/>
    <x v="3"/>
    <n v="60"/>
    <x v="0"/>
  </r>
  <r>
    <n v="40"/>
    <n v="34"/>
    <x v="0"/>
    <s v="Male single"/>
    <x v="1"/>
    <x v="1"/>
    <n v="2"/>
    <x v="1"/>
    <s v="Unknown"/>
    <x v="2"/>
    <n v="4"/>
    <x v="3"/>
    <s v="Yes"/>
    <s v="no checking"/>
    <x v="2"/>
    <s v="no known savings"/>
    <x v="1"/>
    <s v="skilled"/>
    <s v="Skilled"/>
    <x v="0"/>
    <s v="1&lt;=X&lt;4"/>
    <x v="0"/>
    <s v="existing paid"/>
    <x v="1"/>
    <n v="4"/>
    <n v="1"/>
    <n v="6527"/>
    <s v="No"/>
    <s v="None"/>
    <s v="None"/>
    <x v="3"/>
    <x v="3"/>
    <n v="60"/>
    <x v="1"/>
  </r>
  <r>
    <n v="41"/>
    <n v="63"/>
    <x v="5"/>
    <s v="Male single"/>
    <x v="1"/>
    <x v="1"/>
    <n v="1"/>
    <x v="1"/>
    <s v="Unknown"/>
    <x v="0"/>
    <n v="4"/>
    <x v="3"/>
    <s v="Yes"/>
    <s v="&lt;0"/>
    <x v="1"/>
    <s v="&lt;100"/>
    <x v="0"/>
    <s v="skilled"/>
    <s v="Skilled"/>
    <x v="0"/>
    <s v="&gt;=7"/>
    <x v="3"/>
    <s v="delayed previously"/>
    <x v="4"/>
    <n v="3"/>
    <n v="2"/>
    <n v="6836"/>
    <s v="No"/>
    <s v="None"/>
    <s v="None"/>
    <x v="5"/>
    <x v="3"/>
    <n v="60"/>
    <x v="0"/>
  </r>
  <r>
    <n v="42"/>
    <n v="36"/>
    <x v="0"/>
    <s v="Male single"/>
    <x v="1"/>
    <x v="1"/>
    <n v="1"/>
    <x v="1"/>
    <s v="Unknown"/>
    <x v="1"/>
    <n v="4"/>
    <x v="3"/>
    <s v="No"/>
    <s v="&lt;0"/>
    <x v="1"/>
    <s v="&lt;100"/>
    <x v="0"/>
    <s v="skilled"/>
    <s v="Skilled"/>
    <x v="0"/>
    <s v="&gt;=7"/>
    <x v="3"/>
    <s v="existing paid"/>
    <x v="1"/>
    <n v="4"/>
    <n v="1"/>
    <n v="7297"/>
    <s v="co applicant"/>
    <s v="Co-applicant"/>
    <s v="None"/>
    <x v="5"/>
    <x v="3"/>
    <n v="60"/>
    <x v="0"/>
  </r>
  <r>
    <n v="43"/>
    <n v="24"/>
    <x v="1"/>
    <s v="Female Divorced with Dependents"/>
    <x v="0"/>
    <x v="0"/>
    <n v="1"/>
    <x v="1"/>
    <s v="Unknown"/>
    <x v="0"/>
    <n v="2"/>
    <x v="0"/>
    <s v="No"/>
    <s v="0&lt;=X&lt;200"/>
    <x v="0"/>
    <s v="100&lt;=X&lt;500"/>
    <x v="3"/>
    <s v="high qualif/self emp/mgmt"/>
    <s v="Skilled"/>
    <x v="0"/>
    <s v="&lt;1"/>
    <x v="1"/>
    <s v="existing paid"/>
    <x v="1"/>
    <n v="4"/>
    <n v="1"/>
    <n v="7408"/>
    <s v="No"/>
    <s v="None"/>
    <s v="None"/>
    <x v="3"/>
    <x v="3"/>
    <n v="60"/>
    <x v="0"/>
  </r>
  <r>
    <n v="44"/>
    <n v="27"/>
    <x v="1"/>
    <s v="Male single"/>
    <x v="1"/>
    <x v="1"/>
    <n v="1"/>
    <x v="1"/>
    <s v="Resident"/>
    <x v="0"/>
    <n v="1"/>
    <x v="2"/>
    <s v="No"/>
    <s v="0&lt;=X&lt;200"/>
    <x v="0"/>
    <s v="no known savings"/>
    <x v="1"/>
    <s v="unskilled resident"/>
    <s v="Unskilled"/>
    <x v="0"/>
    <s v="1&lt;=X&lt;4"/>
    <x v="0"/>
    <s v="delayed previously"/>
    <x v="4"/>
    <n v="1"/>
    <n v="1"/>
    <n v="7418"/>
    <s v="No"/>
    <s v="None"/>
    <s v="None"/>
    <x v="4"/>
    <x v="3"/>
    <n v="60"/>
    <x v="1"/>
  </r>
  <r>
    <n v="45"/>
    <n v="27"/>
    <x v="1"/>
    <s v="Male single"/>
    <x v="1"/>
    <x v="1"/>
    <n v="1"/>
    <x v="1"/>
    <s v="Unknown"/>
    <x v="2"/>
    <n v="2"/>
    <x v="3"/>
    <s v="No"/>
    <s v="0&lt;=X&lt;200"/>
    <x v="0"/>
    <s v="no known savings"/>
    <x v="1"/>
    <s v="high qualif/self emp/mgmt"/>
    <s v="Skilled"/>
    <x v="0"/>
    <s v="1&lt;=X&lt;4"/>
    <x v="0"/>
    <s v="delayed previously"/>
    <x v="4"/>
    <n v="2"/>
    <n v="1"/>
    <n v="9157"/>
    <s v="No"/>
    <s v="None"/>
    <s v="None"/>
    <x v="4"/>
    <x v="3"/>
    <n v="60"/>
    <x v="1"/>
  </r>
  <r>
    <n v="46"/>
    <n v="21"/>
    <x v="1"/>
    <s v="Female Divorced with Dependents"/>
    <x v="0"/>
    <x v="0"/>
    <n v="1"/>
    <x v="1"/>
    <s v="Unknown"/>
    <x v="0"/>
    <n v="4"/>
    <x v="2"/>
    <s v="Yes"/>
    <s v="no checking"/>
    <x v="2"/>
    <s v="100&lt;=X&lt;500"/>
    <x v="3"/>
    <s v="skilled"/>
    <s v="Skilled"/>
    <x v="0"/>
    <s v="4&lt;=X&lt;7"/>
    <x v="2"/>
    <s v="existing paid"/>
    <x v="1"/>
    <n v="2"/>
    <n v="1"/>
    <n v="10144"/>
    <s v="No"/>
    <s v="None"/>
    <s v="None"/>
    <x v="4"/>
    <x v="3"/>
    <n v="60"/>
    <x v="1"/>
  </r>
  <r>
    <n v="47"/>
    <n v="42"/>
    <x v="2"/>
    <s v="Male single"/>
    <x v="1"/>
    <x v="1"/>
    <n v="1"/>
    <x v="1"/>
    <s v="Unknown"/>
    <x v="0"/>
    <n v="4"/>
    <x v="0"/>
    <s v="Yes"/>
    <s v="no checking"/>
    <x v="2"/>
    <s v="&lt;100"/>
    <x v="0"/>
    <s v="high qualif/self emp/mgmt"/>
    <s v="Skilled"/>
    <x v="0"/>
    <s v="&gt;=7"/>
    <x v="3"/>
    <s v="existing paid"/>
    <x v="1"/>
    <n v="2"/>
    <n v="1"/>
    <n v="10366"/>
    <s v="No"/>
    <s v="None"/>
    <s v="None"/>
    <x v="3"/>
    <x v="3"/>
    <n v="60"/>
    <x v="1"/>
  </r>
  <r>
    <n v="48"/>
    <n v="63"/>
    <x v="5"/>
    <s v="Male single"/>
    <x v="1"/>
    <x v="1"/>
    <n v="1"/>
    <x v="1"/>
    <s v="Unknown"/>
    <x v="2"/>
    <n v="4"/>
    <x v="3"/>
    <s v="Yes"/>
    <s v="no checking"/>
    <x v="2"/>
    <s v="no known savings"/>
    <x v="1"/>
    <s v="high qualif/self emp/mgmt"/>
    <s v="Skilled"/>
    <x v="0"/>
    <s v="&gt;=7"/>
    <x v="3"/>
    <s v="critical/Others existing credit"/>
    <x v="3"/>
    <n v="2"/>
    <n v="1"/>
    <n v="13756"/>
    <s v="No"/>
    <s v="None"/>
    <s v="Bank"/>
    <x v="3"/>
    <x v="3"/>
    <n v="60"/>
    <x v="1"/>
  </r>
  <r>
    <n v="49"/>
    <n v="27"/>
    <x v="1"/>
    <s v="Male single"/>
    <x v="1"/>
    <x v="1"/>
    <n v="1"/>
    <x v="1"/>
    <s v="Unknown"/>
    <x v="0"/>
    <n v="2"/>
    <x v="3"/>
    <s v="Yes"/>
    <s v="0&lt;=X&lt;200"/>
    <x v="0"/>
    <s v="&lt;100"/>
    <x v="0"/>
    <s v="high qualif/self emp/mgmt"/>
    <s v="Skilled"/>
    <x v="0"/>
    <s v="4&lt;=X&lt;7"/>
    <x v="2"/>
    <s v="existing paid"/>
    <x v="1"/>
    <n v="4"/>
    <n v="1"/>
    <n v="14027"/>
    <s v="No"/>
    <s v="None"/>
    <s v="None"/>
    <x v="3"/>
    <x v="3"/>
    <n v="60"/>
    <x v="0"/>
  </r>
  <r>
    <n v="50"/>
    <n v="60"/>
    <x v="5"/>
    <s v="Female Divorced with Dependents"/>
    <x v="0"/>
    <x v="0"/>
    <n v="1"/>
    <x v="1"/>
    <s v="Unknown"/>
    <x v="2"/>
    <n v="4"/>
    <x v="3"/>
    <s v="Yes"/>
    <s v="0&lt;=X&lt;200"/>
    <x v="0"/>
    <s v="100&lt;=X&lt;500"/>
    <x v="3"/>
    <s v="high qualif/self emp/mgmt"/>
    <s v="Skilled"/>
    <x v="0"/>
    <s v="&gt;=7"/>
    <x v="3"/>
    <s v="all paid"/>
    <x v="2"/>
    <n v="3"/>
    <n v="2"/>
    <n v="14782"/>
    <s v="No"/>
    <s v="None"/>
    <s v="Bank"/>
    <x v="0"/>
    <x v="3"/>
    <n v="60"/>
    <x v="0"/>
  </r>
  <r>
    <n v="51"/>
    <n v="21"/>
    <x v="1"/>
    <s v="Male single"/>
    <x v="1"/>
    <x v="1"/>
    <n v="1"/>
    <x v="1"/>
    <s v="Unknown"/>
    <x v="0"/>
    <n v="4"/>
    <x v="1"/>
    <s v="Yes"/>
    <s v="no checking"/>
    <x v="2"/>
    <s v="&lt;100"/>
    <x v="0"/>
    <s v="skilled"/>
    <s v="Skilled"/>
    <x v="0"/>
    <s v="4&lt;=X&lt;7"/>
    <x v="2"/>
    <s v="delayed previously"/>
    <x v="4"/>
    <n v="2"/>
    <n v="2"/>
    <n v="15653"/>
    <s v="No"/>
    <s v="None"/>
    <s v="None"/>
    <x v="4"/>
    <x v="3"/>
    <n v="60"/>
    <x v="1"/>
  </r>
  <r>
    <n v="52"/>
    <n v="39"/>
    <x v="2"/>
    <s v="Male single"/>
    <x v="1"/>
    <x v="1"/>
    <n v="2"/>
    <x v="1"/>
    <s v="Resident"/>
    <x v="0"/>
    <n v="2"/>
    <x v="0"/>
    <s v="No"/>
    <s v="no checking"/>
    <x v="2"/>
    <s v="no known savings"/>
    <x v="1"/>
    <s v="unskilled resident"/>
    <s v="Unskilled"/>
    <x v="0"/>
    <s v="1&lt;=X&lt;4"/>
    <x v="0"/>
    <s v="no credits/all paid"/>
    <x v="0"/>
    <n v="2"/>
    <n v="1"/>
    <n v="9436"/>
    <s v="No"/>
    <s v="None"/>
    <s v="None"/>
    <x v="2"/>
    <x v="4"/>
    <n v="54"/>
    <x v="1"/>
  </r>
  <r>
    <n v="53"/>
    <n v="58"/>
    <x v="3"/>
    <s v="Male single"/>
    <x v="1"/>
    <x v="1"/>
    <n v="1"/>
    <x v="1"/>
    <s v="Unknown"/>
    <x v="1"/>
    <n v="4"/>
    <x v="3"/>
    <s v="Yes"/>
    <s v="0&lt;=X&lt;200"/>
    <x v="0"/>
    <s v="&lt;100"/>
    <x v="0"/>
    <s v="skilled"/>
    <s v="Skilled"/>
    <x v="0"/>
    <s v="&lt;1"/>
    <x v="1"/>
    <s v="no credits/all paid"/>
    <x v="0"/>
    <n v="3"/>
    <n v="1"/>
    <n v="15945"/>
    <s v="No"/>
    <s v="None"/>
    <s v="None"/>
    <x v="5"/>
    <x v="4"/>
    <n v="54"/>
    <x v="0"/>
  </r>
  <r>
    <n v="54"/>
    <n v="38"/>
    <x v="0"/>
    <s v="Male single"/>
    <x v="1"/>
    <x v="1"/>
    <n v="2"/>
    <x v="1"/>
    <s v="Unknown"/>
    <x v="0"/>
    <n v="3"/>
    <x v="1"/>
    <s v="Yes"/>
    <s v="no checking"/>
    <x v="2"/>
    <s v="no known savings"/>
    <x v="1"/>
    <s v="skilled"/>
    <s v="Skilled"/>
    <x v="0"/>
    <s v="&gt;=7"/>
    <x v="3"/>
    <s v="critical/Others existing credit"/>
    <x v="3"/>
    <n v="4"/>
    <n v="2"/>
    <n v="2751"/>
    <s v="No"/>
    <s v="None"/>
    <s v="None"/>
    <x v="2"/>
    <x v="0"/>
    <n v="48"/>
    <x v="1"/>
  </r>
  <r>
    <n v="55"/>
    <n v="54"/>
    <x v="3"/>
    <s v="Male single"/>
    <x v="1"/>
    <x v="1"/>
    <n v="1"/>
    <x v="1"/>
    <s v="Unknown"/>
    <x v="0"/>
    <n v="4"/>
    <x v="1"/>
    <s v="No"/>
    <s v="&lt;0"/>
    <x v="1"/>
    <s v="&lt;100"/>
    <x v="0"/>
    <s v="skilled"/>
    <s v="Skilled"/>
    <x v="0"/>
    <s v="1&lt;=X&lt;4"/>
    <x v="0"/>
    <s v="existing paid"/>
    <x v="1"/>
    <n v="3"/>
    <n v="1"/>
    <n v="3051"/>
    <s v="No"/>
    <s v="None"/>
    <s v="None"/>
    <x v="8"/>
    <x v="0"/>
    <n v="48"/>
    <x v="0"/>
  </r>
  <r>
    <n v="56"/>
    <n v="28"/>
    <x v="1"/>
    <s v="Male single"/>
    <x v="1"/>
    <x v="1"/>
    <n v="1"/>
    <x v="1"/>
    <s v="Unknown"/>
    <x v="0"/>
    <n v="4"/>
    <x v="2"/>
    <s v="No"/>
    <s v="0&lt;=X&lt;200"/>
    <x v="0"/>
    <s v="&lt;100"/>
    <x v="0"/>
    <s v="skilled"/>
    <s v="Skilled"/>
    <x v="0"/>
    <s v="4&lt;=X&lt;7"/>
    <x v="2"/>
    <s v="existing paid"/>
    <x v="1"/>
    <n v="4"/>
    <n v="2"/>
    <n v="3060"/>
    <s v="No"/>
    <s v="None"/>
    <s v="None"/>
    <x v="4"/>
    <x v="0"/>
    <n v="48"/>
    <x v="0"/>
  </r>
  <r>
    <n v="57"/>
    <n v="30"/>
    <x v="0"/>
    <s v="Male single"/>
    <x v="1"/>
    <x v="1"/>
    <n v="1"/>
    <x v="1"/>
    <s v="Unknown"/>
    <x v="0"/>
    <n v="2"/>
    <x v="1"/>
    <s v="No"/>
    <s v="0&lt;=X&lt;200"/>
    <x v="0"/>
    <s v="100&lt;=X&lt;500"/>
    <x v="3"/>
    <s v="skilled"/>
    <s v="Skilled"/>
    <x v="0"/>
    <s v="4&lt;=X&lt;7"/>
    <x v="2"/>
    <s v="all paid"/>
    <x v="2"/>
    <n v="4"/>
    <n v="1"/>
    <n v="3566"/>
    <s v="No"/>
    <s v="None"/>
    <s v="None"/>
    <x v="5"/>
    <x v="0"/>
    <n v="48"/>
    <x v="1"/>
  </r>
  <r>
    <n v="58"/>
    <n v="47"/>
    <x v="2"/>
    <s v="Male single"/>
    <x v="1"/>
    <x v="1"/>
    <n v="1"/>
    <x v="1"/>
    <s v="Unknown"/>
    <x v="0"/>
    <n v="1"/>
    <x v="2"/>
    <s v="Yes"/>
    <s v="no checking"/>
    <x v="2"/>
    <s v="no known savings"/>
    <x v="1"/>
    <s v="skilled"/>
    <s v="Skilled"/>
    <x v="0"/>
    <s v="&gt;=7"/>
    <x v="3"/>
    <s v="critical/Others existing credit"/>
    <x v="3"/>
    <n v="4"/>
    <n v="1"/>
    <n v="3578"/>
    <s v="No"/>
    <s v="None"/>
    <s v="None"/>
    <x v="4"/>
    <x v="0"/>
    <n v="48"/>
    <x v="1"/>
  </r>
  <r>
    <n v="59"/>
    <n v="27"/>
    <x v="1"/>
    <s v="Female Divorced with Dependents"/>
    <x v="0"/>
    <x v="0"/>
    <n v="1"/>
    <x v="1"/>
    <s v="Unknown"/>
    <x v="0"/>
    <n v="1"/>
    <x v="2"/>
    <s v="No"/>
    <s v="no checking"/>
    <x v="2"/>
    <s v="&lt;100"/>
    <x v="0"/>
    <s v="skilled"/>
    <s v="Skilled"/>
    <x v="0"/>
    <s v="1&lt;=X&lt;4"/>
    <x v="0"/>
    <s v="all paid"/>
    <x v="2"/>
    <n v="1"/>
    <n v="1"/>
    <n v="3609"/>
    <s v="No"/>
    <s v="None"/>
    <s v="Store"/>
    <x v="5"/>
    <x v="0"/>
    <n v="48"/>
    <x v="1"/>
  </r>
  <r>
    <n v="60"/>
    <n v="34"/>
    <x v="0"/>
    <s v="Male single"/>
    <x v="1"/>
    <x v="1"/>
    <n v="2"/>
    <x v="1"/>
    <s v="Resident"/>
    <x v="2"/>
    <n v="4"/>
    <x v="3"/>
    <s v="No"/>
    <s v="0&lt;=X&lt;200"/>
    <x v="0"/>
    <s v="100&lt;=X&lt;500"/>
    <x v="3"/>
    <s v="unskilled resident"/>
    <s v="Unskilled"/>
    <x v="0"/>
    <s v="4&lt;=X&lt;7"/>
    <x v="2"/>
    <s v="no credits/all paid"/>
    <x v="0"/>
    <n v="4"/>
    <n v="1"/>
    <n v="3844"/>
    <s v="No"/>
    <s v="None"/>
    <s v="None"/>
    <x v="5"/>
    <x v="0"/>
    <n v="48"/>
    <x v="0"/>
  </r>
  <r>
    <n v="61"/>
    <n v="38"/>
    <x v="0"/>
    <s v="Male Divorced/Seperated"/>
    <x v="1"/>
    <x v="3"/>
    <n v="1"/>
    <x v="1"/>
    <s v="Unknown"/>
    <x v="0"/>
    <n v="2"/>
    <x v="2"/>
    <s v="No"/>
    <s v="no checking"/>
    <x v="2"/>
    <s v="no known savings"/>
    <x v="1"/>
    <s v="skilled"/>
    <s v="Skilled"/>
    <x v="0"/>
    <s v="1&lt;=X&lt;4"/>
    <x v="0"/>
    <s v="existing paid"/>
    <x v="1"/>
    <n v="4"/>
    <n v="1"/>
    <n v="3914"/>
    <s v="No"/>
    <s v="None"/>
    <s v="Bank"/>
    <x v="5"/>
    <x v="0"/>
    <n v="48"/>
    <x v="0"/>
  </r>
  <r>
    <n v="62"/>
    <n v="46"/>
    <x v="2"/>
    <s v="Male single"/>
    <x v="1"/>
    <x v="1"/>
    <n v="2"/>
    <x v="1"/>
    <s v="Unknown"/>
    <x v="2"/>
    <n v="4"/>
    <x v="3"/>
    <s v="No"/>
    <s v="&lt;0"/>
    <x v="1"/>
    <s v="&lt;100"/>
    <x v="0"/>
    <s v="skilled"/>
    <s v="Skilled"/>
    <x v="0"/>
    <s v="4&lt;=X&lt;7"/>
    <x v="2"/>
    <s v="existing paid"/>
    <x v="1"/>
    <n v="4"/>
    <n v="1"/>
    <n v="3931"/>
    <s v="No"/>
    <s v="None"/>
    <s v="None"/>
    <x v="3"/>
    <x v="0"/>
    <n v="48"/>
    <x v="0"/>
  </r>
  <r>
    <n v="63"/>
    <n v="41"/>
    <x v="2"/>
    <s v="Male single"/>
    <x v="1"/>
    <x v="1"/>
    <n v="2"/>
    <x v="1"/>
    <s v="Unknown"/>
    <x v="0"/>
    <n v="1"/>
    <x v="1"/>
    <s v="Yes"/>
    <s v="0&lt;=X&lt;200"/>
    <x v="0"/>
    <s v="no known savings"/>
    <x v="1"/>
    <s v="skilled"/>
    <s v="Skilled"/>
    <x v="0"/>
    <s v="4&lt;=X&lt;7"/>
    <x v="2"/>
    <s v="existing paid"/>
    <x v="1"/>
    <n v="4"/>
    <n v="2"/>
    <n v="3979"/>
    <s v="No"/>
    <s v="None"/>
    <s v="None"/>
    <x v="4"/>
    <x v="0"/>
    <n v="48"/>
    <x v="1"/>
  </r>
  <r>
    <n v="64"/>
    <n v="24"/>
    <x v="1"/>
    <s v="Female Divorced with Dependents"/>
    <x v="0"/>
    <x v="0"/>
    <n v="1"/>
    <x v="1"/>
    <s v="Unknown"/>
    <x v="1"/>
    <n v="4"/>
    <x v="0"/>
    <s v="No"/>
    <s v="&lt;0"/>
    <x v="1"/>
    <s v="&lt;100"/>
    <x v="0"/>
    <s v="skilled"/>
    <s v="Skilled"/>
    <x v="0"/>
    <s v="&lt;1"/>
    <x v="1"/>
    <s v="existing paid"/>
    <x v="1"/>
    <n v="3"/>
    <n v="1"/>
    <n v="4308"/>
    <s v="No"/>
    <s v="None"/>
    <s v="None"/>
    <x v="5"/>
    <x v="0"/>
    <n v="48"/>
    <x v="0"/>
  </r>
  <r>
    <n v="65"/>
    <n v="24"/>
    <x v="1"/>
    <s v="Male single"/>
    <x v="1"/>
    <x v="1"/>
    <n v="2"/>
    <x v="1"/>
    <s v="Unknown"/>
    <x v="2"/>
    <n v="4"/>
    <x v="3"/>
    <s v="No"/>
    <s v="&lt;0"/>
    <x v="1"/>
    <s v="&lt;100"/>
    <x v="0"/>
    <s v="skilled"/>
    <s v="Skilled"/>
    <x v="0"/>
    <s v="&gt;=7"/>
    <x v="3"/>
    <s v="no credits/all paid"/>
    <x v="0"/>
    <n v="3"/>
    <n v="2"/>
    <n v="4605"/>
    <s v="No"/>
    <s v="None"/>
    <s v="None"/>
    <x v="2"/>
    <x v="0"/>
    <n v="48"/>
    <x v="0"/>
  </r>
  <r>
    <n v="66"/>
    <n v="26"/>
    <x v="1"/>
    <s v="Male single"/>
    <x v="1"/>
    <x v="1"/>
    <n v="2"/>
    <x v="1"/>
    <s v="Unknown"/>
    <x v="0"/>
    <n v="3"/>
    <x v="0"/>
    <s v="No"/>
    <s v="&lt;0"/>
    <x v="1"/>
    <s v="&lt;100"/>
    <x v="0"/>
    <s v="skilled"/>
    <s v="Skilled"/>
    <x v="0"/>
    <s v="4&lt;=X&lt;7"/>
    <x v="2"/>
    <s v="existing paid"/>
    <x v="1"/>
    <n v="4"/>
    <n v="1"/>
    <n v="4788"/>
    <s v="No"/>
    <s v="None"/>
    <s v="None"/>
    <x v="2"/>
    <x v="0"/>
    <n v="48"/>
    <x v="1"/>
  </r>
  <r>
    <n v="67"/>
    <n v="33"/>
    <x v="0"/>
    <s v="Male single"/>
    <x v="1"/>
    <x v="1"/>
    <n v="1"/>
    <x v="1"/>
    <s v="Unknown"/>
    <x v="1"/>
    <n v="2"/>
    <x v="1"/>
    <s v="Yes"/>
    <s v="no checking"/>
    <x v="2"/>
    <s v="&lt;100"/>
    <x v="0"/>
    <s v="high qualif/self emp/mgmt"/>
    <s v="Skilled"/>
    <x v="0"/>
    <s v="unemployed"/>
    <x v="4"/>
    <s v="existing paid"/>
    <x v="1"/>
    <n v="3"/>
    <n v="1"/>
    <n v="4844"/>
    <s v="No"/>
    <s v="None"/>
    <s v="Bank"/>
    <x v="5"/>
    <x v="0"/>
    <n v="48"/>
    <x v="0"/>
  </r>
  <r>
    <n v="68"/>
    <n v="30"/>
    <x v="0"/>
    <s v="Female Divorced with Dependents"/>
    <x v="0"/>
    <x v="0"/>
    <n v="1"/>
    <x v="1"/>
    <s v="Unknown"/>
    <x v="0"/>
    <n v="3"/>
    <x v="1"/>
    <s v="Yes"/>
    <s v="0&lt;=X&lt;200"/>
    <x v="0"/>
    <s v="&lt;100"/>
    <x v="0"/>
    <s v="high qualif/self emp/mgmt"/>
    <s v="Skilled"/>
    <x v="0"/>
    <s v="1&lt;=X&lt;4"/>
    <x v="0"/>
    <s v="critical/Others existing credit"/>
    <x v="3"/>
    <n v="2"/>
    <n v="1"/>
    <n v="5096"/>
    <s v="No"/>
    <s v="None"/>
    <s v="None"/>
    <x v="1"/>
    <x v="0"/>
    <n v="48"/>
    <x v="0"/>
  </r>
  <r>
    <n v="69"/>
    <n v="40"/>
    <x v="2"/>
    <s v="Male single"/>
    <x v="1"/>
    <x v="1"/>
    <n v="1"/>
    <x v="1"/>
    <s v="Non-resident"/>
    <x v="2"/>
    <n v="4"/>
    <x v="3"/>
    <s v="Yes"/>
    <s v="0&lt;=X&lt;200"/>
    <x v="0"/>
    <s v="no known savings"/>
    <x v="1"/>
    <s v="unemp/unskilled non res"/>
    <s v="Unskilled"/>
    <x v="1"/>
    <s v="unemployed"/>
    <x v="4"/>
    <s v="existing paid"/>
    <x v="1"/>
    <n v="3"/>
    <n v="1"/>
    <n v="5381"/>
    <s v="No"/>
    <s v="None"/>
    <s v="Bank"/>
    <x v="0"/>
    <x v="0"/>
    <n v="48"/>
    <x v="1"/>
  </r>
  <r>
    <n v="70"/>
    <n v="22"/>
    <x v="1"/>
    <s v="Female Divorced with Dependents"/>
    <x v="0"/>
    <x v="0"/>
    <n v="1"/>
    <x v="1"/>
    <s v="Unknown"/>
    <x v="0"/>
    <n v="2"/>
    <x v="2"/>
    <s v="No"/>
    <s v="0&lt;=X&lt;200"/>
    <x v="0"/>
    <s v="&lt;100"/>
    <x v="0"/>
    <s v="skilled"/>
    <s v="Skilled"/>
    <x v="0"/>
    <s v="1&lt;=X&lt;4"/>
    <x v="0"/>
    <s v="existing paid"/>
    <x v="1"/>
    <n v="2"/>
    <n v="1"/>
    <n v="5951"/>
    <s v="No"/>
    <s v="None"/>
    <s v="None"/>
    <x v="4"/>
    <x v="0"/>
    <n v="48"/>
    <x v="0"/>
  </r>
  <r>
    <n v="71"/>
    <n v="31"/>
    <x v="0"/>
    <s v="Male single"/>
    <x v="1"/>
    <x v="1"/>
    <n v="1"/>
    <x v="1"/>
    <s v="Unknown"/>
    <x v="2"/>
    <n v="3"/>
    <x v="3"/>
    <s v="Yes"/>
    <s v="no checking"/>
    <x v="2"/>
    <s v="&lt;100"/>
    <x v="0"/>
    <s v="skilled"/>
    <s v="Skilled"/>
    <x v="0"/>
    <s v="1&lt;=X&lt;4"/>
    <x v="0"/>
    <s v="critical/Others existing credit"/>
    <x v="3"/>
    <n v="1"/>
    <n v="1"/>
    <n v="6110"/>
    <s v="No"/>
    <s v="None"/>
    <s v="Bank"/>
    <x v="7"/>
    <x v="0"/>
    <n v="48"/>
    <x v="1"/>
  </r>
  <r>
    <n v="72"/>
    <n v="58"/>
    <x v="3"/>
    <s v="Female Divorced with Dependents"/>
    <x v="0"/>
    <x v="0"/>
    <n v="1"/>
    <x v="1"/>
    <s v="Resident"/>
    <x v="2"/>
    <n v="4"/>
    <x v="3"/>
    <s v="No"/>
    <s v="&lt;0"/>
    <x v="1"/>
    <s v="&lt;100"/>
    <x v="0"/>
    <s v="unskilled resident"/>
    <s v="Unskilled"/>
    <x v="0"/>
    <s v="&gt;=7"/>
    <x v="3"/>
    <s v="critical/Others existing credit"/>
    <x v="3"/>
    <n v="4"/>
    <n v="2"/>
    <n v="6143"/>
    <s v="No"/>
    <s v="None"/>
    <s v="Store"/>
    <x v="2"/>
    <x v="0"/>
    <n v="48"/>
    <x v="0"/>
  </r>
  <r>
    <n v="73"/>
    <n v="50"/>
    <x v="3"/>
    <s v="Male single"/>
    <x v="1"/>
    <x v="1"/>
    <n v="1"/>
    <x v="1"/>
    <s v="Unknown"/>
    <x v="2"/>
    <n v="4"/>
    <x v="3"/>
    <s v="No"/>
    <s v="0&lt;=X&lt;200"/>
    <x v="0"/>
    <s v="&lt;100"/>
    <x v="0"/>
    <s v="skilled"/>
    <s v="Skilled"/>
    <x v="0"/>
    <s v="&gt;=7"/>
    <x v="3"/>
    <s v="delayed previously"/>
    <x v="4"/>
    <n v="4"/>
    <n v="1"/>
    <n v="6224"/>
    <s v="No"/>
    <s v="None"/>
    <s v="None"/>
    <x v="7"/>
    <x v="0"/>
    <n v="48"/>
    <x v="0"/>
  </r>
  <r>
    <n v="74"/>
    <n v="46"/>
    <x v="2"/>
    <s v="Male single"/>
    <x v="1"/>
    <x v="1"/>
    <n v="1"/>
    <x v="1"/>
    <s v="Unknown"/>
    <x v="2"/>
    <n v="4"/>
    <x v="3"/>
    <s v="Yes"/>
    <s v="&lt;0"/>
    <x v="1"/>
    <s v="&lt;100"/>
    <x v="0"/>
    <s v="skilled"/>
    <s v="Skilled"/>
    <x v="0"/>
    <s v="&gt;=7"/>
    <x v="3"/>
    <s v="critical/Others existing credit"/>
    <x v="3"/>
    <n v="4"/>
    <n v="2"/>
    <n v="6331"/>
    <s v="No"/>
    <s v="None"/>
    <s v="None"/>
    <x v="2"/>
    <x v="0"/>
    <n v="48"/>
    <x v="0"/>
  </r>
  <r>
    <n v="75"/>
    <n v="59"/>
    <x v="5"/>
    <s v="Female Divorced with Dependents"/>
    <x v="0"/>
    <x v="0"/>
    <n v="1"/>
    <x v="1"/>
    <s v="Unknown"/>
    <x v="1"/>
    <n v="3"/>
    <x v="3"/>
    <s v="No"/>
    <s v="0&lt;=X&lt;200"/>
    <x v="0"/>
    <s v="&lt;100"/>
    <x v="0"/>
    <s v="skilled"/>
    <s v="Skilled"/>
    <x v="0"/>
    <s v="&gt;=7"/>
    <x v="3"/>
    <s v="all paid"/>
    <x v="2"/>
    <n v="4"/>
    <n v="1"/>
    <n v="6416"/>
    <s v="No"/>
    <s v="None"/>
    <s v="None"/>
    <x v="5"/>
    <x v="0"/>
    <n v="48"/>
    <x v="0"/>
  </r>
  <r>
    <n v="76"/>
    <n v="24"/>
    <x v="1"/>
    <s v="Male single"/>
    <x v="1"/>
    <x v="1"/>
    <n v="1"/>
    <x v="1"/>
    <s v="Unknown"/>
    <x v="0"/>
    <n v="2"/>
    <x v="0"/>
    <s v="No"/>
    <s v="0&lt;=X&lt;200"/>
    <x v="0"/>
    <s v="100&lt;=X&lt;500"/>
    <x v="3"/>
    <s v="skilled"/>
    <s v="Skilled"/>
    <x v="0"/>
    <s v="4&lt;=X&lt;7"/>
    <x v="2"/>
    <s v="existing paid"/>
    <x v="1"/>
    <n v="3"/>
    <n v="1"/>
    <n v="6560"/>
    <s v="No"/>
    <s v="None"/>
    <s v="None"/>
    <x v="3"/>
    <x v="0"/>
    <n v="48"/>
    <x v="0"/>
  </r>
  <r>
    <n v="77"/>
    <n v="38"/>
    <x v="0"/>
    <s v="Male single"/>
    <x v="1"/>
    <x v="1"/>
    <n v="2"/>
    <x v="1"/>
    <s v="Unknown"/>
    <x v="2"/>
    <n v="4"/>
    <x v="3"/>
    <s v="Yes"/>
    <s v="0&lt;=X&lt;200"/>
    <x v="0"/>
    <s v="no known savings"/>
    <x v="1"/>
    <s v="skilled"/>
    <s v="Skilled"/>
    <x v="0"/>
    <s v="1&lt;=X&lt;4"/>
    <x v="0"/>
    <s v="delayed previously"/>
    <x v="4"/>
    <n v="4"/>
    <n v="1"/>
    <n v="6681"/>
    <s v="No"/>
    <s v="None"/>
    <s v="None"/>
    <x v="5"/>
    <x v="0"/>
    <n v="48"/>
    <x v="1"/>
  </r>
  <r>
    <n v="78"/>
    <n v="31"/>
    <x v="0"/>
    <s v="Female Divorced with Dependents"/>
    <x v="0"/>
    <x v="0"/>
    <n v="1"/>
    <x v="1"/>
    <s v="Unknown"/>
    <x v="0"/>
    <n v="2"/>
    <x v="1"/>
    <s v="Yes"/>
    <s v="&lt;0"/>
    <x v="1"/>
    <s v="&lt;100"/>
    <x v="0"/>
    <s v="skilled"/>
    <s v="Skilled"/>
    <x v="0"/>
    <s v="1&lt;=X&lt;4"/>
    <x v="0"/>
    <s v="existing paid"/>
    <x v="1"/>
    <n v="3"/>
    <n v="1"/>
    <n v="6758"/>
    <s v="No"/>
    <s v="None"/>
    <s v="None"/>
    <x v="4"/>
    <x v="0"/>
    <n v="48"/>
    <x v="0"/>
  </r>
  <r>
    <n v="79"/>
    <n v="34"/>
    <x v="0"/>
    <s v="Male Married/Widowed"/>
    <x v="1"/>
    <x v="2"/>
    <n v="1"/>
    <x v="1"/>
    <s v="Unknown"/>
    <x v="0"/>
    <n v="1"/>
    <x v="2"/>
    <s v="Yes"/>
    <s v="&lt;0"/>
    <x v="1"/>
    <s v="&lt;100"/>
    <x v="0"/>
    <s v="skilled"/>
    <s v="Skilled"/>
    <x v="0"/>
    <s v="4&lt;=X&lt;7"/>
    <x v="2"/>
    <s v="existing paid"/>
    <x v="1"/>
    <n v="1"/>
    <n v="2"/>
    <n v="6999"/>
    <s v="guarantor"/>
    <s v="Guarantor"/>
    <s v="None"/>
    <x v="4"/>
    <x v="0"/>
    <n v="48"/>
    <x v="0"/>
  </r>
  <r>
    <n v="80"/>
    <n v="53"/>
    <x v="3"/>
    <s v="Male single"/>
    <x v="1"/>
    <x v="1"/>
    <n v="2"/>
    <x v="1"/>
    <s v="Unknown"/>
    <x v="2"/>
    <n v="4"/>
    <x v="3"/>
    <s v="No"/>
    <s v="&lt;0"/>
    <x v="1"/>
    <s v="&lt;100"/>
    <x v="0"/>
    <s v="skilled"/>
    <s v="Skilled"/>
    <x v="0"/>
    <s v="1&lt;=X&lt;4"/>
    <x v="0"/>
    <s v="no credits/all paid"/>
    <x v="0"/>
    <n v="3"/>
    <n v="2"/>
    <n v="7119"/>
    <s v="No"/>
    <s v="None"/>
    <s v="None"/>
    <x v="1"/>
    <x v="0"/>
    <n v="48"/>
    <x v="0"/>
  </r>
  <r>
    <n v="81"/>
    <n v="32"/>
    <x v="0"/>
    <s v="Male single"/>
    <x v="1"/>
    <x v="1"/>
    <n v="2"/>
    <x v="1"/>
    <s v="Unknown"/>
    <x v="0"/>
    <n v="3"/>
    <x v="1"/>
    <s v="No"/>
    <s v="no checking"/>
    <x v="2"/>
    <s v="no known savings"/>
    <x v="1"/>
    <s v="skilled"/>
    <s v="Skilled"/>
    <x v="0"/>
    <s v="&gt;=7"/>
    <x v="3"/>
    <s v="delayed previously"/>
    <x v="4"/>
    <n v="3"/>
    <n v="2"/>
    <n v="7238"/>
    <s v="No"/>
    <s v="None"/>
    <s v="Bank"/>
    <x v="4"/>
    <x v="0"/>
    <n v="48"/>
    <x v="1"/>
  </r>
  <r>
    <n v="82"/>
    <n v="50"/>
    <x v="3"/>
    <s v="Male single"/>
    <x v="1"/>
    <x v="1"/>
    <n v="1"/>
    <x v="1"/>
    <s v="Unknown"/>
    <x v="2"/>
    <n v="1"/>
    <x v="3"/>
    <s v="Yes"/>
    <s v="&lt;0"/>
    <x v="1"/>
    <s v="&lt;100"/>
    <x v="0"/>
    <s v="high qualif/self emp/mgmt"/>
    <s v="Skilled"/>
    <x v="0"/>
    <s v="4&lt;=X&lt;7"/>
    <x v="2"/>
    <s v="existing paid"/>
    <x v="1"/>
    <n v="4"/>
    <n v="1"/>
    <n v="7476"/>
    <s v="No"/>
    <s v="None"/>
    <s v="None"/>
    <x v="7"/>
    <x v="0"/>
    <n v="48"/>
    <x v="1"/>
  </r>
  <r>
    <n v="83"/>
    <n v="31"/>
    <x v="0"/>
    <s v="Male single"/>
    <x v="1"/>
    <x v="1"/>
    <n v="1"/>
    <x v="1"/>
    <s v="Unknown"/>
    <x v="2"/>
    <n v="4"/>
    <x v="3"/>
    <s v="Yes"/>
    <s v="0&lt;=X&lt;200"/>
    <x v="0"/>
    <s v="100&lt;=X&lt;500"/>
    <x v="3"/>
    <s v="high qualif/self emp/mgmt"/>
    <s v="Skilled"/>
    <x v="0"/>
    <s v="unemployed"/>
    <x v="4"/>
    <s v="delayed previously"/>
    <x v="4"/>
    <n v="2"/>
    <n v="1"/>
    <n v="7582"/>
    <s v="No"/>
    <s v="None"/>
    <s v="None"/>
    <x v="0"/>
    <x v="0"/>
    <n v="48"/>
    <x v="1"/>
  </r>
  <r>
    <n v="84"/>
    <n v="46"/>
    <x v="2"/>
    <s v="Male Divorced/Seperated"/>
    <x v="1"/>
    <x v="3"/>
    <n v="2"/>
    <x v="1"/>
    <s v="Unknown"/>
    <x v="0"/>
    <n v="2"/>
    <x v="1"/>
    <s v="No"/>
    <s v="no checking"/>
    <x v="2"/>
    <s v="no known savings"/>
    <x v="1"/>
    <s v="high qualif/self emp/mgmt"/>
    <s v="Skilled"/>
    <x v="0"/>
    <s v="&gt;=7"/>
    <x v="3"/>
    <s v="critical/Others existing credit"/>
    <x v="3"/>
    <n v="4"/>
    <n v="2"/>
    <n v="7629"/>
    <s v="No"/>
    <s v="None"/>
    <s v="Bank"/>
    <x v="5"/>
    <x v="0"/>
    <n v="48"/>
    <x v="1"/>
  </r>
  <r>
    <n v="85"/>
    <n v="37"/>
    <x v="0"/>
    <s v="Female Divorced with Dependents"/>
    <x v="0"/>
    <x v="0"/>
    <n v="1"/>
    <x v="1"/>
    <s v="Unknown"/>
    <x v="1"/>
    <n v="4"/>
    <x v="1"/>
    <s v="No"/>
    <s v="&lt;0"/>
    <x v="1"/>
    <s v="&lt;100"/>
    <x v="0"/>
    <s v="skilled"/>
    <s v="Skilled"/>
    <x v="0"/>
    <s v="4&lt;=X&lt;7"/>
    <x v="2"/>
    <s v="all paid"/>
    <x v="2"/>
    <n v="2"/>
    <n v="1"/>
    <n v="7685"/>
    <s v="guarantor"/>
    <s v="Guarantor"/>
    <s v="None"/>
    <x v="5"/>
    <x v="0"/>
    <n v="48"/>
    <x v="0"/>
  </r>
  <r>
    <n v="86"/>
    <n v="42"/>
    <x v="2"/>
    <s v="Male single"/>
    <x v="1"/>
    <x v="1"/>
    <n v="1"/>
    <x v="1"/>
    <s v="Unknown"/>
    <x v="2"/>
    <n v="4"/>
    <x v="3"/>
    <s v="No"/>
    <s v="&lt;0"/>
    <x v="1"/>
    <s v="&lt;100"/>
    <x v="0"/>
    <s v="high qualif/self emp/mgmt"/>
    <s v="Skilled"/>
    <x v="0"/>
    <s v="&gt;=7"/>
    <x v="3"/>
    <s v="existing paid"/>
    <x v="1"/>
    <n v="4"/>
    <n v="1"/>
    <n v="7763"/>
    <s v="No"/>
    <s v="None"/>
    <s v="Bank"/>
    <x v="3"/>
    <x v="0"/>
    <n v="48"/>
    <x v="0"/>
  </r>
  <r>
    <n v="87"/>
    <n v="30"/>
    <x v="0"/>
    <s v="Female Divorced with Dependents"/>
    <x v="0"/>
    <x v="0"/>
    <n v="1"/>
    <x v="1"/>
    <s v="Unknown"/>
    <x v="0"/>
    <n v="1"/>
    <x v="1"/>
    <s v="No"/>
    <s v="0&lt;=X&lt;200"/>
    <x v="0"/>
    <s v="500&lt;=X&lt;1000"/>
    <x v="4"/>
    <s v="skilled"/>
    <s v="Skilled"/>
    <x v="0"/>
    <s v="&lt;1"/>
    <x v="1"/>
    <s v="no credits/all paid"/>
    <x v="0"/>
    <n v="1"/>
    <n v="2"/>
    <n v="8358"/>
    <s v="No"/>
    <s v="None"/>
    <s v="None"/>
    <x v="3"/>
    <x v="0"/>
    <n v="48"/>
    <x v="1"/>
  </r>
  <r>
    <n v="88"/>
    <n v="24"/>
    <x v="1"/>
    <s v="Female Divorced with Dependents"/>
    <x v="0"/>
    <x v="0"/>
    <n v="1"/>
    <x v="1"/>
    <s v="Unknown"/>
    <x v="0"/>
    <n v="2"/>
    <x v="1"/>
    <s v="No"/>
    <s v="0&lt;=X&lt;200"/>
    <x v="0"/>
    <s v="no known savings"/>
    <x v="1"/>
    <s v="skilled"/>
    <s v="Skilled"/>
    <x v="0"/>
    <s v="4&lt;=X&lt;7"/>
    <x v="2"/>
    <s v="existing paid"/>
    <x v="1"/>
    <n v="1"/>
    <n v="1"/>
    <n v="8487"/>
    <s v="No"/>
    <s v="None"/>
    <s v="None"/>
    <x v="3"/>
    <x v="0"/>
    <n v="48"/>
    <x v="1"/>
  </r>
  <r>
    <n v="89"/>
    <n v="35"/>
    <x v="0"/>
    <s v="Male single"/>
    <x v="1"/>
    <x v="1"/>
    <n v="1"/>
    <x v="1"/>
    <s v="Unknown"/>
    <x v="2"/>
    <n v="1"/>
    <x v="3"/>
    <s v="Yes"/>
    <s v="no checking"/>
    <x v="2"/>
    <s v="no known savings"/>
    <x v="1"/>
    <s v="skilled"/>
    <s v="Skilled"/>
    <x v="0"/>
    <s v="4&lt;=X&lt;7"/>
    <x v="2"/>
    <s v="critical/Others existing credit"/>
    <x v="3"/>
    <n v="2"/>
    <n v="2"/>
    <n v="8858"/>
    <s v="No"/>
    <s v="None"/>
    <s v="None"/>
    <x v="2"/>
    <x v="0"/>
    <n v="48"/>
    <x v="1"/>
  </r>
  <r>
    <n v="90"/>
    <n v="26"/>
    <x v="1"/>
    <s v="Female Divorced with Dependents"/>
    <x v="0"/>
    <x v="0"/>
    <n v="1"/>
    <x v="1"/>
    <s v="Unknown"/>
    <x v="0"/>
    <n v="2"/>
    <x v="1"/>
    <s v="Yes"/>
    <s v="0&lt;=X&lt;200"/>
    <x v="0"/>
    <s v="&lt;100"/>
    <x v="0"/>
    <s v="skilled"/>
    <s v="Skilled"/>
    <x v="0"/>
    <s v="&lt;1"/>
    <x v="1"/>
    <s v="existing paid"/>
    <x v="1"/>
    <n v="1"/>
    <n v="1"/>
    <n v="9960"/>
    <s v="No"/>
    <s v="None"/>
    <s v="None"/>
    <x v="1"/>
    <x v="0"/>
    <n v="48"/>
    <x v="0"/>
  </r>
  <r>
    <n v="91"/>
    <n v="44"/>
    <x v="2"/>
    <s v="Male single"/>
    <x v="1"/>
    <x v="1"/>
    <n v="1"/>
    <x v="1"/>
    <s v="Unknown"/>
    <x v="2"/>
    <n v="2"/>
    <x v="3"/>
    <s v="No"/>
    <s v="no checking"/>
    <x v="2"/>
    <s v="500&lt;=X&lt;1000"/>
    <x v="4"/>
    <s v="skilled"/>
    <s v="Skilled"/>
    <x v="0"/>
    <s v="1&lt;=X&lt;4"/>
    <x v="0"/>
    <s v="critical/Others existing credit"/>
    <x v="3"/>
    <n v="2"/>
    <n v="1"/>
    <n v="10127"/>
    <s v="No"/>
    <s v="None"/>
    <s v="Bank"/>
    <x v="3"/>
    <x v="0"/>
    <n v="48"/>
    <x v="0"/>
  </r>
  <r>
    <n v="92"/>
    <n v="37"/>
    <x v="0"/>
    <s v="Male single"/>
    <x v="1"/>
    <x v="1"/>
    <n v="1"/>
    <x v="1"/>
    <s v="Unknown"/>
    <x v="0"/>
    <n v="3"/>
    <x v="1"/>
    <s v="Yes"/>
    <s v="no checking"/>
    <x v="2"/>
    <s v="no known savings"/>
    <x v="1"/>
    <s v="skilled"/>
    <s v="Skilled"/>
    <x v="0"/>
    <s v="4&lt;=X&lt;7"/>
    <x v="2"/>
    <s v="existing paid"/>
    <x v="1"/>
    <n v="4"/>
    <n v="1"/>
    <n v="10222"/>
    <s v="No"/>
    <s v="None"/>
    <s v="Store"/>
    <x v="4"/>
    <x v="0"/>
    <n v="48"/>
    <x v="1"/>
  </r>
  <r>
    <n v="93"/>
    <n v="39"/>
    <x v="2"/>
    <s v="Male single"/>
    <x v="1"/>
    <x v="1"/>
    <n v="2"/>
    <x v="1"/>
    <s v="Unknown"/>
    <x v="2"/>
    <n v="4"/>
    <x v="3"/>
    <s v="Yes"/>
    <s v="&lt;0"/>
    <x v="1"/>
    <s v="&lt;100"/>
    <x v="0"/>
    <s v="skilled"/>
    <s v="Skilled"/>
    <x v="0"/>
    <s v="4&lt;=X&lt;7"/>
    <x v="2"/>
    <s v="existing paid"/>
    <x v="1"/>
    <n v="4"/>
    <n v="3"/>
    <n v="10297"/>
    <s v="No"/>
    <s v="None"/>
    <s v="Store"/>
    <x v="2"/>
    <x v="0"/>
    <n v="48"/>
    <x v="0"/>
  </r>
  <r>
    <n v="94"/>
    <n v="27"/>
    <x v="1"/>
    <s v="Male single"/>
    <x v="1"/>
    <x v="1"/>
    <n v="1"/>
    <x v="1"/>
    <s v="Unknown"/>
    <x v="0"/>
    <n v="2"/>
    <x v="3"/>
    <s v="Yes"/>
    <s v="0&lt;=X&lt;200"/>
    <x v="0"/>
    <s v="&gt;=1000"/>
    <x v="2"/>
    <s v="skilled"/>
    <s v="Skilled"/>
    <x v="0"/>
    <s v="4&lt;=X&lt;7"/>
    <x v="2"/>
    <s v="existing paid"/>
    <x v="1"/>
    <n v="1"/>
    <n v="2"/>
    <n v="10961"/>
    <s v="co applicant"/>
    <s v="Co-applicant"/>
    <s v="Bank"/>
    <x v="4"/>
    <x v="0"/>
    <n v="48"/>
    <x v="0"/>
  </r>
  <r>
    <n v="95"/>
    <n v="24"/>
    <x v="1"/>
    <s v="Female Divorced with Dependents"/>
    <x v="0"/>
    <x v="0"/>
    <n v="1"/>
    <x v="1"/>
    <s v="Resident"/>
    <x v="1"/>
    <n v="4"/>
    <x v="1"/>
    <s v="No"/>
    <s v="no checking"/>
    <x v="2"/>
    <s v="100&lt;=X&lt;500"/>
    <x v="3"/>
    <s v="unskilled resident"/>
    <s v="Unskilled"/>
    <x v="0"/>
    <s v="1&lt;=X&lt;4"/>
    <x v="0"/>
    <s v="critical/Others existing credit"/>
    <x v="3"/>
    <n v="2"/>
    <n v="2"/>
    <n v="11590"/>
    <s v="No"/>
    <s v="None"/>
    <s v="Bank"/>
    <x v="2"/>
    <x v="0"/>
    <n v="48"/>
    <x v="0"/>
  </r>
  <r>
    <n v="96"/>
    <n v="36"/>
    <x v="0"/>
    <s v="Male single"/>
    <x v="1"/>
    <x v="1"/>
    <n v="1"/>
    <x v="1"/>
    <s v="Unknown"/>
    <x v="2"/>
    <n v="4"/>
    <x v="3"/>
    <s v="Yes"/>
    <s v="0&lt;=X&lt;200"/>
    <x v="0"/>
    <s v="no known savings"/>
    <x v="1"/>
    <s v="high qualif/self emp/mgmt"/>
    <s v="Skilled"/>
    <x v="0"/>
    <s v="unemployed"/>
    <x v="4"/>
    <s v="all paid"/>
    <x v="2"/>
    <n v="4"/>
    <n v="1"/>
    <n v="12169"/>
    <s v="co applicant"/>
    <s v="Co-applicant"/>
    <s v="None"/>
    <x v="3"/>
    <x v="0"/>
    <n v="48"/>
    <x v="1"/>
  </r>
  <r>
    <n v="97"/>
    <n v="48"/>
    <x v="2"/>
    <s v="Male single"/>
    <x v="1"/>
    <x v="1"/>
    <n v="1"/>
    <x v="1"/>
    <s v="Unknown"/>
    <x v="0"/>
    <n v="2"/>
    <x v="1"/>
    <s v="Yes"/>
    <s v="0&lt;=X&lt;200"/>
    <x v="0"/>
    <s v="no known savings"/>
    <x v="1"/>
    <s v="high qualif/self emp/mgmt"/>
    <s v="Skilled"/>
    <x v="0"/>
    <s v="1&lt;=X&lt;4"/>
    <x v="0"/>
    <s v="no credits/all paid"/>
    <x v="0"/>
    <n v="2"/>
    <n v="1"/>
    <n v="12204"/>
    <s v="No"/>
    <s v="None"/>
    <s v="Bank"/>
    <x v="5"/>
    <x v="0"/>
    <n v="48"/>
    <x v="1"/>
  </r>
  <r>
    <n v="98"/>
    <n v="37"/>
    <x v="0"/>
    <s v="Male single"/>
    <x v="1"/>
    <x v="1"/>
    <n v="1"/>
    <x v="1"/>
    <s v="Unknown"/>
    <x v="0"/>
    <n v="1"/>
    <x v="1"/>
    <s v="Yes"/>
    <s v="no checking"/>
    <x v="2"/>
    <s v="500&lt;=X&lt;1000"/>
    <x v="4"/>
    <s v="high qualif/self emp/mgmt"/>
    <s v="Skilled"/>
    <x v="0"/>
    <s v="4&lt;=X&lt;7"/>
    <x v="2"/>
    <s v="delayed previously"/>
    <x v="4"/>
    <n v="4"/>
    <n v="1"/>
    <n v="12749"/>
    <s v="No"/>
    <s v="None"/>
    <s v="None"/>
    <x v="4"/>
    <x v="0"/>
    <n v="48"/>
    <x v="1"/>
  </r>
  <r>
    <n v="99"/>
    <n v="25"/>
    <x v="1"/>
    <s v="Male single"/>
    <x v="1"/>
    <x v="1"/>
    <n v="1"/>
    <x v="1"/>
    <s v="Unknown"/>
    <x v="0"/>
    <n v="2"/>
    <x v="1"/>
    <s v="Yes"/>
    <s v="0&lt;=X&lt;200"/>
    <x v="0"/>
    <s v="&lt;100"/>
    <x v="0"/>
    <s v="skilled"/>
    <s v="Skilled"/>
    <x v="0"/>
    <s v="1&lt;=X&lt;4"/>
    <x v="0"/>
    <s v="no credits/all paid"/>
    <x v="0"/>
    <n v="2"/>
    <n v="1"/>
    <n v="14421"/>
    <s v="No"/>
    <s v="None"/>
    <s v="None"/>
    <x v="5"/>
    <x v="0"/>
    <n v="48"/>
    <x v="0"/>
  </r>
  <r>
    <n v="100"/>
    <n v="23"/>
    <x v="1"/>
    <s v="Male single"/>
    <x v="1"/>
    <x v="1"/>
    <n v="1"/>
    <x v="1"/>
    <s v="Unknown"/>
    <x v="0"/>
    <n v="2"/>
    <x v="1"/>
    <s v="Yes"/>
    <s v="0&lt;=X&lt;200"/>
    <x v="0"/>
    <s v="&lt;100"/>
    <x v="0"/>
    <s v="skilled"/>
    <s v="Skilled"/>
    <x v="0"/>
    <s v="1&lt;=X&lt;4"/>
    <x v="0"/>
    <s v="existing paid"/>
    <x v="1"/>
    <n v="2"/>
    <n v="1"/>
    <n v="15672"/>
    <s v="No"/>
    <s v="None"/>
    <s v="None"/>
    <x v="5"/>
    <x v="0"/>
    <n v="48"/>
    <x v="0"/>
  </r>
  <r>
    <n v="101"/>
    <n v="35"/>
    <x v="0"/>
    <s v="Female Divorced with Dependents"/>
    <x v="0"/>
    <x v="0"/>
    <n v="1"/>
    <x v="1"/>
    <s v="Resident"/>
    <x v="0"/>
    <n v="1"/>
    <x v="2"/>
    <s v="Yes"/>
    <s v="&lt;0"/>
    <x v="1"/>
    <s v="&lt;100"/>
    <x v="0"/>
    <s v="unskilled resident"/>
    <s v="Unskilled"/>
    <x v="0"/>
    <s v="&lt;1"/>
    <x v="1"/>
    <s v="existing paid"/>
    <x v="1"/>
    <n v="1"/>
    <n v="1"/>
    <n v="10722"/>
    <s v="No"/>
    <s v="None"/>
    <s v="None"/>
    <x v="3"/>
    <x v="0"/>
    <n v="47"/>
    <x v="1"/>
  </r>
  <r>
    <n v="102"/>
    <n v="23"/>
    <x v="1"/>
    <s v="Male single"/>
    <x v="1"/>
    <x v="1"/>
    <n v="1"/>
    <x v="1"/>
    <s v="Unknown"/>
    <x v="2"/>
    <n v="4"/>
    <x v="3"/>
    <s v="Yes"/>
    <s v="&lt;0"/>
    <x v="1"/>
    <s v="&lt;100"/>
    <x v="0"/>
    <s v="skilled"/>
    <s v="Skilled"/>
    <x v="0"/>
    <s v="1&lt;=X&lt;4"/>
    <x v="0"/>
    <s v="existing paid"/>
    <x v="1"/>
    <n v="4"/>
    <n v="1"/>
    <n v="1845"/>
    <s v="No"/>
    <s v="None"/>
    <s v="None"/>
    <x v="4"/>
    <x v="0"/>
    <n v="45"/>
    <x v="0"/>
  </r>
  <r>
    <n v="103"/>
    <n v="21"/>
    <x v="1"/>
    <s v="Male single"/>
    <x v="1"/>
    <x v="1"/>
    <n v="1"/>
    <x v="1"/>
    <s v="Unknown"/>
    <x v="1"/>
    <n v="4"/>
    <x v="0"/>
    <s v="No"/>
    <s v="0&lt;=X&lt;200"/>
    <x v="0"/>
    <s v="100&lt;=X&lt;500"/>
    <x v="3"/>
    <s v="skilled"/>
    <s v="Skilled"/>
    <x v="0"/>
    <s v="1&lt;=X&lt;4"/>
    <x v="0"/>
    <s v="existing paid"/>
    <x v="1"/>
    <n v="4"/>
    <n v="1"/>
    <n v="3031"/>
    <s v="guarantor"/>
    <s v="Guarantor"/>
    <s v="None"/>
    <x v="4"/>
    <x v="0"/>
    <n v="45"/>
    <x v="0"/>
  </r>
  <r>
    <n v="104"/>
    <n v="27"/>
    <x v="1"/>
    <s v="Male single"/>
    <x v="1"/>
    <x v="1"/>
    <n v="1"/>
    <x v="1"/>
    <s v="Unknown"/>
    <x v="0"/>
    <n v="4"/>
    <x v="1"/>
    <s v="No"/>
    <s v="0&lt;=X&lt;200"/>
    <x v="0"/>
    <s v="100&lt;=X&lt;500"/>
    <x v="3"/>
    <s v="skilled"/>
    <s v="Skilled"/>
    <x v="0"/>
    <s v="unemployed"/>
    <x v="4"/>
    <s v="critical/Others existing credit"/>
    <x v="3"/>
    <n v="3"/>
    <n v="1"/>
    <n v="4576"/>
    <s v="No"/>
    <s v="None"/>
    <s v="None"/>
    <x v="2"/>
    <x v="0"/>
    <n v="45"/>
    <x v="1"/>
  </r>
  <r>
    <n v="105"/>
    <n v="25"/>
    <x v="1"/>
    <s v="Male single"/>
    <x v="1"/>
    <x v="1"/>
    <n v="1"/>
    <x v="1"/>
    <s v="Resident"/>
    <x v="0"/>
    <n v="2"/>
    <x v="0"/>
    <s v="No"/>
    <s v="0&lt;=X&lt;200"/>
    <x v="0"/>
    <s v="&lt;100"/>
    <x v="0"/>
    <s v="unskilled resident"/>
    <s v="Unskilled"/>
    <x v="0"/>
    <s v="&lt;1"/>
    <x v="1"/>
    <s v="critical/Others existing credit"/>
    <x v="3"/>
    <n v="4"/>
    <n v="2"/>
    <n v="4746"/>
    <s v="No"/>
    <s v="None"/>
    <s v="None"/>
    <x v="4"/>
    <x v="0"/>
    <n v="45"/>
    <x v="0"/>
  </r>
  <r>
    <n v="106"/>
    <n v="29"/>
    <x v="0"/>
    <s v="Male single"/>
    <x v="1"/>
    <x v="1"/>
    <n v="1"/>
    <x v="1"/>
    <s v="Unknown"/>
    <x v="1"/>
    <n v="4"/>
    <x v="1"/>
    <s v="No"/>
    <s v="&lt;0"/>
    <x v="1"/>
    <s v="&lt;100"/>
    <x v="0"/>
    <s v="skilled"/>
    <s v="Skilled"/>
    <x v="0"/>
    <s v="&gt;=7"/>
    <x v="3"/>
    <s v="no credits/all paid"/>
    <x v="0"/>
    <n v="2"/>
    <n v="2"/>
    <n v="11816"/>
    <s v="No"/>
    <s v="None"/>
    <s v="None"/>
    <x v="5"/>
    <x v="0"/>
    <n v="45"/>
    <x v="0"/>
  </r>
  <r>
    <n v="107"/>
    <n v="65"/>
    <x v="5"/>
    <s v="Male single"/>
    <x v="1"/>
    <x v="1"/>
    <n v="1"/>
    <x v="1"/>
    <s v="Non-resident"/>
    <x v="0"/>
    <n v="4"/>
    <x v="1"/>
    <s v="No"/>
    <s v="&lt;0"/>
    <x v="1"/>
    <s v="&lt;100"/>
    <x v="0"/>
    <s v="unemp/unskilled non res"/>
    <s v="Unskilled"/>
    <x v="1"/>
    <s v="unemployed"/>
    <x v="4"/>
    <s v="critical/Others existing credit"/>
    <x v="3"/>
    <n v="4"/>
    <n v="2"/>
    <n v="3394"/>
    <s v="co applicant"/>
    <s v="Co-applicant"/>
    <s v="None"/>
    <x v="6"/>
    <x v="0"/>
    <n v="42"/>
    <x v="1"/>
  </r>
  <r>
    <n v="108"/>
    <n v="34"/>
    <x v="0"/>
    <s v="Male single"/>
    <x v="1"/>
    <x v="1"/>
    <n v="1"/>
    <x v="1"/>
    <s v="Unknown"/>
    <x v="0"/>
    <n v="3"/>
    <x v="1"/>
    <s v="No"/>
    <s v="&lt;0"/>
    <x v="1"/>
    <s v="&lt;100"/>
    <x v="0"/>
    <s v="skilled"/>
    <s v="Skilled"/>
    <x v="0"/>
    <s v="&lt;1"/>
    <x v="1"/>
    <s v="existing paid"/>
    <x v="1"/>
    <n v="4"/>
    <n v="1"/>
    <n v="3965"/>
    <s v="No"/>
    <s v="None"/>
    <s v="None"/>
    <x v="4"/>
    <x v="0"/>
    <n v="42"/>
    <x v="0"/>
  </r>
  <r>
    <n v="109"/>
    <n v="36"/>
    <x v="0"/>
    <s v="Male single"/>
    <x v="1"/>
    <x v="1"/>
    <n v="1"/>
    <x v="1"/>
    <s v="Unknown"/>
    <x v="0"/>
    <n v="4"/>
    <x v="2"/>
    <s v="Yes"/>
    <s v="no checking"/>
    <x v="2"/>
    <s v="500&lt;=X&lt;1000"/>
    <x v="4"/>
    <s v="skilled"/>
    <s v="Skilled"/>
    <x v="0"/>
    <s v="1&lt;=X&lt;4"/>
    <x v="0"/>
    <s v="critical/Others existing credit"/>
    <x v="3"/>
    <n v="4"/>
    <n v="2"/>
    <n v="4042"/>
    <s v="No"/>
    <s v="None"/>
    <s v="None"/>
    <x v="1"/>
    <x v="0"/>
    <n v="42"/>
    <x v="1"/>
  </r>
  <r>
    <n v="110"/>
    <n v="26"/>
    <x v="1"/>
    <s v="Male single"/>
    <x v="1"/>
    <x v="1"/>
    <n v="2"/>
    <x v="1"/>
    <s v="Unknown"/>
    <x v="0"/>
    <n v="2"/>
    <x v="0"/>
    <s v="Yes"/>
    <s v="&lt;0"/>
    <x v="1"/>
    <s v="&lt;100"/>
    <x v="0"/>
    <s v="skilled"/>
    <s v="Skilled"/>
    <x v="0"/>
    <s v="4&lt;=X&lt;7"/>
    <x v="2"/>
    <s v="delayed previously"/>
    <x v="4"/>
    <n v="3"/>
    <n v="2"/>
    <n v="4370"/>
    <s v="No"/>
    <s v="None"/>
    <s v="Bank"/>
    <x v="4"/>
    <x v="0"/>
    <n v="42"/>
    <x v="0"/>
  </r>
  <r>
    <n v="111"/>
    <n v="56"/>
    <x v="3"/>
    <s v="Male single"/>
    <x v="1"/>
    <x v="1"/>
    <n v="1"/>
    <x v="1"/>
    <s v="Unknown"/>
    <x v="2"/>
    <n v="4"/>
    <x v="3"/>
    <s v="No"/>
    <s v="&gt;=200"/>
    <x v="3"/>
    <s v="&lt;100"/>
    <x v="0"/>
    <s v="skilled"/>
    <s v="Skilled"/>
    <x v="0"/>
    <s v="&gt;=7"/>
    <x v="3"/>
    <s v="critical/Others existing credit"/>
    <x v="3"/>
    <n v="4"/>
    <n v="1"/>
    <n v="4796"/>
    <s v="No"/>
    <s v="None"/>
    <s v="None"/>
    <x v="2"/>
    <x v="0"/>
    <n v="42"/>
    <x v="1"/>
  </r>
  <r>
    <n v="112"/>
    <n v="41"/>
    <x v="2"/>
    <s v="Female Divorced with Dependents"/>
    <x v="0"/>
    <x v="0"/>
    <n v="1"/>
    <x v="1"/>
    <s v="Resident"/>
    <x v="0"/>
    <n v="1"/>
    <x v="2"/>
    <s v="No"/>
    <s v="0&lt;=X&lt;200"/>
    <x v="0"/>
    <s v="&lt;100"/>
    <x v="0"/>
    <s v="unskilled resident"/>
    <s v="Unskilled"/>
    <x v="0"/>
    <s v="4&lt;=X&lt;7"/>
    <x v="2"/>
    <s v="critical/Others existing credit"/>
    <x v="3"/>
    <n v="2"/>
    <n v="2"/>
    <n v="5954"/>
    <s v="No"/>
    <s v="None"/>
    <s v="Bank"/>
    <x v="5"/>
    <x v="0"/>
    <n v="42"/>
    <x v="1"/>
  </r>
  <r>
    <n v="113"/>
    <n v="33"/>
    <x v="0"/>
    <s v="Male Divorced/Seperated"/>
    <x v="1"/>
    <x v="3"/>
    <n v="1"/>
    <x v="1"/>
    <s v="Unknown"/>
    <x v="0"/>
    <n v="1"/>
    <x v="0"/>
    <s v="No"/>
    <s v="&gt;=200"/>
    <x v="3"/>
    <s v="&lt;100"/>
    <x v="0"/>
    <s v="skilled"/>
    <s v="Skilled"/>
    <x v="0"/>
    <s v="&lt;1"/>
    <x v="1"/>
    <s v="no credits/all paid"/>
    <x v="0"/>
    <n v="2"/>
    <n v="2"/>
    <n v="6289"/>
    <s v="No"/>
    <s v="None"/>
    <s v="None"/>
    <x v="5"/>
    <x v="0"/>
    <n v="42"/>
    <x v="1"/>
  </r>
  <r>
    <n v="114"/>
    <n v="29"/>
    <x v="0"/>
    <s v="Male Married/Widowed"/>
    <x v="1"/>
    <x v="2"/>
    <n v="1"/>
    <x v="1"/>
    <s v="Unknown"/>
    <x v="1"/>
    <n v="4"/>
    <x v="0"/>
    <s v="Yes"/>
    <s v="no checking"/>
    <x v="2"/>
    <s v="no known savings"/>
    <x v="1"/>
    <s v="skilled"/>
    <s v="Skilled"/>
    <x v="0"/>
    <s v="4&lt;=X&lt;7"/>
    <x v="2"/>
    <s v="existing paid"/>
    <x v="1"/>
    <n v="2"/>
    <n v="1"/>
    <n v="7166"/>
    <s v="No"/>
    <s v="None"/>
    <s v="None"/>
    <x v="4"/>
    <x v="0"/>
    <n v="42"/>
    <x v="1"/>
  </r>
  <r>
    <n v="115"/>
    <n v="30"/>
    <x v="0"/>
    <s v="Female Divorced with Dependents"/>
    <x v="0"/>
    <x v="0"/>
    <n v="1"/>
    <x v="1"/>
    <s v="Unknown"/>
    <x v="0"/>
    <n v="3"/>
    <x v="1"/>
    <s v="Yes"/>
    <s v="&lt;0"/>
    <x v="1"/>
    <s v="no known savings"/>
    <x v="1"/>
    <s v="high qualif/self emp/mgmt"/>
    <s v="Skilled"/>
    <x v="0"/>
    <s v="4&lt;=X&lt;7"/>
    <x v="2"/>
    <s v="existing paid"/>
    <x v="1"/>
    <n v="4"/>
    <n v="1"/>
    <n v="7174"/>
    <s v="No"/>
    <s v="None"/>
    <s v="None"/>
    <x v="4"/>
    <x v="0"/>
    <n v="42"/>
    <x v="0"/>
  </r>
  <r>
    <n v="116"/>
    <n v="45"/>
    <x v="2"/>
    <s v="Male single"/>
    <x v="1"/>
    <x v="1"/>
    <n v="2"/>
    <x v="1"/>
    <s v="Unknown"/>
    <x v="2"/>
    <n v="4"/>
    <x v="0"/>
    <s v="No"/>
    <s v="&lt;0"/>
    <x v="1"/>
    <s v="&lt;100"/>
    <x v="0"/>
    <s v="skilled"/>
    <s v="Skilled"/>
    <x v="0"/>
    <s v="4&lt;=X&lt;7"/>
    <x v="2"/>
    <s v="existing paid"/>
    <x v="1"/>
    <n v="2"/>
    <n v="1"/>
    <n v="7882"/>
    <s v="guarantor"/>
    <s v="Guarantor"/>
    <s v="None"/>
    <x v="1"/>
    <x v="0"/>
    <n v="42"/>
    <x v="1"/>
  </r>
  <r>
    <n v="117"/>
    <n v="55"/>
    <x v="3"/>
    <s v="Male single"/>
    <x v="1"/>
    <x v="1"/>
    <n v="1"/>
    <x v="1"/>
    <s v="Unknown"/>
    <x v="2"/>
    <n v="2"/>
    <x v="3"/>
    <s v="Yes"/>
    <s v="0&lt;=X&lt;200"/>
    <x v="0"/>
    <s v="&lt;100"/>
    <x v="0"/>
    <s v="high qualif/self emp/mgmt"/>
    <s v="Skilled"/>
    <x v="0"/>
    <s v="unemployed"/>
    <x v="4"/>
    <s v="all paid"/>
    <x v="2"/>
    <n v="1"/>
    <n v="1"/>
    <n v="9283"/>
    <s v="No"/>
    <s v="None"/>
    <s v="Bank"/>
    <x v="2"/>
    <x v="0"/>
    <n v="42"/>
    <x v="1"/>
  </r>
  <r>
    <n v="118"/>
    <n v="27"/>
    <x v="1"/>
    <s v="Male single"/>
    <x v="1"/>
    <x v="1"/>
    <n v="1"/>
    <x v="1"/>
    <s v="Unknown"/>
    <x v="0"/>
    <n v="3"/>
    <x v="3"/>
    <s v="Yes"/>
    <s v="&lt;0"/>
    <x v="1"/>
    <s v="&lt;100"/>
    <x v="0"/>
    <s v="skilled"/>
    <s v="Skilled"/>
    <x v="0"/>
    <s v="1&lt;=X&lt;4"/>
    <x v="0"/>
    <s v="critical/Others existing credit"/>
    <x v="3"/>
    <n v="4"/>
    <n v="1"/>
    <n v="5998"/>
    <s v="No"/>
    <s v="None"/>
    <s v="Bank"/>
    <x v="7"/>
    <x v="0"/>
    <n v="40"/>
    <x v="0"/>
  </r>
  <r>
    <n v="119"/>
    <n v="24"/>
    <x v="1"/>
    <s v="Male single"/>
    <x v="1"/>
    <x v="1"/>
    <n v="1"/>
    <x v="1"/>
    <s v="Unknown"/>
    <x v="0"/>
    <n v="4"/>
    <x v="1"/>
    <s v="No"/>
    <s v="no checking"/>
    <x v="2"/>
    <s v="500&lt;=X&lt;1000"/>
    <x v="4"/>
    <s v="skilled"/>
    <s v="Skilled"/>
    <x v="0"/>
    <s v="1&lt;=X&lt;4"/>
    <x v="0"/>
    <s v="existing paid"/>
    <x v="1"/>
    <n v="4"/>
    <n v="1"/>
    <n v="2569"/>
    <s v="No"/>
    <s v="None"/>
    <s v="None"/>
    <x v="2"/>
    <x v="0"/>
    <n v="39"/>
    <x v="1"/>
  </r>
  <r>
    <n v="120"/>
    <n v="25"/>
    <x v="1"/>
    <s v="Male single"/>
    <x v="1"/>
    <x v="1"/>
    <n v="1"/>
    <x v="1"/>
    <s v="Unknown"/>
    <x v="0"/>
    <n v="2"/>
    <x v="2"/>
    <s v="No"/>
    <s v="0&lt;=X&lt;200"/>
    <x v="0"/>
    <s v="&lt;100"/>
    <x v="0"/>
    <s v="skilled"/>
    <s v="Skilled"/>
    <x v="0"/>
    <s v="4&lt;=X&lt;7"/>
    <x v="2"/>
    <s v="critical/Others existing credit"/>
    <x v="3"/>
    <n v="2"/>
    <n v="2"/>
    <n v="4933"/>
    <s v="guarantor"/>
    <s v="Guarantor"/>
    <s v="None"/>
    <x v="4"/>
    <x v="0"/>
    <n v="39"/>
    <x v="0"/>
  </r>
  <r>
    <n v="121"/>
    <n v="45"/>
    <x v="2"/>
    <s v="Male single"/>
    <x v="1"/>
    <x v="1"/>
    <n v="1"/>
    <x v="1"/>
    <s v="Unknown"/>
    <x v="0"/>
    <n v="2"/>
    <x v="1"/>
    <s v="Yes"/>
    <s v="no checking"/>
    <x v="2"/>
    <s v="100&lt;=X&lt;500"/>
    <x v="3"/>
    <s v="high qualif/self emp/mgmt"/>
    <s v="Skilled"/>
    <x v="0"/>
    <s v="&gt;=7"/>
    <x v="3"/>
    <s v="existing paid"/>
    <x v="1"/>
    <n v="4"/>
    <n v="1"/>
    <n v="8588"/>
    <s v="No"/>
    <s v="None"/>
    <s v="None"/>
    <x v="2"/>
    <x v="0"/>
    <n v="39"/>
    <x v="1"/>
  </r>
  <r>
    <n v="122"/>
    <n v="32"/>
    <x v="0"/>
    <s v="Male single"/>
    <x v="1"/>
    <x v="1"/>
    <n v="1"/>
    <x v="1"/>
    <s v="Unknown"/>
    <x v="1"/>
    <n v="3"/>
    <x v="3"/>
    <s v="Yes"/>
    <s v="0&lt;=X&lt;200"/>
    <x v="0"/>
    <s v="100&lt;=X&lt;500"/>
    <x v="3"/>
    <s v="skilled"/>
    <s v="Skilled"/>
    <x v="0"/>
    <s v="4&lt;=X&lt;7"/>
    <x v="2"/>
    <s v="delayed previously"/>
    <x v="4"/>
    <n v="2"/>
    <n v="1"/>
    <n v="11760"/>
    <s v="No"/>
    <s v="None"/>
    <s v="None"/>
    <x v="7"/>
    <x v="0"/>
    <n v="39"/>
    <x v="1"/>
  </r>
  <r>
    <n v="123"/>
    <n v="30"/>
    <x v="0"/>
    <s v="Male single"/>
    <x v="1"/>
    <x v="1"/>
    <n v="1"/>
    <x v="1"/>
    <s v="Unknown"/>
    <x v="0"/>
    <n v="4"/>
    <x v="0"/>
    <s v="Yes"/>
    <s v="&lt;0"/>
    <x v="1"/>
    <s v="no known savings"/>
    <x v="1"/>
    <s v="high qualif/self emp/mgmt"/>
    <s v="Skilled"/>
    <x v="0"/>
    <s v="4&lt;=X&lt;7"/>
    <x v="2"/>
    <s v="critical/Others existing credit"/>
    <x v="3"/>
    <n v="4"/>
    <n v="2"/>
    <n v="14179"/>
    <s v="No"/>
    <s v="None"/>
    <s v="None"/>
    <x v="1"/>
    <x v="0"/>
    <n v="39"/>
    <x v="1"/>
  </r>
  <r>
    <n v="124"/>
    <n v="36"/>
    <x v="0"/>
    <s v="Male single"/>
    <x v="1"/>
    <x v="1"/>
    <n v="1"/>
    <x v="1"/>
    <s v="Unknown"/>
    <x v="0"/>
    <n v="4"/>
    <x v="0"/>
    <s v="No"/>
    <s v="no checking"/>
    <x v="2"/>
    <s v="500&lt;=X&lt;1000"/>
    <x v="4"/>
    <s v="skilled"/>
    <s v="Skilled"/>
    <x v="0"/>
    <s v="&gt;=7"/>
    <x v="3"/>
    <s v="existing paid"/>
    <x v="1"/>
    <n v="4"/>
    <n v="1"/>
    <n v="909"/>
    <s v="No"/>
    <s v="None"/>
    <s v="None"/>
    <x v="3"/>
    <x v="5"/>
    <n v="36"/>
    <x v="1"/>
  </r>
  <r>
    <n v="125"/>
    <n v="37"/>
    <x v="0"/>
    <s v="Male single"/>
    <x v="1"/>
    <x v="1"/>
    <n v="1"/>
    <x v="1"/>
    <s v="Unknown"/>
    <x v="2"/>
    <n v="4"/>
    <x v="3"/>
    <s v="Yes"/>
    <s v="no checking"/>
    <x v="2"/>
    <s v="&lt;100"/>
    <x v="0"/>
    <s v="skilled"/>
    <s v="Skilled"/>
    <x v="0"/>
    <s v="1&lt;=X&lt;4"/>
    <x v="0"/>
    <s v="existing paid"/>
    <x v="1"/>
    <n v="4"/>
    <n v="1"/>
    <n v="1819"/>
    <s v="No"/>
    <s v="None"/>
    <s v="Store"/>
    <x v="7"/>
    <x v="5"/>
    <n v="36"/>
    <x v="0"/>
  </r>
  <r>
    <n v="126"/>
    <n v="34"/>
    <x v="0"/>
    <s v="Female Divorced with Dependents"/>
    <x v="0"/>
    <x v="0"/>
    <n v="1"/>
    <x v="1"/>
    <s v="Unknown"/>
    <x v="0"/>
    <n v="4"/>
    <x v="1"/>
    <s v="Yes"/>
    <s v="&lt;0"/>
    <x v="1"/>
    <s v="&lt;100"/>
    <x v="0"/>
    <s v="skilled"/>
    <s v="Skilled"/>
    <x v="0"/>
    <s v="&lt;1"/>
    <x v="1"/>
    <s v="existing paid"/>
    <x v="1"/>
    <n v="4"/>
    <n v="1"/>
    <n v="1842"/>
    <s v="No"/>
    <s v="None"/>
    <s v="None"/>
    <x v="3"/>
    <x v="5"/>
    <n v="36"/>
    <x v="0"/>
  </r>
  <r>
    <n v="127"/>
    <n v="61"/>
    <x v="5"/>
    <s v="Male single"/>
    <x v="1"/>
    <x v="1"/>
    <n v="1"/>
    <x v="1"/>
    <s v="Unknown"/>
    <x v="2"/>
    <n v="4"/>
    <x v="3"/>
    <s v="Yes"/>
    <s v="0&lt;=X&lt;200"/>
    <x v="0"/>
    <s v="&lt;100"/>
    <x v="0"/>
    <s v="high qualif/self emp/mgmt"/>
    <s v="Skilled"/>
    <x v="0"/>
    <s v="&gt;=7"/>
    <x v="3"/>
    <s v="no credits/all paid"/>
    <x v="0"/>
    <n v="4"/>
    <n v="1"/>
    <n v="1953"/>
    <s v="No"/>
    <s v="None"/>
    <s v="None"/>
    <x v="5"/>
    <x v="5"/>
    <n v="36"/>
    <x v="0"/>
  </r>
  <r>
    <n v="128"/>
    <n v="40"/>
    <x v="2"/>
    <s v="Male single"/>
    <x v="1"/>
    <x v="1"/>
    <n v="1"/>
    <x v="1"/>
    <s v="Unknown"/>
    <x v="0"/>
    <n v="4"/>
    <x v="3"/>
    <s v="Yes"/>
    <s v="&lt;0"/>
    <x v="1"/>
    <s v="no known savings"/>
    <x v="1"/>
    <s v="high qualif/self emp/mgmt"/>
    <s v="Skilled"/>
    <x v="0"/>
    <s v="&gt;=7"/>
    <x v="3"/>
    <s v="existing paid"/>
    <x v="1"/>
    <n v="4"/>
    <n v="1"/>
    <n v="1977"/>
    <s v="No"/>
    <s v="None"/>
    <s v="None"/>
    <x v="7"/>
    <x v="5"/>
    <n v="36"/>
    <x v="0"/>
  </r>
  <r>
    <n v="129"/>
    <n v="24"/>
    <x v="1"/>
    <s v="Male single"/>
    <x v="1"/>
    <x v="1"/>
    <n v="1"/>
    <x v="1"/>
    <s v="Unknown"/>
    <x v="0"/>
    <n v="1"/>
    <x v="1"/>
    <s v="Yes"/>
    <s v="&lt;0"/>
    <x v="1"/>
    <s v="&lt;100"/>
    <x v="0"/>
    <s v="skilled"/>
    <s v="Skilled"/>
    <x v="0"/>
    <s v="4&lt;=X&lt;7"/>
    <x v="2"/>
    <s v="delayed previously"/>
    <x v="4"/>
    <n v="2"/>
    <n v="2"/>
    <n v="2145"/>
    <s v="No"/>
    <s v="None"/>
    <s v="None"/>
    <x v="5"/>
    <x v="5"/>
    <n v="36"/>
    <x v="0"/>
  </r>
  <r>
    <n v="130"/>
    <n v="57"/>
    <x v="3"/>
    <s v="Male single"/>
    <x v="1"/>
    <x v="1"/>
    <n v="1"/>
    <x v="1"/>
    <s v="Unknown"/>
    <x v="2"/>
    <n v="4"/>
    <x v="3"/>
    <s v="Yes"/>
    <s v="0&lt;=X&lt;200"/>
    <x v="0"/>
    <s v="&lt;100"/>
    <x v="0"/>
    <s v="skilled"/>
    <s v="Skilled"/>
    <x v="0"/>
    <s v="&gt;=7"/>
    <x v="3"/>
    <s v="delayed previously"/>
    <x v="4"/>
    <n v="4"/>
    <n v="2"/>
    <n v="2225"/>
    <s v="No"/>
    <s v="None"/>
    <s v="Bank"/>
    <x v="3"/>
    <x v="5"/>
    <n v="36"/>
    <x v="0"/>
  </r>
  <r>
    <n v="131"/>
    <n v="32"/>
    <x v="0"/>
    <s v="Male single"/>
    <x v="1"/>
    <x v="1"/>
    <n v="2"/>
    <x v="1"/>
    <s v="Unknown"/>
    <x v="0"/>
    <n v="1"/>
    <x v="1"/>
    <s v="No"/>
    <s v="0&lt;=X&lt;200"/>
    <x v="0"/>
    <s v="&lt;100"/>
    <x v="0"/>
    <s v="skilled"/>
    <s v="Skilled"/>
    <x v="0"/>
    <s v="4&lt;=X&lt;7"/>
    <x v="2"/>
    <s v="existing paid"/>
    <x v="1"/>
    <n v="3"/>
    <n v="2"/>
    <n v="2273"/>
    <s v="No"/>
    <s v="None"/>
    <s v="None"/>
    <x v="7"/>
    <x v="5"/>
    <n v="36"/>
    <x v="1"/>
  </r>
  <r>
    <n v="132"/>
    <n v="39"/>
    <x v="2"/>
    <s v="Male single"/>
    <x v="1"/>
    <x v="1"/>
    <n v="1"/>
    <x v="1"/>
    <s v="Unknown"/>
    <x v="0"/>
    <n v="4"/>
    <x v="1"/>
    <s v="No"/>
    <s v="no checking"/>
    <x v="2"/>
    <s v="500&lt;=X&lt;1000"/>
    <x v="4"/>
    <s v="skilled"/>
    <s v="Skilled"/>
    <x v="0"/>
    <s v="&gt;=7"/>
    <x v="3"/>
    <s v="existing paid"/>
    <x v="1"/>
    <n v="4"/>
    <n v="1"/>
    <n v="2299"/>
    <s v="No"/>
    <s v="None"/>
    <s v="None"/>
    <x v="4"/>
    <x v="5"/>
    <n v="36"/>
    <x v="1"/>
  </r>
  <r>
    <n v="133"/>
    <n v="31"/>
    <x v="0"/>
    <s v="Male Divorced/Seperated"/>
    <x v="1"/>
    <x v="3"/>
    <n v="1"/>
    <x v="1"/>
    <s v="Unknown"/>
    <x v="1"/>
    <n v="4"/>
    <x v="1"/>
    <s v="No"/>
    <s v="&lt;0"/>
    <x v="1"/>
    <s v="&lt;100"/>
    <x v="0"/>
    <s v="skilled"/>
    <s v="Skilled"/>
    <x v="0"/>
    <s v="1&lt;=X&lt;4"/>
    <x v="0"/>
    <s v="existing paid"/>
    <x v="1"/>
    <n v="4"/>
    <n v="1"/>
    <n v="2302"/>
    <s v="No"/>
    <s v="None"/>
    <s v="None"/>
    <x v="4"/>
    <x v="5"/>
    <n v="36"/>
    <x v="0"/>
  </r>
  <r>
    <n v="134"/>
    <n v="24"/>
    <x v="1"/>
    <s v="Male single"/>
    <x v="1"/>
    <x v="1"/>
    <n v="1"/>
    <x v="1"/>
    <s v="Unknown"/>
    <x v="1"/>
    <n v="4"/>
    <x v="1"/>
    <s v="No"/>
    <s v="0&lt;=X&lt;200"/>
    <x v="0"/>
    <s v="&lt;100"/>
    <x v="0"/>
    <s v="skilled"/>
    <s v="Skilled"/>
    <x v="0"/>
    <s v="4&lt;=X&lt;7"/>
    <x v="2"/>
    <s v="existing paid"/>
    <x v="1"/>
    <n v="4"/>
    <n v="1"/>
    <n v="2323"/>
    <s v="No"/>
    <s v="None"/>
    <s v="None"/>
    <x v="4"/>
    <x v="5"/>
    <n v="36"/>
    <x v="1"/>
  </r>
  <r>
    <n v="135"/>
    <n v="36"/>
    <x v="0"/>
    <s v="Male single"/>
    <x v="1"/>
    <x v="1"/>
    <n v="1"/>
    <x v="1"/>
    <s v="Unknown"/>
    <x v="0"/>
    <n v="4"/>
    <x v="2"/>
    <s v="No"/>
    <s v="0&lt;=X&lt;200"/>
    <x v="0"/>
    <s v="&lt;100"/>
    <x v="0"/>
    <s v="skilled"/>
    <s v="Skilled"/>
    <x v="0"/>
    <s v="&gt;=7"/>
    <x v="3"/>
    <s v="critical/Others existing credit"/>
    <x v="3"/>
    <n v="4"/>
    <n v="1"/>
    <n v="2337"/>
    <s v="No"/>
    <s v="None"/>
    <s v="None"/>
    <x v="4"/>
    <x v="5"/>
    <n v="36"/>
    <x v="1"/>
  </r>
  <r>
    <n v="136"/>
    <n v="46"/>
    <x v="2"/>
    <s v="Male Married/Widowed"/>
    <x v="1"/>
    <x v="2"/>
    <n v="1"/>
    <x v="1"/>
    <s v="Unknown"/>
    <x v="0"/>
    <n v="2"/>
    <x v="0"/>
    <s v="Yes"/>
    <s v="&lt;0"/>
    <x v="1"/>
    <s v="&lt;100"/>
    <x v="0"/>
    <s v="skilled"/>
    <s v="Skilled"/>
    <x v="0"/>
    <s v="1&lt;=X&lt;4"/>
    <x v="0"/>
    <s v="critical/Others existing credit"/>
    <x v="3"/>
    <n v="3"/>
    <n v="2"/>
    <n v="2348"/>
    <s v="No"/>
    <s v="None"/>
    <s v="None"/>
    <x v="1"/>
    <x v="5"/>
    <n v="36"/>
    <x v="1"/>
  </r>
  <r>
    <n v="137"/>
    <n v="33"/>
    <x v="0"/>
    <s v="Male single"/>
    <x v="1"/>
    <x v="1"/>
    <n v="1"/>
    <x v="1"/>
    <s v="Resident"/>
    <x v="1"/>
    <n v="1"/>
    <x v="3"/>
    <s v="No"/>
    <s v="0&lt;=X&lt;200"/>
    <x v="0"/>
    <s v="&lt;100"/>
    <x v="0"/>
    <s v="unskilled resident"/>
    <s v="Unskilled"/>
    <x v="0"/>
    <s v="&lt;1"/>
    <x v="1"/>
    <s v="existing paid"/>
    <x v="1"/>
    <n v="4"/>
    <n v="1"/>
    <n v="2384"/>
    <s v="No"/>
    <s v="None"/>
    <s v="None"/>
    <x v="6"/>
    <x v="5"/>
    <n v="36"/>
    <x v="0"/>
  </r>
  <r>
    <n v="138"/>
    <n v="25"/>
    <x v="1"/>
    <s v="Female Divorced with Dependents"/>
    <x v="0"/>
    <x v="0"/>
    <n v="1"/>
    <x v="1"/>
    <s v="Unknown"/>
    <x v="0"/>
    <n v="4"/>
    <x v="1"/>
    <s v="No"/>
    <s v="no checking"/>
    <x v="2"/>
    <s v="no known savings"/>
    <x v="1"/>
    <s v="skilled"/>
    <s v="Skilled"/>
    <x v="0"/>
    <s v="1&lt;=X&lt;4"/>
    <x v="0"/>
    <s v="existing paid"/>
    <x v="1"/>
    <n v="4"/>
    <n v="1"/>
    <n v="2394"/>
    <s v="No"/>
    <s v="None"/>
    <s v="None"/>
    <x v="4"/>
    <x v="5"/>
    <n v="36"/>
    <x v="1"/>
  </r>
  <r>
    <n v="139"/>
    <n v="27"/>
    <x v="1"/>
    <s v="Male single"/>
    <x v="1"/>
    <x v="1"/>
    <n v="1"/>
    <x v="1"/>
    <s v="Unknown"/>
    <x v="0"/>
    <n v="2"/>
    <x v="1"/>
    <s v="No"/>
    <s v="no checking"/>
    <x v="2"/>
    <s v="&lt;100"/>
    <x v="0"/>
    <s v="skilled"/>
    <s v="Skilled"/>
    <x v="0"/>
    <s v="1&lt;=X&lt;4"/>
    <x v="0"/>
    <s v="no credits/all paid"/>
    <x v="0"/>
    <n v="4"/>
    <n v="2"/>
    <n v="2613"/>
    <s v="No"/>
    <s v="None"/>
    <s v="None"/>
    <x v="6"/>
    <x v="5"/>
    <n v="36"/>
    <x v="1"/>
  </r>
  <r>
    <n v="140"/>
    <n v="50"/>
    <x v="3"/>
    <s v="Female Divorced with Dependents"/>
    <x v="0"/>
    <x v="0"/>
    <n v="1"/>
    <x v="1"/>
    <s v="Unknown"/>
    <x v="2"/>
    <n v="4"/>
    <x v="3"/>
    <s v="No"/>
    <s v="0&lt;=X&lt;200"/>
    <x v="0"/>
    <s v="100&lt;=X&lt;500"/>
    <x v="3"/>
    <s v="skilled"/>
    <s v="Skilled"/>
    <x v="0"/>
    <s v="1&lt;=X&lt;4"/>
    <x v="0"/>
    <s v="existing paid"/>
    <x v="1"/>
    <n v="4"/>
    <n v="1"/>
    <n v="2671"/>
    <s v="co applicant"/>
    <s v="Co-applicant"/>
    <s v="None"/>
    <x v="4"/>
    <x v="5"/>
    <n v="36"/>
    <x v="0"/>
  </r>
  <r>
    <n v="141"/>
    <n v="41"/>
    <x v="2"/>
    <s v="Male single"/>
    <x v="1"/>
    <x v="1"/>
    <n v="2"/>
    <x v="1"/>
    <s v="Unknown"/>
    <x v="0"/>
    <n v="2"/>
    <x v="0"/>
    <s v="No"/>
    <s v="&lt;0"/>
    <x v="1"/>
    <s v="&lt;100"/>
    <x v="0"/>
    <s v="skilled"/>
    <s v="Skilled"/>
    <x v="0"/>
    <s v="&gt;=7"/>
    <x v="3"/>
    <s v="existing paid"/>
    <x v="1"/>
    <n v="2"/>
    <n v="1"/>
    <n v="2712"/>
    <s v="No"/>
    <s v="None"/>
    <s v="Bank"/>
    <x v="1"/>
    <x v="5"/>
    <n v="36"/>
    <x v="0"/>
  </r>
  <r>
    <n v="142"/>
    <n v="31"/>
    <x v="0"/>
    <s v="Male single"/>
    <x v="1"/>
    <x v="1"/>
    <n v="1"/>
    <x v="1"/>
    <s v="Unknown"/>
    <x v="0"/>
    <n v="4"/>
    <x v="1"/>
    <s v="No"/>
    <s v="&lt;0"/>
    <x v="1"/>
    <s v="&lt;100"/>
    <x v="0"/>
    <s v="skilled"/>
    <s v="Skilled"/>
    <x v="0"/>
    <s v="&gt;=7"/>
    <x v="3"/>
    <s v="all paid"/>
    <x v="2"/>
    <n v="4"/>
    <n v="1"/>
    <n v="2746"/>
    <s v="No"/>
    <s v="None"/>
    <s v="Bank"/>
    <x v="1"/>
    <x v="5"/>
    <n v="36"/>
    <x v="0"/>
  </r>
  <r>
    <n v="143"/>
    <n v="27"/>
    <x v="1"/>
    <s v="Male Divorced/Seperated"/>
    <x v="1"/>
    <x v="3"/>
    <n v="1"/>
    <x v="1"/>
    <s v="Unknown"/>
    <x v="0"/>
    <n v="4"/>
    <x v="1"/>
    <s v="No"/>
    <s v="0&lt;=X&lt;200"/>
    <x v="0"/>
    <s v="&lt;100"/>
    <x v="0"/>
    <s v="skilled"/>
    <s v="Skilled"/>
    <x v="0"/>
    <s v="&lt;1"/>
    <x v="1"/>
    <s v="critical/Others existing credit"/>
    <x v="3"/>
    <n v="4"/>
    <n v="2"/>
    <n v="2820"/>
    <s v="No"/>
    <s v="None"/>
    <s v="None"/>
    <x v="3"/>
    <x v="5"/>
    <n v="36"/>
    <x v="0"/>
  </r>
  <r>
    <n v="144"/>
    <n v="30"/>
    <x v="0"/>
    <s v="Male single"/>
    <x v="1"/>
    <x v="1"/>
    <n v="1"/>
    <x v="1"/>
    <s v="Unknown"/>
    <x v="2"/>
    <n v="3"/>
    <x v="3"/>
    <s v="No"/>
    <s v="0&lt;=X&lt;200"/>
    <x v="0"/>
    <s v="100&lt;=X&lt;500"/>
    <x v="3"/>
    <s v="skilled"/>
    <s v="Skilled"/>
    <x v="0"/>
    <s v="&gt;=7"/>
    <x v="3"/>
    <s v="delayed previously"/>
    <x v="4"/>
    <n v="4"/>
    <n v="1"/>
    <n v="2862"/>
    <s v="No"/>
    <s v="None"/>
    <s v="None"/>
    <x v="3"/>
    <x v="5"/>
    <n v="36"/>
    <x v="1"/>
  </r>
  <r>
    <n v="145"/>
    <n v="36"/>
    <x v="0"/>
    <s v="Male single"/>
    <x v="1"/>
    <x v="1"/>
    <n v="1"/>
    <x v="1"/>
    <s v="Unknown"/>
    <x v="0"/>
    <n v="4"/>
    <x v="2"/>
    <s v="No"/>
    <s v="no checking"/>
    <x v="2"/>
    <s v="no known savings"/>
    <x v="1"/>
    <s v="skilled"/>
    <s v="Skilled"/>
    <x v="0"/>
    <s v="1&lt;=X&lt;4"/>
    <x v="0"/>
    <s v="existing paid"/>
    <x v="1"/>
    <n v="4"/>
    <n v="1"/>
    <n v="3079"/>
    <s v="No"/>
    <s v="None"/>
    <s v="None"/>
    <x v="3"/>
    <x v="5"/>
    <n v="36"/>
    <x v="1"/>
  </r>
  <r>
    <n v="146"/>
    <n v="39"/>
    <x v="2"/>
    <s v="Male single"/>
    <x v="1"/>
    <x v="1"/>
    <n v="2"/>
    <x v="1"/>
    <s v="Unknown"/>
    <x v="2"/>
    <n v="4"/>
    <x v="3"/>
    <s v="Yes"/>
    <s v="&lt;0"/>
    <x v="1"/>
    <s v="&lt;100"/>
    <x v="0"/>
    <s v="high qualif/self emp/mgmt"/>
    <s v="Skilled"/>
    <x v="0"/>
    <s v="4&lt;=X&lt;7"/>
    <x v="2"/>
    <s v="existing paid"/>
    <x v="1"/>
    <n v="2"/>
    <n v="1"/>
    <n v="3249"/>
    <s v="No"/>
    <s v="None"/>
    <s v="Bank"/>
    <x v="3"/>
    <x v="5"/>
    <n v="36"/>
    <x v="1"/>
  </r>
  <r>
    <n v="147"/>
    <n v="51"/>
    <x v="3"/>
    <s v="Male single"/>
    <x v="1"/>
    <x v="1"/>
    <n v="1"/>
    <x v="1"/>
    <s v="Unknown"/>
    <x v="0"/>
    <n v="2"/>
    <x v="1"/>
    <s v="Yes"/>
    <s v="no checking"/>
    <x v="2"/>
    <s v="no known savings"/>
    <x v="1"/>
    <s v="skilled"/>
    <s v="Skilled"/>
    <x v="0"/>
    <s v="&gt;=7"/>
    <x v="3"/>
    <s v="critical/Others existing credit"/>
    <x v="3"/>
    <n v="4"/>
    <n v="1"/>
    <n v="3342"/>
    <s v="No"/>
    <s v="None"/>
    <s v="None"/>
    <x v="4"/>
    <x v="5"/>
    <n v="36"/>
    <x v="1"/>
  </r>
  <r>
    <n v="148"/>
    <n v="28"/>
    <x v="1"/>
    <s v="Female Divorced with Dependents"/>
    <x v="0"/>
    <x v="0"/>
    <n v="1"/>
    <x v="1"/>
    <s v="Unknown"/>
    <x v="0"/>
    <n v="2"/>
    <x v="1"/>
    <s v="Yes"/>
    <s v="no checking"/>
    <x v="2"/>
    <s v="&lt;100"/>
    <x v="0"/>
    <s v="high qualif/self emp/mgmt"/>
    <s v="Skilled"/>
    <x v="0"/>
    <s v="1&lt;=X&lt;4"/>
    <x v="0"/>
    <s v="existing paid"/>
    <x v="1"/>
    <n v="4"/>
    <n v="1"/>
    <n v="3349"/>
    <s v="No"/>
    <s v="None"/>
    <s v="None"/>
    <x v="1"/>
    <x v="5"/>
    <n v="36"/>
    <x v="0"/>
  </r>
  <r>
    <n v="149"/>
    <n v="42"/>
    <x v="2"/>
    <s v="Male single"/>
    <x v="1"/>
    <x v="1"/>
    <n v="2"/>
    <x v="1"/>
    <s v="Unknown"/>
    <x v="0"/>
    <n v="2"/>
    <x v="1"/>
    <s v="No"/>
    <s v="&lt;0"/>
    <x v="1"/>
    <s v="&lt;100"/>
    <x v="0"/>
    <s v="skilled"/>
    <s v="Skilled"/>
    <x v="0"/>
    <s v="&gt;=7"/>
    <x v="3"/>
    <s v="existing paid"/>
    <x v="1"/>
    <n v="4"/>
    <n v="1"/>
    <n v="3446"/>
    <s v="No"/>
    <s v="None"/>
    <s v="None"/>
    <x v="1"/>
    <x v="5"/>
    <n v="36"/>
    <x v="0"/>
  </r>
  <r>
    <n v="150"/>
    <n v="37"/>
    <x v="0"/>
    <s v="Male single"/>
    <x v="1"/>
    <x v="1"/>
    <n v="1"/>
    <x v="1"/>
    <s v="Unknown"/>
    <x v="0"/>
    <n v="4"/>
    <x v="1"/>
    <s v="Yes"/>
    <s v="no checking"/>
    <x v="2"/>
    <s v="&lt;100"/>
    <x v="0"/>
    <s v="skilled"/>
    <s v="Skilled"/>
    <x v="0"/>
    <s v="4&lt;=X&lt;7"/>
    <x v="2"/>
    <s v="critical/Others existing credit"/>
    <x v="3"/>
    <n v="4"/>
    <n v="2"/>
    <n v="3535"/>
    <s v="No"/>
    <s v="None"/>
    <s v="None"/>
    <x v="3"/>
    <x v="5"/>
    <n v="36"/>
    <x v="1"/>
  </r>
  <r>
    <n v="151"/>
    <n v="28"/>
    <x v="1"/>
    <s v="Male single"/>
    <x v="1"/>
    <x v="1"/>
    <n v="1"/>
    <x v="1"/>
    <s v="Unknown"/>
    <x v="0"/>
    <n v="2"/>
    <x v="1"/>
    <s v="No"/>
    <s v="no checking"/>
    <x v="2"/>
    <s v="&lt;100"/>
    <x v="0"/>
    <s v="skilled"/>
    <s v="Skilled"/>
    <x v="0"/>
    <s v="&gt;=7"/>
    <x v="3"/>
    <s v="existing paid"/>
    <x v="1"/>
    <n v="4"/>
    <n v="1"/>
    <n v="3595"/>
    <s v="No"/>
    <s v="None"/>
    <s v="None"/>
    <x v="4"/>
    <x v="5"/>
    <n v="36"/>
    <x v="1"/>
  </r>
  <r>
    <n v="152"/>
    <n v="37"/>
    <x v="0"/>
    <s v="Male single"/>
    <x v="1"/>
    <x v="1"/>
    <n v="2"/>
    <x v="1"/>
    <s v="Unknown"/>
    <x v="0"/>
    <n v="2"/>
    <x v="0"/>
    <s v="No"/>
    <s v="&lt;0"/>
    <x v="1"/>
    <s v="&lt;100"/>
    <x v="0"/>
    <s v="skilled"/>
    <s v="Skilled"/>
    <x v="0"/>
    <s v="1&lt;=X&lt;4"/>
    <x v="0"/>
    <s v="existing paid"/>
    <x v="1"/>
    <n v="1"/>
    <n v="1"/>
    <n v="3620"/>
    <s v="guarantor"/>
    <s v="Guarantor"/>
    <s v="None"/>
    <x v="1"/>
    <x v="5"/>
    <n v="36"/>
    <x v="1"/>
  </r>
  <r>
    <n v="153"/>
    <n v="27"/>
    <x v="1"/>
    <s v="Male Married/Widowed"/>
    <x v="1"/>
    <x v="2"/>
    <n v="1"/>
    <x v="1"/>
    <s v="Unknown"/>
    <x v="0"/>
    <n v="2"/>
    <x v="1"/>
    <s v="No"/>
    <s v="0&lt;=X&lt;200"/>
    <x v="0"/>
    <s v="no known savings"/>
    <x v="1"/>
    <s v="skilled"/>
    <s v="Skilled"/>
    <x v="0"/>
    <s v="1&lt;=X&lt;4"/>
    <x v="0"/>
    <s v="existing paid"/>
    <x v="1"/>
    <n v="2"/>
    <n v="1"/>
    <n v="3711"/>
    <s v="No"/>
    <s v="None"/>
    <s v="None"/>
    <x v="7"/>
    <x v="5"/>
    <n v="36"/>
    <x v="1"/>
  </r>
  <r>
    <n v="154"/>
    <n v="42"/>
    <x v="2"/>
    <s v="Female Divorced with Dependents"/>
    <x v="0"/>
    <x v="0"/>
    <n v="1"/>
    <x v="1"/>
    <s v="Unknown"/>
    <x v="0"/>
    <n v="1"/>
    <x v="1"/>
    <s v="Yes"/>
    <s v="0&lt;=X&lt;200"/>
    <x v="0"/>
    <s v="&lt;100"/>
    <x v="0"/>
    <s v="skilled"/>
    <s v="Skilled"/>
    <x v="0"/>
    <s v="1&lt;=X&lt;4"/>
    <x v="0"/>
    <s v="no credits/all paid"/>
    <x v="0"/>
    <n v="4"/>
    <n v="1"/>
    <n v="3804"/>
    <s v="No"/>
    <s v="None"/>
    <s v="None"/>
    <x v="4"/>
    <x v="5"/>
    <n v="36"/>
    <x v="0"/>
  </r>
  <r>
    <n v="155"/>
    <n v="45"/>
    <x v="2"/>
    <s v="Female Divorced with Dependents"/>
    <x v="0"/>
    <x v="0"/>
    <n v="1"/>
    <x v="1"/>
    <s v="Resident"/>
    <x v="0"/>
    <n v="4"/>
    <x v="2"/>
    <s v="Yes"/>
    <s v="no checking"/>
    <x v="2"/>
    <s v="no known savings"/>
    <x v="1"/>
    <s v="unskilled resident"/>
    <s v="Unskilled"/>
    <x v="0"/>
    <s v="&gt;=7"/>
    <x v="3"/>
    <s v="existing paid"/>
    <x v="1"/>
    <n v="2"/>
    <n v="1"/>
    <n v="3835"/>
    <s v="No"/>
    <s v="None"/>
    <s v="None"/>
    <x v="4"/>
    <x v="5"/>
    <n v="36"/>
    <x v="1"/>
  </r>
  <r>
    <n v="156"/>
    <n v="23"/>
    <x v="1"/>
    <s v="Male single"/>
    <x v="1"/>
    <x v="1"/>
    <n v="1"/>
    <x v="1"/>
    <s v="Unknown"/>
    <x v="0"/>
    <n v="2"/>
    <x v="2"/>
    <s v="Yes"/>
    <s v="&gt;=200"/>
    <x v="3"/>
    <s v="&lt;100"/>
    <x v="0"/>
    <s v="skilled"/>
    <s v="Skilled"/>
    <x v="0"/>
    <s v="1&lt;=X&lt;4"/>
    <x v="0"/>
    <s v="existing paid"/>
    <x v="1"/>
    <n v="2"/>
    <n v="1"/>
    <n v="3913"/>
    <s v="No"/>
    <s v="None"/>
    <s v="None"/>
    <x v="4"/>
    <x v="5"/>
    <n v="36"/>
    <x v="1"/>
  </r>
  <r>
    <n v="157"/>
    <n v="30"/>
    <x v="0"/>
    <s v="Male single"/>
    <x v="1"/>
    <x v="1"/>
    <n v="1"/>
    <x v="1"/>
    <s v="Unknown"/>
    <x v="0"/>
    <n v="3"/>
    <x v="0"/>
    <s v="Yes"/>
    <s v="&lt;0"/>
    <x v="1"/>
    <s v="&lt;100"/>
    <x v="0"/>
    <s v="high qualif/self emp/mgmt"/>
    <s v="Skilled"/>
    <x v="0"/>
    <s v="unemployed"/>
    <x v="4"/>
    <s v="existing paid"/>
    <x v="1"/>
    <n v="4"/>
    <n v="1"/>
    <n v="3959"/>
    <s v="No"/>
    <s v="None"/>
    <s v="None"/>
    <x v="1"/>
    <x v="5"/>
    <n v="36"/>
    <x v="1"/>
  </r>
  <r>
    <n v="158"/>
    <n v="29"/>
    <x v="0"/>
    <s v="Female Divorced with Dependents"/>
    <x v="0"/>
    <x v="0"/>
    <n v="1"/>
    <x v="1"/>
    <s v="Non-resident"/>
    <x v="0"/>
    <n v="2"/>
    <x v="3"/>
    <s v="No"/>
    <s v="0&lt;=X&lt;200"/>
    <x v="0"/>
    <s v="no known savings"/>
    <x v="1"/>
    <s v="unemp/unskilled non res"/>
    <s v="Unskilled"/>
    <x v="1"/>
    <s v="&lt;1"/>
    <x v="1"/>
    <s v="all paid"/>
    <x v="2"/>
    <n v="3"/>
    <n v="1"/>
    <n v="3990"/>
    <s v="No"/>
    <s v="None"/>
    <s v="Bank"/>
    <x v="8"/>
    <x v="5"/>
    <n v="36"/>
    <x v="1"/>
  </r>
  <r>
    <n v="159"/>
    <n v="26"/>
    <x v="1"/>
    <s v="Male single"/>
    <x v="1"/>
    <x v="1"/>
    <n v="1"/>
    <x v="1"/>
    <s v="Unknown"/>
    <x v="0"/>
    <n v="2"/>
    <x v="1"/>
    <s v="No"/>
    <s v="&gt;=200"/>
    <x v="3"/>
    <s v="&lt;100"/>
    <x v="0"/>
    <s v="skilled"/>
    <s v="Skilled"/>
    <x v="0"/>
    <s v="1&lt;=X&lt;4"/>
    <x v="0"/>
    <s v="existing paid"/>
    <x v="1"/>
    <n v="4"/>
    <n v="1"/>
    <n v="4210"/>
    <s v="No"/>
    <s v="None"/>
    <s v="None"/>
    <x v="4"/>
    <x v="5"/>
    <n v="36"/>
    <x v="0"/>
  </r>
  <r>
    <n v="160"/>
    <n v="34"/>
    <x v="0"/>
    <s v="Female Divorced with Dependents"/>
    <x v="0"/>
    <x v="0"/>
    <n v="1"/>
    <x v="1"/>
    <s v="Unknown"/>
    <x v="0"/>
    <n v="4"/>
    <x v="2"/>
    <s v="No"/>
    <s v="no checking"/>
    <x v="2"/>
    <s v="&lt;100"/>
    <x v="0"/>
    <s v="skilled"/>
    <s v="Skilled"/>
    <x v="0"/>
    <s v="1&lt;=X&lt;4"/>
    <x v="0"/>
    <s v="delayed previously"/>
    <x v="4"/>
    <n v="4"/>
    <n v="2"/>
    <n v="4454"/>
    <s v="No"/>
    <s v="None"/>
    <s v="None"/>
    <x v="4"/>
    <x v="5"/>
    <n v="36"/>
    <x v="1"/>
  </r>
  <r>
    <n v="161"/>
    <n v="30"/>
    <x v="0"/>
    <s v="Male Divorced/Seperated"/>
    <x v="1"/>
    <x v="3"/>
    <n v="1"/>
    <x v="1"/>
    <s v="Unknown"/>
    <x v="0"/>
    <n v="2"/>
    <x v="2"/>
    <s v="Yes"/>
    <s v="0&lt;=X&lt;200"/>
    <x v="0"/>
    <s v="&lt;100"/>
    <x v="0"/>
    <s v="high qualif/self emp/mgmt"/>
    <s v="Skilled"/>
    <x v="0"/>
    <s v="1&lt;=X&lt;4"/>
    <x v="0"/>
    <s v="delayed previously"/>
    <x v="4"/>
    <n v="2"/>
    <n v="2"/>
    <n v="4455"/>
    <s v="No"/>
    <s v="None"/>
    <s v="Store"/>
    <x v="5"/>
    <x v="5"/>
    <n v="36"/>
    <x v="0"/>
  </r>
  <r>
    <n v="162"/>
    <n v="26"/>
    <x v="1"/>
    <s v="Male single"/>
    <x v="1"/>
    <x v="1"/>
    <n v="1"/>
    <x v="1"/>
    <s v="Unknown"/>
    <x v="0"/>
    <n v="2"/>
    <x v="1"/>
    <s v="Yes"/>
    <s v="no checking"/>
    <x v="2"/>
    <s v="&lt;100"/>
    <x v="0"/>
    <s v="high qualif/self emp/mgmt"/>
    <s v="Skilled"/>
    <x v="0"/>
    <s v="1&lt;=X&lt;4"/>
    <x v="0"/>
    <s v="delayed previously"/>
    <x v="4"/>
    <n v="4"/>
    <n v="2"/>
    <n v="4463"/>
    <s v="No"/>
    <s v="None"/>
    <s v="None"/>
    <x v="4"/>
    <x v="5"/>
    <n v="36"/>
    <x v="0"/>
  </r>
  <r>
    <n v="163"/>
    <n v="31"/>
    <x v="0"/>
    <s v="Male single"/>
    <x v="1"/>
    <x v="1"/>
    <n v="1"/>
    <x v="1"/>
    <s v="Unknown"/>
    <x v="0"/>
    <n v="2"/>
    <x v="1"/>
    <s v="No"/>
    <s v="&gt;=200"/>
    <x v="3"/>
    <s v="&lt;100"/>
    <x v="0"/>
    <s v="skilled"/>
    <s v="Skilled"/>
    <x v="0"/>
    <s v="&gt;=7"/>
    <x v="3"/>
    <s v="existing paid"/>
    <x v="1"/>
    <n v="4"/>
    <n v="1"/>
    <n v="4473"/>
    <s v="No"/>
    <s v="None"/>
    <s v="None"/>
    <x v="4"/>
    <x v="5"/>
    <n v="36"/>
    <x v="1"/>
  </r>
  <r>
    <n v="164"/>
    <n v="32"/>
    <x v="0"/>
    <s v="Male single"/>
    <x v="1"/>
    <x v="1"/>
    <n v="1"/>
    <x v="1"/>
    <s v="Unknown"/>
    <x v="2"/>
    <n v="2"/>
    <x v="3"/>
    <s v="Yes"/>
    <s v="no checking"/>
    <x v="2"/>
    <s v="&lt;100"/>
    <x v="0"/>
    <s v="high qualif/self emp/mgmt"/>
    <s v="Skilled"/>
    <x v="0"/>
    <s v="1&lt;=X&lt;4"/>
    <x v="0"/>
    <s v="existing paid"/>
    <x v="1"/>
    <n v="2"/>
    <n v="1"/>
    <n v="4686"/>
    <s v="No"/>
    <s v="None"/>
    <s v="None"/>
    <x v="2"/>
    <x v="5"/>
    <n v="36"/>
    <x v="1"/>
  </r>
  <r>
    <n v="165"/>
    <n v="30"/>
    <x v="0"/>
    <s v="Female Divorced with Dependents"/>
    <x v="0"/>
    <x v="0"/>
    <n v="1"/>
    <x v="1"/>
    <s v="Unknown"/>
    <x v="0"/>
    <n v="1"/>
    <x v="3"/>
    <s v="Yes"/>
    <s v="0&lt;=X&lt;200"/>
    <x v="0"/>
    <s v="&lt;100"/>
    <x v="0"/>
    <s v="high qualif/self emp/mgmt"/>
    <s v="Skilled"/>
    <x v="0"/>
    <s v="&lt;1"/>
    <x v="1"/>
    <s v="existing paid"/>
    <x v="1"/>
    <n v="4"/>
    <n v="1"/>
    <n v="4795"/>
    <s v="No"/>
    <s v="None"/>
    <s v="None"/>
    <x v="4"/>
    <x v="5"/>
    <n v="36"/>
    <x v="1"/>
  </r>
  <r>
    <n v="166"/>
    <n v="29"/>
    <x v="0"/>
    <s v="Male single"/>
    <x v="1"/>
    <x v="1"/>
    <n v="1"/>
    <x v="1"/>
    <s v="Unknown"/>
    <x v="0"/>
    <n v="2"/>
    <x v="0"/>
    <s v="No"/>
    <s v="&lt;0"/>
    <x v="1"/>
    <s v="&lt;100"/>
    <x v="0"/>
    <s v="skilled"/>
    <s v="Skilled"/>
    <x v="0"/>
    <s v="4&lt;=X&lt;7"/>
    <x v="2"/>
    <s v="existing paid"/>
    <x v="1"/>
    <n v="4"/>
    <n v="1"/>
    <n v="5179"/>
    <s v="No"/>
    <s v="None"/>
    <s v="None"/>
    <x v="1"/>
    <x v="5"/>
    <n v="36"/>
    <x v="0"/>
  </r>
  <r>
    <n v="167"/>
    <n v="28"/>
    <x v="1"/>
    <s v="Male single"/>
    <x v="1"/>
    <x v="1"/>
    <n v="1"/>
    <x v="1"/>
    <s v="Unknown"/>
    <x v="0"/>
    <n v="2"/>
    <x v="0"/>
    <s v="No"/>
    <s v="&lt;0"/>
    <x v="1"/>
    <s v="&lt;100"/>
    <x v="0"/>
    <s v="skilled"/>
    <s v="Skilled"/>
    <x v="0"/>
    <s v="1&lt;=X&lt;4"/>
    <x v="0"/>
    <s v="critical/Others existing credit"/>
    <x v="3"/>
    <n v="3"/>
    <n v="2"/>
    <n v="5371"/>
    <s v="guarantor"/>
    <s v="Guarantor"/>
    <s v="None"/>
    <x v="1"/>
    <x v="5"/>
    <n v="36"/>
    <x v="1"/>
  </r>
  <r>
    <n v="168"/>
    <n v="42"/>
    <x v="2"/>
    <s v="Male single"/>
    <x v="1"/>
    <x v="1"/>
    <n v="2"/>
    <x v="1"/>
    <s v="Unknown"/>
    <x v="2"/>
    <n v="4"/>
    <x v="3"/>
    <s v="No"/>
    <s v="&lt;0"/>
    <x v="1"/>
    <s v="&lt;100"/>
    <x v="0"/>
    <s v="skilled"/>
    <s v="Skilled"/>
    <x v="0"/>
    <s v="&gt;=7"/>
    <x v="3"/>
    <s v="existing paid"/>
    <x v="1"/>
    <n v="2"/>
    <n v="1"/>
    <n v="5493"/>
    <s v="No"/>
    <s v="None"/>
    <s v="None"/>
    <x v="2"/>
    <x v="5"/>
    <n v="36"/>
    <x v="1"/>
  </r>
  <r>
    <n v="169"/>
    <n v="38"/>
    <x v="0"/>
    <s v="Male single"/>
    <x v="1"/>
    <x v="1"/>
    <n v="1"/>
    <x v="1"/>
    <s v="Unknown"/>
    <x v="0"/>
    <n v="2"/>
    <x v="1"/>
    <s v="Yes"/>
    <s v="no checking"/>
    <x v="2"/>
    <s v="&gt;=1000"/>
    <x v="2"/>
    <s v="high qualif/self emp/mgmt"/>
    <s v="Skilled"/>
    <x v="0"/>
    <s v="&gt;=7"/>
    <x v="3"/>
    <s v="critical/Others existing credit"/>
    <x v="3"/>
    <n v="4"/>
    <n v="2"/>
    <n v="5711"/>
    <s v="No"/>
    <s v="None"/>
    <s v="None"/>
    <x v="2"/>
    <x v="5"/>
    <n v="36"/>
    <x v="1"/>
  </r>
  <r>
    <n v="170"/>
    <n v="31"/>
    <x v="0"/>
    <s v="Male single"/>
    <x v="1"/>
    <x v="1"/>
    <n v="1"/>
    <x v="1"/>
    <s v="Unknown"/>
    <x v="0"/>
    <n v="2"/>
    <x v="1"/>
    <s v="Yes"/>
    <s v="no checking"/>
    <x v="2"/>
    <s v="100&lt;=X&lt;500"/>
    <x v="3"/>
    <s v="skilled"/>
    <s v="Skilled"/>
    <x v="0"/>
    <s v="4&lt;=X&lt;7"/>
    <x v="2"/>
    <s v="existing paid"/>
    <x v="1"/>
    <n v="2"/>
    <n v="2"/>
    <n v="5742"/>
    <s v="No"/>
    <s v="None"/>
    <s v="None"/>
    <x v="5"/>
    <x v="5"/>
    <n v="36"/>
    <x v="1"/>
  </r>
  <r>
    <n v="171"/>
    <n v="34"/>
    <x v="0"/>
    <s v="Male single"/>
    <x v="1"/>
    <x v="1"/>
    <n v="1"/>
    <x v="1"/>
    <s v="Unknown"/>
    <x v="0"/>
    <n v="4"/>
    <x v="1"/>
    <s v="Yes"/>
    <s v="0&lt;=X&lt;200"/>
    <x v="0"/>
    <s v="&lt;100"/>
    <x v="0"/>
    <s v="skilled"/>
    <s v="Skilled"/>
    <x v="0"/>
    <s v="1&lt;=X&lt;4"/>
    <x v="0"/>
    <s v="critical/Others existing credit"/>
    <x v="3"/>
    <n v="3"/>
    <n v="2"/>
    <n v="5800"/>
    <s v="No"/>
    <s v="None"/>
    <s v="None"/>
    <x v="2"/>
    <x v="5"/>
    <n v="36"/>
    <x v="1"/>
  </r>
  <r>
    <n v="172"/>
    <n v="35"/>
    <x v="0"/>
    <s v="Male single"/>
    <x v="1"/>
    <x v="1"/>
    <n v="2"/>
    <x v="1"/>
    <s v="Unknown"/>
    <x v="0"/>
    <n v="2"/>
    <x v="0"/>
    <s v="Yes"/>
    <s v="no checking"/>
    <x v="2"/>
    <s v="&lt;100"/>
    <x v="0"/>
    <s v="skilled"/>
    <s v="Skilled"/>
    <x v="0"/>
    <s v="&gt;=7"/>
    <x v="3"/>
    <s v="critical/Others existing credit"/>
    <x v="3"/>
    <n v="2"/>
    <n v="2"/>
    <n v="5842"/>
    <s v="No"/>
    <s v="None"/>
    <s v="None"/>
    <x v="2"/>
    <x v="5"/>
    <n v="36"/>
    <x v="1"/>
  </r>
  <r>
    <n v="173"/>
    <n v="24"/>
    <x v="1"/>
    <s v="Male single"/>
    <x v="1"/>
    <x v="1"/>
    <n v="1"/>
    <x v="1"/>
    <s v="Unknown"/>
    <x v="0"/>
    <n v="1"/>
    <x v="1"/>
    <s v="No"/>
    <s v="&gt;=200"/>
    <x v="3"/>
    <s v="&lt;100"/>
    <x v="0"/>
    <s v="skilled"/>
    <s v="Skilled"/>
    <x v="0"/>
    <s v="1&lt;=X&lt;4"/>
    <x v="0"/>
    <s v="existing paid"/>
    <x v="1"/>
    <n v="4"/>
    <n v="1"/>
    <n v="5848"/>
    <s v="No"/>
    <s v="None"/>
    <s v="None"/>
    <x v="4"/>
    <x v="5"/>
    <n v="36"/>
    <x v="1"/>
  </r>
  <r>
    <n v="174"/>
    <n v="23"/>
    <x v="1"/>
    <s v="Female Divorced with Dependents"/>
    <x v="0"/>
    <x v="0"/>
    <n v="1"/>
    <x v="1"/>
    <s v="Resident"/>
    <x v="1"/>
    <n v="4"/>
    <x v="3"/>
    <s v="Yes"/>
    <s v="&lt;0"/>
    <x v="1"/>
    <s v="&lt;100"/>
    <x v="0"/>
    <s v="unskilled resident"/>
    <s v="Unskilled"/>
    <x v="0"/>
    <s v="&lt;1"/>
    <x v="1"/>
    <s v="critical/Others existing credit"/>
    <x v="3"/>
    <n v="4"/>
    <n v="2"/>
    <n v="6229"/>
    <s v="co applicant"/>
    <s v="Co-applicant"/>
    <s v="None"/>
    <x v="1"/>
    <x v="5"/>
    <n v="36"/>
    <x v="0"/>
  </r>
  <r>
    <n v="175"/>
    <n v="36"/>
    <x v="0"/>
    <s v="Male single"/>
    <x v="1"/>
    <x v="1"/>
    <n v="1"/>
    <x v="1"/>
    <s v="Unknown"/>
    <x v="0"/>
    <n v="4"/>
    <x v="2"/>
    <s v="No"/>
    <s v="no checking"/>
    <x v="2"/>
    <s v="no known savings"/>
    <x v="1"/>
    <s v="skilled"/>
    <s v="Skilled"/>
    <x v="0"/>
    <s v="&gt;=7"/>
    <x v="3"/>
    <s v="critical/Others existing credit"/>
    <x v="3"/>
    <n v="4"/>
    <n v="2"/>
    <n v="6304"/>
    <s v="No"/>
    <s v="None"/>
    <s v="None"/>
    <x v="5"/>
    <x v="5"/>
    <n v="36"/>
    <x v="1"/>
  </r>
  <r>
    <n v="176"/>
    <n v="34"/>
    <x v="0"/>
    <s v="Male single"/>
    <x v="1"/>
    <x v="1"/>
    <n v="1"/>
    <x v="1"/>
    <s v="Unknown"/>
    <x v="0"/>
    <n v="4"/>
    <x v="1"/>
    <s v="Yes"/>
    <s v="no checking"/>
    <x v="2"/>
    <s v="&lt;100"/>
    <x v="0"/>
    <s v="high qualif/self emp/mgmt"/>
    <s v="Skilled"/>
    <x v="0"/>
    <s v="&gt;=7"/>
    <x v="3"/>
    <s v="critical/Others existing credit"/>
    <x v="3"/>
    <n v="4"/>
    <n v="2"/>
    <n v="6614"/>
    <s v="No"/>
    <s v="None"/>
    <s v="None"/>
    <x v="3"/>
    <x v="5"/>
    <n v="36"/>
    <x v="1"/>
  </r>
  <r>
    <n v="177"/>
    <n v="29"/>
    <x v="0"/>
    <s v="Male single"/>
    <x v="1"/>
    <x v="1"/>
    <n v="1"/>
    <x v="1"/>
    <s v="Unknown"/>
    <x v="0"/>
    <n v="3"/>
    <x v="0"/>
    <s v="Yes"/>
    <s v="&lt;0"/>
    <x v="1"/>
    <s v="&lt;100"/>
    <x v="0"/>
    <s v="skilled"/>
    <s v="Skilled"/>
    <x v="0"/>
    <s v="1&lt;=X&lt;4"/>
    <x v="0"/>
    <s v="delayed previously"/>
    <x v="4"/>
    <n v="4"/>
    <n v="1"/>
    <n v="6887"/>
    <s v="No"/>
    <s v="None"/>
    <s v="Store"/>
    <x v="7"/>
    <x v="5"/>
    <n v="36"/>
    <x v="0"/>
  </r>
  <r>
    <n v="178"/>
    <n v="35"/>
    <x v="0"/>
    <s v="Male single"/>
    <x v="1"/>
    <x v="1"/>
    <n v="1"/>
    <x v="1"/>
    <s v="Unknown"/>
    <x v="1"/>
    <n v="2"/>
    <x v="1"/>
    <s v="Yes"/>
    <s v="0&lt;=X&lt;200"/>
    <x v="0"/>
    <s v="&lt;100"/>
    <x v="0"/>
    <s v="high qualif/self emp/mgmt"/>
    <s v="Skilled"/>
    <x v="0"/>
    <s v="1&lt;=X&lt;4"/>
    <x v="0"/>
    <s v="existing paid"/>
    <x v="1"/>
    <n v="2"/>
    <n v="1"/>
    <n v="6948"/>
    <s v="No"/>
    <s v="None"/>
    <s v="None"/>
    <x v="2"/>
    <x v="5"/>
    <n v="36"/>
    <x v="1"/>
  </r>
  <r>
    <n v="179"/>
    <n v="23"/>
    <x v="1"/>
    <s v="Female Divorced with Dependents"/>
    <x v="0"/>
    <x v="0"/>
    <n v="1"/>
    <x v="1"/>
    <s v="Unknown"/>
    <x v="1"/>
    <n v="4"/>
    <x v="0"/>
    <s v="Yes"/>
    <s v="no checking"/>
    <x v="2"/>
    <s v="&lt;100"/>
    <x v="0"/>
    <s v="skilled"/>
    <s v="Skilled"/>
    <x v="0"/>
    <s v="&lt;1"/>
    <x v="1"/>
    <s v="critical/Others existing credit"/>
    <x v="3"/>
    <n v="2"/>
    <n v="2"/>
    <n v="7127"/>
    <s v="No"/>
    <s v="None"/>
    <s v="None"/>
    <x v="1"/>
    <x v="5"/>
    <n v="36"/>
    <x v="0"/>
  </r>
  <r>
    <n v="180"/>
    <n v="37"/>
    <x v="0"/>
    <s v="Male single"/>
    <x v="1"/>
    <x v="1"/>
    <n v="1"/>
    <x v="1"/>
    <s v="Unknown"/>
    <x v="0"/>
    <n v="2"/>
    <x v="0"/>
    <s v="No"/>
    <s v="no checking"/>
    <x v="2"/>
    <s v="no known savings"/>
    <x v="1"/>
    <s v="skilled"/>
    <s v="Skilled"/>
    <x v="0"/>
    <s v="&gt;=7"/>
    <x v="3"/>
    <s v="existing paid"/>
    <x v="1"/>
    <n v="3"/>
    <n v="2"/>
    <n v="7409"/>
    <s v="No"/>
    <s v="None"/>
    <s v="None"/>
    <x v="5"/>
    <x v="5"/>
    <n v="36"/>
    <x v="1"/>
  </r>
  <r>
    <n v="181"/>
    <n v="54"/>
    <x v="3"/>
    <s v="Female Divorced with Dependents"/>
    <x v="0"/>
    <x v="0"/>
    <n v="1"/>
    <x v="1"/>
    <s v="Unknown"/>
    <x v="1"/>
    <n v="2"/>
    <x v="0"/>
    <s v="No"/>
    <s v="0&lt;=X&lt;200"/>
    <x v="0"/>
    <s v="&lt;100"/>
    <x v="0"/>
    <s v="skilled"/>
    <s v="Skilled"/>
    <x v="0"/>
    <s v="1&lt;=X&lt;4"/>
    <x v="0"/>
    <s v="delayed previously"/>
    <x v="4"/>
    <n v="2"/>
    <n v="1"/>
    <n v="7432"/>
    <s v="No"/>
    <s v="None"/>
    <s v="None"/>
    <x v="3"/>
    <x v="5"/>
    <n v="36"/>
    <x v="1"/>
  </r>
  <r>
    <n v="182"/>
    <n v="40"/>
    <x v="2"/>
    <s v="Female Divorced with Dependents"/>
    <x v="0"/>
    <x v="0"/>
    <n v="1"/>
    <x v="1"/>
    <s v="Unknown"/>
    <x v="0"/>
    <n v="4"/>
    <x v="1"/>
    <s v="Yes"/>
    <s v="no checking"/>
    <x v="2"/>
    <s v="500&lt;=X&lt;1000"/>
    <x v="4"/>
    <s v="skilled"/>
    <s v="Skilled"/>
    <x v="0"/>
    <s v="4&lt;=X&lt;7"/>
    <x v="2"/>
    <s v="delayed previously"/>
    <x v="4"/>
    <n v="2"/>
    <n v="2"/>
    <n v="7678"/>
    <s v="No"/>
    <s v="None"/>
    <s v="None"/>
    <x v="1"/>
    <x v="5"/>
    <n v="36"/>
    <x v="1"/>
  </r>
  <r>
    <n v="183"/>
    <n v="25"/>
    <x v="1"/>
    <s v="Female Divorced with Dependents"/>
    <x v="0"/>
    <x v="0"/>
    <n v="1"/>
    <x v="1"/>
    <s v="Unknown"/>
    <x v="0"/>
    <n v="2"/>
    <x v="2"/>
    <s v="Yes"/>
    <s v="no checking"/>
    <x v="2"/>
    <s v="&lt;100"/>
    <x v="0"/>
    <s v="skilled"/>
    <s v="Skilled"/>
    <x v="0"/>
    <s v="1&lt;=X&lt;4"/>
    <x v="0"/>
    <s v="critical/Others existing credit"/>
    <x v="3"/>
    <n v="4"/>
    <n v="2"/>
    <n v="7855"/>
    <s v="No"/>
    <s v="None"/>
    <s v="Store"/>
    <x v="3"/>
    <x v="5"/>
    <n v="36"/>
    <x v="0"/>
  </r>
  <r>
    <n v="184"/>
    <n v="27"/>
    <x v="1"/>
    <s v="Male single"/>
    <x v="1"/>
    <x v="1"/>
    <n v="1"/>
    <x v="1"/>
    <s v="Unknown"/>
    <x v="1"/>
    <n v="4"/>
    <x v="1"/>
    <s v="Yes"/>
    <s v="no checking"/>
    <x v="2"/>
    <s v="no known savings"/>
    <x v="1"/>
    <s v="skilled"/>
    <s v="Skilled"/>
    <x v="0"/>
    <s v="&lt;1"/>
    <x v="1"/>
    <s v="delayed previously"/>
    <x v="4"/>
    <n v="4"/>
    <n v="2"/>
    <n v="7980"/>
    <s v="No"/>
    <s v="None"/>
    <s v="None"/>
    <x v="5"/>
    <x v="5"/>
    <n v="36"/>
    <x v="0"/>
  </r>
  <r>
    <n v="185"/>
    <n v="25"/>
    <x v="1"/>
    <s v="Female Divorced with Dependents"/>
    <x v="0"/>
    <x v="0"/>
    <n v="1"/>
    <x v="1"/>
    <s v="Unknown"/>
    <x v="0"/>
    <n v="2"/>
    <x v="3"/>
    <s v="Yes"/>
    <s v="&lt;0"/>
    <x v="1"/>
    <s v="&lt;100"/>
    <x v="0"/>
    <s v="high qualif/self emp/mgmt"/>
    <s v="Skilled"/>
    <x v="0"/>
    <s v="1&lt;=X&lt;4"/>
    <x v="0"/>
    <s v="critical/Others existing credit"/>
    <x v="3"/>
    <n v="3"/>
    <n v="2"/>
    <n v="8065"/>
    <s v="No"/>
    <s v="None"/>
    <s v="None"/>
    <x v="7"/>
    <x v="5"/>
    <n v="36"/>
    <x v="0"/>
  </r>
  <r>
    <n v="186"/>
    <n v="42"/>
    <x v="2"/>
    <s v="Male single"/>
    <x v="1"/>
    <x v="1"/>
    <n v="1"/>
    <x v="1"/>
    <s v="Unknown"/>
    <x v="0"/>
    <n v="4"/>
    <x v="1"/>
    <s v="Yes"/>
    <s v="0&lt;=X&lt;200"/>
    <x v="0"/>
    <s v="100&lt;=X&lt;500"/>
    <x v="3"/>
    <s v="high qualif/self emp/mgmt"/>
    <s v="Skilled"/>
    <x v="0"/>
    <s v="&gt;=7"/>
    <x v="3"/>
    <s v="delayed previously"/>
    <x v="4"/>
    <n v="2"/>
    <n v="4"/>
    <n v="8086"/>
    <s v="No"/>
    <s v="None"/>
    <s v="None"/>
    <x v="3"/>
    <x v="5"/>
    <n v="36"/>
    <x v="0"/>
  </r>
  <r>
    <n v="187"/>
    <n v="30"/>
    <x v="0"/>
    <s v="Female Divorced with Dependents"/>
    <x v="0"/>
    <x v="0"/>
    <n v="1"/>
    <x v="1"/>
    <s v="Unknown"/>
    <x v="0"/>
    <n v="2"/>
    <x v="0"/>
    <s v="No"/>
    <s v="no checking"/>
    <x v="2"/>
    <s v="&lt;100"/>
    <x v="0"/>
    <s v="skilled"/>
    <s v="Skilled"/>
    <x v="0"/>
    <s v="1&lt;=X&lt;4"/>
    <x v="0"/>
    <s v="existing paid"/>
    <x v="1"/>
    <n v="1"/>
    <n v="1"/>
    <n v="8133"/>
    <s v="No"/>
    <s v="None"/>
    <s v="Bank"/>
    <x v="2"/>
    <x v="5"/>
    <n v="36"/>
    <x v="1"/>
  </r>
  <r>
    <n v="188"/>
    <n v="26"/>
    <x v="1"/>
    <s v="Male single"/>
    <x v="1"/>
    <x v="1"/>
    <n v="2"/>
    <x v="1"/>
    <s v="Unknown"/>
    <x v="0"/>
    <n v="2"/>
    <x v="0"/>
    <s v="No"/>
    <s v="&lt;0"/>
    <x v="1"/>
    <s v="&lt;100"/>
    <x v="0"/>
    <s v="skilled"/>
    <s v="Skilled"/>
    <x v="0"/>
    <s v="1&lt;=X&lt;4"/>
    <x v="0"/>
    <s v="existing paid"/>
    <x v="1"/>
    <n v="2"/>
    <n v="1"/>
    <n v="8229"/>
    <s v="No"/>
    <s v="None"/>
    <s v="None"/>
    <x v="2"/>
    <x v="5"/>
    <n v="36"/>
    <x v="0"/>
  </r>
  <r>
    <n v="189"/>
    <n v="47"/>
    <x v="2"/>
    <s v="Male single"/>
    <x v="1"/>
    <x v="1"/>
    <n v="1"/>
    <x v="1"/>
    <s v="Unknown"/>
    <x v="2"/>
    <n v="4"/>
    <x v="3"/>
    <s v="No"/>
    <s v="&lt;0"/>
    <x v="1"/>
    <s v="no known savings"/>
    <x v="1"/>
    <s v="skilled"/>
    <s v="Skilled"/>
    <x v="0"/>
    <s v="&gt;=7"/>
    <x v="3"/>
    <s v="existing paid"/>
    <x v="1"/>
    <n v="3"/>
    <n v="1"/>
    <n v="8335"/>
    <s v="No"/>
    <s v="None"/>
    <s v="None"/>
    <x v="2"/>
    <x v="5"/>
    <n v="36"/>
    <x v="0"/>
  </r>
  <r>
    <n v="190"/>
    <n v="31"/>
    <x v="0"/>
    <s v="Male single"/>
    <x v="1"/>
    <x v="1"/>
    <n v="2"/>
    <x v="1"/>
    <s v="Unknown"/>
    <x v="0"/>
    <n v="2"/>
    <x v="1"/>
    <s v="Yes"/>
    <s v="no checking"/>
    <x v="2"/>
    <s v="no known savings"/>
    <x v="1"/>
    <s v="high qualif/self emp/mgmt"/>
    <s v="Skilled"/>
    <x v="0"/>
    <s v="4&lt;=X&lt;7"/>
    <x v="2"/>
    <s v="delayed previously"/>
    <x v="4"/>
    <n v="3"/>
    <n v="1"/>
    <n v="8947"/>
    <s v="No"/>
    <s v="None"/>
    <s v="Store"/>
    <x v="2"/>
    <x v="5"/>
    <n v="36"/>
    <x v="1"/>
  </r>
  <r>
    <n v="191"/>
    <n v="29"/>
    <x v="0"/>
    <s v="Male single"/>
    <x v="1"/>
    <x v="1"/>
    <n v="1"/>
    <x v="1"/>
    <s v="Unknown"/>
    <x v="1"/>
    <n v="1"/>
    <x v="3"/>
    <s v="Yes"/>
    <s v="0&lt;=X&lt;200"/>
    <x v="0"/>
    <s v="100&lt;=X&lt;500"/>
    <x v="3"/>
    <s v="high qualif/self emp/mgmt"/>
    <s v="Skilled"/>
    <x v="0"/>
    <s v="&lt;1"/>
    <x v="1"/>
    <s v="existing paid"/>
    <x v="1"/>
    <n v="4"/>
    <n v="1"/>
    <n v="9034"/>
    <s v="co applicant"/>
    <s v="Co-applicant"/>
    <s v="None"/>
    <x v="1"/>
    <x v="5"/>
    <n v="36"/>
    <x v="0"/>
  </r>
  <r>
    <n v="192"/>
    <n v="35"/>
    <x v="0"/>
    <s v="Male single"/>
    <x v="1"/>
    <x v="1"/>
    <n v="2"/>
    <x v="1"/>
    <s v="Resident"/>
    <x v="2"/>
    <n v="4"/>
    <x v="3"/>
    <s v="Yes"/>
    <s v="no checking"/>
    <x v="2"/>
    <s v="no known savings"/>
    <x v="1"/>
    <s v="unskilled resident"/>
    <s v="Unskilled"/>
    <x v="0"/>
    <s v="1&lt;=X&lt;4"/>
    <x v="0"/>
    <s v="existing paid"/>
    <x v="1"/>
    <n v="2"/>
    <n v="1"/>
    <n v="9055"/>
    <s v="No"/>
    <s v="None"/>
    <s v="None"/>
    <x v="7"/>
    <x v="5"/>
    <n v="36"/>
    <x v="1"/>
  </r>
  <r>
    <n v="193"/>
    <n v="24"/>
    <x v="1"/>
    <s v="Male single"/>
    <x v="1"/>
    <x v="1"/>
    <n v="1"/>
    <x v="1"/>
    <s v="Unknown"/>
    <x v="0"/>
    <n v="1"/>
    <x v="1"/>
    <s v="Yes"/>
    <s v="&lt;0"/>
    <x v="1"/>
    <s v="&lt;100"/>
    <x v="0"/>
    <s v="skilled"/>
    <s v="Skilled"/>
    <x v="0"/>
    <s v="4&lt;=X&lt;7"/>
    <x v="2"/>
    <s v="existing paid"/>
    <x v="1"/>
    <n v="2"/>
    <n v="1"/>
    <n v="9271"/>
    <s v="No"/>
    <s v="None"/>
    <s v="None"/>
    <x v="3"/>
    <x v="5"/>
    <n v="36"/>
    <x v="0"/>
  </r>
  <r>
    <n v="194"/>
    <n v="28"/>
    <x v="1"/>
    <s v="Male Married/Widowed"/>
    <x v="1"/>
    <x v="2"/>
    <n v="1"/>
    <x v="1"/>
    <s v="Unknown"/>
    <x v="1"/>
    <n v="4"/>
    <x v="1"/>
    <s v="Yes"/>
    <s v="0&lt;=X&lt;200"/>
    <x v="0"/>
    <s v="&lt;100"/>
    <x v="0"/>
    <s v="high qualif/self emp/mgmt"/>
    <s v="Skilled"/>
    <x v="0"/>
    <s v="&lt;1"/>
    <x v="1"/>
    <s v="existing paid"/>
    <x v="1"/>
    <n v="1"/>
    <n v="1"/>
    <n v="9398"/>
    <s v="No"/>
    <s v="None"/>
    <s v="None"/>
    <x v="2"/>
    <x v="5"/>
    <n v="36"/>
    <x v="0"/>
  </r>
  <r>
    <n v="195"/>
    <n v="31"/>
    <x v="0"/>
    <s v="Female Divorced with Dependents"/>
    <x v="0"/>
    <x v="0"/>
    <n v="1"/>
    <x v="1"/>
    <s v="Unknown"/>
    <x v="0"/>
    <n v="2"/>
    <x v="1"/>
    <s v="No"/>
    <s v="no checking"/>
    <x v="2"/>
    <s v="&lt;100"/>
    <x v="0"/>
    <s v="skilled"/>
    <s v="Skilled"/>
    <x v="0"/>
    <s v="1&lt;=X&lt;4"/>
    <x v="0"/>
    <s v="critical/Others existing credit"/>
    <x v="3"/>
    <n v="2"/>
    <n v="2"/>
    <n v="9566"/>
    <s v="No"/>
    <s v="None"/>
    <s v="Store"/>
    <x v="4"/>
    <x v="5"/>
    <n v="36"/>
    <x v="1"/>
  </r>
  <r>
    <n v="196"/>
    <n v="28"/>
    <x v="1"/>
    <s v="Male Divorced/Seperated"/>
    <x v="1"/>
    <x v="3"/>
    <n v="1"/>
    <x v="1"/>
    <s v="Unknown"/>
    <x v="0"/>
    <n v="1"/>
    <x v="1"/>
    <s v="No"/>
    <s v="no checking"/>
    <x v="2"/>
    <s v="&lt;100"/>
    <x v="0"/>
    <s v="skilled"/>
    <s v="Skilled"/>
    <x v="0"/>
    <s v="&lt;1"/>
    <x v="1"/>
    <s v="delayed previously"/>
    <x v="4"/>
    <n v="1"/>
    <n v="2"/>
    <n v="9572"/>
    <s v="No"/>
    <s v="None"/>
    <s v="None"/>
    <x v="5"/>
    <x v="5"/>
    <n v="36"/>
    <x v="0"/>
  </r>
  <r>
    <n v="197"/>
    <n v="24"/>
    <x v="1"/>
    <s v="Male single"/>
    <x v="1"/>
    <x v="1"/>
    <n v="1"/>
    <x v="1"/>
    <s v="Unknown"/>
    <x v="0"/>
    <n v="4"/>
    <x v="1"/>
    <s v="Yes"/>
    <s v="&lt;0"/>
    <x v="1"/>
    <s v="&lt;100"/>
    <x v="0"/>
    <s v="skilled"/>
    <s v="Skilled"/>
    <x v="0"/>
    <s v="4&lt;=X&lt;7"/>
    <x v="2"/>
    <s v="critical/Others existing credit"/>
    <x v="3"/>
    <n v="4"/>
    <n v="2"/>
    <n v="9629"/>
    <s v="No"/>
    <s v="None"/>
    <s v="None"/>
    <x v="2"/>
    <x v="5"/>
    <n v="36"/>
    <x v="0"/>
  </r>
  <r>
    <n v="198"/>
    <n v="31"/>
    <x v="0"/>
    <s v="Male single"/>
    <x v="1"/>
    <x v="1"/>
    <n v="2"/>
    <x v="1"/>
    <s v="Resident"/>
    <x v="0"/>
    <n v="3"/>
    <x v="0"/>
    <s v="Yes"/>
    <s v="0&lt;=X&lt;200"/>
    <x v="0"/>
    <s v="100&lt;=X&lt;500"/>
    <x v="3"/>
    <s v="unskilled resident"/>
    <s v="Unskilled"/>
    <x v="0"/>
    <s v="4&lt;=X&lt;7"/>
    <x v="2"/>
    <s v="delayed previously"/>
    <x v="4"/>
    <n v="1"/>
    <n v="2"/>
    <n v="9857"/>
    <s v="No"/>
    <s v="None"/>
    <s v="None"/>
    <x v="5"/>
    <x v="5"/>
    <n v="36"/>
    <x v="1"/>
  </r>
  <r>
    <n v="199"/>
    <n v="42"/>
    <x v="2"/>
    <s v="Male single"/>
    <x v="1"/>
    <x v="1"/>
    <n v="1"/>
    <x v="1"/>
    <s v="Unknown"/>
    <x v="2"/>
    <n v="4"/>
    <x v="3"/>
    <s v="No"/>
    <s v="no checking"/>
    <x v="2"/>
    <s v="no known savings"/>
    <x v="1"/>
    <s v="skilled"/>
    <s v="Skilled"/>
    <x v="0"/>
    <s v="&gt;=7"/>
    <x v="3"/>
    <s v="critical/Others existing credit"/>
    <x v="3"/>
    <n v="2"/>
    <n v="2"/>
    <n v="10477"/>
    <s v="No"/>
    <s v="None"/>
    <s v="None"/>
    <x v="2"/>
    <x v="5"/>
    <n v="36"/>
    <x v="1"/>
  </r>
  <r>
    <n v="200"/>
    <n v="45"/>
    <x v="2"/>
    <s v="Male single"/>
    <x v="1"/>
    <x v="1"/>
    <n v="2"/>
    <x v="1"/>
    <s v="Unknown"/>
    <x v="0"/>
    <n v="2"/>
    <x v="1"/>
    <s v="Yes"/>
    <s v="no checking"/>
    <x v="2"/>
    <s v="&lt;100"/>
    <x v="0"/>
    <s v="skilled"/>
    <s v="Skilled"/>
    <x v="0"/>
    <s v="&gt;=7"/>
    <x v="3"/>
    <s v="delayed previously"/>
    <x v="4"/>
    <n v="2"/>
    <n v="2"/>
    <n v="10875"/>
    <s v="No"/>
    <s v="None"/>
    <s v="None"/>
    <x v="3"/>
    <x v="5"/>
    <n v="36"/>
    <x v="1"/>
  </r>
  <r>
    <n v="201"/>
    <n v="26"/>
    <x v="1"/>
    <s v="Female Divorced with Dependents"/>
    <x v="0"/>
    <x v="0"/>
    <n v="1"/>
    <x v="1"/>
    <s v="Unknown"/>
    <x v="0"/>
    <n v="2"/>
    <x v="1"/>
    <s v="Yes"/>
    <s v="no checking"/>
    <x v="2"/>
    <s v="&lt;100"/>
    <x v="0"/>
    <s v="high qualif/self emp/mgmt"/>
    <s v="Skilled"/>
    <x v="0"/>
    <s v="unemployed"/>
    <x v="4"/>
    <s v="existing paid"/>
    <x v="1"/>
    <n v="4"/>
    <n v="2"/>
    <n v="10974"/>
    <s v="No"/>
    <s v="None"/>
    <s v="None"/>
    <x v="1"/>
    <x v="5"/>
    <n v="36"/>
    <x v="0"/>
  </r>
  <r>
    <n v="202"/>
    <n v="30"/>
    <x v="0"/>
    <s v="Male single"/>
    <x v="1"/>
    <x v="1"/>
    <n v="1"/>
    <x v="1"/>
    <s v="Unknown"/>
    <x v="0"/>
    <n v="2"/>
    <x v="1"/>
    <s v="Yes"/>
    <s v="no checking"/>
    <x v="2"/>
    <s v="no known savings"/>
    <x v="1"/>
    <s v="high qualif/self emp/mgmt"/>
    <s v="Skilled"/>
    <x v="0"/>
    <s v="1&lt;=X&lt;4"/>
    <x v="0"/>
    <s v="critical/Others existing credit"/>
    <x v="3"/>
    <n v="4"/>
    <n v="1"/>
    <n v="11054"/>
    <s v="No"/>
    <s v="None"/>
    <s v="None"/>
    <x v="2"/>
    <x v="5"/>
    <n v="36"/>
    <x v="1"/>
  </r>
  <r>
    <n v="203"/>
    <n v="37"/>
    <x v="0"/>
    <s v="Male single"/>
    <x v="1"/>
    <x v="1"/>
    <n v="1"/>
    <x v="1"/>
    <s v="Unknown"/>
    <x v="2"/>
    <n v="4"/>
    <x v="3"/>
    <s v="Yes"/>
    <s v="0&lt;=X&lt;200"/>
    <x v="0"/>
    <s v="no known savings"/>
    <x v="1"/>
    <s v="skilled"/>
    <s v="Skilled"/>
    <x v="0"/>
    <s v="1&lt;=X&lt;4"/>
    <x v="0"/>
    <s v="existing paid"/>
    <x v="1"/>
    <n v="1"/>
    <n v="1"/>
    <n v="12389"/>
    <s v="No"/>
    <s v="None"/>
    <s v="None"/>
    <x v="3"/>
    <x v="5"/>
    <n v="36"/>
    <x v="0"/>
  </r>
  <r>
    <n v="204"/>
    <n v="47"/>
    <x v="2"/>
    <s v="Male single"/>
    <x v="1"/>
    <x v="1"/>
    <n v="2"/>
    <x v="1"/>
    <s v="Unknown"/>
    <x v="2"/>
    <n v="4"/>
    <x v="3"/>
    <s v="Yes"/>
    <s v="0&lt;=X&lt;200"/>
    <x v="0"/>
    <s v="100&lt;=X&lt;500"/>
    <x v="3"/>
    <s v="skilled"/>
    <s v="Skilled"/>
    <x v="0"/>
    <s v="1&lt;=X&lt;4"/>
    <x v="0"/>
    <s v="existing paid"/>
    <x v="1"/>
    <n v="1"/>
    <n v="1"/>
    <n v="12612"/>
    <s v="No"/>
    <s v="None"/>
    <s v="None"/>
    <x v="7"/>
    <x v="5"/>
    <n v="36"/>
    <x v="0"/>
  </r>
  <r>
    <n v="205"/>
    <n v="57"/>
    <x v="3"/>
    <s v="Male single"/>
    <x v="1"/>
    <x v="1"/>
    <n v="1"/>
    <x v="1"/>
    <s v="Unknown"/>
    <x v="2"/>
    <n v="2"/>
    <x v="3"/>
    <s v="Yes"/>
    <s v="0&lt;=X&lt;200"/>
    <x v="0"/>
    <s v="&lt;100"/>
    <x v="0"/>
    <s v="high qualif/self emp/mgmt"/>
    <s v="Skilled"/>
    <x v="0"/>
    <s v="&gt;=7"/>
    <x v="3"/>
    <s v="existing paid"/>
    <x v="1"/>
    <n v="4"/>
    <n v="1"/>
    <n v="14318"/>
    <s v="No"/>
    <s v="None"/>
    <s v="None"/>
    <x v="3"/>
    <x v="5"/>
    <n v="36"/>
    <x v="0"/>
  </r>
  <r>
    <n v="206"/>
    <n v="43"/>
    <x v="2"/>
    <s v="Male Divorced/Seperated"/>
    <x v="1"/>
    <x v="3"/>
    <n v="1"/>
    <x v="1"/>
    <s v="Unknown"/>
    <x v="0"/>
    <n v="3"/>
    <x v="1"/>
    <s v="No"/>
    <s v="&lt;0"/>
    <x v="1"/>
    <s v="&lt;100"/>
    <x v="0"/>
    <s v="high qualif/self emp/mgmt"/>
    <s v="Skilled"/>
    <x v="0"/>
    <s v="unemployed"/>
    <x v="4"/>
    <s v="existing paid"/>
    <x v="1"/>
    <n v="2"/>
    <n v="1"/>
    <n v="15857"/>
    <s v="co applicant"/>
    <s v="Co-applicant"/>
    <s v="None"/>
    <x v="0"/>
    <x v="5"/>
    <n v="36"/>
    <x v="1"/>
  </r>
  <r>
    <n v="207"/>
    <n v="26"/>
    <x v="1"/>
    <s v="Female Divorced with Dependents"/>
    <x v="0"/>
    <x v="0"/>
    <n v="1"/>
    <x v="1"/>
    <s v="Unknown"/>
    <x v="0"/>
    <n v="2"/>
    <x v="1"/>
    <s v="Yes"/>
    <s v="no checking"/>
    <x v="2"/>
    <s v="&lt;100"/>
    <x v="0"/>
    <s v="skilled"/>
    <s v="Skilled"/>
    <x v="0"/>
    <s v="1&lt;=X&lt;4"/>
    <x v="0"/>
    <s v="delayed previously"/>
    <x v="4"/>
    <n v="2"/>
    <n v="2"/>
    <n v="2764"/>
    <s v="No"/>
    <s v="None"/>
    <s v="None"/>
    <x v="5"/>
    <x v="5"/>
    <n v="33"/>
    <x v="1"/>
  </r>
  <r>
    <n v="208"/>
    <n v="23"/>
    <x v="1"/>
    <s v="Female Divorced with Dependents"/>
    <x v="0"/>
    <x v="0"/>
    <n v="1"/>
    <x v="1"/>
    <s v="Unknown"/>
    <x v="0"/>
    <n v="4"/>
    <x v="1"/>
    <s v="No"/>
    <s v="&lt;0"/>
    <x v="1"/>
    <s v="500&lt;=X&lt;1000"/>
    <x v="4"/>
    <s v="skilled"/>
    <s v="Skilled"/>
    <x v="0"/>
    <s v="1&lt;=X&lt;4"/>
    <x v="0"/>
    <s v="critical/Others existing credit"/>
    <x v="3"/>
    <n v="1"/>
    <n v="2"/>
    <n v="4281"/>
    <s v="No"/>
    <s v="None"/>
    <s v="None"/>
    <x v="1"/>
    <x v="5"/>
    <n v="33"/>
    <x v="0"/>
  </r>
  <r>
    <n v="209"/>
    <n v="35"/>
    <x v="0"/>
    <s v="Male single"/>
    <x v="1"/>
    <x v="1"/>
    <n v="1"/>
    <x v="1"/>
    <s v="Unknown"/>
    <x v="0"/>
    <n v="2"/>
    <x v="1"/>
    <s v="Yes"/>
    <s v="no checking"/>
    <x v="2"/>
    <s v="&lt;100"/>
    <x v="0"/>
    <s v="high qualif/self emp/mgmt"/>
    <s v="Skilled"/>
    <x v="0"/>
    <s v="4&lt;=X&lt;7"/>
    <x v="2"/>
    <s v="critical/Others existing credit"/>
    <x v="3"/>
    <n v="3"/>
    <n v="2"/>
    <n v="7253"/>
    <s v="No"/>
    <s v="None"/>
    <s v="None"/>
    <x v="2"/>
    <x v="5"/>
    <n v="33"/>
    <x v="1"/>
  </r>
  <r>
    <n v="210"/>
    <n v="26"/>
    <x v="1"/>
    <s v="Female Divorced with Dependents"/>
    <x v="0"/>
    <x v="0"/>
    <n v="1"/>
    <x v="1"/>
    <s v="Unknown"/>
    <x v="0"/>
    <n v="1"/>
    <x v="1"/>
    <s v="No"/>
    <s v="0&lt;=X&lt;200"/>
    <x v="0"/>
    <s v="no known savings"/>
    <x v="1"/>
    <s v="skilled"/>
    <s v="Skilled"/>
    <x v="0"/>
    <s v="1&lt;=X&lt;4"/>
    <x v="0"/>
    <s v="existing paid"/>
    <x v="1"/>
    <n v="4"/>
    <n v="1"/>
    <n v="1715"/>
    <s v="No"/>
    <s v="None"/>
    <s v="None"/>
    <x v="4"/>
    <x v="5"/>
    <n v="30"/>
    <x v="1"/>
  </r>
  <r>
    <n v="211"/>
    <n v="58"/>
    <x v="3"/>
    <s v="Male single"/>
    <x v="1"/>
    <x v="1"/>
    <n v="1"/>
    <x v="1"/>
    <s v="Unknown"/>
    <x v="0"/>
    <n v="4"/>
    <x v="1"/>
    <s v="Yes"/>
    <s v="no checking"/>
    <x v="2"/>
    <s v="no known savings"/>
    <x v="1"/>
    <s v="skilled"/>
    <s v="Skilled"/>
    <x v="0"/>
    <s v="&gt;=7"/>
    <x v="3"/>
    <s v="existing paid"/>
    <x v="1"/>
    <n v="4"/>
    <n v="1"/>
    <n v="1867"/>
    <s v="No"/>
    <s v="None"/>
    <s v="None"/>
    <x v="4"/>
    <x v="5"/>
    <n v="30"/>
    <x v="1"/>
  </r>
  <r>
    <n v="212"/>
    <n v="66"/>
    <x v="5"/>
    <s v="Male single"/>
    <x v="1"/>
    <x v="1"/>
    <n v="1"/>
    <x v="1"/>
    <s v="Unknown"/>
    <x v="0"/>
    <n v="4"/>
    <x v="2"/>
    <s v="Yes"/>
    <s v="&gt;=200"/>
    <x v="3"/>
    <s v="&lt;100"/>
    <x v="0"/>
    <s v="high qualif/self emp/mgmt"/>
    <s v="Skilled"/>
    <x v="0"/>
    <s v="&gt;=7"/>
    <x v="3"/>
    <s v="delayed previously"/>
    <x v="4"/>
    <n v="4"/>
    <n v="1"/>
    <n v="1908"/>
    <s v="No"/>
    <s v="None"/>
    <s v="None"/>
    <x v="5"/>
    <x v="5"/>
    <n v="30"/>
    <x v="0"/>
  </r>
  <r>
    <n v="213"/>
    <n v="30"/>
    <x v="0"/>
    <s v="Male single"/>
    <x v="1"/>
    <x v="1"/>
    <n v="1"/>
    <x v="1"/>
    <s v="Unknown"/>
    <x v="0"/>
    <n v="3"/>
    <x v="3"/>
    <s v="No"/>
    <s v="0&lt;=X&lt;200"/>
    <x v="0"/>
    <s v="100&lt;=X&lt;500"/>
    <x v="3"/>
    <s v="high qualif/self emp/mgmt"/>
    <s v="Skilled"/>
    <x v="0"/>
    <s v="&lt;1"/>
    <x v="1"/>
    <s v="delayed previously"/>
    <x v="4"/>
    <n v="4"/>
    <n v="2"/>
    <n v="1919"/>
    <s v="No"/>
    <s v="None"/>
    <s v="Store"/>
    <x v="4"/>
    <x v="5"/>
    <n v="30"/>
    <x v="0"/>
  </r>
  <r>
    <n v="214"/>
    <n v="24"/>
    <x v="1"/>
    <s v="Female Divorced with Dependents"/>
    <x v="0"/>
    <x v="0"/>
    <n v="1"/>
    <x v="1"/>
    <s v="Unknown"/>
    <x v="0"/>
    <n v="2"/>
    <x v="3"/>
    <s v="No"/>
    <s v="0&lt;=X&lt;200"/>
    <x v="0"/>
    <s v="&lt;100"/>
    <x v="0"/>
    <s v="skilled"/>
    <s v="Skilled"/>
    <x v="0"/>
    <s v="1&lt;=X&lt;4"/>
    <x v="0"/>
    <s v="existing paid"/>
    <x v="1"/>
    <n v="4"/>
    <n v="1"/>
    <n v="2150"/>
    <s v="guarantor"/>
    <s v="Guarantor"/>
    <s v="Bank"/>
    <x v="3"/>
    <x v="5"/>
    <n v="30"/>
    <x v="0"/>
  </r>
  <r>
    <n v="215"/>
    <n v="36"/>
    <x v="0"/>
    <s v="Male single"/>
    <x v="1"/>
    <x v="1"/>
    <n v="1"/>
    <x v="1"/>
    <s v="Unknown"/>
    <x v="0"/>
    <n v="4"/>
    <x v="2"/>
    <s v="No"/>
    <s v="0&lt;=X&lt;200"/>
    <x v="0"/>
    <s v="no known savings"/>
    <x v="1"/>
    <s v="skilled"/>
    <s v="Skilled"/>
    <x v="0"/>
    <s v="&gt;=7"/>
    <x v="3"/>
    <s v="critical/Others existing credit"/>
    <x v="3"/>
    <n v="4"/>
    <n v="2"/>
    <n v="2181"/>
    <s v="No"/>
    <s v="None"/>
    <s v="None"/>
    <x v="3"/>
    <x v="5"/>
    <n v="30"/>
    <x v="1"/>
  </r>
  <r>
    <n v="216"/>
    <n v="30"/>
    <x v="0"/>
    <s v="Male single"/>
    <x v="1"/>
    <x v="1"/>
    <n v="1"/>
    <x v="1"/>
    <s v="Unknown"/>
    <x v="0"/>
    <n v="2"/>
    <x v="1"/>
    <s v="No"/>
    <s v="no checking"/>
    <x v="2"/>
    <s v="500&lt;=X&lt;1000"/>
    <x v="4"/>
    <s v="high qualif/self emp/mgmt"/>
    <s v="Skilled"/>
    <x v="0"/>
    <s v="&gt;=7"/>
    <x v="3"/>
    <s v="existing paid"/>
    <x v="1"/>
    <n v="4"/>
    <n v="1"/>
    <n v="2333"/>
    <s v="No"/>
    <s v="None"/>
    <s v="Bank"/>
    <x v="4"/>
    <x v="5"/>
    <n v="30"/>
    <x v="1"/>
  </r>
  <r>
    <n v="217"/>
    <n v="23"/>
    <x v="1"/>
    <s v="Female Divorced with Dependents"/>
    <x v="0"/>
    <x v="0"/>
    <n v="1"/>
    <x v="1"/>
    <s v="Unknown"/>
    <x v="1"/>
    <n v="4"/>
    <x v="2"/>
    <s v="No"/>
    <s v="&lt;0"/>
    <x v="1"/>
    <s v="&lt;100"/>
    <x v="0"/>
    <s v="skilled"/>
    <s v="Skilled"/>
    <x v="0"/>
    <s v="4&lt;=X&lt;7"/>
    <x v="2"/>
    <s v="existing paid"/>
    <x v="1"/>
    <n v="4"/>
    <n v="1"/>
    <n v="2406"/>
    <s v="No"/>
    <s v="None"/>
    <s v="None"/>
    <x v="1"/>
    <x v="5"/>
    <n v="30"/>
    <x v="0"/>
  </r>
  <r>
    <n v="218"/>
    <n v="41"/>
    <x v="2"/>
    <s v="Male single"/>
    <x v="1"/>
    <x v="1"/>
    <n v="1"/>
    <x v="1"/>
    <s v="Unknown"/>
    <x v="0"/>
    <n v="2"/>
    <x v="0"/>
    <s v="No"/>
    <s v="0&lt;=X&lt;200"/>
    <x v="0"/>
    <s v="100&lt;=X&lt;500"/>
    <x v="3"/>
    <s v="skilled"/>
    <s v="Skilled"/>
    <x v="0"/>
    <s v="&gt;=7"/>
    <x v="3"/>
    <s v="delayed previously"/>
    <x v="4"/>
    <n v="4"/>
    <n v="2"/>
    <n v="2503"/>
    <s v="No"/>
    <s v="None"/>
    <s v="Store"/>
    <x v="5"/>
    <x v="5"/>
    <n v="30"/>
    <x v="1"/>
  </r>
  <r>
    <n v="219"/>
    <n v="39"/>
    <x v="2"/>
    <s v="Male single"/>
    <x v="1"/>
    <x v="1"/>
    <n v="2"/>
    <x v="1"/>
    <s v="Unknown"/>
    <x v="0"/>
    <n v="3"/>
    <x v="0"/>
    <s v="No"/>
    <s v="&lt;0"/>
    <x v="1"/>
    <s v="&lt;100"/>
    <x v="0"/>
    <s v="skilled"/>
    <s v="Skilled"/>
    <x v="0"/>
    <s v="&gt;=7"/>
    <x v="3"/>
    <s v="existing paid"/>
    <x v="1"/>
    <n v="1"/>
    <n v="1"/>
    <n v="2522"/>
    <s v="guarantor"/>
    <s v="Guarantor"/>
    <s v="None"/>
    <x v="4"/>
    <x v="5"/>
    <n v="30"/>
    <x v="1"/>
  </r>
  <r>
    <n v="220"/>
    <n v="33"/>
    <x v="0"/>
    <s v="Female Divorced with Dependents"/>
    <x v="0"/>
    <x v="0"/>
    <n v="1"/>
    <x v="1"/>
    <s v="Unknown"/>
    <x v="0"/>
    <n v="2"/>
    <x v="1"/>
    <s v="Yes"/>
    <s v="no checking"/>
    <x v="2"/>
    <s v="&lt;100"/>
    <x v="0"/>
    <s v="skilled"/>
    <s v="Skilled"/>
    <x v="0"/>
    <s v="1&lt;=X&lt;4"/>
    <x v="0"/>
    <s v="critical/Others existing credit"/>
    <x v="3"/>
    <n v="4"/>
    <n v="1"/>
    <n v="2831"/>
    <s v="No"/>
    <s v="None"/>
    <s v="None"/>
    <x v="4"/>
    <x v="5"/>
    <n v="30"/>
    <x v="1"/>
  </r>
  <r>
    <n v="221"/>
    <n v="25"/>
    <x v="1"/>
    <s v="Female Divorced with Dependents"/>
    <x v="0"/>
    <x v="0"/>
    <n v="1"/>
    <x v="1"/>
    <s v="Unknown"/>
    <x v="0"/>
    <n v="4"/>
    <x v="1"/>
    <s v="No"/>
    <s v="0&lt;=X&lt;200"/>
    <x v="0"/>
    <s v="no known savings"/>
    <x v="1"/>
    <s v="skilled"/>
    <s v="Skilled"/>
    <x v="0"/>
    <s v="&gt;=7"/>
    <x v="3"/>
    <s v="existing paid"/>
    <x v="1"/>
    <n v="2"/>
    <n v="1"/>
    <n v="2991"/>
    <s v="No"/>
    <s v="None"/>
    <s v="None"/>
    <x v="4"/>
    <x v="5"/>
    <n v="30"/>
    <x v="1"/>
  </r>
  <r>
    <n v="222"/>
    <n v="47"/>
    <x v="2"/>
    <s v="Male single"/>
    <x v="1"/>
    <x v="1"/>
    <n v="1"/>
    <x v="1"/>
    <s v="Unknown"/>
    <x v="0"/>
    <n v="4"/>
    <x v="0"/>
    <s v="No"/>
    <s v="&gt;=200"/>
    <x v="3"/>
    <s v="&lt;100"/>
    <x v="0"/>
    <s v="skilled"/>
    <s v="Skilled"/>
    <x v="0"/>
    <s v="&gt;=7"/>
    <x v="3"/>
    <s v="critical/Others existing credit"/>
    <x v="3"/>
    <n v="4"/>
    <n v="1"/>
    <n v="3017"/>
    <s v="No"/>
    <s v="None"/>
    <s v="None"/>
    <x v="4"/>
    <x v="5"/>
    <n v="30"/>
    <x v="1"/>
  </r>
  <r>
    <n v="223"/>
    <n v="40"/>
    <x v="2"/>
    <s v="Male single"/>
    <x v="1"/>
    <x v="1"/>
    <n v="2"/>
    <x v="1"/>
    <s v="Unknown"/>
    <x v="0"/>
    <n v="2"/>
    <x v="1"/>
    <s v="Yes"/>
    <s v="no checking"/>
    <x v="2"/>
    <s v="no known savings"/>
    <x v="1"/>
    <s v="skilled"/>
    <s v="Skilled"/>
    <x v="0"/>
    <s v="&gt;=7"/>
    <x v="3"/>
    <s v="critical/Others existing credit"/>
    <x v="3"/>
    <n v="3"/>
    <n v="2"/>
    <n v="3077"/>
    <s v="No"/>
    <s v="None"/>
    <s v="None"/>
    <x v="4"/>
    <x v="5"/>
    <n v="30"/>
    <x v="1"/>
  </r>
  <r>
    <n v="224"/>
    <n v="31"/>
    <x v="0"/>
    <s v="Male Divorced/Seperated"/>
    <x v="1"/>
    <x v="3"/>
    <n v="1"/>
    <x v="1"/>
    <s v="Resident"/>
    <x v="0"/>
    <n v="4"/>
    <x v="0"/>
    <s v="No"/>
    <s v="&lt;0"/>
    <x v="1"/>
    <s v="&lt;100"/>
    <x v="0"/>
    <s v="unskilled resident"/>
    <s v="Unskilled"/>
    <x v="0"/>
    <s v="&lt;1"/>
    <x v="1"/>
    <s v="existing paid"/>
    <x v="1"/>
    <n v="2"/>
    <n v="1"/>
    <n v="3108"/>
    <s v="No"/>
    <s v="None"/>
    <s v="None"/>
    <x v="1"/>
    <x v="5"/>
    <n v="30"/>
    <x v="0"/>
  </r>
  <r>
    <n v="225"/>
    <n v="21"/>
    <x v="1"/>
    <s v="Female Divorced with Dependents"/>
    <x v="0"/>
    <x v="0"/>
    <n v="1"/>
    <x v="1"/>
    <s v="Unknown"/>
    <x v="1"/>
    <n v="4"/>
    <x v="1"/>
    <s v="No"/>
    <s v="0&lt;=X&lt;200"/>
    <x v="0"/>
    <s v="100&lt;=X&lt;500"/>
    <x v="3"/>
    <s v="skilled"/>
    <s v="Skilled"/>
    <x v="0"/>
    <s v="1&lt;=X&lt;4"/>
    <x v="0"/>
    <s v="existing paid"/>
    <x v="1"/>
    <n v="2"/>
    <n v="1"/>
    <n v="3441"/>
    <s v="co applicant"/>
    <s v="Co-applicant"/>
    <s v="None"/>
    <x v="1"/>
    <x v="5"/>
    <n v="30"/>
    <x v="0"/>
  </r>
  <r>
    <n v="226"/>
    <n v="34"/>
    <x v="0"/>
    <s v="Male single"/>
    <x v="1"/>
    <x v="1"/>
    <n v="2"/>
    <x v="1"/>
    <s v="Unknown"/>
    <x v="0"/>
    <n v="2"/>
    <x v="1"/>
    <s v="Yes"/>
    <s v="0&lt;=X&lt;200"/>
    <x v="0"/>
    <s v="&gt;=1000"/>
    <x v="2"/>
    <s v="skilled"/>
    <s v="Skilled"/>
    <x v="0"/>
    <s v="1&lt;=X&lt;4"/>
    <x v="0"/>
    <s v="all paid"/>
    <x v="2"/>
    <n v="4"/>
    <n v="1"/>
    <n v="3496"/>
    <s v="No"/>
    <s v="None"/>
    <s v="Store"/>
    <x v="1"/>
    <x v="5"/>
    <n v="30"/>
    <x v="1"/>
  </r>
  <r>
    <n v="227"/>
    <n v="57"/>
    <x v="3"/>
    <s v="Female Divorced with Dependents"/>
    <x v="0"/>
    <x v="0"/>
    <n v="1"/>
    <x v="1"/>
    <s v="Unknown"/>
    <x v="1"/>
    <n v="4"/>
    <x v="0"/>
    <s v="Yes"/>
    <s v="&lt;0"/>
    <x v="1"/>
    <s v="&gt;=1000"/>
    <x v="2"/>
    <s v="skilled"/>
    <s v="Skilled"/>
    <x v="0"/>
    <s v="&gt;=7"/>
    <x v="3"/>
    <s v="existing paid"/>
    <x v="1"/>
    <n v="4"/>
    <n v="2"/>
    <n v="3622"/>
    <s v="No"/>
    <s v="None"/>
    <s v="None"/>
    <x v="1"/>
    <x v="5"/>
    <n v="30"/>
    <x v="1"/>
  </r>
  <r>
    <n v="228"/>
    <n v="49"/>
    <x v="3"/>
    <s v="Male single"/>
    <x v="1"/>
    <x v="1"/>
    <n v="1"/>
    <x v="1"/>
    <s v="Resident"/>
    <x v="0"/>
    <n v="4"/>
    <x v="0"/>
    <s v="No"/>
    <s v="&gt;=200"/>
    <x v="3"/>
    <s v="no known savings"/>
    <x v="1"/>
    <s v="unskilled resident"/>
    <s v="Unskilled"/>
    <x v="0"/>
    <s v="&gt;=7"/>
    <x v="3"/>
    <s v="critical/Others existing credit"/>
    <x v="3"/>
    <n v="4"/>
    <n v="2"/>
    <n v="3656"/>
    <s v="No"/>
    <s v="None"/>
    <s v="Store"/>
    <x v="4"/>
    <x v="5"/>
    <n v="30"/>
    <x v="1"/>
  </r>
  <r>
    <n v="229"/>
    <n v="22"/>
    <x v="1"/>
    <s v="Male Married/Widowed"/>
    <x v="1"/>
    <x v="2"/>
    <n v="1"/>
    <x v="1"/>
    <s v="Unknown"/>
    <x v="0"/>
    <n v="1"/>
    <x v="0"/>
    <s v="No"/>
    <s v="0&lt;=X&lt;200"/>
    <x v="0"/>
    <s v="&lt;100"/>
    <x v="0"/>
    <s v="skilled"/>
    <s v="Skilled"/>
    <x v="0"/>
    <s v="&lt;1"/>
    <x v="1"/>
    <s v="existing paid"/>
    <x v="1"/>
    <n v="2"/>
    <n v="1"/>
    <n v="3832"/>
    <s v="No"/>
    <s v="None"/>
    <s v="None"/>
    <x v="1"/>
    <x v="5"/>
    <n v="30"/>
    <x v="1"/>
  </r>
  <r>
    <n v="230"/>
    <n v="40"/>
    <x v="2"/>
    <s v="Male Divorced/Seperated"/>
    <x v="1"/>
    <x v="3"/>
    <n v="1"/>
    <x v="1"/>
    <s v="Unknown"/>
    <x v="0"/>
    <n v="4"/>
    <x v="0"/>
    <s v="Yes"/>
    <s v="&lt;0"/>
    <x v="1"/>
    <s v="&lt;100"/>
    <x v="0"/>
    <s v="high qualif/self emp/mgmt"/>
    <s v="Skilled"/>
    <x v="0"/>
    <s v="1&lt;=X&lt;4"/>
    <x v="0"/>
    <s v="existing paid"/>
    <x v="1"/>
    <n v="4"/>
    <n v="1"/>
    <n v="3857"/>
    <s v="No"/>
    <s v="None"/>
    <s v="None"/>
    <x v="2"/>
    <x v="5"/>
    <n v="30"/>
    <x v="1"/>
  </r>
  <r>
    <n v="231"/>
    <n v="28"/>
    <x v="1"/>
    <s v="Female Divorced with Dependents"/>
    <x v="0"/>
    <x v="0"/>
    <n v="1"/>
    <x v="1"/>
    <s v="Unknown"/>
    <x v="0"/>
    <n v="1"/>
    <x v="1"/>
    <s v="No"/>
    <s v="0&lt;=X&lt;200"/>
    <x v="0"/>
    <s v="&lt;100"/>
    <x v="0"/>
    <s v="skilled"/>
    <s v="Skilled"/>
    <x v="0"/>
    <s v="1&lt;=X&lt;4"/>
    <x v="0"/>
    <s v="no credits/all paid"/>
    <x v="0"/>
    <n v="2"/>
    <n v="2"/>
    <n v="4221"/>
    <s v="No"/>
    <s v="None"/>
    <s v="None"/>
    <x v="5"/>
    <x v="5"/>
    <n v="30"/>
    <x v="1"/>
  </r>
  <r>
    <n v="232"/>
    <n v="28"/>
    <x v="1"/>
    <s v="Male Married/Widowed"/>
    <x v="1"/>
    <x v="2"/>
    <n v="1"/>
    <x v="1"/>
    <s v="Unknown"/>
    <x v="0"/>
    <n v="2"/>
    <x v="1"/>
    <s v="No"/>
    <s v="0&lt;=X&lt;200"/>
    <x v="0"/>
    <s v="&lt;100"/>
    <x v="0"/>
    <s v="high qualif/self emp/mgmt"/>
    <s v="Skilled"/>
    <x v="0"/>
    <s v="unemployed"/>
    <x v="4"/>
    <s v="critical/Others existing credit"/>
    <x v="3"/>
    <n v="4"/>
    <n v="2"/>
    <n v="4249"/>
    <s v="No"/>
    <s v="None"/>
    <s v="None"/>
    <x v="3"/>
    <x v="5"/>
    <n v="30"/>
    <x v="0"/>
  </r>
  <r>
    <n v="233"/>
    <n v="26"/>
    <x v="1"/>
    <s v="Male single"/>
    <x v="1"/>
    <x v="1"/>
    <n v="1"/>
    <x v="1"/>
    <s v="Resident"/>
    <x v="0"/>
    <n v="2"/>
    <x v="0"/>
    <s v="No"/>
    <s v="no checking"/>
    <x v="2"/>
    <s v="100&lt;=X&lt;500"/>
    <x v="3"/>
    <s v="unskilled resident"/>
    <s v="Unskilled"/>
    <x v="0"/>
    <s v="1&lt;=X&lt;4"/>
    <x v="0"/>
    <s v="delayed previously"/>
    <x v="4"/>
    <n v="2"/>
    <n v="2"/>
    <n v="4272"/>
    <s v="No"/>
    <s v="None"/>
    <s v="None"/>
    <x v="5"/>
    <x v="5"/>
    <n v="30"/>
    <x v="1"/>
  </r>
  <r>
    <n v="234"/>
    <n v="26"/>
    <x v="1"/>
    <s v="Female Divorced with Dependents"/>
    <x v="0"/>
    <x v="0"/>
    <n v="1"/>
    <x v="1"/>
    <s v="Resident"/>
    <x v="1"/>
    <n v="4"/>
    <x v="1"/>
    <s v="No"/>
    <s v="0&lt;=X&lt;200"/>
    <x v="0"/>
    <s v="100&lt;=X&lt;500"/>
    <x v="3"/>
    <s v="unskilled resident"/>
    <s v="Unskilled"/>
    <x v="0"/>
    <s v="1&lt;=X&lt;4"/>
    <x v="0"/>
    <s v="no credits/all paid"/>
    <x v="0"/>
    <n v="4"/>
    <n v="2"/>
    <n v="4280"/>
    <s v="No"/>
    <s v="None"/>
    <s v="None"/>
    <x v="5"/>
    <x v="5"/>
    <n v="30"/>
    <x v="0"/>
  </r>
  <r>
    <n v="235"/>
    <n v="26"/>
    <x v="1"/>
    <s v="Female Divorced with Dependents"/>
    <x v="0"/>
    <x v="0"/>
    <n v="1"/>
    <x v="1"/>
    <s v="Unknown"/>
    <x v="1"/>
    <n v="4"/>
    <x v="1"/>
    <s v="Yes"/>
    <s v="no checking"/>
    <x v="2"/>
    <s v="&lt;100"/>
    <x v="0"/>
    <s v="high qualif/self emp/mgmt"/>
    <s v="Skilled"/>
    <x v="0"/>
    <s v="4&lt;=X&lt;7"/>
    <x v="2"/>
    <s v="critical/Others existing credit"/>
    <x v="3"/>
    <n v="4"/>
    <n v="1"/>
    <n v="4530"/>
    <s v="No"/>
    <s v="None"/>
    <s v="None"/>
    <x v="4"/>
    <x v="5"/>
    <n v="30"/>
    <x v="1"/>
  </r>
  <r>
    <n v="236"/>
    <n v="32"/>
    <x v="0"/>
    <s v="Male Divorced/Seperated"/>
    <x v="1"/>
    <x v="3"/>
    <n v="1"/>
    <x v="1"/>
    <s v="Unknown"/>
    <x v="0"/>
    <n v="2"/>
    <x v="2"/>
    <s v="No"/>
    <s v="&lt;0"/>
    <x v="1"/>
    <s v="&lt;100"/>
    <x v="0"/>
    <s v="skilled"/>
    <s v="Skilled"/>
    <x v="0"/>
    <s v="1&lt;=X&lt;4"/>
    <x v="0"/>
    <s v="no credits/all paid"/>
    <x v="0"/>
    <n v="2"/>
    <n v="2"/>
    <n v="4583"/>
    <s v="guarantor"/>
    <s v="Guarantor"/>
    <s v="None"/>
    <x v="1"/>
    <x v="5"/>
    <n v="30"/>
    <x v="1"/>
  </r>
  <r>
    <n v="237"/>
    <n v="24"/>
    <x v="1"/>
    <s v="Female Divorced with Dependents"/>
    <x v="0"/>
    <x v="0"/>
    <n v="1"/>
    <x v="1"/>
    <s v="Resident"/>
    <x v="1"/>
    <n v="4"/>
    <x v="0"/>
    <s v="No"/>
    <s v="no checking"/>
    <x v="2"/>
    <s v="no known savings"/>
    <x v="1"/>
    <s v="unskilled resident"/>
    <s v="Unskilled"/>
    <x v="0"/>
    <s v="4&lt;=X&lt;7"/>
    <x v="2"/>
    <s v="existing paid"/>
    <x v="1"/>
    <n v="2"/>
    <n v="1"/>
    <n v="4811"/>
    <s v="No"/>
    <s v="None"/>
    <s v="Store"/>
    <x v="2"/>
    <x v="5"/>
    <n v="30"/>
    <x v="1"/>
  </r>
  <r>
    <n v="238"/>
    <n v="28"/>
    <x v="1"/>
    <s v="Male Married/Widowed"/>
    <x v="1"/>
    <x v="2"/>
    <n v="1"/>
    <x v="1"/>
    <s v="Unknown"/>
    <x v="0"/>
    <n v="2"/>
    <x v="1"/>
    <s v="No"/>
    <s v="0&lt;=X&lt;200"/>
    <x v="0"/>
    <s v="&lt;100"/>
    <x v="0"/>
    <s v="high qualif/self emp/mgmt"/>
    <s v="Skilled"/>
    <x v="0"/>
    <s v="unemployed"/>
    <x v="4"/>
    <s v="critical/Others existing credit"/>
    <x v="3"/>
    <n v="4"/>
    <n v="2"/>
    <n v="5234"/>
    <s v="No"/>
    <s v="None"/>
    <s v="None"/>
    <x v="3"/>
    <x v="5"/>
    <n v="30"/>
    <x v="0"/>
  </r>
  <r>
    <n v="239"/>
    <n v="25"/>
    <x v="1"/>
    <s v="Female Divorced with Dependents"/>
    <x v="0"/>
    <x v="0"/>
    <n v="1"/>
    <x v="1"/>
    <s v="Unknown"/>
    <x v="0"/>
    <n v="2"/>
    <x v="1"/>
    <s v="No"/>
    <s v="no checking"/>
    <x v="2"/>
    <s v="&lt;100"/>
    <x v="0"/>
    <s v="skilled"/>
    <s v="Skilled"/>
    <x v="0"/>
    <s v="4&lt;=X&lt;7"/>
    <x v="2"/>
    <s v="critical/Others existing credit"/>
    <x v="3"/>
    <n v="4"/>
    <n v="2"/>
    <n v="5771"/>
    <s v="No"/>
    <s v="None"/>
    <s v="None"/>
    <x v="4"/>
    <x v="5"/>
    <n v="30"/>
    <x v="1"/>
  </r>
  <r>
    <n v="240"/>
    <n v="38"/>
    <x v="0"/>
    <s v="Male single"/>
    <x v="1"/>
    <x v="1"/>
    <n v="1"/>
    <x v="1"/>
    <s v="Unknown"/>
    <x v="0"/>
    <n v="2"/>
    <x v="1"/>
    <s v="No"/>
    <s v="no checking"/>
    <x v="2"/>
    <s v="&lt;100"/>
    <x v="0"/>
    <s v="skilled"/>
    <s v="Skilled"/>
    <x v="0"/>
    <s v="4&lt;=X&lt;7"/>
    <x v="2"/>
    <s v="critical/Others existing credit"/>
    <x v="3"/>
    <n v="3"/>
    <n v="1"/>
    <n v="5954"/>
    <s v="co applicant"/>
    <s v="Co-applicant"/>
    <s v="None"/>
    <x v="4"/>
    <x v="5"/>
    <n v="30"/>
    <x v="1"/>
  </r>
  <r>
    <n v="241"/>
    <n v="24"/>
    <x v="1"/>
    <s v="Male Married/Widowed"/>
    <x v="1"/>
    <x v="2"/>
    <n v="1"/>
    <x v="1"/>
    <s v="Unknown"/>
    <x v="1"/>
    <n v="4"/>
    <x v="1"/>
    <s v="No"/>
    <s v="&lt;0"/>
    <x v="1"/>
    <s v="100&lt;=X&lt;500"/>
    <x v="3"/>
    <s v="skilled"/>
    <s v="Skilled"/>
    <x v="0"/>
    <s v="4&lt;=X&lt;7"/>
    <x v="2"/>
    <s v="critical/Others existing credit"/>
    <x v="3"/>
    <n v="1"/>
    <n v="2"/>
    <n v="6187"/>
    <s v="No"/>
    <s v="None"/>
    <s v="None"/>
    <x v="2"/>
    <x v="5"/>
    <n v="30"/>
    <x v="1"/>
  </r>
  <r>
    <n v="242"/>
    <n v="31"/>
    <x v="0"/>
    <s v="Male single"/>
    <x v="1"/>
    <x v="1"/>
    <n v="1"/>
    <x v="1"/>
    <s v="Unknown"/>
    <x v="0"/>
    <n v="4"/>
    <x v="0"/>
    <s v="No"/>
    <s v="&lt;0"/>
    <x v="1"/>
    <s v="no known savings"/>
    <x v="1"/>
    <s v="skilled"/>
    <s v="Skilled"/>
    <x v="0"/>
    <s v="&gt;=7"/>
    <x v="3"/>
    <s v="existing paid"/>
    <x v="1"/>
    <n v="4"/>
    <n v="1"/>
    <n v="6350"/>
    <s v="No"/>
    <s v="None"/>
    <s v="None"/>
    <x v="1"/>
    <x v="5"/>
    <n v="30"/>
    <x v="0"/>
  </r>
  <r>
    <n v="243"/>
    <n v="36"/>
    <x v="0"/>
    <s v="Male single"/>
    <x v="1"/>
    <x v="1"/>
    <n v="1"/>
    <x v="1"/>
    <s v="Unknown"/>
    <x v="0"/>
    <n v="3"/>
    <x v="0"/>
    <s v="No"/>
    <s v="no checking"/>
    <x v="2"/>
    <s v="no known savings"/>
    <x v="1"/>
    <s v="skilled"/>
    <s v="Skilled"/>
    <x v="0"/>
    <s v="4&lt;=X&lt;7"/>
    <x v="2"/>
    <s v="critical/Others existing credit"/>
    <x v="3"/>
    <n v="2"/>
    <n v="2"/>
    <n v="6742"/>
    <s v="No"/>
    <s v="None"/>
    <s v="None"/>
    <x v="4"/>
    <x v="5"/>
    <n v="30"/>
    <x v="1"/>
  </r>
  <r>
    <n v="244"/>
    <n v="53"/>
    <x v="3"/>
    <s v="Female Divorced with Dependents"/>
    <x v="0"/>
    <x v="0"/>
    <n v="1"/>
    <x v="1"/>
    <s v="Unknown"/>
    <x v="0"/>
    <n v="1"/>
    <x v="2"/>
    <s v="Yes"/>
    <s v="no checking"/>
    <x v="2"/>
    <s v="no known savings"/>
    <x v="1"/>
    <s v="high qualif/self emp/mgmt"/>
    <s v="Skilled"/>
    <x v="0"/>
    <s v="unemployed"/>
    <x v="4"/>
    <s v="all paid"/>
    <x v="2"/>
    <n v="4"/>
    <n v="1"/>
    <n v="7485"/>
    <s v="No"/>
    <s v="None"/>
    <s v="Bank"/>
    <x v="2"/>
    <x v="5"/>
    <n v="30"/>
    <x v="0"/>
  </r>
  <r>
    <n v="245"/>
    <n v="63"/>
    <x v="5"/>
    <s v="Male single"/>
    <x v="1"/>
    <x v="1"/>
    <n v="1"/>
    <x v="1"/>
    <s v="Unknown"/>
    <x v="0"/>
    <n v="4"/>
    <x v="1"/>
    <s v="No"/>
    <s v="no checking"/>
    <x v="2"/>
    <s v="no known savings"/>
    <x v="1"/>
    <s v="skilled"/>
    <s v="Skilled"/>
    <x v="0"/>
    <s v="&gt;=7"/>
    <x v="3"/>
    <s v="critical/Others existing credit"/>
    <x v="3"/>
    <n v="1"/>
    <n v="2"/>
    <n v="7596"/>
    <s v="No"/>
    <s v="None"/>
    <s v="None"/>
    <x v="2"/>
    <x v="5"/>
    <n v="30"/>
    <x v="1"/>
  </r>
  <r>
    <n v="246"/>
    <n v="25"/>
    <x v="1"/>
    <s v="Male single"/>
    <x v="1"/>
    <x v="1"/>
    <n v="1"/>
    <x v="1"/>
    <s v="Unknown"/>
    <x v="0"/>
    <n v="3"/>
    <x v="1"/>
    <s v="No"/>
    <s v="&lt;0"/>
    <x v="1"/>
    <s v="no known savings"/>
    <x v="1"/>
    <s v="skilled"/>
    <s v="Skilled"/>
    <x v="0"/>
    <s v="&lt;1"/>
    <x v="1"/>
    <s v="no credits/all paid"/>
    <x v="0"/>
    <n v="2"/>
    <n v="3"/>
    <n v="8072"/>
    <s v="No"/>
    <s v="None"/>
    <s v="Bank"/>
    <x v="5"/>
    <x v="5"/>
    <n v="30"/>
    <x v="1"/>
  </r>
  <r>
    <n v="247"/>
    <n v="49"/>
    <x v="3"/>
    <s v="Male single"/>
    <x v="1"/>
    <x v="1"/>
    <n v="1"/>
    <x v="1"/>
    <s v="Unknown"/>
    <x v="0"/>
    <n v="2"/>
    <x v="0"/>
    <s v="No"/>
    <s v="0&lt;=X&lt;200"/>
    <x v="0"/>
    <s v="&lt;100"/>
    <x v="0"/>
    <s v="skilled"/>
    <s v="Skilled"/>
    <x v="0"/>
    <s v="4&lt;=X&lt;7"/>
    <x v="2"/>
    <s v="critical/Others existing credit"/>
    <x v="3"/>
    <n v="2"/>
    <n v="1"/>
    <n v="8386"/>
    <s v="No"/>
    <s v="None"/>
    <s v="None"/>
    <x v="1"/>
    <x v="5"/>
    <n v="30"/>
    <x v="0"/>
  </r>
  <r>
    <n v="248"/>
    <n v="38"/>
    <x v="0"/>
    <s v="Male single"/>
    <x v="1"/>
    <x v="1"/>
    <n v="2"/>
    <x v="1"/>
    <s v="Unknown"/>
    <x v="2"/>
    <n v="4"/>
    <x v="3"/>
    <s v="Yes"/>
    <s v="&lt;0"/>
    <x v="1"/>
    <s v="&lt;100"/>
    <x v="0"/>
    <s v="high qualif/self emp/mgmt"/>
    <s v="Skilled"/>
    <x v="0"/>
    <s v="&gt;=7"/>
    <x v="3"/>
    <s v="critical/Others existing credit"/>
    <x v="3"/>
    <n v="3"/>
    <n v="3"/>
    <n v="10623"/>
    <s v="No"/>
    <s v="None"/>
    <s v="None"/>
    <x v="2"/>
    <x v="5"/>
    <n v="30"/>
    <x v="1"/>
  </r>
  <r>
    <n v="249"/>
    <n v="34"/>
    <x v="0"/>
    <s v="Male Divorced/Seperated"/>
    <x v="1"/>
    <x v="3"/>
    <n v="1"/>
    <x v="1"/>
    <s v="Resident"/>
    <x v="0"/>
    <n v="1"/>
    <x v="3"/>
    <s v="Yes"/>
    <s v="&lt;0"/>
    <x v="1"/>
    <s v="&lt;100"/>
    <x v="0"/>
    <s v="unskilled resident"/>
    <s v="Unskilled"/>
    <x v="0"/>
    <s v="&lt;1"/>
    <x v="1"/>
    <s v="existing paid"/>
    <x v="1"/>
    <n v="1"/>
    <n v="1"/>
    <n v="11998"/>
    <s v="No"/>
    <s v="None"/>
    <s v="None"/>
    <x v="6"/>
    <x v="5"/>
    <n v="30"/>
    <x v="0"/>
  </r>
  <r>
    <n v="250"/>
    <n v="29"/>
    <x v="0"/>
    <s v="Male single"/>
    <x v="1"/>
    <x v="1"/>
    <n v="1"/>
    <x v="1"/>
    <s v="Unknown"/>
    <x v="0"/>
    <n v="2"/>
    <x v="1"/>
    <s v="No"/>
    <s v="no checking"/>
    <x v="2"/>
    <s v="&lt;100"/>
    <x v="0"/>
    <s v="skilled"/>
    <s v="Skilled"/>
    <x v="0"/>
    <s v="&gt;=7"/>
    <x v="3"/>
    <s v="critical/Others existing credit"/>
    <x v="3"/>
    <n v="4"/>
    <n v="2"/>
    <n v="2743"/>
    <s v="No"/>
    <s v="None"/>
    <s v="None"/>
    <x v="4"/>
    <x v="5"/>
    <n v="28"/>
    <x v="1"/>
  </r>
  <r>
    <n v="251"/>
    <n v="45"/>
    <x v="2"/>
    <s v="Male single"/>
    <x v="1"/>
    <x v="1"/>
    <n v="1"/>
    <x v="1"/>
    <s v="Resident"/>
    <x v="0"/>
    <n v="2"/>
    <x v="1"/>
    <s v="No"/>
    <s v="&lt;0"/>
    <x v="1"/>
    <s v="&lt;100"/>
    <x v="0"/>
    <s v="unskilled resident"/>
    <s v="Unskilled"/>
    <x v="0"/>
    <s v="1&lt;=X&lt;4"/>
    <x v="0"/>
    <s v="existing paid"/>
    <x v="1"/>
    <n v="3"/>
    <n v="1"/>
    <n v="4006"/>
    <s v="No"/>
    <s v="None"/>
    <s v="None"/>
    <x v="3"/>
    <x v="5"/>
    <n v="28"/>
    <x v="0"/>
  </r>
  <r>
    <n v="252"/>
    <n v="40"/>
    <x v="2"/>
    <s v="Male single"/>
    <x v="1"/>
    <x v="1"/>
    <n v="2"/>
    <x v="1"/>
    <s v="Unknown"/>
    <x v="1"/>
    <n v="4"/>
    <x v="2"/>
    <s v="Yes"/>
    <s v="no checking"/>
    <x v="2"/>
    <s v="no known savings"/>
    <x v="1"/>
    <s v="skilled"/>
    <s v="Skilled"/>
    <x v="0"/>
    <s v="&lt;1"/>
    <x v="1"/>
    <s v="all paid"/>
    <x v="2"/>
    <n v="3"/>
    <n v="2"/>
    <n v="7824"/>
    <s v="guarantor"/>
    <s v="Guarantor"/>
    <s v="Bank"/>
    <x v="2"/>
    <x v="5"/>
    <n v="28"/>
    <x v="1"/>
  </r>
  <r>
    <n v="253"/>
    <n v="43"/>
    <x v="2"/>
    <s v="Male single"/>
    <x v="1"/>
    <x v="1"/>
    <n v="2"/>
    <x v="1"/>
    <s v="Unknown"/>
    <x v="0"/>
    <n v="4"/>
    <x v="1"/>
    <s v="Yes"/>
    <s v="&lt;0"/>
    <x v="1"/>
    <s v="&lt;100"/>
    <x v="0"/>
    <s v="high qualif/self emp/mgmt"/>
    <s v="Skilled"/>
    <x v="0"/>
    <s v="&gt;=7"/>
    <x v="3"/>
    <s v="critical/Others existing credit"/>
    <x v="3"/>
    <n v="4"/>
    <n v="4"/>
    <n v="2442"/>
    <s v="No"/>
    <s v="None"/>
    <s v="Store"/>
    <x v="5"/>
    <x v="5"/>
    <n v="27"/>
    <x v="1"/>
  </r>
  <r>
    <n v="254"/>
    <n v="23"/>
    <x v="1"/>
    <s v="Male single"/>
    <x v="1"/>
    <x v="1"/>
    <n v="1"/>
    <x v="1"/>
    <s v="Resident"/>
    <x v="0"/>
    <n v="2"/>
    <x v="0"/>
    <s v="No"/>
    <s v="0&lt;=X&lt;200"/>
    <x v="0"/>
    <s v="500&lt;=X&lt;1000"/>
    <x v="4"/>
    <s v="unskilled resident"/>
    <s v="Unskilled"/>
    <x v="0"/>
    <s v="1&lt;=X&lt;4"/>
    <x v="0"/>
    <s v="critical/Others existing credit"/>
    <x v="3"/>
    <n v="4"/>
    <n v="2"/>
    <n v="2520"/>
    <s v="No"/>
    <s v="None"/>
    <s v="None"/>
    <x v="4"/>
    <x v="5"/>
    <n v="27"/>
    <x v="0"/>
  </r>
  <r>
    <n v="255"/>
    <n v="32"/>
    <x v="0"/>
    <s v="Female Divorced with Dependents"/>
    <x v="0"/>
    <x v="0"/>
    <n v="2"/>
    <x v="1"/>
    <s v="Unknown"/>
    <x v="0"/>
    <n v="1"/>
    <x v="0"/>
    <s v="Yes"/>
    <s v="0&lt;=X&lt;200"/>
    <x v="0"/>
    <s v="&lt;100"/>
    <x v="0"/>
    <s v="skilled"/>
    <s v="Skilled"/>
    <x v="0"/>
    <s v="&lt;1"/>
    <x v="1"/>
    <s v="existing paid"/>
    <x v="1"/>
    <n v="4"/>
    <n v="1"/>
    <n v="2528"/>
    <s v="No"/>
    <s v="None"/>
    <s v="None"/>
    <x v="5"/>
    <x v="5"/>
    <n v="27"/>
    <x v="1"/>
  </r>
  <r>
    <n v="256"/>
    <n v="21"/>
    <x v="1"/>
    <s v="Female Divorced with Dependents"/>
    <x v="0"/>
    <x v="0"/>
    <n v="1"/>
    <x v="1"/>
    <s v="Unknown"/>
    <x v="1"/>
    <n v="3"/>
    <x v="2"/>
    <s v="No"/>
    <s v="no checking"/>
    <x v="2"/>
    <s v="&lt;100"/>
    <x v="0"/>
    <s v="skilled"/>
    <s v="Skilled"/>
    <x v="0"/>
    <s v="1&lt;=X&lt;4"/>
    <x v="0"/>
    <s v="existing paid"/>
    <x v="1"/>
    <n v="3"/>
    <n v="1"/>
    <n v="2570"/>
    <s v="No"/>
    <s v="None"/>
    <s v="None"/>
    <x v="3"/>
    <x v="5"/>
    <n v="27"/>
    <x v="0"/>
  </r>
  <r>
    <n v="257"/>
    <n v="27"/>
    <x v="1"/>
    <s v="Male single"/>
    <x v="1"/>
    <x v="1"/>
    <n v="1"/>
    <x v="1"/>
    <s v="Unknown"/>
    <x v="0"/>
    <n v="2"/>
    <x v="1"/>
    <s v="No"/>
    <s v="&lt;0"/>
    <x v="1"/>
    <s v="&lt;100"/>
    <x v="0"/>
    <s v="high qualif/self emp/mgmt"/>
    <s v="Skilled"/>
    <x v="0"/>
    <s v="1&lt;=X&lt;4"/>
    <x v="0"/>
    <s v="existing paid"/>
    <x v="1"/>
    <n v="3"/>
    <n v="1"/>
    <n v="3416"/>
    <s v="No"/>
    <s v="None"/>
    <s v="None"/>
    <x v="4"/>
    <x v="5"/>
    <n v="27"/>
    <x v="1"/>
  </r>
  <r>
    <n v="258"/>
    <n v="36"/>
    <x v="0"/>
    <s v="Male single"/>
    <x v="1"/>
    <x v="1"/>
    <n v="2"/>
    <x v="1"/>
    <s v="Unknown"/>
    <x v="0"/>
    <n v="2"/>
    <x v="1"/>
    <s v="Yes"/>
    <s v="0&lt;=X&lt;200"/>
    <x v="0"/>
    <s v="&lt;100"/>
    <x v="0"/>
    <s v="skilled"/>
    <s v="Skilled"/>
    <x v="0"/>
    <s v="1&lt;=X&lt;4"/>
    <x v="0"/>
    <s v="existing paid"/>
    <x v="1"/>
    <n v="4"/>
    <n v="1"/>
    <n v="3915"/>
    <s v="No"/>
    <s v="None"/>
    <s v="None"/>
    <x v="5"/>
    <x v="5"/>
    <n v="27"/>
    <x v="0"/>
  </r>
  <r>
    <n v="259"/>
    <n v="32"/>
    <x v="0"/>
    <s v="Male single"/>
    <x v="1"/>
    <x v="1"/>
    <n v="2"/>
    <x v="1"/>
    <s v="Resident"/>
    <x v="0"/>
    <n v="2"/>
    <x v="2"/>
    <s v="Yes"/>
    <s v="no checking"/>
    <x v="2"/>
    <s v="&gt;=1000"/>
    <x v="2"/>
    <s v="unskilled resident"/>
    <s v="Unskilled"/>
    <x v="0"/>
    <s v="&lt;1"/>
    <x v="1"/>
    <s v="critical/Others existing credit"/>
    <x v="3"/>
    <n v="4"/>
    <n v="2"/>
    <n v="4526"/>
    <s v="No"/>
    <s v="None"/>
    <s v="Store"/>
    <x v="1"/>
    <x v="5"/>
    <n v="27"/>
    <x v="1"/>
  </r>
  <r>
    <n v="260"/>
    <n v="26"/>
    <x v="1"/>
    <s v="Male single"/>
    <x v="1"/>
    <x v="1"/>
    <n v="1"/>
    <x v="1"/>
    <s v="Unknown"/>
    <x v="0"/>
    <n v="4"/>
    <x v="1"/>
    <s v="No"/>
    <s v="no checking"/>
    <x v="2"/>
    <s v="&lt;100"/>
    <x v="0"/>
    <s v="skilled"/>
    <s v="Skilled"/>
    <x v="0"/>
    <s v="4&lt;=X&lt;7"/>
    <x v="2"/>
    <s v="delayed previously"/>
    <x v="4"/>
    <n v="3"/>
    <n v="2"/>
    <n v="5117"/>
    <s v="No"/>
    <s v="None"/>
    <s v="None"/>
    <x v="5"/>
    <x v="5"/>
    <n v="27"/>
    <x v="1"/>
  </r>
  <r>
    <n v="261"/>
    <n v="48"/>
    <x v="2"/>
    <s v="Male single"/>
    <x v="1"/>
    <x v="1"/>
    <n v="2"/>
    <x v="1"/>
    <s v="Unknown"/>
    <x v="0"/>
    <n v="4"/>
    <x v="0"/>
    <s v="Yes"/>
    <s v="no checking"/>
    <x v="2"/>
    <s v="no known savings"/>
    <x v="1"/>
    <s v="skilled"/>
    <s v="Skilled"/>
    <x v="0"/>
    <s v="&gt;=7"/>
    <x v="3"/>
    <s v="existing paid"/>
    <x v="1"/>
    <n v="4"/>
    <n v="4"/>
    <n v="5190"/>
    <s v="No"/>
    <s v="None"/>
    <s v="None"/>
    <x v="6"/>
    <x v="5"/>
    <n v="27"/>
    <x v="1"/>
  </r>
  <r>
    <n v="262"/>
    <n v="50"/>
    <x v="3"/>
    <s v="Male single"/>
    <x v="1"/>
    <x v="1"/>
    <n v="1"/>
    <x v="1"/>
    <s v="Unknown"/>
    <x v="0"/>
    <n v="4"/>
    <x v="0"/>
    <s v="Yes"/>
    <s v="&lt;0"/>
    <x v="1"/>
    <s v="&lt;100"/>
    <x v="0"/>
    <s v="skilled"/>
    <s v="Skilled"/>
    <x v="0"/>
    <s v="unemployed"/>
    <x v="4"/>
    <s v="no credits/all paid"/>
    <x v="0"/>
    <n v="2"/>
    <n v="2"/>
    <n v="5293"/>
    <s v="No"/>
    <s v="None"/>
    <s v="Store"/>
    <x v="5"/>
    <x v="5"/>
    <n v="27"/>
    <x v="0"/>
  </r>
  <r>
    <n v="263"/>
    <n v="30"/>
    <x v="0"/>
    <s v="Male single"/>
    <x v="1"/>
    <x v="1"/>
    <n v="1"/>
    <x v="1"/>
    <s v="Unknown"/>
    <x v="0"/>
    <n v="2"/>
    <x v="1"/>
    <s v="Yes"/>
    <s v="0&lt;=X&lt;200"/>
    <x v="0"/>
    <s v="&lt;100"/>
    <x v="0"/>
    <s v="high qualif/self emp/mgmt"/>
    <s v="Skilled"/>
    <x v="0"/>
    <s v="&gt;=7"/>
    <x v="3"/>
    <s v="delayed previously"/>
    <x v="4"/>
    <n v="1"/>
    <n v="2"/>
    <n v="5965"/>
    <s v="No"/>
    <s v="None"/>
    <s v="None"/>
    <x v="2"/>
    <x v="5"/>
    <n v="27"/>
    <x v="1"/>
  </r>
  <r>
    <n v="264"/>
    <n v="42"/>
    <x v="2"/>
    <s v="Female Divorced with Dependents"/>
    <x v="0"/>
    <x v="0"/>
    <n v="1"/>
    <x v="1"/>
    <s v="Unknown"/>
    <x v="2"/>
    <n v="4"/>
    <x v="3"/>
    <s v="Yes"/>
    <s v="0&lt;=X&lt;200"/>
    <x v="0"/>
    <s v="&lt;100"/>
    <x v="0"/>
    <s v="high qualif/self emp/mgmt"/>
    <s v="Skilled"/>
    <x v="0"/>
    <s v="&gt;=7"/>
    <x v="3"/>
    <s v="no credits/all paid"/>
    <x v="0"/>
    <n v="2"/>
    <n v="2"/>
    <n v="8318"/>
    <s v="No"/>
    <s v="None"/>
    <s v="None"/>
    <x v="5"/>
    <x v="5"/>
    <n v="27"/>
    <x v="0"/>
  </r>
  <r>
    <n v="265"/>
    <n v="27"/>
    <x v="1"/>
    <s v="Male single"/>
    <x v="1"/>
    <x v="1"/>
    <n v="1"/>
    <x v="1"/>
    <s v="Unknown"/>
    <x v="0"/>
    <n v="2"/>
    <x v="1"/>
    <s v="No"/>
    <s v="no checking"/>
    <x v="2"/>
    <s v="&gt;=1000"/>
    <x v="2"/>
    <s v="skilled"/>
    <s v="Skilled"/>
    <x v="0"/>
    <s v="1&lt;=X&lt;4"/>
    <x v="0"/>
    <s v="delayed previously"/>
    <x v="4"/>
    <n v="2"/>
    <n v="2"/>
    <n v="8613"/>
    <s v="No"/>
    <s v="None"/>
    <s v="None"/>
    <x v="2"/>
    <x v="5"/>
    <n v="27"/>
    <x v="1"/>
  </r>
  <r>
    <n v="266"/>
    <n v="30"/>
    <x v="0"/>
    <s v="Male single"/>
    <x v="1"/>
    <x v="1"/>
    <n v="1"/>
    <x v="1"/>
    <s v="Unknown"/>
    <x v="0"/>
    <n v="3"/>
    <x v="1"/>
    <s v="No"/>
    <s v="0&lt;=X&lt;200"/>
    <x v="0"/>
    <s v="&lt;100"/>
    <x v="0"/>
    <s v="skilled"/>
    <s v="Skilled"/>
    <x v="0"/>
    <s v="&lt;1"/>
    <x v="1"/>
    <s v="existing paid"/>
    <x v="1"/>
    <n v="2"/>
    <n v="2"/>
    <n v="7966"/>
    <s v="No"/>
    <s v="None"/>
    <s v="None"/>
    <x v="2"/>
    <x v="5"/>
    <n v="26"/>
    <x v="1"/>
  </r>
  <r>
    <n v="267"/>
    <n v="54"/>
    <x v="3"/>
    <s v="Male Married/Widowed"/>
    <x v="1"/>
    <x v="2"/>
    <n v="1"/>
    <x v="1"/>
    <s v="Unknown"/>
    <x v="0"/>
    <n v="4"/>
    <x v="1"/>
    <s v="Yes"/>
    <s v="no checking"/>
    <x v="2"/>
    <s v="no known savings"/>
    <x v="1"/>
    <s v="skilled"/>
    <s v="Skilled"/>
    <x v="0"/>
    <s v="&gt;=7"/>
    <x v="3"/>
    <s v="delayed previously"/>
    <x v="4"/>
    <n v="4"/>
    <n v="2"/>
    <n v="717"/>
    <s v="No"/>
    <s v="None"/>
    <s v="None"/>
    <x v="3"/>
    <x v="1"/>
    <n v="24"/>
    <x v="1"/>
  </r>
  <r>
    <n v="268"/>
    <n v="29"/>
    <x v="0"/>
    <s v="Female Divorced with Dependents"/>
    <x v="0"/>
    <x v="0"/>
    <n v="1"/>
    <x v="1"/>
    <s v="Unknown"/>
    <x v="0"/>
    <n v="2"/>
    <x v="1"/>
    <s v="No"/>
    <s v="&lt;0"/>
    <x v="1"/>
    <s v="no known savings"/>
    <x v="1"/>
    <s v="skilled"/>
    <s v="Skilled"/>
    <x v="0"/>
    <s v="&gt;=7"/>
    <x v="3"/>
    <s v="existing paid"/>
    <x v="1"/>
    <n v="4"/>
    <n v="1"/>
    <n v="915"/>
    <s v="No"/>
    <s v="None"/>
    <s v="Bank"/>
    <x v="3"/>
    <x v="1"/>
    <n v="24"/>
    <x v="0"/>
  </r>
  <r>
    <n v="269"/>
    <n v="31"/>
    <x v="0"/>
    <s v="Male single"/>
    <x v="1"/>
    <x v="1"/>
    <n v="1"/>
    <x v="1"/>
    <s v="Unknown"/>
    <x v="0"/>
    <n v="2"/>
    <x v="1"/>
    <s v="Yes"/>
    <s v="no checking"/>
    <x v="2"/>
    <s v="no known savings"/>
    <x v="1"/>
    <s v="skilled"/>
    <s v="Skilled"/>
    <x v="0"/>
    <s v="4&lt;=X&lt;7"/>
    <x v="2"/>
    <s v="existing paid"/>
    <x v="1"/>
    <n v="4"/>
    <n v="1"/>
    <n v="929"/>
    <s v="No"/>
    <s v="None"/>
    <s v="Store"/>
    <x v="1"/>
    <x v="1"/>
    <n v="24"/>
    <x v="1"/>
  </r>
  <r>
    <n v="270"/>
    <n v="27"/>
    <x v="1"/>
    <s v="Male Married/Widowed"/>
    <x v="1"/>
    <x v="2"/>
    <n v="1"/>
    <x v="1"/>
    <s v="Resident"/>
    <x v="0"/>
    <n v="3"/>
    <x v="1"/>
    <s v="No"/>
    <s v="no checking"/>
    <x v="2"/>
    <s v="&lt;100"/>
    <x v="0"/>
    <s v="unskilled resident"/>
    <s v="Unskilled"/>
    <x v="0"/>
    <s v="&lt;1"/>
    <x v="1"/>
    <s v="existing paid"/>
    <x v="1"/>
    <n v="4"/>
    <n v="2"/>
    <n v="937"/>
    <s v="No"/>
    <s v="None"/>
    <s v="None"/>
    <x v="9"/>
    <x v="1"/>
    <n v="24"/>
    <x v="1"/>
  </r>
  <r>
    <n v="271"/>
    <n v="38"/>
    <x v="0"/>
    <s v="Male single"/>
    <x v="1"/>
    <x v="1"/>
    <n v="2"/>
    <x v="1"/>
    <s v="Unknown"/>
    <x v="2"/>
    <n v="3"/>
    <x v="3"/>
    <s v="No"/>
    <s v="&gt;=200"/>
    <x v="3"/>
    <s v="&lt;100"/>
    <x v="0"/>
    <s v="skilled"/>
    <s v="Skilled"/>
    <x v="0"/>
    <s v="4&lt;=X&lt;7"/>
    <x v="2"/>
    <s v="existing paid"/>
    <x v="1"/>
    <n v="4"/>
    <n v="1"/>
    <n v="947"/>
    <s v="No"/>
    <s v="None"/>
    <s v="Bank"/>
    <x v="3"/>
    <x v="1"/>
    <n v="24"/>
    <x v="0"/>
  </r>
  <r>
    <n v="272"/>
    <n v="25"/>
    <x v="1"/>
    <s v="Male single"/>
    <x v="1"/>
    <x v="1"/>
    <n v="1"/>
    <x v="1"/>
    <s v="Unknown"/>
    <x v="0"/>
    <n v="2"/>
    <x v="1"/>
    <s v="No"/>
    <s v="no checking"/>
    <x v="2"/>
    <s v="no known savings"/>
    <x v="1"/>
    <s v="skilled"/>
    <s v="Skilled"/>
    <x v="0"/>
    <s v="&gt;=7"/>
    <x v="3"/>
    <s v="existing paid"/>
    <x v="1"/>
    <n v="4"/>
    <n v="2"/>
    <n v="999"/>
    <s v="No"/>
    <s v="None"/>
    <s v="None"/>
    <x v="4"/>
    <x v="1"/>
    <n v="24"/>
    <x v="1"/>
  </r>
  <r>
    <n v="273"/>
    <n v="48"/>
    <x v="2"/>
    <s v="Male Married/Widowed"/>
    <x v="1"/>
    <x v="2"/>
    <n v="1"/>
    <x v="1"/>
    <s v="Unknown"/>
    <x v="0"/>
    <n v="4"/>
    <x v="2"/>
    <s v="No"/>
    <s v="&lt;0"/>
    <x v="1"/>
    <s v="&lt;100"/>
    <x v="0"/>
    <s v="skilled"/>
    <s v="Skilled"/>
    <x v="0"/>
    <s v="&lt;1"/>
    <x v="1"/>
    <s v="delayed previously"/>
    <x v="4"/>
    <n v="4"/>
    <n v="1"/>
    <n v="1024"/>
    <s v="No"/>
    <s v="None"/>
    <s v="Store"/>
    <x v="4"/>
    <x v="1"/>
    <n v="24"/>
    <x v="0"/>
  </r>
  <r>
    <n v="274"/>
    <n v="29"/>
    <x v="0"/>
    <s v="Female Divorced with Dependents"/>
    <x v="0"/>
    <x v="0"/>
    <n v="1"/>
    <x v="1"/>
    <s v="Non-resident"/>
    <x v="1"/>
    <n v="4"/>
    <x v="3"/>
    <s v="No"/>
    <s v="&lt;0"/>
    <x v="1"/>
    <s v="&lt;100"/>
    <x v="0"/>
    <s v="unemp/unskilled non res"/>
    <s v="Unskilled"/>
    <x v="1"/>
    <s v="unemployed"/>
    <x v="4"/>
    <s v="all paid"/>
    <x v="2"/>
    <n v="1"/>
    <n v="2"/>
    <n v="1193"/>
    <s v="co applicant"/>
    <s v="Co-applicant"/>
    <s v="None"/>
    <x v="3"/>
    <x v="1"/>
    <n v="24"/>
    <x v="0"/>
  </r>
  <r>
    <n v="275"/>
    <n v="60"/>
    <x v="5"/>
    <s v="Male single"/>
    <x v="1"/>
    <x v="1"/>
    <n v="1"/>
    <x v="1"/>
    <s v="Resident"/>
    <x v="0"/>
    <n v="4"/>
    <x v="1"/>
    <s v="No"/>
    <s v="&lt;0"/>
    <x v="1"/>
    <s v="&lt;100"/>
    <x v="0"/>
    <s v="unskilled resident"/>
    <s v="Unskilled"/>
    <x v="0"/>
    <s v="&gt;=7"/>
    <x v="3"/>
    <s v="critical/Others existing credit"/>
    <x v="3"/>
    <n v="4"/>
    <n v="2"/>
    <n v="1199"/>
    <s v="No"/>
    <s v="None"/>
    <s v="None"/>
    <x v="3"/>
    <x v="1"/>
    <n v="24"/>
    <x v="0"/>
  </r>
  <r>
    <n v="276"/>
    <n v="26"/>
    <x v="1"/>
    <s v="Male single"/>
    <x v="1"/>
    <x v="1"/>
    <n v="1"/>
    <x v="1"/>
    <s v="Unknown"/>
    <x v="0"/>
    <n v="1"/>
    <x v="0"/>
    <s v="No"/>
    <s v="0&lt;=X&lt;200"/>
    <x v="0"/>
    <s v="&lt;100"/>
    <x v="0"/>
    <s v="skilled"/>
    <s v="Skilled"/>
    <x v="0"/>
    <s v="&lt;1"/>
    <x v="1"/>
    <s v="existing paid"/>
    <x v="1"/>
    <n v="4"/>
    <n v="1"/>
    <n v="1201"/>
    <s v="No"/>
    <s v="None"/>
    <s v="None"/>
    <x v="3"/>
    <x v="1"/>
    <n v="24"/>
    <x v="1"/>
  </r>
  <r>
    <n v="277"/>
    <n v="24"/>
    <x v="1"/>
    <s v="Female Divorced with Dependents"/>
    <x v="0"/>
    <x v="0"/>
    <n v="1"/>
    <x v="1"/>
    <s v="Unknown"/>
    <x v="1"/>
    <n v="4"/>
    <x v="0"/>
    <s v="No"/>
    <s v="&lt;0"/>
    <x v="1"/>
    <s v="&lt;100"/>
    <x v="0"/>
    <s v="skilled"/>
    <s v="Skilled"/>
    <x v="0"/>
    <s v="&lt;1"/>
    <x v="1"/>
    <s v="existing paid"/>
    <x v="1"/>
    <n v="4"/>
    <n v="1"/>
    <n v="1207"/>
    <s v="No"/>
    <s v="None"/>
    <s v="None"/>
    <x v="3"/>
    <x v="1"/>
    <n v="24"/>
    <x v="0"/>
  </r>
  <r>
    <n v="278"/>
    <n v="38"/>
    <x v="0"/>
    <s v="Male single"/>
    <x v="1"/>
    <x v="1"/>
    <n v="2"/>
    <x v="1"/>
    <s v="Unknown"/>
    <x v="0"/>
    <n v="4"/>
    <x v="3"/>
    <s v="No"/>
    <s v="0&lt;=X&lt;200"/>
    <x v="0"/>
    <s v="100&lt;=X&lt;500"/>
    <x v="3"/>
    <s v="skilled"/>
    <s v="Skilled"/>
    <x v="0"/>
    <s v="&lt;1"/>
    <x v="1"/>
    <s v="critical/Others existing credit"/>
    <x v="3"/>
    <n v="4"/>
    <n v="2"/>
    <n v="1216"/>
    <s v="No"/>
    <s v="None"/>
    <s v="Bank"/>
    <x v="4"/>
    <x v="1"/>
    <n v="24"/>
    <x v="0"/>
  </r>
  <r>
    <n v="279"/>
    <n v="57"/>
    <x v="3"/>
    <s v="Female Divorced with Dependents"/>
    <x v="0"/>
    <x v="0"/>
    <n v="1"/>
    <x v="1"/>
    <s v="Unknown"/>
    <x v="1"/>
    <n v="4"/>
    <x v="0"/>
    <s v="Yes"/>
    <s v="&lt;0"/>
    <x v="1"/>
    <s v="&gt;=1000"/>
    <x v="2"/>
    <s v="high qualif/self emp/mgmt"/>
    <s v="Skilled"/>
    <x v="0"/>
    <s v="&gt;=7"/>
    <x v="3"/>
    <s v="critical/Others existing credit"/>
    <x v="3"/>
    <n v="4"/>
    <n v="2"/>
    <n v="1231"/>
    <s v="No"/>
    <s v="None"/>
    <s v="None"/>
    <x v="4"/>
    <x v="1"/>
    <n v="24"/>
    <x v="1"/>
  </r>
  <r>
    <n v="280"/>
    <n v="23"/>
    <x v="1"/>
    <s v="Male single"/>
    <x v="1"/>
    <x v="1"/>
    <n v="1"/>
    <x v="1"/>
    <s v="Resident"/>
    <x v="0"/>
    <n v="2"/>
    <x v="2"/>
    <s v="No"/>
    <s v="0&lt;=X&lt;200"/>
    <x v="0"/>
    <s v="&lt;100"/>
    <x v="0"/>
    <s v="unskilled resident"/>
    <s v="Unskilled"/>
    <x v="0"/>
    <s v="&lt;1"/>
    <x v="1"/>
    <s v="existing paid"/>
    <x v="1"/>
    <n v="4"/>
    <n v="1"/>
    <n v="1246"/>
    <s v="No"/>
    <s v="None"/>
    <s v="Store"/>
    <x v="3"/>
    <x v="1"/>
    <n v="24"/>
    <x v="0"/>
  </r>
  <r>
    <n v="281"/>
    <n v="28"/>
    <x v="1"/>
    <s v="Male Married/Widowed"/>
    <x v="1"/>
    <x v="2"/>
    <n v="1"/>
    <x v="1"/>
    <s v="Unknown"/>
    <x v="0"/>
    <n v="2"/>
    <x v="2"/>
    <s v="No"/>
    <s v="no checking"/>
    <x v="2"/>
    <s v="&lt;100"/>
    <x v="0"/>
    <s v="skilled"/>
    <s v="Skilled"/>
    <x v="0"/>
    <s v="&lt;1"/>
    <x v="1"/>
    <s v="existing paid"/>
    <x v="1"/>
    <n v="4"/>
    <n v="1"/>
    <n v="1249"/>
    <s v="No"/>
    <s v="None"/>
    <s v="None"/>
    <x v="3"/>
    <x v="1"/>
    <n v="24"/>
    <x v="1"/>
  </r>
  <r>
    <n v="282"/>
    <n v="25"/>
    <x v="1"/>
    <s v="Male single"/>
    <x v="1"/>
    <x v="1"/>
    <n v="1"/>
    <x v="1"/>
    <s v="Unknown"/>
    <x v="0"/>
    <n v="1"/>
    <x v="2"/>
    <s v="Yes"/>
    <s v="no checking"/>
    <x v="2"/>
    <s v="&lt;100"/>
    <x v="0"/>
    <s v="skilled"/>
    <s v="Skilled"/>
    <x v="0"/>
    <s v="4&lt;=X&lt;7"/>
    <x v="2"/>
    <s v="existing paid"/>
    <x v="1"/>
    <n v="4"/>
    <n v="1"/>
    <n v="1258"/>
    <s v="No"/>
    <s v="None"/>
    <s v="None"/>
    <x v="5"/>
    <x v="1"/>
    <n v="24"/>
    <x v="1"/>
  </r>
  <r>
    <n v="283"/>
    <n v="57"/>
    <x v="3"/>
    <s v="Female Divorced with Dependents"/>
    <x v="0"/>
    <x v="0"/>
    <n v="1"/>
    <x v="1"/>
    <s v="Resident"/>
    <x v="0"/>
    <n v="3"/>
    <x v="1"/>
    <s v="No"/>
    <s v="&gt;=200"/>
    <x v="3"/>
    <s v="500&lt;=X&lt;1000"/>
    <x v="4"/>
    <s v="unskilled resident"/>
    <s v="Unskilled"/>
    <x v="0"/>
    <s v="1&lt;=X&lt;4"/>
    <x v="0"/>
    <s v="existing paid"/>
    <x v="1"/>
    <n v="3"/>
    <n v="1"/>
    <n v="1258"/>
    <s v="No"/>
    <s v="None"/>
    <s v="None"/>
    <x v="4"/>
    <x v="1"/>
    <n v="24"/>
    <x v="1"/>
  </r>
  <r>
    <n v="284"/>
    <n v="36"/>
    <x v="0"/>
    <s v="Male Divorced/Seperated"/>
    <x v="1"/>
    <x v="3"/>
    <n v="1"/>
    <x v="1"/>
    <s v="Unknown"/>
    <x v="0"/>
    <n v="4"/>
    <x v="2"/>
    <s v="Yes"/>
    <s v="&gt;=200"/>
    <x v="3"/>
    <s v="&gt;=1000"/>
    <x v="2"/>
    <s v="skilled"/>
    <s v="Skilled"/>
    <x v="0"/>
    <s v="1&lt;=X&lt;4"/>
    <x v="0"/>
    <s v="critical/Others existing credit"/>
    <x v="3"/>
    <n v="2"/>
    <n v="2"/>
    <n v="1275"/>
    <s v="No"/>
    <s v="None"/>
    <s v="None"/>
    <x v="5"/>
    <x v="1"/>
    <n v="24"/>
    <x v="1"/>
  </r>
  <r>
    <n v="285"/>
    <n v="36"/>
    <x v="0"/>
    <s v="Male single"/>
    <x v="1"/>
    <x v="1"/>
    <n v="1"/>
    <x v="1"/>
    <s v="Unknown"/>
    <x v="0"/>
    <n v="1"/>
    <x v="2"/>
    <s v="Yes"/>
    <s v="no checking"/>
    <x v="2"/>
    <s v="&lt;100"/>
    <x v="0"/>
    <s v="high qualif/self emp/mgmt"/>
    <s v="Skilled"/>
    <x v="0"/>
    <s v="&gt;=7"/>
    <x v="3"/>
    <s v="existing paid"/>
    <x v="1"/>
    <n v="4"/>
    <n v="1"/>
    <n v="1278"/>
    <s v="No"/>
    <s v="None"/>
    <s v="None"/>
    <x v="4"/>
    <x v="1"/>
    <n v="24"/>
    <x v="1"/>
  </r>
  <r>
    <n v="286"/>
    <n v="32"/>
    <x v="0"/>
    <s v="Female Divorced with Dependents"/>
    <x v="0"/>
    <x v="0"/>
    <n v="1"/>
    <x v="1"/>
    <s v="Resident"/>
    <x v="0"/>
    <n v="2"/>
    <x v="1"/>
    <s v="No"/>
    <s v="&lt;0"/>
    <x v="1"/>
    <s v="100&lt;=X&lt;500"/>
    <x v="3"/>
    <s v="unskilled resident"/>
    <s v="Unskilled"/>
    <x v="0"/>
    <s v="1&lt;=X&lt;4"/>
    <x v="0"/>
    <s v="existing paid"/>
    <x v="1"/>
    <n v="4"/>
    <n v="1"/>
    <n v="1282"/>
    <s v="No"/>
    <s v="None"/>
    <s v="None"/>
    <x v="4"/>
    <x v="1"/>
    <n v="24"/>
    <x v="0"/>
  </r>
  <r>
    <n v="287"/>
    <n v="32"/>
    <x v="0"/>
    <s v="Female Divorced with Dependents"/>
    <x v="0"/>
    <x v="0"/>
    <n v="1"/>
    <x v="1"/>
    <s v="Unknown"/>
    <x v="1"/>
    <n v="4"/>
    <x v="3"/>
    <s v="No"/>
    <s v="&lt;0"/>
    <x v="1"/>
    <s v="no known savings"/>
    <x v="1"/>
    <s v="skilled"/>
    <s v="Skilled"/>
    <x v="0"/>
    <s v="4&lt;=X&lt;7"/>
    <x v="2"/>
    <s v="existing paid"/>
    <x v="1"/>
    <n v="4"/>
    <n v="1"/>
    <n v="1285"/>
    <s v="No"/>
    <s v="None"/>
    <s v="None"/>
    <x v="3"/>
    <x v="1"/>
    <n v="24"/>
    <x v="0"/>
  </r>
  <r>
    <n v="288"/>
    <n v="37"/>
    <x v="0"/>
    <s v="Female Divorced with Dependents"/>
    <x v="0"/>
    <x v="0"/>
    <n v="1"/>
    <x v="1"/>
    <s v="Unknown"/>
    <x v="0"/>
    <n v="4"/>
    <x v="2"/>
    <s v="Yes"/>
    <s v="no checking"/>
    <x v="2"/>
    <s v="&gt;=1000"/>
    <x v="2"/>
    <s v="skilled"/>
    <s v="Skilled"/>
    <x v="0"/>
    <s v="&gt;=7"/>
    <x v="3"/>
    <s v="critical/Others existing credit"/>
    <x v="3"/>
    <n v="4"/>
    <n v="2"/>
    <n v="1287"/>
    <s v="No"/>
    <s v="None"/>
    <s v="None"/>
    <x v="3"/>
    <x v="1"/>
    <n v="24"/>
    <x v="1"/>
  </r>
  <r>
    <n v="289"/>
    <n v="26"/>
    <x v="1"/>
    <s v="Male Married/Widowed"/>
    <x v="1"/>
    <x v="2"/>
    <n v="1"/>
    <x v="1"/>
    <s v="Unknown"/>
    <x v="0"/>
    <n v="3"/>
    <x v="0"/>
    <s v="Yes"/>
    <s v="no checking"/>
    <x v="2"/>
    <s v="100&lt;=X&lt;500"/>
    <x v="3"/>
    <s v="skilled"/>
    <s v="Skilled"/>
    <x v="0"/>
    <s v="4&lt;=X&lt;7"/>
    <x v="2"/>
    <s v="existing paid"/>
    <x v="1"/>
    <n v="4"/>
    <n v="1"/>
    <n v="1311"/>
    <s v="No"/>
    <s v="None"/>
    <s v="None"/>
    <x v="4"/>
    <x v="1"/>
    <n v="24"/>
    <x v="1"/>
  </r>
  <r>
    <n v="290"/>
    <n v="43"/>
    <x v="2"/>
    <s v="Male single"/>
    <x v="1"/>
    <x v="1"/>
    <n v="2"/>
    <x v="1"/>
    <s v="Unknown"/>
    <x v="2"/>
    <n v="2"/>
    <x v="2"/>
    <s v="No"/>
    <s v="&lt;0"/>
    <x v="1"/>
    <s v="&lt;100"/>
    <x v="0"/>
    <s v="skilled"/>
    <s v="Skilled"/>
    <x v="0"/>
    <s v="unemployed"/>
    <x v="4"/>
    <s v="delayed previously"/>
    <x v="4"/>
    <n v="4"/>
    <n v="2"/>
    <n v="1333"/>
    <s v="No"/>
    <s v="None"/>
    <s v="None"/>
    <x v="3"/>
    <x v="1"/>
    <n v="24"/>
    <x v="0"/>
  </r>
  <r>
    <n v="291"/>
    <n v="37"/>
    <x v="0"/>
    <s v="Male single"/>
    <x v="1"/>
    <x v="1"/>
    <n v="2"/>
    <x v="1"/>
    <s v="Resident"/>
    <x v="0"/>
    <n v="2"/>
    <x v="2"/>
    <s v="No"/>
    <s v="&gt;=200"/>
    <x v="3"/>
    <s v="no known savings"/>
    <x v="1"/>
    <s v="unskilled resident"/>
    <s v="Unskilled"/>
    <x v="0"/>
    <s v="4&lt;=X&lt;7"/>
    <x v="2"/>
    <s v="critical/Others existing credit"/>
    <x v="3"/>
    <n v="4"/>
    <n v="2"/>
    <n v="1344"/>
    <s v="No"/>
    <s v="None"/>
    <s v="Bank"/>
    <x v="3"/>
    <x v="1"/>
    <n v="24"/>
    <x v="0"/>
  </r>
  <r>
    <n v="292"/>
    <n v="25"/>
    <x v="1"/>
    <s v="Female Divorced with Dependents"/>
    <x v="0"/>
    <x v="0"/>
    <n v="1"/>
    <x v="1"/>
    <s v="Resident"/>
    <x v="0"/>
    <n v="4"/>
    <x v="1"/>
    <s v="Yes"/>
    <s v="0&lt;=X&lt;200"/>
    <x v="0"/>
    <s v="&lt;100"/>
    <x v="0"/>
    <s v="unskilled resident"/>
    <s v="Unskilled"/>
    <x v="0"/>
    <s v="&lt;1"/>
    <x v="1"/>
    <s v="existing paid"/>
    <x v="1"/>
    <n v="3"/>
    <n v="1"/>
    <n v="1355"/>
    <s v="No"/>
    <s v="None"/>
    <s v="None"/>
    <x v="3"/>
    <x v="1"/>
    <n v="24"/>
    <x v="0"/>
  </r>
  <r>
    <n v="293"/>
    <n v="40"/>
    <x v="2"/>
    <s v="Male single"/>
    <x v="1"/>
    <x v="1"/>
    <n v="1"/>
    <x v="1"/>
    <s v="Unknown"/>
    <x v="0"/>
    <n v="3"/>
    <x v="1"/>
    <s v="Yes"/>
    <s v="&lt;0"/>
    <x v="1"/>
    <s v="no known savings"/>
    <x v="1"/>
    <s v="high qualif/self emp/mgmt"/>
    <s v="Skilled"/>
    <x v="0"/>
    <s v="&gt;=7"/>
    <x v="3"/>
    <s v="all paid"/>
    <x v="2"/>
    <n v="4"/>
    <n v="1"/>
    <n v="1358"/>
    <s v="No"/>
    <s v="None"/>
    <s v="Store"/>
    <x v="0"/>
    <x v="1"/>
    <n v="24"/>
    <x v="0"/>
  </r>
  <r>
    <n v="294"/>
    <n v="25"/>
    <x v="1"/>
    <s v="Female Divorced with Dependents"/>
    <x v="0"/>
    <x v="0"/>
    <n v="1"/>
    <x v="1"/>
    <s v="Unknown"/>
    <x v="1"/>
    <n v="4"/>
    <x v="2"/>
    <s v="No"/>
    <s v="&lt;0"/>
    <x v="1"/>
    <s v="no known savings"/>
    <x v="1"/>
    <s v="skilled"/>
    <s v="Skilled"/>
    <x v="0"/>
    <s v="1&lt;=X&lt;4"/>
    <x v="0"/>
    <s v="existing paid"/>
    <x v="1"/>
    <n v="4"/>
    <n v="1"/>
    <n v="1371"/>
    <s v="No"/>
    <s v="None"/>
    <s v="None"/>
    <x v="3"/>
    <x v="1"/>
    <n v="24"/>
    <x v="0"/>
  </r>
  <r>
    <n v="295"/>
    <n v="28"/>
    <x v="1"/>
    <s v="Female Divorced with Dependents"/>
    <x v="0"/>
    <x v="0"/>
    <n v="1"/>
    <x v="1"/>
    <s v="Unknown"/>
    <x v="0"/>
    <n v="1"/>
    <x v="1"/>
    <s v="No"/>
    <s v="no checking"/>
    <x v="2"/>
    <s v="500&lt;=X&lt;1000"/>
    <x v="4"/>
    <s v="skilled"/>
    <s v="Skilled"/>
    <x v="0"/>
    <s v="4&lt;=X&lt;7"/>
    <x v="2"/>
    <s v="existing paid"/>
    <x v="1"/>
    <n v="4"/>
    <n v="1"/>
    <n v="1376"/>
    <s v="No"/>
    <s v="None"/>
    <s v="None"/>
    <x v="4"/>
    <x v="1"/>
    <n v="24"/>
    <x v="1"/>
  </r>
  <r>
    <n v="296"/>
    <n v="47"/>
    <x v="2"/>
    <s v="Female Divorced with Dependents"/>
    <x v="0"/>
    <x v="0"/>
    <n v="1"/>
    <x v="1"/>
    <s v="Unknown"/>
    <x v="2"/>
    <n v="2"/>
    <x v="3"/>
    <s v="Yes"/>
    <s v="&gt;=200"/>
    <x v="3"/>
    <s v="100&lt;=X&lt;500"/>
    <x v="3"/>
    <s v="skilled"/>
    <s v="Skilled"/>
    <x v="0"/>
    <s v="&gt;=7"/>
    <x v="3"/>
    <s v="existing paid"/>
    <x v="1"/>
    <n v="4"/>
    <n v="1"/>
    <n v="1377"/>
    <s v="No"/>
    <s v="None"/>
    <s v="None"/>
    <x v="4"/>
    <x v="1"/>
    <n v="24"/>
    <x v="1"/>
  </r>
  <r>
    <n v="297"/>
    <n v="35"/>
    <x v="0"/>
    <s v="Female Divorced with Dependents"/>
    <x v="0"/>
    <x v="0"/>
    <n v="1"/>
    <x v="1"/>
    <s v="Unknown"/>
    <x v="0"/>
    <n v="2"/>
    <x v="0"/>
    <s v="No"/>
    <s v="&lt;0"/>
    <x v="1"/>
    <s v="no known savings"/>
    <x v="1"/>
    <s v="skilled"/>
    <s v="Skilled"/>
    <x v="0"/>
    <s v="1&lt;=X&lt;4"/>
    <x v="0"/>
    <s v="existing paid"/>
    <x v="1"/>
    <n v="4"/>
    <n v="1"/>
    <n v="1381"/>
    <s v="No"/>
    <s v="None"/>
    <s v="None"/>
    <x v="3"/>
    <x v="1"/>
    <n v="24"/>
    <x v="0"/>
  </r>
  <r>
    <n v="298"/>
    <n v="26"/>
    <x v="1"/>
    <s v="Male single"/>
    <x v="1"/>
    <x v="1"/>
    <n v="1"/>
    <x v="1"/>
    <s v="Unknown"/>
    <x v="0"/>
    <n v="1"/>
    <x v="2"/>
    <s v="Yes"/>
    <s v="&lt;0"/>
    <x v="1"/>
    <s v="100&lt;=X&lt;500"/>
    <x v="3"/>
    <s v="skilled"/>
    <s v="Skilled"/>
    <x v="0"/>
    <s v="4&lt;=X&lt;7"/>
    <x v="2"/>
    <s v="critical/Others existing credit"/>
    <x v="3"/>
    <n v="4"/>
    <n v="2"/>
    <n v="1382"/>
    <s v="No"/>
    <s v="None"/>
    <s v="None"/>
    <x v="5"/>
    <x v="1"/>
    <n v="24"/>
    <x v="1"/>
  </r>
  <r>
    <n v="299"/>
    <n v="31"/>
    <x v="0"/>
    <s v="Male single"/>
    <x v="1"/>
    <x v="1"/>
    <n v="1"/>
    <x v="1"/>
    <s v="Unknown"/>
    <x v="0"/>
    <n v="2"/>
    <x v="2"/>
    <s v="Yes"/>
    <s v="no checking"/>
    <x v="2"/>
    <s v="&lt;100"/>
    <x v="0"/>
    <s v="skilled"/>
    <s v="Skilled"/>
    <x v="0"/>
    <s v="1&lt;=X&lt;4"/>
    <x v="0"/>
    <s v="existing paid"/>
    <x v="1"/>
    <n v="2"/>
    <n v="1"/>
    <n v="1393"/>
    <s v="guarantor"/>
    <s v="Guarantor"/>
    <s v="None"/>
    <x v="3"/>
    <x v="1"/>
    <n v="24"/>
    <x v="1"/>
  </r>
  <r>
    <n v="300"/>
    <n v="28"/>
    <x v="1"/>
    <s v="Male Married/Widowed"/>
    <x v="1"/>
    <x v="2"/>
    <n v="1"/>
    <x v="1"/>
    <s v="Unknown"/>
    <x v="0"/>
    <n v="2"/>
    <x v="0"/>
    <s v="No"/>
    <s v="no checking"/>
    <x v="2"/>
    <s v="&lt;100"/>
    <x v="0"/>
    <s v="skilled"/>
    <s v="Skilled"/>
    <x v="0"/>
    <s v="1&lt;=X&lt;4"/>
    <x v="0"/>
    <s v="existing paid"/>
    <x v="1"/>
    <n v="4"/>
    <n v="1"/>
    <n v="1413"/>
    <s v="No"/>
    <s v="None"/>
    <s v="None"/>
    <x v="4"/>
    <x v="1"/>
    <n v="24"/>
    <x v="1"/>
  </r>
  <r>
    <n v="301"/>
    <n v="23"/>
    <x v="1"/>
    <s v="Female Divorced with Dependents"/>
    <x v="0"/>
    <x v="0"/>
    <n v="1"/>
    <x v="1"/>
    <s v="Unknown"/>
    <x v="1"/>
    <n v="4"/>
    <x v="1"/>
    <s v="No"/>
    <s v="&lt;0"/>
    <x v="1"/>
    <s v="&lt;100"/>
    <x v="0"/>
    <s v="skilled"/>
    <s v="Skilled"/>
    <x v="0"/>
    <s v="4&lt;=X&lt;7"/>
    <x v="2"/>
    <s v="existing paid"/>
    <x v="1"/>
    <n v="4"/>
    <n v="2"/>
    <n v="1442"/>
    <s v="No"/>
    <s v="None"/>
    <s v="None"/>
    <x v="3"/>
    <x v="1"/>
    <n v="24"/>
    <x v="0"/>
  </r>
  <r>
    <n v="302"/>
    <n v="41"/>
    <x v="2"/>
    <s v="Male Married/Widowed"/>
    <x v="1"/>
    <x v="2"/>
    <n v="1"/>
    <x v="1"/>
    <s v="Resident"/>
    <x v="1"/>
    <n v="4"/>
    <x v="2"/>
    <s v="No"/>
    <s v="no checking"/>
    <x v="2"/>
    <s v="100&lt;=X&lt;500"/>
    <x v="3"/>
    <s v="unskilled resident"/>
    <s v="Unskilled"/>
    <x v="0"/>
    <s v="&gt;=7"/>
    <x v="3"/>
    <s v="existing paid"/>
    <x v="1"/>
    <n v="4"/>
    <n v="1"/>
    <n v="1469"/>
    <s v="No"/>
    <s v="None"/>
    <s v="None"/>
    <x v="3"/>
    <x v="1"/>
    <n v="24"/>
    <x v="1"/>
  </r>
  <r>
    <n v="303"/>
    <n v="33"/>
    <x v="0"/>
    <s v="Male Married/Widowed"/>
    <x v="1"/>
    <x v="2"/>
    <n v="1"/>
    <x v="1"/>
    <s v="Unknown"/>
    <x v="0"/>
    <n v="3"/>
    <x v="2"/>
    <s v="Yes"/>
    <s v="no checking"/>
    <x v="2"/>
    <s v="100&lt;=X&lt;500"/>
    <x v="3"/>
    <s v="skilled"/>
    <s v="Skilled"/>
    <x v="0"/>
    <s v="&lt;1"/>
    <x v="1"/>
    <s v="existing paid"/>
    <x v="1"/>
    <n v="4"/>
    <n v="1"/>
    <n v="1474"/>
    <s v="No"/>
    <s v="None"/>
    <s v="None"/>
    <x v="3"/>
    <x v="1"/>
    <n v="24"/>
    <x v="1"/>
  </r>
  <r>
    <n v="304"/>
    <n v="43"/>
    <x v="2"/>
    <s v="Female Divorced with Dependents"/>
    <x v="0"/>
    <x v="0"/>
    <n v="1"/>
    <x v="1"/>
    <s v="Resident"/>
    <x v="0"/>
    <n v="1"/>
    <x v="2"/>
    <s v="No"/>
    <s v="no checking"/>
    <x v="2"/>
    <s v="&gt;=1000"/>
    <x v="2"/>
    <s v="unskilled resident"/>
    <s v="Unskilled"/>
    <x v="0"/>
    <s v="1&lt;=X&lt;4"/>
    <x v="0"/>
    <s v="critical/Others existing credit"/>
    <x v="3"/>
    <n v="4"/>
    <n v="2"/>
    <n v="1516"/>
    <s v="No"/>
    <s v="None"/>
    <s v="None"/>
    <x v="4"/>
    <x v="1"/>
    <n v="24"/>
    <x v="1"/>
  </r>
  <r>
    <n v="305"/>
    <n v="34"/>
    <x v="0"/>
    <s v="Female Divorced with Dependents"/>
    <x v="0"/>
    <x v="0"/>
    <n v="2"/>
    <x v="1"/>
    <s v="Unknown"/>
    <x v="0"/>
    <n v="3"/>
    <x v="1"/>
    <s v="Yes"/>
    <s v="no checking"/>
    <x v="2"/>
    <s v="&gt;=1000"/>
    <x v="2"/>
    <s v="skilled"/>
    <s v="Skilled"/>
    <x v="0"/>
    <s v="4&lt;=X&lt;7"/>
    <x v="2"/>
    <s v="existing paid"/>
    <x v="1"/>
    <n v="4"/>
    <n v="1"/>
    <n v="1525"/>
    <s v="No"/>
    <s v="None"/>
    <s v="None"/>
    <x v="3"/>
    <x v="1"/>
    <n v="24"/>
    <x v="1"/>
  </r>
  <r>
    <n v="306"/>
    <n v="38"/>
    <x v="0"/>
    <s v="Female Divorced with Dependents"/>
    <x v="0"/>
    <x v="0"/>
    <n v="1"/>
    <x v="1"/>
    <s v="Unknown"/>
    <x v="0"/>
    <n v="3"/>
    <x v="1"/>
    <s v="Yes"/>
    <s v="no checking"/>
    <x v="2"/>
    <s v="&lt;100"/>
    <x v="0"/>
    <s v="skilled"/>
    <s v="Skilled"/>
    <x v="0"/>
    <s v="&lt;1"/>
    <x v="1"/>
    <s v="existing paid"/>
    <x v="1"/>
    <n v="4"/>
    <n v="1"/>
    <n v="1533"/>
    <s v="No"/>
    <s v="None"/>
    <s v="Store"/>
    <x v="4"/>
    <x v="1"/>
    <n v="24"/>
    <x v="1"/>
  </r>
  <r>
    <n v="307"/>
    <n v="24"/>
    <x v="1"/>
    <s v="Male single"/>
    <x v="1"/>
    <x v="1"/>
    <n v="1"/>
    <x v="1"/>
    <s v="Resident"/>
    <x v="1"/>
    <n v="4"/>
    <x v="1"/>
    <s v="No"/>
    <s v="&lt;0"/>
    <x v="1"/>
    <s v="&lt;100"/>
    <x v="0"/>
    <s v="unskilled resident"/>
    <s v="Unskilled"/>
    <x v="0"/>
    <s v="4&lt;=X&lt;7"/>
    <x v="2"/>
    <s v="all paid"/>
    <x v="2"/>
    <n v="4"/>
    <n v="1"/>
    <n v="1546"/>
    <s v="guarantor"/>
    <s v="Guarantor"/>
    <s v="Bank"/>
    <x v="4"/>
    <x v="1"/>
    <n v="24"/>
    <x v="0"/>
  </r>
  <r>
    <n v="308"/>
    <n v="32"/>
    <x v="0"/>
    <s v="Male single"/>
    <x v="1"/>
    <x v="1"/>
    <n v="2"/>
    <x v="1"/>
    <s v="Unknown"/>
    <x v="0"/>
    <n v="1"/>
    <x v="1"/>
    <s v="No"/>
    <s v="no checking"/>
    <x v="2"/>
    <s v="&lt;100"/>
    <x v="0"/>
    <s v="skilled"/>
    <s v="Skilled"/>
    <x v="0"/>
    <s v="4&lt;=X&lt;7"/>
    <x v="2"/>
    <s v="existing paid"/>
    <x v="1"/>
    <n v="3"/>
    <n v="1"/>
    <n v="1552"/>
    <s v="No"/>
    <s v="None"/>
    <s v="Bank"/>
    <x v="4"/>
    <x v="1"/>
    <n v="24"/>
    <x v="1"/>
  </r>
  <r>
    <n v="309"/>
    <n v="23"/>
    <x v="1"/>
    <s v="Female Divorced with Dependents"/>
    <x v="0"/>
    <x v="0"/>
    <n v="1"/>
    <x v="1"/>
    <s v="Unknown"/>
    <x v="1"/>
    <n v="2"/>
    <x v="0"/>
    <s v="Yes"/>
    <s v="0&lt;=X&lt;200"/>
    <x v="0"/>
    <s v="100&lt;=X&lt;500"/>
    <x v="3"/>
    <s v="skilled"/>
    <s v="Skilled"/>
    <x v="0"/>
    <s v="4&lt;=X&lt;7"/>
    <x v="2"/>
    <s v="delayed previously"/>
    <x v="4"/>
    <n v="3"/>
    <n v="2"/>
    <n v="1553"/>
    <s v="No"/>
    <s v="None"/>
    <s v="None"/>
    <x v="4"/>
    <x v="1"/>
    <n v="24"/>
    <x v="1"/>
  </r>
  <r>
    <n v="310"/>
    <n v="50"/>
    <x v="3"/>
    <s v="Male single"/>
    <x v="1"/>
    <x v="1"/>
    <n v="1"/>
    <x v="1"/>
    <s v="Unknown"/>
    <x v="0"/>
    <n v="4"/>
    <x v="1"/>
    <s v="Yes"/>
    <s v="no checking"/>
    <x v="2"/>
    <s v="&lt;100"/>
    <x v="0"/>
    <s v="skilled"/>
    <s v="Skilled"/>
    <x v="0"/>
    <s v="4&lt;=X&lt;7"/>
    <x v="2"/>
    <s v="all paid"/>
    <x v="2"/>
    <n v="4"/>
    <n v="1"/>
    <n v="1559"/>
    <s v="No"/>
    <s v="None"/>
    <s v="Bank"/>
    <x v="5"/>
    <x v="1"/>
    <n v="24"/>
    <x v="1"/>
  </r>
  <r>
    <n v="311"/>
    <n v="40"/>
    <x v="2"/>
    <s v="Male single"/>
    <x v="1"/>
    <x v="1"/>
    <n v="1"/>
    <x v="1"/>
    <s v="Unknown"/>
    <x v="0"/>
    <n v="3"/>
    <x v="0"/>
    <s v="No"/>
    <s v="no checking"/>
    <x v="2"/>
    <s v="&lt;100"/>
    <x v="0"/>
    <s v="skilled"/>
    <s v="Skilled"/>
    <x v="0"/>
    <s v="4&lt;=X&lt;7"/>
    <x v="2"/>
    <s v="critical/Others existing credit"/>
    <x v="3"/>
    <n v="4"/>
    <n v="2"/>
    <n v="1585"/>
    <s v="No"/>
    <s v="None"/>
    <s v="None"/>
    <x v="1"/>
    <x v="1"/>
    <n v="24"/>
    <x v="1"/>
  </r>
  <r>
    <n v="312"/>
    <n v="54"/>
    <x v="3"/>
    <s v="Male single"/>
    <x v="1"/>
    <x v="1"/>
    <n v="2"/>
    <x v="1"/>
    <s v="Unknown"/>
    <x v="2"/>
    <n v="4"/>
    <x v="3"/>
    <s v="No"/>
    <s v="no checking"/>
    <x v="2"/>
    <s v="&lt;100"/>
    <x v="0"/>
    <s v="skilled"/>
    <s v="Skilled"/>
    <x v="0"/>
    <s v="&gt;=7"/>
    <x v="3"/>
    <s v="critical/Others existing credit"/>
    <x v="3"/>
    <n v="4"/>
    <n v="2"/>
    <n v="1597"/>
    <s v="No"/>
    <s v="None"/>
    <s v="None"/>
    <x v="7"/>
    <x v="1"/>
    <n v="24"/>
    <x v="1"/>
  </r>
  <r>
    <n v="313"/>
    <n v="55"/>
    <x v="3"/>
    <s v="Female Divorced with Dependents"/>
    <x v="0"/>
    <x v="0"/>
    <n v="1"/>
    <x v="1"/>
    <s v="Unknown"/>
    <x v="0"/>
    <n v="4"/>
    <x v="1"/>
    <s v="No"/>
    <s v="&lt;0"/>
    <x v="1"/>
    <s v="&lt;100"/>
    <x v="0"/>
    <s v="skilled"/>
    <s v="Skilled"/>
    <x v="0"/>
    <s v="&gt;=7"/>
    <x v="3"/>
    <s v="existing paid"/>
    <x v="1"/>
    <n v="4"/>
    <n v="1"/>
    <n v="1603"/>
    <s v="No"/>
    <s v="None"/>
    <s v="None"/>
    <x v="4"/>
    <x v="1"/>
    <n v="24"/>
    <x v="1"/>
  </r>
  <r>
    <n v="314"/>
    <n v="29"/>
    <x v="0"/>
    <s v="Female Divorced with Dependents"/>
    <x v="0"/>
    <x v="0"/>
    <n v="1"/>
    <x v="1"/>
    <s v="Resident"/>
    <x v="1"/>
    <n v="2"/>
    <x v="1"/>
    <s v="Yes"/>
    <s v="&lt;0"/>
    <x v="1"/>
    <s v="&lt;100"/>
    <x v="0"/>
    <s v="unskilled resident"/>
    <s v="Unskilled"/>
    <x v="0"/>
    <s v="&lt;1"/>
    <x v="1"/>
    <s v="delayed previously"/>
    <x v="4"/>
    <n v="4"/>
    <n v="1"/>
    <n v="1659"/>
    <s v="No"/>
    <s v="None"/>
    <s v="None"/>
    <x v="4"/>
    <x v="1"/>
    <n v="24"/>
    <x v="0"/>
  </r>
  <r>
    <n v="315"/>
    <n v="48"/>
    <x v="2"/>
    <s v="Male single"/>
    <x v="1"/>
    <x v="1"/>
    <n v="1"/>
    <x v="1"/>
    <s v="Resident"/>
    <x v="0"/>
    <n v="2"/>
    <x v="0"/>
    <s v="No"/>
    <s v="0&lt;=X&lt;200"/>
    <x v="0"/>
    <s v="&lt;100"/>
    <x v="0"/>
    <s v="unskilled resident"/>
    <s v="Unskilled"/>
    <x v="0"/>
    <s v="&gt;=7"/>
    <x v="3"/>
    <s v="critical/Others existing credit"/>
    <x v="3"/>
    <n v="4"/>
    <n v="2"/>
    <n v="1743"/>
    <s v="No"/>
    <s v="None"/>
    <s v="None"/>
    <x v="4"/>
    <x v="1"/>
    <n v="24"/>
    <x v="1"/>
  </r>
  <r>
    <n v="316"/>
    <n v="58"/>
    <x v="3"/>
    <s v="Female Divorced with Dependents"/>
    <x v="0"/>
    <x v="0"/>
    <n v="1"/>
    <x v="1"/>
    <s v="Resident"/>
    <x v="0"/>
    <n v="4"/>
    <x v="2"/>
    <s v="Yes"/>
    <s v="&lt;0"/>
    <x v="1"/>
    <s v="&lt;100"/>
    <x v="0"/>
    <s v="unskilled resident"/>
    <s v="Unskilled"/>
    <x v="0"/>
    <s v="&gt;=7"/>
    <x v="3"/>
    <s v="existing paid"/>
    <x v="1"/>
    <n v="4"/>
    <n v="1"/>
    <n v="1755"/>
    <s v="guarantor"/>
    <s v="Guarantor"/>
    <s v="None"/>
    <x v="0"/>
    <x v="1"/>
    <n v="24"/>
    <x v="1"/>
  </r>
  <r>
    <n v="317"/>
    <n v="30"/>
    <x v="0"/>
    <s v="Male single"/>
    <x v="1"/>
    <x v="1"/>
    <n v="2"/>
    <x v="1"/>
    <s v="Unknown"/>
    <x v="0"/>
    <n v="2"/>
    <x v="1"/>
    <s v="No"/>
    <s v="&lt;0"/>
    <x v="1"/>
    <s v="&lt;100"/>
    <x v="0"/>
    <s v="high qualif/self emp/mgmt"/>
    <s v="Skilled"/>
    <x v="0"/>
    <s v="unemployed"/>
    <x v="4"/>
    <s v="existing paid"/>
    <x v="1"/>
    <n v="4"/>
    <n v="1"/>
    <n v="1823"/>
    <s v="No"/>
    <s v="None"/>
    <s v="Store"/>
    <x v="4"/>
    <x v="1"/>
    <n v="24"/>
    <x v="0"/>
  </r>
  <r>
    <n v="318"/>
    <n v="34"/>
    <x v="0"/>
    <s v="Female Divorced with Dependents"/>
    <x v="0"/>
    <x v="0"/>
    <n v="1"/>
    <x v="1"/>
    <s v="Resident"/>
    <x v="2"/>
    <n v="4"/>
    <x v="3"/>
    <s v="No"/>
    <s v="0&lt;=X&lt;200"/>
    <x v="0"/>
    <s v="&lt;100"/>
    <x v="0"/>
    <s v="unskilled resident"/>
    <s v="Unskilled"/>
    <x v="0"/>
    <s v="4&lt;=X&lt;7"/>
    <x v="2"/>
    <s v="all paid"/>
    <x v="2"/>
    <n v="4"/>
    <n v="1"/>
    <n v="1837"/>
    <s v="No"/>
    <s v="None"/>
    <s v="Bank"/>
    <x v="7"/>
    <x v="1"/>
    <n v="24"/>
    <x v="0"/>
  </r>
  <r>
    <n v="319"/>
    <n v="33"/>
    <x v="0"/>
    <s v="Male Married/Widowed"/>
    <x v="1"/>
    <x v="2"/>
    <n v="1"/>
    <x v="1"/>
    <s v="Unknown"/>
    <x v="0"/>
    <n v="2"/>
    <x v="1"/>
    <s v="Yes"/>
    <s v="no checking"/>
    <x v="2"/>
    <s v="&lt;100"/>
    <x v="0"/>
    <s v="skilled"/>
    <s v="Skilled"/>
    <x v="0"/>
    <s v="4&lt;=X&lt;7"/>
    <x v="2"/>
    <s v="critical/Others existing credit"/>
    <x v="3"/>
    <n v="4"/>
    <n v="2"/>
    <n v="1851"/>
    <s v="guarantor"/>
    <s v="Guarantor"/>
    <s v="None"/>
    <x v="4"/>
    <x v="1"/>
    <n v="24"/>
    <x v="1"/>
  </r>
  <r>
    <n v="320"/>
    <n v="29"/>
    <x v="0"/>
    <s v="Male single"/>
    <x v="1"/>
    <x v="1"/>
    <n v="1"/>
    <x v="1"/>
    <s v="Unknown"/>
    <x v="1"/>
    <n v="4"/>
    <x v="1"/>
    <s v="Yes"/>
    <s v="no checking"/>
    <x v="2"/>
    <s v="100&lt;=X&lt;500"/>
    <x v="3"/>
    <s v="high qualif/self emp/mgmt"/>
    <s v="Skilled"/>
    <x v="0"/>
    <s v="1&lt;=X&lt;4"/>
    <x v="0"/>
    <s v="existing paid"/>
    <x v="1"/>
    <n v="4"/>
    <n v="1"/>
    <n v="1901"/>
    <s v="No"/>
    <s v="None"/>
    <s v="None"/>
    <x v="4"/>
    <x v="1"/>
    <n v="24"/>
    <x v="1"/>
  </r>
  <r>
    <n v="321"/>
    <n v="26"/>
    <x v="1"/>
    <s v="Male single"/>
    <x v="1"/>
    <x v="1"/>
    <n v="1"/>
    <x v="1"/>
    <s v="Unknown"/>
    <x v="0"/>
    <n v="2"/>
    <x v="2"/>
    <s v="No"/>
    <s v="&gt;=200"/>
    <x v="3"/>
    <s v="&lt;100"/>
    <x v="0"/>
    <s v="skilled"/>
    <s v="Skilled"/>
    <x v="0"/>
    <s v="1&lt;=X&lt;4"/>
    <x v="0"/>
    <s v="existing paid"/>
    <x v="1"/>
    <n v="2"/>
    <n v="1"/>
    <n v="1925"/>
    <s v="No"/>
    <s v="None"/>
    <s v="None"/>
    <x v="1"/>
    <x v="1"/>
    <n v="24"/>
    <x v="1"/>
  </r>
  <r>
    <n v="322"/>
    <n v="33"/>
    <x v="0"/>
    <s v="Female Divorced with Dependents"/>
    <x v="0"/>
    <x v="0"/>
    <n v="1"/>
    <x v="1"/>
    <s v="Unknown"/>
    <x v="0"/>
    <n v="2"/>
    <x v="1"/>
    <s v="Yes"/>
    <s v="no checking"/>
    <x v="2"/>
    <s v="no known savings"/>
    <x v="1"/>
    <s v="skilled"/>
    <s v="Skilled"/>
    <x v="0"/>
    <s v="1&lt;=X&lt;4"/>
    <x v="0"/>
    <s v="critical/Others existing credit"/>
    <x v="3"/>
    <n v="3"/>
    <n v="2"/>
    <n v="1927"/>
    <s v="No"/>
    <s v="None"/>
    <s v="None"/>
    <x v="7"/>
    <x v="1"/>
    <n v="24"/>
    <x v="1"/>
  </r>
  <r>
    <n v="323"/>
    <n v="31"/>
    <x v="0"/>
    <s v="Male Divorced/Seperated"/>
    <x v="1"/>
    <x v="3"/>
    <n v="1"/>
    <x v="1"/>
    <s v="Unknown"/>
    <x v="0"/>
    <n v="4"/>
    <x v="2"/>
    <s v="Yes"/>
    <s v="0&lt;=X&lt;200"/>
    <x v="0"/>
    <s v="&lt;100"/>
    <x v="0"/>
    <s v="skilled"/>
    <s v="Skilled"/>
    <x v="0"/>
    <s v="&gt;=7"/>
    <x v="3"/>
    <s v="critical/Others existing credit"/>
    <x v="3"/>
    <n v="4"/>
    <n v="2"/>
    <n v="1935"/>
    <s v="No"/>
    <s v="None"/>
    <s v="None"/>
    <x v="5"/>
    <x v="1"/>
    <n v="24"/>
    <x v="0"/>
  </r>
  <r>
    <n v="324"/>
    <n v="32"/>
    <x v="0"/>
    <s v="Male Divorced/Seperated"/>
    <x v="1"/>
    <x v="3"/>
    <n v="1"/>
    <x v="1"/>
    <s v="Unknown"/>
    <x v="0"/>
    <n v="3"/>
    <x v="0"/>
    <s v="No"/>
    <s v="&lt;0"/>
    <x v="1"/>
    <s v="&lt;100"/>
    <x v="0"/>
    <s v="skilled"/>
    <s v="Skilled"/>
    <x v="0"/>
    <s v="&lt;1"/>
    <x v="1"/>
    <s v="existing paid"/>
    <x v="1"/>
    <n v="4"/>
    <n v="1"/>
    <n v="1938"/>
    <s v="No"/>
    <s v="None"/>
    <s v="None"/>
    <x v="4"/>
    <x v="1"/>
    <n v="24"/>
    <x v="0"/>
  </r>
  <r>
    <n v="325"/>
    <n v="60"/>
    <x v="5"/>
    <s v="Male single"/>
    <x v="1"/>
    <x v="1"/>
    <n v="1"/>
    <x v="1"/>
    <s v="Unknown"/>
    <x v="0"/>
    <n v="4"/>
    <x v="2"/>
    <s v="Yes"/>
    <s v="no checking"/>
    <x v="2"/>
    <s v="&gt;=1000"/>
    <x v="2"/>
    <s v="skilled"/>
    <s v="Skilled"/>
    <x v="0"/>
    <s v="&gt;=7"/>
    <x v="3"/>
    <s v="critical/Others existing credit"/>
    <x v="3"/>
    <n v="4"/>
    <n v="1"/>
    <n v="1940"/>
    <s v="No"/>
    <s v="None"/>
    <s v="None"/>
    <x v="3"/>
    <x v="1"/>
    <n v="24"/>
    <x v="1"/>
  </r>
  <r>
    <n v="326"/>
    <n v="42"/>
    <x v="2"/>
    <s v="Female Divorced with Dependents"/>
    <x v="0"/>
    <x v="0"/>
    <n v="1"/>
    <x v="1"/>
    <s v="Unknown"/>
    <x v="1"/>
    <n v="4"/>
    <x v="1"/>
    <s v="Yes"/>
    <s v="0&lt;=X&lt;200"/>
    <x v="0"/>
    <s v="no known savings"/>
    <x v="1"/>
    <s v="skilled"/>
    <s v="Skilled"/>
    <x v="0"/>
    <s v="1&lt;=X&lt;4"/>
    <x v="0"/>
    <s v="delayed previously"/>
    <x v="4"/>
    <n v="4"/>
    <n v="2"/>
    <n v="1965"/>
    <s v="No"/>
    <s v="None"/>
    <s v="None"/>
    <x v="3"/>
    <x v="1"/>
    <n v="24"/>
    <x v="1"/>
  </r>
  <r>
    <n v="327"/>
    <n v="20"/>
    <x v="1"/>
    <s v="Female Divorced with Dependents"/>
    <x v="0"/>
    <x v="0"/>
    <n v="1"/>
    <x v="1"/>
    <s v="Unknown"/>
    <x v="0"/>
    <n v="4"/>
    <x v="1"/>
    <s v="Yes"/>
    <s v="0&lt;=X&lt;200"/>
    <x v="0"/>
    <s v="&lt;100"/>
    <x v="0"/>
    <s v="skilled"/>
    <s v="Skilled"/>
    <x v="0"/>
    <s v="&gt;=7"/>
    <x v="3"/>
    <s v="existing paid"/>
    <x v="1"/>
    <n v="4"/>
    <n v="1"/>
    <n v="1967"/>
    <s v="No"/>
    <s v="None"/>
    <s v="None"/>
    <x v="4"/>
    <x v="1"/>
    <n v="24"/>
    <x v="1"/>
  </r>
  <r>
    <n v="328"/>
    <n v="21"/>
    <x v="1"/>
    <s v="Male single"/>
    <x v="1"/>
    <x v="1"/>
    <n v="2"/>
    <x v="1"/>
    <s v="Resident"/>
    <x v="1"/>
    <n v="4"/>
    <x v="2"/>
    <s v="No"/>
    <s v="&lt;0"/>
    <x v="1"/>
    <s v="&lt;100"/>
    <x v="0"/>
    <s v="unskilled resident"/>
    <s v="Unskilled"/>
    <x v="0"/>
    <s v="1&lt;=X&lt;4"/>
    <x v="0"/>
    <s v="existing paid"/>
    <x v="1"/>
    <n v="2"/>
    <n v="1"/>
    <n v="1987"/>
    <s v="No"/>
    <s v="None"/>
    <s v="None"/>
    <x v="4"/>
    <x v="1"/>
    <n v="24"/>
    <x v="0"/>
  </r>
  <r>
    <n v="329"/>
    <n v="37"/>
    <x v="0"/>
    <s v="Female Divorced with Dependents"/>
    <x v="0"/>
    <x v="0"/>
    <n v="1"/>
    <x v="1"/>
    <s v="Unknown"/>
    <x v="0"/>
    <n v="4"/>
    <x v="1"/>
    <s v="Yes"/>
    <s v="no checking"/>
    <x v="2"/>
    <s v="&lt;100"/>
    <x v="0"/>
    <s v="skilled"/>
    <s v="Skilled"/>
    <x v="0"/>
    <s v="1&lt;=X&lt;4"/>
    <x v="0"/>
    <s v="critical/Others existing credit"/>
    <x v="3"/>
    <n v="4"/>
    <n v="1"/>
    <n v="2022"/>
    <s v="No"/>
    <s v="None"/>
    <s v="None"/>
    <x v="3"/>
    <x v="1"/>
    <n v="24"/>
    <x v="1"/>
  </r>
  <r>
    <n v="330"/>
    <n v="30"/>
    <x v="0"/>
    <s v="Male single"/>
    <x v="1"/>
    <x v="1"/>
    <n v="1"/>
    <x v="1"/>
    <s v="Resident"/>
    <x v="0"/>
    <n v="2"/>
    <x v="0"/>
    <s v="No"/>
    <s v="no checking"/>
    <x v="2"/>
    <s v="&lt;100"/>
    <x v="0"/>
    <s v="unskilled resident"/>
    <s v="Unskilled"/>
    <x v="0"/>
    <s v="4&lt;=X&lt;7"/>
    <x v="2"/>
    <s v="critical/Others existing credit"/>
    <x v="3"/>
    <n v="2"/>
    <n v="2"/>
    <n v="2028"/>
    <s v="No"/>
    <s v="None"/>
    <s v="None"/>
    <x v="1"/>
    <x v="1"/>
    <n v="24"/>
    <x v="1"/>
  </r>
  <r>
    <n v="331"/>
    <n v="60"/>
    <x v="5"/>
    <s v="Male single"/>
    <x v="1"/>
    <x v="1"/>
    <n v="1"/>
    <x v="1"/>
    <s v="Unknown"/>
    <x v="2"/>
    <n v="4"/>
    <x v="3"/>
    <s v="Yes"/>
    <s v="no checking"/>
    <x v="2"/>
    <s v="&lt;100"/>
    <x v="0"/>
    <s v="skilled"/>
    <s v="Skilled"/>
    <x v="0"/>
    <s v="&gt;=7"/>
    <x v="3"/>
    <s v="delayed previously"/>
    <x v="4"/>
    <n v="4"/>
    <n v="2"/>
    <n v="2032"/>
    <s v="No"/>
    <s v="None"/>
    <s v="None"/>
    <x v="3"/>
    <x v="1"/>
    <n v="24"/>
    <x v="1"/>
  </r>
  <r>
    <n v="332"/>
    <n v="22"/>
    <x v="1"/>
    <s v="Male Married/Widowed"/>
    <x v="1"/>
    <x v="2"/>
    <n v="1"/>
    <x v="1"/>
    <s v="Unknown"/>
    <x v="0"/>
    <n v="1"/>
    <x v="0"/>
    <s v="Yes"/>
    <s v="0&lt;=X&lt;200"/>
    <x v="0"/>
    <s v="&lt;100"/>
    <x v="0"/>
    <s v="skilled"/>
    <s v="Skilled"/>
    <x v="0"/>
    <s v="&lt;1"/>
    <x v="1"/>
    <s v="existing paid"/>
    <x v="1"/>
    <n v="1"/>
    <n v="1"/>
    <n v="2039"/>
    <s v="No"/>
    <s v="None"/>
    <s v="None"/>
    <x v="4"/>
    <x v="1"/>
    <n v="24"/>
    <x v="0"/>
  </r>
  <r>
    <n v="333"/>
    <n v="33"/>
    <x v="0"/>
    <s v="Male Divorced/Seperated"/>
    <x v="1"/>
    <x v="3"/>
    <n v="1"/>
    <x v="1"/>
    <s v="Unknown"/>
    <x v="0"/>
    <n v="2"/>
    <x v="2"/>
    <s v="Yes"/>
    <s v="no checking"/>
    <x v="2"/>
    <s v="&lt;100"/>
    <x v="0"/>
    <s v="skilled"/>
    <s v="Skilled"/>
    <x v="0"/>
    <s v="1&lt;=X&lt;4"/>
    <x v="0"/>
    <s v="critical/Others existing credit"/>
    <x v="3"/>
    <n v="4"/>
    <n v="2"/>
    <n v="2058"/>
    <s v="No"/>
    <s v="None"/>
    <s v="None"/>
    <x v="6"/>
    <x v="1"/>
    <n v="24"/>
    <x v="1"/>
  </r>
  <r>
    <n v="334"/>
    <n v="34"/>
    <x v="0"/>
    <s v="Female Divorced with Dependents"/>
    <x v="0"/>
    <x v="0"/>
    <n v="1"/>
    <x v="1"/>
    <s v="Unknown"/>
    <x v="0"/>
    <n v="2"/>
    <x v="0"/>
    <s v="Yes"/>
    <s v="0&lt;=X&lt;200"/>
    <x v="0"/>
    <s v="&lt;100"/>
    <x v="0"/>
    <s v="high qualif/self emp/mgmt"/>
    <s v="Skilled"/>
    <x v="0"/>
    <s v="unemployed"/>
    <x v="4"/>
    <s v="delayed previously"/>
    <x v="4"/>
    <n v="3"/>
    <n v="1"/>
    <n v="2064"/>
    <s v="No"/>
    <s v="None"/>
    <s v="None"/>
    <x v="1"/>
    <x v="1"/>
    <n v="24"/>
    <x v="0"/>
  </r>
  <r>
    <n v="335"/>
    <n v="43"/>
    <x v="2"/>
    <s v="Male single"/>
    <x v="1"/>
    <x v="1"/>
    <n v="2"/>
    <x v="1"/>
    <s v="Unknown"/>
    <x v="0"/>
    <n v="4"/>
    <x v="1"/>
    <s v="Yes"/>
    <s v="no checking"/>
    <x v="2"/>
    <s v="no known savings"/>
    <x v="1"/>
    <s v="skilled"/>
    <s v="Skilled"/>
    <x v="0"/>
    <s v="4&lt;=X&lt;7"/>
    <x v="2"/>
    <s v="critical/Others existing credit"/>
    <x v="3"/>
    <n v="4"/>
    <n v="2"/>
    <n v="2197"/>
    <s v="No"/>
    <s v="None"/>
    <s v="None"/>
    <x v="2"/>
    <x v="1"/>
    <n v="24"/>
    <x v="1"/>
  </r>
  <r>
    <n v="336"/>
    <n v="52"/>
    <x v="3"/>
    <s v="Male single"/>
    <x v="1"/>
    <x v="1"/>
    <n v="1"/>
    <x v="1"/>
    <s v="Unknown"/>
    <x v="0"/>
    <n v="4"/>
    <x v="0"/>
    <s v="No"/>
    <s v="no checking"/>
    <x v="2"/>
    <s v="100&lt;=X&lt;500"/>
    <x v="3"/>
    <s v="skilled"/>
    <s v="Skilled"/>
    <x v="0"/>
    <s v="&gt;=7"/>
    <x v="3"/>
    <s v="critical/Others existing credit"/>
    <x v="3"/>
    <n v="4"/>
    <n v="2"/>
    <n v="2223"/>
    <s v="No"/>
    <s v="None"/>
    <s v="Bank"/>
    <x v="4"/>
    <x v="1"/>
    <n v="24"/>
    <x v="1"/>
  </r>
  <r>
    <n v="337"/>
    <n v="54"/>
    <x v="3"/>
    <s v="Male single"/>
    <x v="1"/>
    <x v="1"/>
    <n v="1"/>
    <x v="1"/>
    <s v="Unknown"/>
    <x v="0"/>
    <n v="1"/>
    <x v="0"/>
    <s v="No"/>
    <s v="no checking"/>
    <x v="2"/>
    <s v="no known savings"/>
    <x v="1"/>
    <s v="skilled"/>
    <s v="Skilled"/>
    <x v="0"/>
    <s v="&lt;1"/>
    <x v="1"/>
    <s v="existing paid"/>
    <x v="1"/>
    <n v="4"/>
    <n v="1"/>
    <n v="2255"/>
    <s v="No"/>
    <s v="None"/>
    <s v="None"/>
    <x v="3"/>
    <x v="1"/>
    <n v="24"/>
    <x v="1"/>
  </r>
  <r>
    <n v="338"/>
    <n v="28"/>
    <x v="1"/>
    <s v="Male single"/>
    <x v="1"/>
    <x v="1"/>
    <n v="1"/>
    <x v="1"/>
    <s v="Unknown"/>
    <x v="0"/>
    <n v="2"/>
    <x v="1"/>
    <s v="Yes"/>
    <s v="no checking"/>
    <x v="2"/>
    <s v="&lt;100"/>
    <x v="0"/>
    <s v="skilled"/>
    <s v="Skilled"/>
    <x v="0"/>
    <s v="4&lt;=X&lt;7"/>
    <x v="2"/>
    <s v="existing paid"/>
    <x v="1"/>
    <n v="4"/>
    <n v="1"/>
    <n v="2284"/>
    <s v="No"/>
    <s v="None"/>
    <s v="None"/>
    <x v="4"/>
    <x v="1"/>
    <n v="24"/>
    <x v="1"/>
  </r>
  <r>
    <n v="339"/>
    <n v="45"/>
    <x v="2"/>
    <s v="Male single"/>
    <x v="1"/>
    <x v="1"/>
    <n v="1"/>
    <x v="1"/>
    <s v="Unknown"/>
    <x v="0"/>
    <n v="1"/>
    <x v="2"/>
    <s v="No"/>
    <s v="&lt;0"/>
    <x v="1"/>
    <s v="&lt;100"/>
    <x v="0"/>
    <s v="skilled"/>
    <s v="Skilled"/>
    <x v="0"/>
    <s v="&gt;=7"/>
    <x v="3"/>
    <s v="existing paid"/>
    <x v="1"/>
    <n v="4"/>
    <n v="1"/>
    <n v="2303"/>
    <s v="co applicant"/>
    <s v="Co-applicant"/>
    <s v="None"/>
    <x v="3"/>
    <x v="1"/>
    <n v="24"/>
    <x v="0"/>
  </r>
  <r>
    <n v="340"/>
    <n v="32"/>
    <x v="0"/>
    <s v="Male single"/>
    <x v="1"/>
    <x v="1"/>
    <n v="1"/>
    <x v="1"/>
    <s v="Unknown"/>
    <x v="0"/>
    <n v="3"/>
    <x v="1"/>
    <s v="No"/>
    <s v="&lt;0"/>
    <x v="1"/>
    <s v="100&lt;=X&lt;500"/>
    <x v="3"/>
    <s v="skilled"/>
    <s v="Skilled"/>
    <x v="0"/>
    <s v="4&lt;=X&lt;7"/>
    <x v="2"/>
    <s v="all paid"/>
    <x v="2"/>
    <n v="2"/>
    <n v="1"/>
    <n v="2325"/>
    <s v="No"/>
    <s v="None"/>
    <s v="Bank"/>
    <x v="3"/>
    <x v="1"/>
    <n v="24"/>
    <x v="1"/>
  </r>
  <r>
    <n v="341"/>
    <n v="29"/>
    <x v="0"/>
    <s v="Male single"/>
    <x v="1"/>
    <x v="1"/>
    <n v="1"/>
    <x v="1"/>
    <s v="Resident"/>
    <x v="0"/>
    <n v="2"/>
    <x v="0"/>
    <s v="No"/>
    <s v="0&lt;=X&lt;200"/>
    <x v="0"/>
    <s v="no known savings"/>
    <x v="1"/>
    <s v="unskilled resident"/>
    <s v="Unskilled"/>
    <x v="0"/>
    <s v="&lt;1"/>
    <x v="1"/>
    <s v="delayed previously"/>
    <x v="4"/>
    <n v="4"/>
    <n v="1"/>
    <n v="2333"/>
    <s v="No"/>
    <s v="None"/>
    <s v="Bank"/>
    <x v="1"/>
    <x v="1"/>
    <n v="24"/>
    <x v="1"/>
  </r>
  <r>
    <n v="342"/>
    <n v="35"/>
    <x v="0"/>
    <s v="Male single"/>
    <x v="1"/>
    <x v="1"/>
    <n v="1"/>
    <x v="1"/>
    <s v="Unknown"/>
    <x v="0"/>
    <n v="3"/>
    <x v="1"/>
    <s v="Yes"/>
    <s v="no checking"/>
    <x v="2"/>
    <s v="&lt;100"/>
    <x v="0"/>
    <s v="skilled"/>
    <s v="Skilled"/>
    <x v="0"/>
    <s v="4&lt;=X&lt;7"/>
    <x v="2"/>
    <s v="critical/Others existing credit"/>
    <x v="3"/>
    <n v="4"/>
    <n v="2"/>
    <n v="2346"/>
    <s v="No"/>
    <s v="None"/>
    <s v="None"/>
    <x v="2"/>
    <x v="1"/>
    <n v="24"/>
    <x v="1"/>
  </r>
  <r>
    <n v="343"/>
    <n v="33"/>
    <x v="0"/>
    <s v="Male Divorced/Seperated"/>
    <x v="1"/>
    <x v="3"/>
    <n v="1"/>
    <x v="1"/>
    <s v="Unknown"/>
    <x v="0"/>
    <n v="1"/>
    <x v="0"/>
    <s v="No"/>
    <s v="&lt;0"/>
    <x v="1"/>
    <s v="100&lt;=X&lt;500"/>
    <x v="3"/>
    <s v="skilled"/>
    <s v="Skilled"/>
    <x v="0"/>
    <s v="unemployed"/>
    <x v="4"/>
    <s v="existing paid"/>
    <x v="1"/>
    <n v="1"/>
    <n v="1"/>
    <n v="2359"/>
    <s v="No"/>
    <s v="None"/>
    <s v="None"/>
    <x v="1"/>
    <x v="1"/>
    <n v="24"/>
    <x v="0"/>
  </r>
  <r>
    <n v="344"/>
    <n v="44"/>
    <x v="2"/>
    <s v="Male single"/>
    <x v="1"/>
    <x v="1"/>
    <n v="2"/>
    <x v="1"/>
    <s v="Unknown"/>
    <x v="0"/>
    <n v="2"/>
    <x v="1"/>
    <s v="Yes"/>
    <s v="no checking"/>
    <x v="2"/>
    <s v="500&lt;=X&lt;1000"/>
    <x v="4"/>
    <s v="skilled"/>
    <s v="Skilled"/>
    <x v="0"/>
    <s v="1&lt;=X&lt;4"/>
    <x v="0"/>
    <s v="delayed previously"/>
    <x v="4"/>
    <n v="4"/>
    <n v="2"/>
    <n v="2375"/>
    <s v="No"/>
    <s v="None"/>
    <s v="None"/>
    <x v="5"/>
    <x v="1"/>
    <n v="24"/>
    <x v="1"/>
  </r>
  <r>
    <n v="345"/>
    <n v="64"/>
    <x v="5"/>
    <s v="Male single"/>
    <x v="1"/>
    <x v="1"/>
    <n v="1"/>
    <x v="1"/>
    <s v="Resident"/>
    <x v="1"/>
    <n v="4"/>
    <x v="2"/>
    <s v="No"/>
    <s v="&lt;0"/>
    <x v="1"/>
    <s v="&lt;100"/>
    <x v="0"/>
    <s v="unskilled resident"/>
    <s v="Unskilled"/>
    <x v="0"/>
    <s v="&gt;=7"/>
    <x v="3"/>
    <s v="existing paid"/>
    <x v="1"/>
    <n v="4"/>
    <n v="1"/>
    <n v="2384"/>
    <s v="No"/>
    <s v="None"/>
    <s v="Bank"/>
    <x v="4"/>
    <x v="1"/>
    <n v="24"/>
    <x v="1"/>
  </r>
  <r>
    <n v="346"/>
    <n v="35"/>
    <x v="0"/>
    <s v="Male single"/>
    <x v="1"/>
    <x v="1"/>
    <n v="1"/>
    <x v="1"/>
    <s v="Unknown"/>
    <x v="0"/>
    <n v="2"/>
    <x v="1"/>
    <s v="Yes"/>
    <s v="no checking"/>
    <x v="2"/>
    <s v="500&lt;=X&lt;1000"/>
    <x v="4"/>
    <s v="skilled"/>
    <s v="Skilled"/>
    <x v="0"/>
    <s v="&gt;=7"/>
    <x v="3"/>
    <s v="existing paid"/>
    <x v="1"/>
    <n v="3"/>
    <n v="2"/>
    <n v="2397"/>
    <s v="No"/>
    <s v="None"/>
    <s v="Bank"/>
    <x v="4"/>
    <x v="1"/>
    <n v="24"/>
    <x v="0"/>
  </r>
  <r>
    <n v="347"/>
    <n v="53"/>
    <x v="3"/>
    <s v="Male single"/>
    <x v="1"/>
    <x v="1"/>
    <n v="1"/>
    <x v="1"/>
    <s v="Unknown"/>
    <x v="0"/>
    <n v="4"/>
    <x v="0"/>
    <s v="No"/>
    <s v="no checking"/>
    <x v="2"/>
    <s v="no known savings"/>
    <x v="1"/>
    <s v="skilled"/>
    <s v="Skilled"/>
    <x v="0"/>
    <s v="&gt;=7"/>
    <x v="3"/>
    <s v="critical/Others existing credit"/>
    <x v="3"/>
    <n v="4"/>
    <n v="2"/>
    <n v="2424"/>
    <s v="No"/>
    <s v="None"/>
    <s v="None"/>
    <x v="4"/>
    <x v="1"/>
    <n v="24"/>
    <x v="1"/>
  </r>
  <r>
    <n v="348"/>
    <n v="35"/>
    <x v="0"/>
    <s v="Female Divorced with Dependents"/>
    <x v="0"/>
    <x v="0"/>
    <n v="1"/>
    <x v="1"/>
    <s v="Unknown"/>
    <x v="0"/>
    <n v="4"/>
    <x v="2"/>
    <s v="Yes"/>
    <s v="&lt;0"/>
    <x v="1"/>
    <s v="&lt;100"/>
    <x v="0"/>
    <s v="skilled"/>
    <s v="Skilled"/>
    <x v="0"/>
    <s v="&lt;1"/>
    <x v="1"/>
    <s v="existing paid"/>
    <x v="1"/>
    <n v="4"/>
    <n v="1"/>
    <n v="2439"/>
    <s v="No"/>
    <s v="None"/>
    <s v="None"/>
    <x v="4"/>
    <x v="1"/>
    <n v="24"/>
    <x v="0"/>
  </r>
  <r>
    <n v="349"/>
    <n v="27"/>
    <x v="1"/>
    <s v="Male Married/Widowed"/>
    <x v="1"/>
    <x v="2"/>
    <n v="1"/>
    <x v="1"/>
    <s v="Unknown"/>
    <x v="0"/>
    <n v="3"/>
    <x v="0"/>
    <s v="Yes"/>
    <s v="no checking"/>
    <x v="2"/>
    <s v="100&lt;=X&lt;500"/>
    <x v="3"/>
    <s v="skilled"/>
    <s v="Skilled"/>
    <x v="0"/>
    <s v="4&lt;=X&lt;7"/>
    <x v="2"/>
    <s v="critical/Others existing credit"/>
    <x v="3"/>
    <n v="4"/>
    <n v="2"/>
    <n v="2463"/>
    <s v="No"/>
    <s v="None"/>
    <s v="None"/>
    <x v="3"/>
    <x v="1"/>
    <n v="24"/>
    <x v="1"/>
  </r>
  <r>
    <n v="350"/>
    <n v="22"/>
    <x v="1"/>
    <s v="Male single"/>
    <x v="1"/>
    <x v="1"/>
    <n v="1"/>
    <x v="1"/>
    <s v="Unknown"/>
    <x v="0"/>
    <n v="4"/>
    <x v="2"/>
    <s v="Yes"/>
    <s v="&lt;0"/>
    <x v="1"/>
    <s v="500&lt;=X&lt;1000"/>
    <x v="4"/>
    <s v="skilled"/>
    <s v="Skilled"/>
    <x v="0"/>
    <s v="1&lt;=X&lt;4"/>
    <x v="0"/>
    <s v="all paid"/>
    <x v="2"/>
    <n v="4"/>
    <n v="1"/>
    <n v="2483"/>
    <s v="No"/>
    <s v="None"/>
    <s v="Store"/>
    <x v="1"/>
    <x v="1"/>
    <n v="24"/>
    <x v="1"/>
  </r>
  <r>
    <n v="351"/>
    <n v="47"/>
    <x v="2"/>
    <s v="Male single"/>
    <x v="1"/>
    <x v="1"/>
    <n v="2"/>
    <x v="1"/>
    <s v="Resident"/>
    <x v="0"/>
    <n v="4"/>
    <x v="1"/>
    <s v="No"/>
    <s v="no checking"/>
    <x v="2"/>
    <s v="&lt;100"/>
    <x v="0"/>
    <s v="unskilled resident"/>
    <s v="Unskilled"/>
    <x v="0"/>
    <s v="&gt;=7"/>
    <x v="3"/>
    <s v="delayed previously"/>
    <x v="4"/>
    <n v="4"/>
    <n v="2"/>
    <n v="2538"/>
    <s v="No"/>
    <s v="None"/>
    <s v="None"/>
    <x v="3"/>
    <x v="1"/>
    <n v="24"/>
    <x v="0"/>
  </r>
  <r>
    <n v="352"/>
    <n v="34"/>
    <x v="0"/>
    <s v="Male single"/>
    <x v="1"/>
    <x v="1"/>
    <n v="1"/>
    <x v="1"/>
    <s v="Unknown"/>
    <x v="0"/>
    <n v="2"/>
    <x v="1"/>
    <s v="No"/>
    <s v="no checking"/>
    <x v="2"/>
    <s v="&gt;=1000"/>
    <x v="2"/>
    <s v="skilled"/>
    <s v="Skilled"/>
    <x v="0"/>
    <s v="&gt;=7"/>
    <x v="3"/>
    <s v="critical/Others existing credit"/>
    <x v="3"/>
    <n v="2"/>
    <n v="1"/>
    <n v="2578"/>
    <s v="No"/>
    <s v="None"/>
    <s v="None"/>
    <x v="4"/>
    <x v="1"/>
    <n v="24"/>
    <x v="1"/>
  </r>
  <r>
    <n v="353"/>
    <n v="28"/>
    <x v="1"/>
    <s v="Female Divorced with Dependents"/>
    <x v="0"/>
    <x v="0"/>
    <n v="1"/>
    <x v="1"/>
    <s v="Unknown"/>
    <x v="1"/>
    <n v="4"/>
    <x v="1"/>
    <s v="Yes"/>
    <s v="no checking"/>
    <x v="2"/>
    <s v="&gt;=1000"/>
    <x v="2"/>
    <s v="skilled"/>
    <s v="Skilled"/>
    <x v="0"/>
    <s v="1&lt;=X&lt;4"/>
    <x v="0"/>
    <s v="existing paid"/>
    <x v="1"/>
    <n v="2"/>
    <n v="1"/>
    <n v="2603"/>
    <s v="No"/>
    <s v="None"/>
    <s v="None"/>
    <x v="2"/>
    <x v="1"/>
    <n v="24"/>
    <x v="1"/>
  </r>
  <r>
    <n v="354"/>
    <n v="46"/>
    <x v="2"/>
    <s v="Male Married/Widowed"/>
    <x v="1"/>
    <x v="2"/>
    <n v="1"/>
    <x v="1"/>
    <s v="Unknown"/>
    <x v="0"/>
    <n v="3"/>
    <x v="2"/>
    <s v="No"/>
    <s v="no checking"/>
    <x v="2"/>
    <s v="&lt;100"/>
    <x v="0"/>
    <s v="skilled"/>
    <s v="Skilled"/>
    <x v="0"/>
    <s v="&gt;=7"/>
    <x v="3"/>
    <s v="critical/Others existing credit"/>
    <x v="3"/>
    <n v="4"/>
    <n v="2"/>
    <n v="2611"/>
    <s v="co applicant"/>
    <s v="Co-applicant"/>
    <s v="None"/>
    <x v="4"/>
    <x v="1"/>
    <n v="24"/>
    <x v="1"/>
  </r>
  <r>
    <n v="355"/>
    <n v="35"/>
    <x v="0"/>
    <s v="Male single"/>
    <x v="1"/>
    <x v="1"/>
    <n v="1"/>
    <x v="1"/>
    <s v="Unknown"/>
    <x v="0"/>
    <n v="4"/>
    <x v="1"/>
    <s v="Yes"/>
    <s v="no checking"/>
    <x v="2"/>
    <s v="&lt;100"/>
    <x v="0"/>
    <s v="high qualif/self emp/mgmt"/>
    <s v="Skilled"/>
    <x v="0"/>
    <s v="&gt;=7"/>
    <x v="3"/>
    <s v="existing paid"/>
    <x v="1"/>
    <n v="4"/>
    <n v="1"/>
    <n v="2670"/>
    <s v="No"/>
    <s v="None"/>
    <s v="None"/>
    <x v="2"/>
    <x v="1"/>
    <n v="24"/>
    <x v="1"/>
  </r>
  <r>
    <n v="356"/>
    <n v="29"/>
    <x v="0"/>
    <s v="Female Divorced with Dependents"/>
    <x v="0"/>
    <x v="0"/>
    <n v="1"/>
    <x v="1"/>
    <s v="Unknown"/>
    <x v="0"/>
    <n v="1"/>
    <x v="3"/>
    <s v="Yes"/>
    <s v="no checking"/>
    <x v="2"/>
    <s v="&lt;100"/>
    <x v="0"/>
    <s v="high qualif/self emp/mgmt"/>
    <s v="Skilled"/>
    <x v="0"/>
    <s v="&lt;1"/>
    <x v="1"/>
    <s v="existing paid"/>
    <x v="1"/>
    <n v="4"/>
    <n v="1"/>
    <n v="2679"/>
    <s v="No"/>
    <s v="None"/>
    <s v="None"/>
    <x v="2"/>
    <x v="1"/>
    <n v="24"/>
    <x v="1"/>
  </r>
  <r>
    <n v="357"/>
    <n v="35"/>
    <x v="0"/>
    <s v="Male single"/>
    <x v="1"/>
    <x v="1"/>
    <n v="1"/>
    <x v="1"/>
    <s v="Resident"/>
    <x v="0"/>
    <n v="2"/>
    <x v="2"/>
    <s v="No"/>
    <s v="no checking"/>
    <x v="2"/>
    <s v="&lt;100"/>
    <x v="0"/>
    <s v="unskilled resident"/>
    <s v="Unskilled"/>
    <x v="0"/>
    <s v="1&lt;=X&lt;4"/>
    <x v="0"/>
    <s v="critical/Others existing credit"/>
    <x v="3"/>
    <n v="4"/>
    <n v="2"/>
    <n v="2684"/>
    <s v="No"/>
    <s v="None"/>
    <s v="None"/>
    <x v="4"/>
    <x v="1"/>
    <n v="24"/>
    <x v="1"/>
  </r>
  <r>
    <n v="358"/>
    <n v="20"/>
    <x v="1"/>
    <s v="Female Divorced with Dependents"/>
    <x v="0"/>
    <x v="0"/>
    <n v="1"/>
    <x v="1"/>
    <s v="Resident"/>
    <x v="1"/>
    <n v="4"/>
    <x v="0"/>
    <s v="Yes"/>
    <s v="0&lt;=X&lt;200"/>
    <x v="0"/>
    <s v="&lt;100"/>
    <x v="0"/>
    <s v="unskilled resident"/>
    <s v="Unskilled"/>
    <x v="0"/>
    <s v="1&lt;=X&lt;4"/>
    <x v="0"/>
    <s v="existing paid"/>
    <x v="1"/>
    <n v="3"/>
    <n v="1"/>
    <n v="2718"/>
    <s v="No"/>
    <s v="None"/>
    <s v="None"/>
    <x v="3"/>
    <x v="1"/>
    <n v="24"/>
    <x v="0"/>
  </r>
  <r>
    <n v="359"/>
    <n v="36"/>
    <x v="0"/>
    <s v="Male single"/>
    <x v="1"/>
    <x v="1"/>
    <n v="1"/>
    <x v="1"/>
    <s v="Unknown"/>
    <x v="2"/>
    <n v="4"/>
    <x v="3"/>
    <s v="Yes"/>
    <s v="0&lt;=X&lt;200"/>
    <x v="0"/>
    <s v="no known savings"/>
    <x v="1"/>
    <s v="skilled"/>
    <s v="Skilled"/>
    <x v="0"/>
    <s v="&gt;=7"/>
    <x v="3"/>
    <s v="existing paid"/>
    <x v="1"/>
    <n v="4"/>
    <n v="1"/>
    <n v="2760"/>
    <s v="No"/>
    <s v="None"/>
    <s v="Bank"/>
    <x v="2"/>
    <x v="1"/>
    <n v="24"/>
    <x v="1"/>
  </r>
  <r>
    <n v="360"/>
    <n v="26"/>
    <x v="1"/>
    <s v="Female Divorced with Dependents"/>
    <x v="0"/>
    <x v="0"/>
    <n v="1"/>
    <x v="1"/>
    <s v="Unknown"/>
    <x v="1"/>
    <n v="4"/>
    <x v="2"/>
    <s v="No"/>
    <s v="&lt;0"/>
    <x v="1"/>
    <s v="no known savings"/>
    <x v="1"/>
    <s v="skilled"/>
    <s v="Skilled"/>
    <x v="0"/>
    <s v="&gt;=7"/>
    <x v="3"/>
    <s v="existing paid"/>
    <x v="1"/>
    <n v="2"/>
    <n v="1"/>
    <n v="2812"/>
    <s v="No"/>
    <s v="None"/>
    <s v="None"/>
    <x v="2"/>
    <x v="1"/>
    <n v="24"/>
    <x v="1"/>
  </r>
  <r>
    <n v="361"/>
    <n v="34"/>
    <x v="0"/>
    <s v="Male single"/>
    <x v="1"/>
    <x v="1"/>
    <n v="2"/>
    <x v="1"/>
    <s v="Unknown"/>
    <x v="0"/>
    <n v="3"/>
    <x v="3"/>
    <s v="Yes"/>
    <s v="0&lt;=X&lt;200"/>
    <x v="0"/>
    <s v="no known savings"/>
    <x v="1"/>
    <s v="skilled"/>
    <s v="Skilled"/>
    <x v="0"/>
    <s v="4&lt;=X&lt;7"/>
    <x v="2"/>
    <s v="critical/Others existing credit"/>
    <x v="3"/>
    <n v="4"/>
    <n v="2"/>
    <n v="2825"/>
    <s v="No"/>
    <s v="None"/>
    <s v="None"/>
    <x v="5"/>
    <x v="1"/>
    <n v="24"/>
    <x v="1"/>
  </r>
  <r>
    <n v="362"/>
    <n v="22"/>
    <x v="1"/>
    <s v="Male single"/>
    <x v="1"/>
    <x v="1"/>
    <n v="1"/>
    <x v="1"/>
    <s v="Unknown"/>
    <x v="0"/>
    <n v="4"/>
    <x v="2"/>
    <s v="Yes"/>
    <s v="&lt;0"/>
    <x v="1"/>
    <s v="500&lt;=X&lt;1000"/>
    <x v="4"/>
    <s v="skilled"/>
    <s v="Skilled"/>
    <x v="0"/>
    <s v="1&lt;=X&lt;4"/>
    <x v="0"/>
    <s v="all paid"/>
    <x v="2"/>
    <n v="4"/>
    <n v="1"/>
    <n v="2828"/>
    <s v="No"/>
    <s v="None"/>
    <s v="Store"/>
    <x v="1"/>
    <x v="1"/>
    <n v="24"/>
    <x v="1"/>
  </r>
  <r>
    <n v="363"/>
    <n v="53"/>
    <x v="3"/>
    <s v="Male single"/>
    <x v="1"/>
    <x v="1"/>
    <n v="1"/>
    <x v="1"/>
    <s v="Unknown"/>
    <x v="0"/>
    <n v="4"/>
    <x v="0"/>
    <s v="No"/>
    <s v="no checking"/>
    <x v="2"/>
    <s v="500&lt;=X&lt;1000"/>
    <x v="4"/>
    <s v="skilled"/>
    <s v="Skilled"/>
    <x v="0"/>
    <s v="&gt;=7"/>
    <x v="3"/>
    <s v="existing paid"/>
    <x v="1"/>
    <n v="3"/>
    <n v="1"/>
    <n v="2835"/>
    <s v="No"/>
    <s v="None"/>
    <s v="None"/>
    <x v="1"/>
    <x v="1"/>
    <n v="24"/>
    <x v="1"/>
  </r>
  <r>
    <n v="364"/>
    <n v="36"/>
    <x v="0"/>
    <s v="Male single"/>
    <x v="1"/>
    <x v="1"/>
    <n v="2"/>
    <x v="1"/>
    <s v="Unknown"/>
    <x v="0"/>
    <n v="4"/>
    <x v="2"/>
    <s v="Yes"/>
    <s v="no checking"/>
    <x v="2"/>
    <s v="100&lt;=X&lt;500"/>
    <x v="3"/>
    <s v="skilled"/>
    <s v="Skilled"/>
    <x v="0"/>
    <s v="&gt;=7"/>
    <x v="3"/>
    <s v="critical/Others existing credit"/>
    <x v="3"/>
    <n v="3"/>
    <n v="1"/>
    <n v="2872"/>
    <s v="No"/>
    <s v="None"/>
    <s v="None"/>
    <x v="4"/>
    <x v="1"/>
    <n v="24"/>
    <x v="1"/>
  </r>
  <r>
    <n v="365"/>
    <n v="51"/>
    <x v="3"/>
    <s v="Male Divorced/Seperated"/>
    <x v="1"/>
    <x v="3"/>
    <n v="1"/>
    <x v="1"/>
    <s v="Unknown"/>
    <x v="2"/>
    <n v="4"/>
    <x v="3"/>
    <s v="No"/>
    <s v="&gt;=200"/>
    <x v="3"/>
    <s v="&lt;100"/>
    <x v="0"/>
    <s v="skilled"/>
    <s v="Skilled"/>
    <x v="0"/>
    <s v="&gt;=7"/>
    <x v="3"/>
    <s v="existing paid"/>
    <x v="1"/>
    <n v="3"/>
    <n v="1"/>
    <n v="2892"/>
    <s v="No"/>
    <s v="None"/>
    <s v="None"/>
    <x v="1"/>
    <x v="1"/>
    <n v="24"/>
    <x v="1"/>
  </r>
  <r>
    <n v="366"/>
    <n v="29"/>
    <x v="0"/>
    <s v="Male single"/>
    <x v="1"/>
    <x v="1"/>
    <n v="1"/>
    <x v="1"/>
    <s v="Unknown"/>
    <x v="0"/>
    <n v="1"/>
    <x v="1"/>
    <s v="No"/>
    <s v="0&lt;=X&lt;200"/>
    <x v="0"/>
    <s v="100&lt;=X&lt;500"/>
    <x v="3"/>
    <s v="skilled"/>
    <s v="Skilled"/>
    <x v="0"/>
    <s v="&lt;1"/>
    <x v="1"/>
    <s v="existing paid"/>
    <x v="1"/>
    <n v="2"/>
    <n v="1"/>
    <n v="2896"/>
    <s v="No"/>
    <s v="None"/>
    <s v="None"/>
    <x v="4"/>
    <x v="1"/>
    <n v="24"/>
    <x v="1"/>
  </r>
  <r>
    <n v="367"/>
    <n v="34"/>
    <x v="0"/>
    <s v="Male single"/>
    <x v="1"/>
    <x v="1"/>
    <n v="1"/>
    <x v="1"/>
    <s v="Unknown"/>
    <x v="2"/>
    <n v="1"/>
    <x v="3"/>
    <s v="Yes"/>
    <s v="&lt;0"/>
    <x v="1"/>
    <s v="&lt;100"/>
    <x v="0"/>
    <s v="high qualif/self emp/mgmt"/>
    <s v="Skilled"/>
    <x v="0"/>
    <s v="4&lt;=X&lt;7"/>
    <x v="2"/>
    <s v="existing paid"/>
    <x v="1"/>
    <n v="2"/>
    <n v="1"/>
    <n v="2910"/>
    <s v="No"/>
    <s v="None"/>
    <s v="None"/>
    <x v="2"/>
    <x v="1"/>
    <n v="24"/>
    <x v="1"/>
  </r>
  <r>
    <n v="368"/>
    <n v="63"/>
    <x v="5"/>
    <s v="Male single"/>
    <x v="1"/>
    <x v="1"/>
    <n v="2"/>
    <x v="1"/>
    <s v="Unknown"/>
    <x v="0"/>
    <n v="4"/>
    <x v="3"/>
    <s v="Yes"/>
    <s v="&lt;0"/>
    <x v="1"/>
    <s v="&lt;100"/>
    <x v="0"/>
    <s v="skilled"/>
    <s v="Skilled"/>
    <x v="0"/>
    <s v="1&lt;=X&lt;4"/>
    <x v="0"/>
    <s v="existing paid"/>
    <x v="1"/>
    <n v="3"/>
    <n v="1"/>
    <n v="2924"/>
    <s v="guarantor"/>
    <s v="Guarantor"/>
    <s v="Bank"/>
    <x v="2"/>
    <x v="1"/>
    <n v="24"/>
    <x v="1"/>
  </r>
  <r>
    <n v="369"/>
    <n v="63"/>
    <x v="5"/>
    <s v="Male single"/>
    <x v="1"/>
    <x v="1"/>
    <n v="1"/>
    <x v="1"/>
    <s v="Unknown"/>
    <x v="0"/>
    <n v="4"/>
    <x v="0"/>
    <s v="Yes"/>
    <s v="&lt;0"/>
    <x v="1"/>
    <s v="&lt;100"/>
    <x v="0"/>
    <s v="skilled"/>
    <s v="Skilled"/>
    <x v="0"/>
    <s v="&gt;=7"/>
    <x v="3"/>
    <s v="critical/Others existing credit"/>
    <x v="3"/>
    <n v="4"/>
    <n v="2"/>
    <n v="2957"/>
    <s v="No"/>
    <s v="None"/>
    <s v="None"/>
    <x v="2"/>
    <x v="1"/>
    <n v="24"/>
    <x v="1"/>
  </r>
  <r>
    <n v="370"/>
    <n v="49"/>
    <x v="3"/>
    <s v="Male single"/>
    <x v="1"/>
    <x v="1"/>
    <n v="2"/>
    <x v="1"/>
    <s v="Unknown"/>
    <x v="2"/>
    <n v="4"/>
    <x v="3"/>
    <s v="Yes"/>
    <s v="&lt;0"/>
    <x v="1"/>
    <s v="no known savings"/>
    <x v="1"/>
    <s v="skilled"/>
    <s v="Skilled"/>
    <x v="0"/>
    <s v="&gt;=7"/>
    <x v="3"/>
    <s v="existing paid"/>
    <x v="1"/>
    <n v="4"/>
    <n v="1"/>
    <n v="2964"/>
    <s v="No"/>
    <s v="None"/>
    <s v="Bank"/>
    <x v="2"/>
    <x v="1"/>
    <n v="24"/>
    <x v="1"/>
  </r>
  <r>
    <n v="371"/>
    <n v="32"/>
    <x v="0"/>
    <s v="Male single"/>
    <x v="1"/>
    <x v="1"/>
    <n v="2"/>
    <x v="1"/>
    <s v="Unknown"/>
    <x v="0"/>
    <n v="4"/>
    <x v="2"/>
    <s v="Yes"/>
    <s v="no checking"/>
    <x v="2"/>
    <s v="no known savings"/>
    <x v="1"/>
    <s v="skilled"/>
    <s v="Skilled"/>
    <x v="0"/>
    <s v="1&lt;=X&lt;4"/>
    <x v="0"/>
    <s v="delayed previously"/>
    <x v="4"/>
    <n v="4"/>
    <n v="2"/>
    <n v="2978"/>
    <s v="No"/>
    <s v="None"/>
    <s v="None"/>
    <x v="5"/>
    <x v="1"/>
    <n v="24"/>
    <x v="1"/>
  </r>
  <r>
    <n v="372"/>
    <n v="20"/>
    <x v="1"/>
    <s v="Male Married/Widowed"/>
    <x v="1"/>
    <x v="2"/>
    <n v="1"/>
    <x v="1"/>
    <s v="Unknown"/>
    <x v="0"/>
    <n v="4"/>
    <x v="1"/>
    <s v="No"/>
    <s v="&lt;0"/>
    <x v="1"/>
    <s v="no known savings"/>
    <x v="1"/>
    <s v="skilled"/>
    <s v="Skilled"/>
    <x v="0"/>
    <s v="1&lt;=X&lt;4"/>
    <x v="0"/>
    <s v="existing paid"/>
    <x v="1"/>
    <n v="2"/>
    <n v="1"/>
    <n v="2996"/>
    <s v="No"/>
    <s v="None"/>
    <s v="None"/>
    <x v="1"/>
    <x v="1"/>
    <n v="24"/>
    <x v="0"/>
  </r>
  <r>
    <n v="373"/>
    <n v="24"/>
    <x v="1"/>
    <s v="Male Divorced/Seperated"/>
    <x v="1"/>
    <x v="3"/>
    <n v="1"/>
    <x v="1"/>
    <s v="Resident"/>
    <x v="1"/>
    <n v="2"/>
    <x v="2"/>
    <s v="No"/>
    <s v="&lt;0"/>
    <x v="1"/>
    <s v="&lt;100"/>
    <x v="0"/>
    <s v="unskilled resident"/>
    <s v="Unskilled"/>
    <x v="0"/>
    <s v="1&lt;=X&lt;4"/>
    <x v="0"/>
    <s v="existing paid"/>
    <x v="1"/>
    <n v="2"/>
    <n v="1"/>
    <n v="3021"/>
    <s v="No"/>
    <s v="None"/>
    <s v="None"/>
    <x v="1"/>
    <x v="1"/>
    <n v="24"/>
    <x v="1"/>
  </r>
  <r>
    <n v="374"/>
    <n v="32"/>
    <x v="0"/>
    <s v="Male single"/>
    <x v="1"/>
    <x v="1"/>
    <n v="1"/>
    <x v="1"/>
    <s v="Unknown"/>
    <x v="1"/>
    <n v="3"/>
    <x v="3"/>
    <s v="Yes"/>
    <s v="no checking"/>
    <x v="2"/>
    <s v="500&lt;=X&lt;1000"/>
    <x v="4"/>
    <s v="skilled"/>
    <s v="Skilled"/>
    <x v="0"/>
    <s v="&gt;=7"/>
    <x v="3"/>
    <s v="existing paid"/>
    <x v="1"/>
    <n v="4"/>
    <n v="1"/>
    <n v="3062"/>
    <s v="No"/>
    <s v="None"/>
    <s v="None"/>
    <x v="1"/>
    <x v="1"/>
    <n v="24"/>
    <x v="1"/>
  </r>
  <r>
    <n v="375"/>
    <n v="30"/>
    <x v="0"/>
    <s v="Male single"/>
    <x v="1"/>
    <x v="1"/>
    <n v="1"/>
    <x v="1"/>
    <s v="Unknown"/>
    <x v="2"/>
    <n v="4"/>
    <x v="3"/>
    <s v="No"/>
    <s v="0&lt;=X&lt;200"/>
    <x v="0"/>
    <s v="100&lt;=X&lt;500"/>
    <x v="3"/>
    <s v="skilled"/>
    <s v="Skilled"/>
    <x v="0"/>
    <s v="&gt;=7"/>
    <x v="3"/>
    <s v="existing paid"/>
    <x v="1"/>
    <n v="4"/>
    <n v="1"/>
    <n v="3069"/>
    <s v="No"/>
    <s v="None"/>
    <s v="None"/>
    <x v="1"/>
    <x v="1"/>
    <n v="24"/>
    <x v="1"/>
  </r>
  <r>
    <n v="376"/>
    <n v="22"/>
    <x v="1"/>
    <s v="Male Married/Widowed"/>
    <x v="1"/>
    <x v="2"/>
    <n v="1"/>
    <x v="1"/>
    <s v="Unknown"/>
    <x v="1"/>
    <n v="2"/>
    <x v="1"/>
    <s v="Yes"/>
    <s v="0&lt;=X&lt;200"/>
    <x v="0"/>
    <s v="100&lt;=X&lt;500"/>
    <x v="3"/>
    <s v="skilled"/>
    <s v="Skilled"/>
    <x v="0"/>
    <s v="&lt;1"/>
    <x v="1"/>
    <s v="existing paid"/>
    <x v="1"/>
    <n v="3"/>
    <n v="1"/>
    <n v="3092"/>
    <s v="No"/>
    <s v="None"/>
    <s v="None"/>
    <x v="4"/>
    <x v="1"/>
    <n v="24"/>
    <x v="0"/>
  </r>
  <r>
    <n v="377"/>
    <n v="25"/>
    <x v="1"/>
    <s v="Male single"/>
    <x v="1"/>
    <x v="1"/>
    <n v="1"/>
    <x v="1"/>
    <s v="Unknown"/>
    <x v="0"/>
    <n v="2"/>
    <x v="1"/>
    <s v="No"/>
    <s v="no checking"/>
    <x v="2"/>
    <s v="no known savings"/>
    <x v="1"/>
    <s v="skilled"/>
    <s v="Skilled"/>
    <x v="0"/>
    <s v="&lt;1"/>
    <x v="1"/>
    <s v="existing paid"/>
    <x v="1"/>
    <n v="4"/>
    <n v="2"/>
    <n v="3105"/>
    <s v="No"/>
    <s v="None"/>
    <s v="None"/>
    <x v="4"/>
    <x v="1"/>
    <n v="24"/>
    <x v="1"/>
  </r>
  <r>
    <n v="378"/>
    <n v="27"/>
    <x v="1"/>
    <s v="Female Divorced with Dependents"/>
    <x v="0"/>
    <x v="0"/>
    <n v="1"/>
    <x v="1"/>
    <s v="Unknown"/>
    <x v="0"/>
    <n v="1"/>
    <x v="0"/>
    <s v="No"/>
    <s v="&lt;0"/>
    <x v="1"/>
    <s v="&lt;100"/>
    <x v="0"/>
    <s v="skilled"/>
    <s v="Skilled"/>
    <x v="0"/>
    <s v="&lt;1"/>
    <x v="1"/>
    <s v="existing paid"/>
    <x v="1"/>
    <n v="4"/>
    <n v="1"/>
    <n v="3123"/>
    <s v="No"/>
    <s v="None"/>
    <s v="None"/>
    <x v="3"/>
    <x v="1"/>
    <n v="24"/>
    <x v="0"/>
  </r>
  <r>
    <n v="379"/>
    <n v="31"/>
    <x v="0"/>
    <s v="Male single"/>
    <x v="1"/>
    <x v="1"/>
    <n v="1"/>
    <x v="1"/>
    <s v="Unknown"/>
    <x v="0"/>
    <n v="2"/>
    <x v="1"/>
    <s v="Yes"/>
    <s v="&gt;=200"/>
    <x v="3"/>
    <s v="no known savings"/>
    <x v="1"/>
    <s v="skilled"/>
    <s v="Skilled"/>
    <x v="0"/>
    <s v="1&lt;=X&lt;4"/>
    <x v="0"/>
    <s v="critical/Others existing credit"/>
    <x v="3"/>
    <n v="3"/>
    <n v="2"/>
    <n v="3148"/>
    <s v="No"/>
    <s v="None"/>
    <s v="None"/>
    <x v="4"/>
    <x v="1"/>
    <n v="24"/>
    <x v="1"/>
  </r>
  <r>
    <n v="380"/>
    <n v="22"/>
    <x v="1"/>
    <s v="Male single"/>
    <x v="1"/>
    <x v="1"/>
    <n v="1"/>
    <x v="1"/>
    <s v="Unknown"/>
    <x v="2"/>
    <n v="1"/>
    <x v="3"/>
    <s v="No"/>
    <s v="&lt;0"/>
    <x v="1"/>
    <s v="&lt;100"/>
    <x v="0"/>
    <s v="skilled"/>
    <s v="Skilled"/>
    <x v="0"/>
    <s v="&lt;1"/>
    <x v="1"/>
    <s v="existing paid"/>
    <x v="1"/>
    <n v="4"/>
    <n v="1"/>
    <n v="3149"/>
    <s v="No"/>
    <s v="None"/>
    <s v="Bank"/>
    <x v="1"/>
    <x v="1"/>
    <n v="24"/>
    <x v="1"/>
  </r>
  <r>
    <n v="381"/>
    <n v="31"/>
    <x v="0"/>
    <s v="Male single"/>
    <x v="1"/>
    <x v="1"/>
    <n v="1"/>
    <x v="1"/>
    <s v="Unknown"/>
    <x v="1"/>
    <n v="2"/>
    <x v="0"/>
    <s v="Yes"/>
    <s v="&lt;0"/>
    <x v="1"/>
    <s v="&lt;100"/>
    <x v="0"/>
    <s v="skilled"/>
    <s v="Skilled"/>
    <x v="0"/>
    <s v="1&lt;=X&lt;4"/>
    <x v="0"/>
    <s v="all paid"/>
    <x v="2"/>
    <n v="4"/>
    <n v="1"/>
    <n v="3161"/>
    <s v="No"/>
    <s v="None"/>
    <s v="None"/>
    <x v="5"/>
    <x v="1"/>
    <n v="24"/>
    <x v="0"/>
  </r>
  <r>
    <n v="382"/>
    <n v="26"/>
    <x v="1"/>
    <s v="Female Divorced with Dependents"/>
    <x v="0"/>
    <x v="0"/>
    <n v="1"/>
    <x v="1"/>
    <s v="Unknown"/>
    <x v="0"/>
    <n v="4"/>
    <x v="0"/>
    <s v="Yes"/>
    <s v="no checking"/>
    <x v="2"/>
    <s v="&lt;100"/>
    <x v="0"/>
    <s v="skilled"/>
    <s v="Skilled"/>
    <x v="0"/>
    <s v="&lt;1"/>
    <x v="1"/>
    <s v="existing paid"/>
    <x v="1"/>
    <n v="4"/>
    <n v="1"/>
    <n v="3181"/>
    <s v="No"/>
    <s v="None"/>
    <s v="None"/>
    <x v="4"/>
    <x v="1"/>
    <n v="24"/>
    <x v="1"/>
  </r>
  <r>
    <n v="383"/>
    <n v="23"/>
    <x v="1"/>
    <s v="Female Divorced with Dependents"/>
    <x v="0"/>
    <x v="0"/>
    <n v="1"/>
    <x v="1"/>
    <s v="Resident"/>
    <x v="1"/>
    <n v="4"/>
    <x v="2"/>
    <s v="Yes"/>
    <s v="&lt;0"/>
    <x v="1"/>
    <s v="&lt;100"/>
    <x v="0"/>
    <s v="unskilled resident"/>
    <s v="Unskilled"/>
    <x v="0"/>
    <s v="&lt;1"/>
    <x v="1"/>
    <s v="existing paid"/>
    <x v="1"/>
    <n v="4"/>
    <n v="1"/>
    <n v="3234"/>
    <s v="No"/>
    <s v="None"/>
    <s v="None"/>
    <x v="1"/>
    <x v="1"/>
    <n v="24"/>
    <x v="0"/>
  </r>
  <r>
    <n v="384"/>
    <n v="26"/>
    <x v="1"/>
    <s v="Male Divorced/Seperated"/>
    <x v="1"/>
    <x v="3"/>
    <n v="1"/>
    <x v="1"/>
    <s v="Unknown"/>
    <x v="0"/>
    <n v="2"/>
    <x v="1"/>
    <s v="Yes"/>
    <s v="no checking"/>
    <x v="2"/>
    <s v="500&lt;=X&lt;1000"/>
    <x v="4"/>
    <s v="high qualif/self emp/mgmt"/>
    <s v="Skilled"/>
    <x v="0"/>
    <s v="&gt;=7"/>
    <x v="3"/>
    <s v="existing paid"/>
    <x v="1"/>
    <n v="3"/>
    <n v="1"/>
    <n v="3235"/>
    <s v="No"/>
    <s v="None"/>
    <s v="None"/>
    <x v="4"/>
    <x v="1"/>
    <n v="24"/>
    <x v="1"/>
  </r>
  <r>
    <n v="385"/>
    <n v="39"/>
    <x v="2"/>
    <s v="Male single"/>
    <x v="1"/>
    <x v="1"/>
    <n v="1"/>
    <x v="1"/>
    <s v="Unknown"/>
    <x v="1"/>
    <n v="2"/>
    <x v="0"/>
    <s v="Yes"/>
    <s v="&lt;0"/>
    <x v="1"/>
    <s v="&lt;100"/>
    <x v="0"/>
    <s v="high qualif/self emp/mgmt"/>
    <s v="Skilled"/>
    <x v="0"/>
    <s v="&gt;=7"/>
    <x v="3"/>
    <s v="existing paid"/>
    <x v="1"/>
    <n v="4"/>
    <n v="1"/>
    <n v="3345"/>
    <s v="No"/>
    <s v="None"/>
    <s v="None"/>
    <x v="1"/>
    <x v="1"/>
    <n v="24"/>
    <x v="0"/>
  </r>
  <r>
    <n v="386"/>
    <n v="30"/>
    <x v="0"/>
    <s v="Male single"/>
    <x v="1"/>
    <x v="1"/>
    <n v="2"/>
    <x v="1"/>
    <s v="Unknown"/>
    <x v="2"/>
    <n v="4"/>
    <x v="3"/>
    <s v="Yes"/>
    <s v="&lt;0"/>
    <x v="1"/>
    <s v="500&lt;=X&lt;1000"/>
    <x v="4"/>
    <s v="skilled"/>
    <s v="Skilled"/>
    <x v="0"/>
    <s v="&lt;1"/>
    <x v="1"/>
    <s v="all paid"/>
    <x v="2"/>
    <n v="4"/>
    <n v="1"/>
    <n v="3349"/>
    <s v="No"/>
    <s v="None"/>
    <s v="None"/>
    <x v="1"/>
    <x v="1"/>
    <n v="24"/>
    <x v="0"/>
  </r>
  <r>
    <n v="387"/>
    <n v="31"/>
    <x v="0"/>
    <s v="Male single"/>
    <x v="1"/>
    <x v="1"/>
    <n v="2"/>
    <x v="1"/>
    <s v="Unknown"/>
    <x v="0"/>
    <n v="2"/>
    <x v="1"/>
    <s v="Yes"/>
    <s v="no checking"/>
    <x v="2"/>
    <s v="500&lt;=X&lt;1000"/>
    <x v="4"/>
    <s v="skilled"/>
    <s v="Skilled"/>
    <x v="0"/>
    <s v="&gt;=7"/>
    <x v="3"/>
    <s v="existing paid"/>
    <x v="1"/>
    <n v="3"/>
    <n v="1"/>
    <n v="3430"/>
    <s v="No"/>
    <s v="None"/>
    <s v="None"/>
    <x v="4"/>
    <x v="1"/>
    <n v="24"/>
    <x v="1"/>
  </r>
  <r>
    <n v="388"/>
    <n v="23"/>
    <x v="1"/>
    <s v="Female Divorced with Dependents"/>
    <x v="0"/>
    <x v="0"/>
    <n v="1"/>
    <x v="1"/>
    <s v="Unknown"/>
    <x v="0"/>
    <n v="4"/>
    <x v="1"/>
    <s v="No"/>
    <s v="no checking"/>
    <x v="2"/>
    <s v="100&lt;=X&lt;500"/>
    <x v="3"/>
    <s v="skilled"/>
    <s v="Skilled"/>
    <x v="0"/>
    <s v="4&lt;=X&lt;7"/>
    <x v="2"/>
    <s v="existing paid"/>
    <x v="1"/>
    <n v="3"/>
    <n v="1"/>
    <n v="3488"/>
    <s v="No"/>
    <s v="None"/>
    <s v="None"/>
    <x v="2"/>
    <x v="1"/>
    <n v="24"/>
    <x v="1"/>
  </r>
  <r>
    <n v="389"/>
    <n v="38"/>
    <x v="0"/>
    <s v="Male single"/>
    <x v="1"/>
    <x v="1"/>
    <n v="1"/>
    <x v="1"/>
    <s v="Unknown"/>
    <x v="0"/>
    <n v="3"/>
    <x v="1"/>
    <s v="Yes"/>
    <s v="0&lt;=X&lt;200"/>
    <x v="0"/>
    <s v="100&lt;=X&lt;500"/>
    <x v="3"/>
    <s v="skilled"/>
    <s v="Skilled"/>
    <x v="0"/>
    <s v="4&lt;=X&lt;7"/>
    <x v="2"/>
    <s v="existing paid"/>
    <x v="1"/>
    <n v="2"/>
    <n v="2"/>
    <n v="3512"/>
    <s v="No"/>
    <s v="None"/>
    <s v="Bank"/>
    <x v="3"/>
    <x v="1"/>
    <n v="24"/>
    <x v="1"/>
  </r>
  <r>
    <n v="390"/>
    <n v="27"/>
    <x v="1"/>
    <s v="Male single"/>
    <x v="1"/>
    <x v="1"/>
    <n v="1"/>
    <x v="1"/>
    <s v="Unknown"/>
    <x v="0"/>
    <n v="4"/>
    <x v="1"/>
    <s v="No"/>
    <s v="&lt;0"/>
    <x v="1"/>
    <s v="&lt;100"/>
    <x v="0"/>
    <s v="skilled"/>
    <s v="Skilled"/>
    <x v="0"/>
    <s v="4&lt;=X&lt;7"/>
    <x v="2"/>
    <s v="all paid"/>
    <x v="2"/>
    <n v="3"/>
    <n v="1"/>
    <n v="3552"/>
    <s v="No"/>
    <s v="None"/>
    <s v="Bank"/>
    <x v="1"/>
    <x v="1"/>
    <n v="24"/>
    <x v="0"/>
  </r>
  <r>
    <n v="391"/>
    <n v="20"/>
    <x v="1"/>
    <s v="Male single"/>
    <x v="1"/>
    <x v="1"/>
    <n v="1"/>
    <x v="1"/>
    <s v="Unknown"/>
    <x v="1"/>
    <n v="4"/>
    <x v="3"/>
    <s v="No"/>
    <s v="&gt;=200"/>
    <x v="3"/>
    <s v="no known savings"/>
    <x v="1"/>
    <s v="skilled"/>
    <s v="Skilled"/>
    <x v="0"/>
    <s v="&gt;=7"/>
    <x v="3"/>
    <s v="critical/Others existing credit"/>
    <x v="3"/>
    <n v="4"/>
    <n v="2"/>
    <n v="3617"/>
    <s v="co applicant"/>
    <s v="Co-applicant"/>
    <s v="None"/>
    <x v="1"/>
    <x v="1"/>
    <n v="24"/>
    <x v="1"/>
  </r>
  <r>
    <n v="392"/>
    <n v="31"/>
    <x v="0"/>
    <s v="Male single"/>
    <x v="1"/>
    <x v="1"/>
    <n v="1"/>
    <x v="1"/>
    <s v="Unknown"/>
    <x v="0"/>
    <n v="4"/>
    <x v="1"/>
    <s v="No"/>
    <s v="no checking"/>
    <x v="2"/>
    <s v="100&lt;=X&lt;500"/>
    <x v="3"/>
    <s v="skilled"/>
    <s v="Skilled"/>
    <x v="0"/>
    <s v="&gt;=7"/>
    <x v="3"/>
    <s v="existing paid"/>
    <x v="1"/>
    <n v="2"/>
    <n v="2"/>
    <n v="3621"/>
    <s v="No"/>
    <s v="None"/>
    <s v="None"/>
    <x v="4"/>
    <x v="1"/>
    <n v="24"/>
    <x v="0"/>
  </r>
  <r>
    <n v="393"/>
    <n v="28"/>
    <x v="1"/>
    <s v="Female Divorced with Dependents"/>
    <x v="0"/>
    <x v="0"/>
    <n v="1"/>
    <x v="1"/>
    <s v="Unknown"/>
    <x v="0"/>
    <n v="4"/>
    <x v="1"/>
    <s v="No"/>
    <s v="&lt;0"/>
    <x v="1"/>
    <s v="&lt;100"/>
    <x v="0"/>
    <s v="skilled"/>
    <s v="Skilled"/>
    <x v="0"/>
    <s v="1&lt;=X&lt;4"/>
    <x v="0"/>
    <s v="existing paid"/>
    <x v="1"/>
    <n v="2"/>
    <n v="1"/>
    <n v="3660"/>
    <s v="No"/>
    <s v="None"/>
    <s v="None"/>
    <x v="4"/>
    <x v="1"/>
    <n v="24"/>
    <x v="1"/>
  </r>
  <r>
    <n v="394"/>
    <n v="26"/>
    <x v="1"/>
    <s v="Female Divorced with Dependents"/>
    <x v="0"/>
    <x v="0"/>
    <n v="1"/>
    <x v="1"/>
    <s v="Unknown"/>
    <x v="0"/>
    <n v="4"/>
    <x v="1"/>
    <s v="No"/>
    <s v="&gt;=200"/>
    <x v="3"/>
    <s v="&lt;100"/>
    <x v="0"/>
    <s v="skilled"/>
    <s v="Skilled"/>
    <x v="0"/>
    <s v="&lt;1"/>
    <x v="1"/>
    <s v="existing paid"/>
    <x v="1"/>
    <n v="2"/>
    <n v="1"/>
    <n v="3749"/>
    <s v="No"/>
    <s v="None"/>
    <s v="None"/>
    <x v="1"/>
    <x v="1"/>
    <n v="24"/>
    <x v="1"/>
  </r>
  <r>
    <n v="395"/>
    <n v="62"/>
    <x v="5"/>
    <s v="Female Divorced with Dependents"/>
    <x v="0"/>
    <x v="0"/>
    <n v="1"/>
    <x v="1"/>
    <s v="Unknown"/>
    <x v="2"/>
    <n v="4"/>
    <x v="3"/>
    <s v="Yes"/>
    <s v="no checking"/>
    <x v="2"/>
    <s v="&lt;100"/>
    <x v="0"/>
    <s v="skilled"/>
    <s v="Skilled"/>
    <x v="0"/>
    <s v="&gt;=7"/>
    <x v="3"/>
    <s v="existing paid"/>
    <x v="1"/>
    <n v="4"/>
    <n v="1"/>
    <n v="3757"/>
    <s v="co applicant"/>
    <s v="Co-applicant"/>
    <s v="None"/>
    <x v="3"/>
    <x v="1"/>
    <n v="24"/>
    <x v="1"/>
  </r>
  <r>
    <n v="396"/>
    <n v="23"/>
    <x v="1"/>
    <s v="Female Divorced with Dependents"/>
    <x v="0"/>
    <x v="0"/>
    <n v="1"/>
    <x v="1"/>
    <s v="Non-resident"/>
    <x v="1"/>
    <n v="4"/>
    <x v="3"/>
    <s v="No"/>
    <s v="0&lt;=X&lt;200"/>
    <x v="0"/>
    <s v="500&lt;=X&lt;1000"/>
    <x v="4"/>
    <s v="unemp/unskilled non res"/>
    <s v="Unskilled"/>
    <x v="1"/>
    <s v="unemployed"/>
    <x v="4"/>
    <s v="existing paid"/>
    <x v="1"/>
    <n v="1"/>
    <n v="1"/>
    <n v="3758"/>
    <s v="No"/>
    <s v="None"/>
    <s v="None"/>
    <x v="4"/>
    <x v="1"/>
    <n v="24"/>
    <x v="1"/>
  </r>
  <r>
    <n v="397"/>
    <n v="50"/>
    <x v="3"/>
    <s v="Male single"/>
    <x v="1"/>
    <x v="1"/>
    <n v="1"/>
    <x v="1"/>
    <s v="Unknown"/>
    <x v="0"/>
    <n v="4"/>
    <x v="2"/>
    <s v="Yes"/>
    <s v="no checking"/>
    <x v="2"/>
    <s v="&gt;=1000"/>
    <x v="2"/>
    <s v="skilled"/>
    <s v="Skilled"/>
    <x v="0"/>
    <s v="1&lt;=X&lt;4"/>
    <x v="0"/>
    <s v="critical/Others existing credit"/>
    <x v="3"/>
    <n v="4"/>
    <n v="1"/>
    <n v="3777"/>
    <s v="No"/>
    <s v="None"/>
    <s v="None"/>
    <x v="1"/>
    <x v="1"/>
    <n v="24"/>
    <x v="1"/>
  </r>
  <r>
    <n v="398"/>
    <n v="32"/>
    <x v="0"/>
    <s v="Male single"/>
    <x v="1"/>
    <x v="1"/>
    <n v="1"/>
    <x v="1"/>
    <s v="Unknown"/>
    <x v="2"/>
    <n v="2"/>
    <x v="3"/>
    <s v="No"/>
    <s v="no checking"/>
    <x v="2"/>
    <s v="&lt;100"/>
    <x v="0"/>
    <s v="skilled"/>
    <s v="Skilled"/>
    <x v="0"/>
    <s v="1&lt;=X&lt;4"/>
    <x v="0"/>
    <s v="delayed previously"/>
    <x v="4"/>
    <n v="1"/>
    <n v="1"/>
    <n v="3863"/>
    <s v="No"/>
    <s v="None"/>
    <s v="None"/>
    <x v="5"/>
    <x v="1"/>
    <n v="24"/>
    <x v="1"/>
  </r>
  <r>
    <n v="399"/>
    <n v="41"/>
    <x v="2"/>
    <s v="Female Divorced with Dependents"/>
    <x v="0"/>
    <x v="0"/>
    <n v="1"/>
    <x v="1"/>
    <s v="Unknown"/>
    <x v="1"/>
    <n v="2"/>
    <x v="1"/>
    <s v="Yes"/>
    <s v="no checking"/>
    <x v="2"/>
    <s v="&lt;100"/>
    <x v="0"/>
    <s v="high qualif/self emp/mgmt"/>
    <s v="Skilled"/>
    <x v="0"/>
    <s v="&gt;=7"/>
    <x v="3"/>
    <s v="critical/Others existing credit"/>
    <x v="3"/>
    <n v="4"/>
    <n v="2"/>
    <n v="3868"/>
    <s v="No"/>
    <s v="None"/>
    <s v="None"/>
    <x v="2"/>
    <x v="1"/>
    <n v="24"/>
    <x v="1"/>
  </r>
  <r>
    <n v="400"/>
    <n v="37"/>
    <x v="0"/>
    <s v="Male Divorced/Seperated"/>
    <x v="1"/>
    <x v="3"/>
    <n v="1"/>
    <x v="1"/>
    <s v="Unknown"/>
    <x v="0"/>
    <n v="2"/>
    <x v="1"/>
    <s v="Yes"/>
    <s v="0&lt;=X&lt;200"/>
    <x v="0"/>
    <s v="100&lt;=X&lt;500"/>
    <x v="3"/>
    <s v="skilled"/>
    <s v="Skilled"/>
    <x v="0"/>
    <s v="&lt;1"/>
    <x v="1"/>
    <s v="critical/Others existing credit"/>
    <x v="3"/>
    <n v="4"/>
    <n v="1"/>
    <n v="3878"/>
    <s v="No"/>
    <s v="None"/>
    <s v="None"/>
    <x v="3"/>
    <x v="1"/>
    <n v="24"/>
    <x v="1"/>
  </r>
  <r>
    <n v="401"/>
    <n v="25"/>
    <x v="1"/>
    <s v="Female Divorced with Dependents"/>
    <x v="0"/>
    <x v="0"/>
    <n v="1"/>
    <x v="1"/>
    <s v="Unknown"/>
    <x v="1"/>
    <n v="4"/>
    <x v="0"/>
    <s v="Yes"/>
    <s v="no checking"/>
    <x v="2"/>
    <s v="&lt;100"/>
    <x v="0"/>
    <s v="skilled"/>
    <s v="Skilled"/>
    <x v="0"/>
    <s v="4&lt;=X&lt;7"/>
    <x v="2"/>
    <s v="existing paid"/>
    <x v="1"/>
    <n v="2"/>
    <n v="1"/>
    <n v="3972"/>
    <s v="No"/>
    <s v="None"/>
    <s v="None"/>
    <x v="1"/>
    <x v="1"/>
    <n v="24"/>
    <x v="1"/>
  </r>
  <r>
    <n v="402"/>
    <n v="27"/>
    <x v="1"/>
    <s v="Male single"/>
    <x v="1"/>
    <x v="1"/>
    <n v="1"/>
    <x v="1"/>
    <s v="Unknown"/>
    <x v="0"/>
    <n v="2"/>
    <x v="1"/>
    <s v="No"/>
    <s v="&lt;0"/>
    <x v="1"/>
    <s v="&lt;100"/>
    <x v="0"/>
    <s v="skilled"/>
    <s v="Skilled"/>
    <x v="0"/>
    <s v="1&lt;=X&lt;4"/>
    <x v="0"/>
    <s v="existing paid"/>
    <x v="1"/>
    <n v="2"/>
    <n v="1"/>
    <n v="4020"/>
    <s v="No"/>
    <s v="None"/>
    <s v="Store"/>
    <x v="1"/>
    <x v="1"/>
    <n v="24"/>
    <x v="1"/>
  </r>
  <r>
    <n v="403"/>
    <n v="43"/>
    <x v="2"/>
    <s v="Male single"/>
    <x v="1"/>
    <x v="1"/>
    <n v="1"/>
    <x v="1"/>
    <s v="Unknown"/>
    <x v="0"/>
    <n v="4"/>
    <x v="0"/>
    <s v="Yes"/>
    <s v="no checking"/>
    <x v="2"/>
    <s v="no known savings"/>
    <x v="1"/>
    <s v="skilled"/>
    <s v="Skilled"/>
    <x v="0"/>
    <s v="4&lt;=X&lt;7"/>
    <x v="2"/>
    <s v="critical/Others existing credit"/>
    <x v="3"/>
    <n v="3"/>
    <n v="2"/>
    <n v="4042"/>
    <s v="No"/>
    <s v="None"/>
    <s v="None"/>
    <x v="2"/>
    <x v="1"/>
    <n v="24"/>
    <x v="1"/>
  </r>
  <r>
    <n v="404"/>
    <n v="43"/>
    <x v="2"/>
    <s v="Male Divorced/Seperated"/>
    <x v="1"/>
    <x v="3"/>
    <n v="1"/>
    <x v="1"/>
    <s v="Unknown"/>
    <x v="0"/>
    <n v="3"/>
    <x v="1"/>
    <s v="Yes"/>
    <s v="0&lt;=X&lt;200"/>
    <x v="0"/>
    <s v="&lt;100"/>
    <x v="0"/>
    <s v="skilled"/>
    <s v="Skilled"/>
    <x v="0"/>
    <s v="4&lt;=X&lt;7"/>
    <x v="2"/>
    <s v="existing paid"/>
    <x v="1"/>
    <n v="3"/>
    <n v="1"/>
    <n v="4057"/>
    <s v="No"/>
    <s v="None"/>
    <s v="None"/>
    <x v="1"/>
    <x v="1"/>
    <n v="24"/>
    <x v="0"/>
  </r>
  <r>
    <n v="405"/>
    <n v="23"/>
    <x v="1"/>
    <s v="Male single"/>
    <x v="1"/>
    <x v="1"/>
    <n v="2"/>
    <x v="1"/>
    <s v="Unknown"/>
    <x v="1"/>
    <n v="4"/>
    <x v="3"/>
    <s v="No"/>
    <s v="&lt;0"/>
    <x v="1"/>
    <s v="&lt;100"/>
    <x v="0"/>
    <s v="skilled"/>
    <s v="Skilled"/>
    <x v="0"/>
    <s v="&gt;=7"/>
    <x v="3"/>
    <s v="no credits/all paid"/>
    <x v="0"/>
    <n v="3"/>
    <n v="2"/>
    <n v="4110"/>
    <s v="No"/>
    <s v="None"/>
    <s v="Bank"/>
    <x v="1"/>
    <x v="1"/>
    <n v="24"/>
    <x v="0"/>
  </r>
  <r>
    <n v="406"/>
    <n v="28"/>
    <x v="1"/>
    <s v="Female Divorced with Dependents"/>
    <x v="0"/>
    <x v="0"/>
    <n v="1"/>
    <x v="1"/>
    <s v="Unknown"/>
    <x v="1"/>
    <n v="4"/>
    <x v="1"/>
    <s v="No"/>
    <s v="0&lt;=X&lt;200"/>
    <x v="0"/>
    <s v="500&lt;=X&lt;1000"/>
    <x v="4"/>
    <s v="skilled"/>
    <s v="Skilled"/>
    <x v="0"/>
    <s v="&lt;1"/>
    <x v="1"/>
    <s v="existing paid"/>
    <x v="1"/>
    <n v="3"/>
    <n v="1"/>
    <n v="4113"/>
    <s v="No"/>
    <s v="None"/>
    <s v="None"/>
    <x v="2"/>
    <x v="1"/>
    <n v="24"/>
    <x v="0"/>
  </r>
  <r>
    <n v="407"/>
    <n v="27"/>
    <x v="1"/>
    <s v="Male single"/>
    <x v="1"/>
    <x v="1"/>
    <n v="1"/>
    <x v="1"/>
    <s v="Resident"/>
    <x v="0"/>
    <n v="3"/>
    <x v="0"/>
    <s v="Yes"/>
    <s v="no checking"/>
    <x v="2"/>
    <s v="100&lt;=X&lt;500"/>
    <x v="3"/>
    <s v="unskilled resident"/>
    <s v="Unskilled"/>
    <x v="0"/>
    <s v="1&lt;=X&lt;4"/>
    <x v="0"/>
    <s v="critical/Others existing credit"/>
    <x v="3"/>
    <n v="3"/>
    <n v="2"/>
    <n v="4139"/>
    <s v="No"/>
    <s v="None"/>
    <s v="None"/>
    <x v="5"/>
    <x v="1"/>
    <n v="24"/>
    <x v="1"/>
  </r>
  <r>
    <n v="408"/>
    <n v="35"/>
    <x v="0"/>
    <s v="Male single"/>
    <x v="1"/>
    <x v="1"/>
    <n v="1"/>
    <x v="1"/>
    <s v="Unknown"/>
    <x v="0"/>
    <n v="3"/>
    <x v="0"/>
    <s v="No"/>
    <s v="no checking"/>
    <x v="2"/>
    <s v="100&lt;=X&lt;500"/>
    <x v="3"/>
    <s v="skilled"/>
    <s v="Skilled"/>
    <x v="0"/>
    <s v="1&lt;=X&lt;4"/>
    <x v="0"/>
    <s v="delayed previously"/>
    <x v="4"/>
    <n v="2"/>
    <n v="2"/>
    <n v="4151"/>
    <s v="No"/>
    <s v="None"/>
    <s v="None"/>
    <x v="1"/>
    <x v="1"/>
    <n v="24"/>
    <x v="1"/>
  </r>
  <r>
    <n v="409"/>
    <n v="28"/>
    <x v="1"/>
    <s v="Male single"/>
    <x v="1"/>
    <x v="1"/>
    <n v="1"/>
    <x v="1"/>
    <s v="Unknown"/>
    <x v="0"/>
    <n v="4"/>
    <x v="0"/>
    <s v="No"/>
    <s v="&lt;0"/>
    <x v="1"/>
    <s v="&lt;100"/>
    <x v="0"/>
    <s v="skilled"/>
    <s v="Skilled"/>
    <x v="0"/>
    <s v="1&lt;=X&lt;4"/>
    <x v="0"/>
    <s v="existing paid"/>
    <x v="1"/>
    <n v="4"/>
    <n v="1"/>
    <n v="4169"/>
    <s v="No"/>
    <s v="None"/>
    <s v="None"/>
    <x v="1"/>
    <x v="1"/>
    <n v="24"/>
    <x v="1"/>
  </r>
  <r>
    <n v="410"/>
    <n v="36"/>
    <x v="0"/>
    <s v="Male single"/>
    <x v="1"/>
    <x v="1"/>
    <n v="1"/>
    <x v="1"/>
    <s v="Resident"/>
    <x v="0"/>
    <n v="4"/>
    <x v="2"/>
    <s v="Yes"/>
    <s v="0&lt;=X&lt;200"/>
    <x v="0"/>
    <s v="&lt;100"/>
    <x v="0"/>
    <s v="unskilled resident"/>
    <s v="Unskilled"/>
    <x v="0"/>
    <s v="1&lt;=X&lt;4"/>
    <x v="0"/>
    <s v="no credits/all paid"/>
    <x v="0"/>
    <n v="1"/>
    <n v="3"/>
    <n v="4241"/>
    <s v="No"/>
    <s v="None"/>
    <s v="None"/>
    <x v="5"/>
    <x v="1"/>
    <n v="24"/>
    <x v="0"/>
  </r>
  <r>
    <n v="411"/>
    <n v="48"/>
    <x v="2"/>
    <s v="Female Divorced with Dependents"/>
    <x v="0"/>
    <x v="0"/>
    <n v="1"/>
    <x v="1"/>
    <s v="Resident"/>
    <x v="0"/>
    <n v="4"/>
    <x v="0"/>
    <s v="Yes"/>
    <s v="0&lt;=X&lt;200"/>
    <x v="0"/>
    <s v="no known savings"/>
    <x v="1"/>
    <s v="unskilled resident"/>
    <s v="Unskilled"/>
    <x v="0"/>
    <s v="1&lt;=X&lt;4"/>
    <x v="0"/>
    <s v="existing paid"/>
    <x v="1"/>
    <n v="1"/>
    <n v="1"/>
    <n v="4351"/>
    <s v="No"/>
    <s v="None"/>
    <s v="None"/>
    <x v="1"/>
    <x v="1"/>
    <n v="24"/>
    <x v="1"/>
  </r>
  <r>
    <n v="412"/>
    <n v="74"/>
    <x v="4"/>
    <s v="Male single"/>
    <x v="1"/>
    <x v="1"/>
    <n v="1"/>
    <x v="1"/>
    <s v="Unknown"/>
    <x v="0"/>
    <n v="2"/>
    <x v="2"/>
    <s v="Yes"/>
    <s v="no checking"/>
    <x v="2"/>
    <s v="&lt;100"/>
    <x v="0"/>
    <s v="high qualif/self emp/mgmt"/>
    <s v="Skilled"/>
    <x v="0"/>
    <s v="1&lt;=X&lt;4"/>
    <x v="0"/>
    <s v="critical/Others existing credit"/>
    <x v="3"/>
    <n v="3"/>
    <n v="1"/>
    <n v="4526"/>
    <s v="No"/>
    <s v="None"/>
    <s v="None"/>
    <x v="5"/>
    <x v="1"/>
    <n v="24"/>
    <x v="1"/>
  </r>
  <r>
    <n v="413"/>
    <n v="54"/>
    <x v="3"/>
    <s v="Male single"/>
    <x v="1"/>
    <x v="1"/>
    <n v="1"/>
    <x v="1"/>
    <s v="Unknown"/>
    <x v="0"/>
    <n v="3"/>
    <x v="0"/>
    <s v="Yes"/>
    <s v="no checking"/>
    <x v="2"/>
    <s v="&gt;=1000"/>
    <x v="2"/>
    <s v="high qualif/self emp/mgmt"/>
    <s v="Skilled"/>
    <x v="0"/>
    <s v="1&lt;=X&lt;4"/>
    <x v="0"/>
    <s v="existing paid"/>
    <x v="1"/>
    <n v="2"/>
    <n v="3"/>
    <n v="4591"/>
    <s v="No"/>
    <s v="None"/>
    <s v="None"/>
    <x v="5"/>
    <x v="1"/>
    <n v="24"/>
    <x v="0"/>
  </r>
  <r>
    <n v="414"/>
    <n v="35"/>
    <x v="0"/>
    <s v="Male single"/>
    <x v="1"/>
    <x v="1"/>
    <n v="1"/>
    <x v="1"/>
    <s v="Resident"/>
    <x v="0"/>
    <n v="3"/>
    <x v="1"/>
    <s v="Yes"/>
    <s v="no checking"/>
    <x v="2"/>
    <s v="&lt;100"/>
    <x v="0"/>
    <s v="unskilled resident"/>
    <s v="Unskilled"/>
    <x v="0"/>
    <s v="4&lt;=X&lt;7"/>
    <x v="2"/>
    <s v="delayed previously"/>
    <x v="4"/>
    <n v="3"/>
    <n v="2"/>
    <n v="4679"/>
    <s v="No"/>
    <s v="None"/>
    <s v="None"/>
    <x v="2"/>
    <x v="1"/>
    <n v="24"/>
    <x v="1"/>
  </r>
  <r>
    <n v="415"/>
    <n v="37"/>
    <x v="0"/>
    <s v="Male single"/>
    <x v="1"/>
    <x v="1"/>
    <n v="1"/>
    <x v="1"/>
    <s v="Unknown"/>
    <x v="0"/>
    <n v="2"/>
    <x v="0"/>
    <s v="Yes"/>
    <s v="0&lt;=X&lt;200"/>
    <x v="0"/>
    <s v="no known savings"/>
    <x v="1"/>
    <s v="high qualif/self emp/mgmt"/>
    <s v="Skilled"/>
    <x v="0"/>
    <s v="1&lt;=X&lt;4"/>
    <x v="0"/>
    <s v="delayed previously"/>
    <x v="4"/>
    <n v="4"/>
    <n v="2"/>
    <n v="4712"/>
    <s v="No"/>
    <s v="None"/>
    <s v="Bank"/>
    <x v="5"/>
    <x v="1"/>
    <n v="24"/>
    <x v="1"/>
  </r>
  <r>
    <n v="416"/>
    <n v="25"/>
    <x v="1"/>
    <s v="Female Divorced with Dependents"/>
    <x v="0"/>
    <x v="0"/>
    <n v="1"/>
    <x v="1"/>
    <s v="Resident"/>
    <x v="0"/>
    <n v="4"/>
    <x v="1"/>
    <s v="No"/>
    <s v="0&lt;=X&lt;200"/>
    <x v="0"/>
    <s v="&lt;100"/>
    <x v="0"/>
    <s v="unskilled resident"/>
    <s v="Unskilled"/>
    <x v="0"/>
    <s v="&lt;1"/>
    <x v="1"/>
    <s v="critical/Others existing credit"/>
    <x v="3"/>
    <n v="2"/>
    <n v="1"/>
    <n v="4736"/>
    <s v="No"/>
    <s v="None"/>
    <s v="Bank"/>
    <x v="1"/>
    <x v="1"/>
    <n v="24"/>
    <x v="0"/>
  </r>
  <r>
    <n v="417"/>
    <n v="31"/>
    <x v="0"/>
    <s v="Male single"/>
    <x v="1"/>
    <x v="1"/>
    <n v="1"/>
    <x v="1"/>
    <s v="Unknown"/>
    <x v="0"/>
    <n v="3"/>
    <x v="0"/>
    <s v="Yes"/>
    <s v="&lt;0"/>
    <x v="1"/>
    <s v="&lt;100"/>
    <x v="0"/>
    <s v="skilled"/>
    <s v="Skilled"/>
    <x v="0"/>
    <s v="4&lt;=X&lt;7"/>
    <x v="2"/>
    <s v="existing paid"/>
    <x v="1"/>
    <n v="2"/>
    <n v="1"/>
    <n v="4817"/>
    <s v="co applicant"/>
    <s v="Co-applicant"/>
    <s v="None"/>
    <x v="3"/>
    <x v="1"/>
    <n v="24"/>
    <x v="0"/>
  </r>
  <r>
    <n v="418"/>
    <n v="53"/>
    <x v="3"/>
    <s v="Male single"/>
    <x v="1"/>
    <x v="1"/>
    <n v="2"/>
    <x v="1"/>
    <s v="Unknown"/>
    <x v="2"/>
    <n v="4"/>
    <x v="3"/>
    <s v="No"/>
    <s v="&lt;0"/>
    <x v="1"/>
    <s v="&lt;100"/>
    <x v="0"/>
    <s v="skilled"/>
    <s v="Skilled"/>
    <x v="0"/>
    <s v="1&lt;=X&lt;4"/>
    <x v="0"/>
    <s v="delayed previously"/>
    <x v="4"/>
    <n v="3"/>
    <n v="2"/>
    <n v="4870"/>
    <s v="No"/>
    <s v="None"/>
    <s v="None"/>
    <x v="3"/>
    <x v="1"/>
    <n v="24"/>
    <x v="0"/>
  </r>
  <r>
    <n v="419"/>
    <n v="42"/>
    <x v="2"/>
    <s v="Female Divorced with Dependents"/>
    <x v="0"/>
    <x v="0"/>
    <n v="1"/>
    <x v="1"/>
    <s v="Unknown"/>
    <x v="0"/>
    <n v="4"/>
    <x v="1"/>
    <s v="Yes"/>
    <s v="0&lt;=X&lt;200"/>
    <x v="0"/>
    <s v="no known savings"/>
    <x v="1"/>
    <s v="skilled"/>
    <s v="Skilled"/>
    <x v="0"/>
    <s v="&gt;=7"/>
    <x v="3"/>
    <s v="existing paid"/>
    <x v="1"/>
    <n v="2"/>
    <n v="1"/>
    <n v="5084"/>
    <s v="No"/>
    <s v="None"/>
    <s v="None"/>
    <x v="4"/>
    <x v="1"/>
    <n v="24"/>
    <x v="1"/>
  </r>
  <r>
    <n v="420"/>
    <n v="47"/>
    <x v="2"/>
    <s v="Male Married/Widowed"/>
    <x v="1"/>
    <x v="2"/>
    <n v="1"/>
    <x v="1"/>
    <s v="Unknown"/>
    <x v="2"/>
    <n v="3"/>
    <x v="3"/>
    <s v="Yes"/>
    <s v="no checking"/>
    <x v="2"/>
    <s v="&lt;100"/>
    <x v="0"/>
    <s v="skilled"/>
    <s v="Skilled"/>
    <x v="0"/>
    <s v="&lt;1"/>
    <x v="1"/>
    <s v="critical/Others existing credit"/>
    <x v="3"/>
    <n v="3"/>
    <n v="3"/>
    <n v="5103"/>
    <s v="No"/>
    <s v="None"/>
    <s v="None"/>
    <x v="4"/>
    <x v="1"/>
    <n v="24"/>
    <x v="1"/>
  </r>
  <r>
    <n v="421"/>
    <n v="33"/>
    <x v="0"/>
    <s v="Male single"/>
    <x v="1"/>
    <x v="1"/>
    <n v="1"/>
    <x v="1"/>
    <s v="Unknown"/>
    <x v="0"/>
    <n v="4"/>
    <x v="1"/>
    <s v="Yes"/>
    <s v="no checking"/>
    <x v="2"/>
    <s v="&lt;100"/>
    <x v="0"/>
    <s v="skilled"/>
    <s v="Skilled"/>
    <x v="0"/>
    <s v="&gt;=7"/>
    <x v="3"/>
    <s v="critical/Others existing credit"/>
    <x v="3"/>
    <n v="4"/>
    <n v="1"/>
    <n v="5150"/>
    <s v="No"/>
    <s v="None"/>
    <s v="None"/>
    <x v="1"/>
    <x v="1"/>
    <n v="24"/>
    <x v="1"/>
  </r>
  <r>
    <n v="422"/>
    <n v="25"/>
    <x v="1"/>
    <s v="Male single"/>
    <x v="1"/>
    <x v="1"/>
    <n v="1"/>
    <x v="1"/>
    <s v="Unknown"/>
    <x v="0"/>
    <n v="2"/>
    <x v="1"/>
    <s v="No"/>
    <s v="&gt;=200"/>
    <x v="3"/>
    <s v="&lt;100"/>
    <x v="0"/>
    <s v="skilled"/>
    <s v="Skilled"/>
    <x v="0"/>
    <s v="4&lt;=X&lt;7"/>
    <x v="2"/>
    <s v="existing paid"/>
    <x v="1"/>
    <n v="4"/>
    <n v="1"/>
    <n v="5152"/>
    <s v="No"/>
    <s v="None"/>
    <s v="Bank"/>
    <x v="4"/>
    <x v="1"/>
    <n v="24"/>
    <x v="1"/>
  </r>
  <r>
    <n v="423"/>
    <n v="26"/>
    <x v="1"/>
    <s v="Female Divorced with Dependents"/>
    <x v="0"/>
    <x v="0"/>
    <n v="1"/>
    <x v="1"/>
    <s v="Unknown"/>
    <x v="1"/>
    <n v="4"/>
    <x v="0"/>
    <s v="Yes"/>
    <s v="no checking"/>
    <x v="2"/>
    <s v="no known savings"/>
    <x v="1"/>
    <s v="high qualif/self emp/mgmt"/>
    <s v="Skilled"/>
    <x v="0"/>
    <s v="unemployed"/>
    <x v="4"/>
    <s v="existing paid"/>
    <x v="1"/>
    <n v="2"/>
    <n v="1"/>
    <n v="5433"/>
    <s v="No"/>
    <s v="None"/>
    <s v="None"/>
    <x v="2"/>
    <x v="1"/>
    <n v="24"/>
    <x v="1"/>
  </r>
  <r>
    <n v="424"/>
    <n v="44"/>
    <x v="2"/>
    <s v="Male single"/>
    <x v="1"/>
    <x v="1"/>
    <n v="1"/>
    <x v="1"/>
    <s v="Unknown"/>
    <x v="2"/>
    <n v="4"/>
    <x v="3"/>
    <s v="No"/>
    <s v="no checking"/>
    <x v="2"/>
    <s v="&lt;100"/>
    <x v="0"/>
    <s v="skilled"/>
    <s v="Skilled"/>
    <x v="0"/>
    <s v="&gt;=7"/>
    <x v="3"/>
    <s v="critical/Others existing credit"/>
    <x v="3"/>
    <n v="3"/>
    <n v="2"/>
    <n v="5507"/>
    <s v="No"/>
    <s v="None"/>
    <s v="None"/>
    <x v="6"/>
    <x v="1"/>
    <n v="24"/>
    <x v="1"/>
  </r>
  <r>
    <n v="425"/>
    <n v="25"/>
    <x v="1"/>
    <s v="Male single"/>
    <x v="1"/>
    <x v="1"/>
    <n v="1"/>
    <x v="1"/>
    <s v="Unknown"/>
    <x v="0"/>
    <n v="1"/>
    <x v="1"/>
    <s v="No"/>
    <s v="no checking"/>
    <x v="2"/>
    <s v="100&lt;=X&lt;500"/>
    <x v="3"/>
    <s v="skilled"/>
    <s v="Skilled"/>
    <x v="0"/>
    <s v="1&lt;=X&lt;4"/>
    <x v="0"/>
    <s v="existing paid"/>
    <x v="1"/>
    <n v="4"/>
    <n v="1"/>
    <n v="5511"/>
    <s v="No"/>
    <s v="None"/>
    <s v="Store"/>
    <x v="1"/>
    <x v="1"/>
    <n v="24"/>
    <x v="1"/>
  </r>
  <r>
    <n v="426"/>
    <n v="24"/>
    <x v="1"/>
    <s v="Female Divorced with Dependents"/>
    <x v="0"/>
    <x v="0"/>
    <n v="1"/>
    <x v="1"/>
    <s v="Unknown"/>
    <x v="2"/>
    <n v="4"/>
    <x v="3"/>
    <s v="Yes"/>
    <s v="0&lt;=X&lt;200"/>
    <x v="0"/>
    <s v="&lt;100"/>
    <x v="0"/>
    <s v="skilled"/>
    <s v="Skilled"/>
    <x v="0"/>
    <s v="&lt;1"/>
    <x v="1"/>
    <s v="critical/Others existing credit"/>
    <x v="3"/>
    <n v="2"/>
    <n v="2"/>
    <n v="5743"/>
    <s v="No"/>
    <s v="None"/>
    <s v="None"/>
    <x v="7"/>
    <x v="1"/>
    <n v="24"/>
    <x v="1"/>
  </r>
  <r>
    <n v="427"/>
    <n v="27"/>
    <x v="1"/>
    <s v="Male single"/>
    <x v="1"/>
    <x v="1"/>
    <n v="1"/>
    <x v="1"/>
    <s v="Unknown"/>
    <x v="0"/>
    <n v="2"/>
    <x v="2"/>
    <s v="No"/>
    <s v="no checking"/>
    <x v="2"/>
    <s v="&gt;=1000"/>
    <x v="2"/>
    <s v="skilled"/>
    <s v="Skilled"/>
    <x v="0"/>
    <s v="1&lt;=X&lt;4"/>
    <x v="0"/>
    <s v="critical/Others existing credit"/>
    <x v="3"/>
    <n v="4"/>
    <n v="2"/>
    <n v="5804"/>
    <s v="No"/>
    <s v="None"/>
    <s v="None"/>
    <x v="2"/>
    <x v="1"/>
    <n v="24"/>
    <x v="1"/>
  </r>
  <r>
    <n v="428"/>
    <n v="44"/>
    <x v="2"/>
    <s v="Female Divorced with Dependents"/>
    <x v="0"/>
    <x v="0"/>
    <n v="1"/>
    <x v="1"/>
    <s v="Unknown"/>
    <x v="0"/>
    <n v="1"/>
    <x v="1"/>
    <s v="Yes"/>
    <s v="no checking"/>
    <x v="2"/>
    <s v="no known savings"/>
    <x v="1"/>
    <s v="skilled"/>
    <s v="Skilled"/>
    <x v="0"/>
    <s v="&lt;1"/>
    <x v="1"/>
    <s v="existing paid"/>
    <x v="1"/>
    <n v="1"/>
    <n v="2"/>
    <n v="5943"/>
    <s v="No"/>
    <s v="None"/>
    <s v="None"/>
    <x v="4"/>
    <x v="1"/>
    <n v="24"/>
    <x v="0"/>
  </r>
  <r>
    <n v="429"/>
    <n v="41"/>
    <x v="2"/>
    <s v="Male single"/>
    <x v="1"/>
    <x v="1"/>
    <n v="2"/>
    <x v="1"/>
    <s v="Unknown"/>
    <x v="0"/>
    <n v="4"/>
    <x v="1"/>
    <s v="Yes"/>
    <s v="no checking"/>
    <x v="2"/>
    <s v="no known savings"/>
    <x v="1"/>
    <s v="high qualif/self emp/mgmt"/>
    <s v="Skilled"/>
    <x v="0"/>
    <s v="&gt;=7"/>
    <x v="3"/>
    <s v="existing paid"/>
    <x v="1"/>
    <n v="3"/>
    <n v="1"/>
    <n v="6313"/>
    <s v="No"/>
    <s v="None"/>
    <s v="None"/>
    <x v="2"/>
    <x v="1"/>
    <n v="24"/>
    <x v="1"/>
  </r>
  <r>
    <n v="430"/>
    <n v="27"/>
    <x v="1"/>
    <s v="Male single"/>
    <x v="1"/>
    <x v="1"/>
    <n v="1"/>
    <x v="1"/>
    <s v="Unknown"/>
    <x v="0"/>
    <n v="2"/>
    <x v="3"/>
    <s v="Yes"/>
    <s v="no checking"/>
    <x v="2"/>
    <s v="&lt;100"/>
    <x v="0"/>
    <s v="high qualif/self emp/mgmt"/>
    <s v="Skilled"/>
    <x v="0"/>
    <s v="unemployed"/>
    <x v="4"/>
    <s v="critical/Others existing credit"/>
    <x v="3"/>
    <n v="4"/>
    <n v="2"/>
    <n v="6314"/>
    <s v="co applicant"/>
    <s v="Co-applicant"/>
    <s v="Bank"/>
    <x v="0"/>
    <x v="1"/>
    <n v="24"/>
    <x v="1"/>
  </r>
  <r>
    <n v="431"/>
    <n v="33"/>
    <x v="0"/>
    <s v="Male single"/>
    <x v="1"/>
    <x v="1"/>
    <n v="1"/>
    <x v="1"/>
    <s v="Unknown"/>
    <x v="0"/>
    <n v="2"/>
    <x v="1"/>
    <s v="No"/>
    <s v="0&lt;=X&lt;200"/>
    <x v="0"/>
    <s v="&lt;100"/>
    <x v="0"/>
    <s v="skilled"/>
    <s v="Skilled"/>
    <x v="0"/>
    <s v="&lt;1"/>
    <x v="1"/>
    <s v="delayed previously"/>
    <x v="4"/>
    <n v="1"/>
    <n v="1"/>
    <n v="6403"/>
    <s v="No"/>
    <s v="None"/>
    <s v="None"/>
    <x v="4"/>
    <x v="1"/>
    <n v="24"/>
    <x v="1"/>
  </r>
  <r>
    <n v="432"/>
    <n v="44"/>
    <x v="2"/>
    <s v="Female Divorced with Dependents"/>
    <x v="0"/>
    <x v="0"/>
    <n v="2"/>
    <x v="1"/>
    <s v="Unknown"/>
    <x v="2"/>
    <n v="4"/>
    <x v="3"/>
    <s v="Yes"/>
    <s v="&lt;0"/>
    <x v="1"/>
    <s v="&lt;100"/>
    <x v="0"/>
    <s v="high qualif/self emp/mgmt"/>
    <s v="Skilled"/>
    <x v="0"/>
    <s v="&gt;=7"/>
    <x v="3"/>
    <s v="critical/Others existing credit"/>
    <x v="3"/>
    <n v="2"/>
    <n v="2"/>
    <n v="6419"/>
    <s v="No"/>
    <s v="None"/>
    <s v="None"/>
    <x v="2"/>
    <x v="1"/>
    <n v="24"/>
    <x v="1"/>
  </r>
  <r>
    <n v="433"/>
    <n v="21"/>
    <x v="1"/>
    <s v="Male Married/Widowed"/>
    <x v="1"/>
    <x v="2"/>
    <n v="1"/>
    <x v="1"/>
    <s v="Resident"/>
    <x v="0"/>
    <n v="2"/>
    <x v="1"/>
    <s v="No"/>
    <s v="&lt;0"/>
    <x v="1"/>
    <s v="&lt;100"/>
    <x v="0"/>
    <s v="unskilled resident"/>
    <s v="Unskilled"/>
    <x v="0"/>
    <s v="1&lt;=X&lt;4"/>
    <x v="0"/>
    <s v="existing paid"/>
    <x v="1"/>
    <n v="2"/>
    <n v="1"/>
    <n v="6568"/>
    <s v="No"/>
    <s v="None"/>
    <s v="Store"/>
    <x v="5"/>
    <x v="1"/>
    <n v="24"/>
    <x v="1"/>
  </r>
  <r>
    <n v="434"/>
    <n v="29"/>
    <x v="0"/>
    <s v="Male single"/>
    <x v="1"/>
    <x v="1"/>
    <n v="1"/>
    <x v="1"/>
    <s v="Unknown"/>
    <x v="2"/>
    <n v="2"/>
    <x v="3"/>
    <s v="Yes"/>
    <s v="&lt;0"/>
    <x v="1"/>
    <s v="&lt;100"/>
    <x v="0"/>
    <s v="high qualif/self emp/mgmt"/>
    <s v="Skilled"/>
    <x v="0"/>
    <s v="unemployed"/>
    <x v="4"/>
    <s v="existing paid"/>
    <x v="1"/>
    <n v="4"/>
    <n v="1"/>
    <n v="6579"/>
    <s v="No"/>
    <s v="None"/>
    <s v="None"/>
    <x v="2"/>
    <x v="1"/>
    <n v="24"/>
    <x v="1"/>
  </r>
  <r>
    <n v="435"/>
    <n v="75"/>
    <x v="4"/>
    <s v="Male single"/>
    <x v="1"/>
    <x v="1"/>
    <n v="1"/>
    <x v="1"/>
    <s v="Unknown"/>
    <x v="2"/>
    <n v="4"/>
    <x v="3"/>
    <s v="Yes"/>
    <s v="&lt;0"/>
    <x v="1"/>
    <s v="&lt;100"/>
    <x v="0"/>
    <s v="high qualif/self emp/mgmt"/>
    <s v="Skilled"/>
    <x v="0"/>
    <s v="unemployed"/>
    <x v="4"/>
    <s v="critical/Others existing credit"/>
    <x v="3"/>
    <n v="2"/>
    <n v="2"/>
    <n v="6615"/>
    <s v="No"/>
    <s v="None"/>
    <s v="None"/>
    <x v="2"/>
    <x v="1"/>
    <n v="24"/>
    <x v="1"/>
  </r>
  <r>
    <n v="436"/>
    <n v="46"/>
    <x v="2"/>
    <s v="Male single"/>
    <x v="1"/>
    <x v="1"/>
    <n v="2"/>
    <x v="1"/>
    <s v="Unknown"/>
    <x v="0"/>
    <n v="4"/>
    <x v="0"/>
    <s v="Yes"/>
    <s v="no checking"/>
    <x v="2"/>
    <s v="no known savings"/>
    <x v="1"/>
    <s v="high qualif/self emp/mgmt"/>
    <s v="Skilled"/>
    <x v="0"/>
    <s v="1&lt;=X&lt;4"/>
    <x v="0"/>
    <s v="critical/Others existing credit"/>
    <x v="3"/>
    <n v="2"/>
    <n v="2"/>
    <n v="6842"/>
    <s v="No"/>
    <s v="None"/>
    <s v="None"/>
    <x v="2"/>
    <x v="1"/>
    <n v="24"/>
    <x v="1"/>
  </r>
  <r>
    <n v="437"/>
    <n v="55"/>
    <x v="3"/>
    <s v="Male Divorced/Seperated"/>
    <x v="1"/>
    <x v="3"/>
    <n v="1"/>
    <x v="1"/>
    <s v="Unknown"/>
    <x v="0"/>
    <n v="1"/>
    <x v="0"/>
    <s v="Yes"/>
    <s v="&lt;0"/>
    <x v="1"/>
    <s v="&lt;100"/>
    <x v="0"/>
    <s v="skilled"/>
    <s v="Skilled"/>
    <x v="0"/>
    <s v="&lt;1"/>
    <x v="1"/>
    <s v="all paid"/>
    <x v="2"/>
    <n v="2"/>
    <n v="1"/>
    <n v="6872"/>
    <s v="No"/>
    <s v="None"/>
    <s v="Bank"/>
    <x v="1"/>
    <x v="1"/>
    <n v="24"/>
    <x v="0"/>
  </r>
  <r>
    <n v="438"/>
    <n v="36"/>
    <x v="0"/>
    <s v="Male single"/>
    <x v="1"/>
    <x v="1"/>
    <n v="1"/>
    <x v="1"/>
    <s v="Unknown"/>
    <x v="1"/>
    <n v="4"/>
    <x v="1"/>
    <s v="Yes"/>
    <s v="0&lt;=X&lt;200"/>
    <x v="0"/>
    <s v="100&lt;=X&lt;500"/>
    <x v="3"/>
    <s v="high qualif/self emp/mgmt"/>
    <s v="Skilled"/>
    <x v="0"/>
    <s v="4&lt;=X&lt;7"/>
    <x v="2"/>
    <s v="delayed previously"/>
    <x v="4"/>
    <n v="4"/>
    <n v="1"/>
    <n v="6967"/>
    <s v="No"/>
    <s v="None"/>
    <s v="None"/>
    <x v="5"/>
    <x v="1"/>
    <n v="24"/>
    <x v="1"/>
  </r>
  <r>
    <n v="439"/>
    <n v="43"/>
    <x v="2"/>
    <s v="Male single"/>
    <x v="1"/>
    <x v="1"/>
    <n v="2"/>
    <x v="1"/>
    <s v="Resident"/>
    <x v="0"/>
    <n v="4"/>
    <x v="0"/>
    <s v="No"/>
    <s v="no checking"/>
    <x v="2"/>
    <s v="&lt;100"/>
    <x v="0"/>
    <s v="unskilled resident"/>
    <s v="Unskilled"/>
    <x v="0"/>
    <s v="1&lt;=X&lt;4"/>
    <x v="0"/>
    <s v="existing paid"/>
    <x v="1"/>
    <n v="1"/>
    <n v="1"/>
    <n v="7393"/>
    <s v="No"/>
    <s v="None"/>
    <s v="None"/>
    <x v="3"/>
    <x v="1"/>
    <n v="24"/>
    <x v="1"/>
  </r>
  <r>
    <n v="440"/>
    <n v="29"/>
    <x v="0"/>
    <s v="Female Divorced with Dependents"/>
    <x v="0"/>
    <x v="0"/>
    <n v="1"/>
    <x v="1"/>
    <s v="Unknown"/>
    <x v="1"/>
    <n v="4"/>
    <x v="3"/>
    <s v="No"/>
    <s v="0&lt;=X&lt;200"/>
    <x v="0"/>
    <s v="&gt;=1000"/>
    <x v="2"/>
    <s v="skilled"/>
    <s v="Skilled"/>
    <x v="0"/>
    <s v="&gt;=7"/>
    <x v="3"/>
    <s v="critical/Others existing credit"/>
    <x v="3"/>
    <n v="2"/>
    <n v="1"/>
    <n v="7758"/>
    <s v="No"/>
    <s v="None"/>
    <s v="None"/>
    <x v="2"/>
    <x v="1"/>
    <n v="24"/>
    <x v="1"/>
  </r>
  <r>
    <n v="441"/>
    <n v="38"/>
    <x v="0"/>
    <s v="Male single"/>
    <x v="1"/>
    <x v="1"/>
    <n v="1"/>
    <x v="1"/>
    <s v="Unknown"/>
    <x v="0"/>
    <n v="3"/>
    <x v="1"/>
    <s v="Yes"/>
    <s v="no checking"/>
    <x v="2"/>
    <s v="&lt;100"/>
    <x v="0"/>
    <s v="high qualif/self emp/mgmt"/>
    <s v="Skilled"/>
    <x v="0"/>
    <s v="4&lt;=X&lt;7"/>
    <x v="2"/>
    <s v="existing paid"/>
    <x v="1"/>
    <n v="3"/>
    <n v="1"/>
    <n v="7814"/>
    <s v="No"/>
    <s v="None"/>
    <s v="None"/>
    <x v="2"/>
    <x v="1"/>
    <n v="24"/>
    <x v="1"/>
  </r>
  <r>
    <n v="442"/>
    <n v="27"/>
    <x v="1"/>
    <s v="Male single"/>
    <x v="1"/>
    <x v="1"/>
    <n v="1"/>
    <x v="1"/>
    <s v="Unknown"/>
    <x v="0"/>
    <n v="2"/>
    <x v="1"/>
    <s v="Yes"/>
    <s v="no checking"/>
    <x v="2"/>
    <s v="&lt;100"/>
    <x v="0"/>
    <s v="skilled"/>
    <s v="Skilled"/>
    <x v="0"/>
    <s v="&lt;1"/>
    <x v="1"/>
    <s v="delayed previously"/>
    <x v="4"/>
    <n v="2"/>
    <n v="2"/>
    <n v="8648"/>
    <s v="No"/>
    <s v="None"/>
    <s v="Bank"/>
    <x v="5"/>
    <x v="1"/>
    <n v="24"/>
    <x v="0"/>
  </r>
  <r>
    <n v="443"/>
    <n v="48"/>
    <x v="2"/>
    <s v="Male Divorced/Seperated"/>
    <x v="1"/>
    <x v="3"/>
    <n v="1"/>
    <x v="1"/>
    <s v="Unknown"/>
    <x v="2"/>
    <n v="4"/>
    <x v="3"/>
    <s v="Yes"/>
    <s v="no checking"/>
    <x v="2"/>
    <s v="no known savings"/>
    <x v="1"/>
    <s v="skilled"/>
    <s v="Skilled"/>
    <x v="0"/>
    <s v="1&lt;=X&lt;4"/>
    <x v="0"/>
    <s v="existing paid"/>
    <x v="1"/>
    <n v="2"/>
    <n v="1"/>
    <n v="9277"/>
    <s v="No"/>
    <s v="None"/>
    <s v="None"/>
    <x v="2"/>
    <x v="1"/>
    <n v="24"/>
    <x v="1"/>
  </r>
  <r>
    <n v="444"/>
    <n v="29"/>
    <x v="0"/>
    <s v="Male single"/>
    <x v="1"/>
    <x v="1"/>
    <n v="1"/>
    <x v="1"/>
    <s v="Unknown"/>
    <x v="0"/>
    <n v="3"/>
    <x v="1"/>
    <s v="Yes"/>
    <s v="0&lt;=X&lt;200"/>
    <x v="0"/>
    <s v="&lt;100"/>
    <x v="0"/>
    <s v="high qualif/self emp/mgmt"/>
    <s v="Skilled"/>
    <x v="0"/>
    <s v="1&lt;=X&lt;4"/>
    <x v="0"/>
    <s v="existing paid"/>
    <x v="1"/>
    <n v="2"/>
    <n v="2"/>
    <n v="11328"/>
    <s v="co applicant"/>
    <s v="Co-applicant"/>
    <s v="Bank"/>
    <x v="0"/>
    <x v="1"/>
    <n v="24"/>
    <x v="0"/>
  </r>
  <r>
    <n v="445"/>
    <n v="23"/>
    <x v="1"/>
    <s v="Female Divorced with Dependents"/>
    <x v="0"/>
    <x v="0"/>
    <n v="1"/>
    <x v="1"/>
    <s v="Unknown"/>
    <x v="1"/>
    <n v="4"/>
    <x v="1"/>
    <s v="No"/>
    <s v="0&lt;=X&lt;200"/>
    <x v="0"/>
    <s v="&lt;100"/>
    <x v="0"/>
    <s v="high qualif/self emp/mgmt"/>
    <s v="Skilled"/>
    <x v="0"/>
    <s v="1&lt;=X&lt;4"/>
    <x v="0"/>
    <s v="existing paid"/>
    <x v="1"/>
    <n v="1"/>
    <n v="2"/>
    <n v="11560"/>
    <s v="No"/>
    <s v="None"/>
    <s v="None"/>
    <x v="2"/>
    <x v="1"/>
    <n v="24"/>
    <x v="0"/>
  </r>
  <r>
    <n v="446"/>
    <n v="39"/>
    <x v="2"/>
    <s v="Male single"/>
    <x v="1"/>
    <x v="1"/>
    <n v="2"/>
    <x v="1"/>
    <s v="Unknown"/>
    <x v="0"/>
    <n v="3"/>
    <x v="1"/>
    <s v="Yes"/>
    <s v="0&lt;=X&lt;200"/>
    <x v="0"/>
    <s v="&lt;100"/>
    <x v="0"/>
    <s v="high qualif/self emp/mgmt"/>
    <s v="Skilled"/>
    <x v="0"/>
    <s v="1&lt;=X&lt;4"/>
    <x v="0"/>
    <s v="critical/Others existing credit"/>
    <x v="3"/>
    <n v="2"/>
    <n v="2"/>
    <n v="11938"/>
    <s v="co applicant"/>
    <s v="Co-applicant"/>
    <s v="None"/>
    <x v="0"/>
    <x v="1"/>
    <n v="24"/>
    <x v="0"/>
  </r>
  <r>
    <n v="447"/>
    <n v="44"/>
    <x v="2"/>
    <s v="Female Divorced with Dependents"/>
    <x v="0"/>
    <x v="0"/>
    <n v="1"/>
    <x v="1"/>
    <s v="Unknown"/>
    <x v="2"/>
    <n v="2"/>
    <x v="3"/>
    <s v="Yes"/>
    <s v="0&lt;=X&lt;200"/>
    <x v="0"/>
    <s v="&lt;100"/>
    <x v="0"/>
    <s v="high qualif/self emp/mgmt"/>
    <s v="Skilled"/>
    <x v="0"/>
    <s v="&gt;=7"/>
    <x v="3"/>
    <s v="existing paid"/>
    <x v="1"/>
    <n v="4"/>
    <n v="1"/>
    <n v="12579"/>
    <s v="No"/>
    <s v="None"/>
    <s v="None"/>
    <x v="2"/>
    <x v="1"/>
    <n v="24"/>
    <x v="0"/>
  </r>
  <r>
    <n v="448"/>
    <n v="25"/>
    <x v="1"/>
    <s v="Female Divorced with Dependents"/>
    <x v="0"/>
    <x v="0"/>
    <n v="1"/>
    <x v="1"/>
    <s v="Unknown"/>
    <x v="1"/>
    <n v="4"/>
    <x v="0"/>
    <s v="No"/>
    <s v="no checking"/>
    <x v="2"/>
    <s v="no known savings"/>
    <x v="1"/>
    <s v="skilled"/>
    <s v="Skilled"/>
    <x v="0"/>
    <s v="4&lt;=X&lt;7"/>
    <x v="2"/>
    <s v="existing paid"/>
    <x v="1"/>
    <n v="4"/>
    <n v="1"/>
    <n v="1283"/>
    <s v="No"/>
    <s v="None"/>
    <s v="None"/>
    <x v="3"/>
    <x v="1"/>
    <n v="22"/>
    <x v="1"/>
  </r>
  <r>
    <n v="449"/>
    <n v="40"/>
    <x v="2"/>
    <s v="Male single"/>
    <x v="1"/>
    <x v="1"/>
    <n v="1"/>
    <x v="1"/>
    <s v="Unknown"/>
    <x v="0"/>
    <n v="4"/>
    <x v="1"/>
    <s v="No"/>
    <s v="no checking"/>
    <x v="2"/>
    <s v="500&lt;=X&lt;1000"/>
    <x v="4"/>
    <s v="skilled"/>
    <s v="Skilled"/>
    <x v="0"/>
    <s v="&gt;=7"/>
    <x v="3"/>
    <s v="existing paid"/>
    <x v="1"/>
    <n v="3"/>
    <n v="1"/>
    <n v="2675"/>
    <s v="No"/>
    <s v="None"/>
    <s v="None"/>
    <x v="4"/>
    <x v="1"/>
    <n v="22"/>
    <x v="1"/>
  </r>
  <r>
    <n v="450"/>
    <n v="65"/>
    <x v="5"/>
    <s v="Male single"/>
    <x v="1"/>
    <x v="1"/>
    <n v="1"/>
    <x v="1"/>
    <s v="Unknown"/>
    <x v="0"/>
    <n v="4"/>
    <x v="2"/>
    <s v="No"/>
    <s v="&lt;0"/>
    <x v="1"/>
    <s v="&lt;100"/>
    <x v="0"/>
    <s v="skilled"/>
    <s v="Skilled"/>
    <x v="0"/>
    <s v="&gt;=7"/>
    <x v="3"/>
    <s v="critical/Others existing credit"/>
    <x v="3"/>
    <n v="4"/>
    <n v="2"/>
    <n v="571"/>
    <s v="No"/>
    <s v="None"/>
    <s v="None"/>
    <x v="3"/>
    <x v="1"/>
    <n v="21"/>
    <x v="1"/>
  </r>
  <r>
    <n v="451"/>
    <n v="39"/>
    <x v="2"/>
    <s v="Female Divorced with Dependents"/>
    <x v="0"/>
    <x v="0"/>
    <n v="2"/>
    <x v="1"/>
    <s v="Unknown"/>
    <x v="0"/>
    <n v="4"/>
    <x v="0"/>
    <s v="No"/>
    <s v="0&lt;=X&lt;200"/>
    <x v="0"/>
    <s v="&lt;100"/>
    <x v="0"/>
    <s v="skilled"/>
    <s v="Skilled"/>
    <x v="0"/>
    <s v="&gt;=7"/>
    <x v="3"/>
    <s v="existing paid"/>
    <x v="1"/>
    <n v="2"/>
    <n v="1"/>
    <n v="1188"/>
    <s v="No"/>
    <s v="None"/>
    <s v="None"/>
    <x v="5"/>
    <x v="1"/>
    <n v="21"/>
    <x v="0"/>
  </r>
  <r>
    <n v="452"/>
    <n v="36"/>
    <x v="0"/>
    <s v="Female Divorced with Dependents"/>
    <x v="0"/>
    <x v="0"/>
    <n v="1"/>
    <x v="1"/>
    <s v="Resident"/>
    <x v="0"/>
    <n v="4"/>
    <x v="2"/>
    <s v="No"/>
    <s v="no checking"/>
    <x v="2"/>
    <s v="&gt;=1000"/>
    <x v="2"/>
    <s v="unskilled resident"/>
    <s v="Unskilled"/>
    <x v="0"/>
    <s v="&gt;=7"/>
    <x v="3"/>
    <s v="existing paid"/>
    <x v="1"/>
    <n v="4"/>
    <n v="1"/>
    <n v="1572"/>
    <s v="No"/>
    <s v="None"/>
    <s v="Bank"/>
    <x v="5"/>
    <x v="1"/>
    <n v="21"/>
    <x v="1"/>
  </r>
  <r>
    <n v="453"/>
    <n v="34"/>
    <x v="0"/>
    <s v="Male single"/>
    <x v="1"/>
    <x v="1"/>
    <n v="1"/>
    <x v="1"/>
    <s v="Unknown"/>
    <x v="0"/>
    <n v="3"/>
    <x v="2"/>
    <s v="No"/>
    <s v="no checking"/>
    <x v="2"/>
    <s v="100&lt;=X&lt;500"/>
    <x v="3"/>
    <s v="high qualif/self emp/mgmt"/>
    <s v="Skilled"/>
    <x v="0"/>
    <s v="4&lt;=X&lt;7"/>
    <x v="2"/>
    <s v="delayed previously"/>
    <x v="4"/>
    <n v="4"/>
    <n v="2"/>
    <n v="1591"/>
    <s v="No"/>
    <s v="None"/>
    <s v="None"/>
    <x v="1"/>
    <x v="1"/>
    <n v="21"/>
    <x v="1"/>
  </r>
  <r>
    <n v="454"/>
    <n v="30"/>
    <x v="0"/>
    <s v="Male Married/Widowed"/>
    <x v="1"/>
    <x v="2"/>
    <n v="1"/>
    <x v="1"/>
    <s v="Unknown"/>
    <x v="0"/>
    <n v="3"/>
    <x v="1"/>
    <s v="Yes"/>
    <s v="&lt;0"/>
    <x v="1"/>
    <s v="&lt;100"/>
    <x v="0"/>
    <s v="skilled"/>
    <s v="Skilled"/>
    <x v="0"/>
    <s v="&gt;=7"/>
    <x v="3"/>
    <s v="critical/Others existing credit"/>
    <x v="3"/>
    <n v="4"/>
    <n v="2"/>
    <n v="1602"/>
    <s v="No"/>
    <s v="None"/>
    <s v="None"/>
    <x v="3"/>
    <x v="1"/>
    <n v="21"/>
    <x v="1"/>
  </r>
  <r>
    <n v="455"/>
    <n v="40"/>
    <x v="2"/>
    <s v="Male single"/>
    <x v="1"/>
    <x v="1"/>
    <n v="2"/>
    <x v="1"/>
    <s v="Resident"/>
    <x v="0"/>
    <n v="2"/>
    <x v="0"/>
    <s v="No"/>
    <s v="&lt;0"/>
    <x v="1"/>
    <s v="no known savings"/>
    <x v="1"/>
    <s v="unskilled resident"/>
    <s v="Unskilled"/>
    <x v="0"/>
    <s v="1&lt;=X&lt;4"/>
    <x v="0"/>
    <s v="all paid"/>
    <x v="2"/>
    <n v="4"/>
    <n v="2"/>
    <n v="1647"/>
    <s v="No"/>
    <s v="None"/>
    <s v="None"/>
    <x v="3"/>
    <x v="1"/>
    <n v="21"/>
    <x v="0"/>
  </r>
  <r>
    <n v="456"/>
    <n v="25"/>
    <x v="1"/>
    <s v="Female Divorced with Dependents"/>
    <x v="0"/>
    <x v="0"/>
    <n v="1"/>
    <x v="1"/>
    <s v="Unknown"/>
    <x v="0"/>
    <n v="2"/>
    <x v="2"/>
    <s v="Yes"/>
    <s v="&lt;0"/>
    <x v="1"/>
    <s v="&lt;100"/>
    <x v="0"/>
    <s v="skilled"/>
    <s v="Skilled"/>
    <x v="0"/>
    <s v="1&lt;=X&lt;4"/>
    <x v="0"/>
    <s v="existing paid"/>
    <x v="1"/>
    <n v="3"/>
    <n v="2"/>
    <n v="1835"/>
    <s v="No"/>
    <s v="None"/>
    <s v="None"/>
    <x v="4"/>
    <x v="1"/>
    <n v="21"/>
    <x v="0"/>
  </r>
  <r>
    <n v="457"/>
    <n v="50"/>
    <x v="3"/>
    <s v="Male single"/>
    <x v="1"/>
    <x v="1"/>
    <n v="1"/>
    <x v="1"/>
    <s v="Unknown"/>
    <x v="0"/>
    <n v="2"/>
    <x v="2"/>
    <s v="No"/>
    <s v="no checking"/>
    <x v="2"/>
    <s v="&lt;100"/>
    <x v="0"/>
    <s v="skilled"/>
    <s v="Skilled"/>
    <x v="0"/>
    <s v="&gt;=7"/>
    <x v="3"/>
    <s v="existing paid"/>
    <x v="1"/>
    <n v="4"/>
    <n v="2"/>
    <n v="2241"/>
    <s v="No"/>
    <s v="None"/>
    <s v="None"/>
    <x v="1"/>
    <x v="1"/>
    <n v="21"/>
    <x v="1"/>
  </r>
  <r>
    <n v="458"/>
    <n v="23"/>
    <x v="1"/>
    <s v="Female Divorced with Dependents"/>
    <x v="0"/>
    <x v="0"/>
    <n v="1"/>
    <x v="1"/>
    <s v="Unknown"/>
    <x v="0"/>
    <n v="4"/>
    <x v="0"/>
    <s v="Yes"/>
    <s v="no checking"/>
    <x v="2"/>
    <s v="&lt;100"/>
    <x v="0"/>
    <s v="skilled"/>
    <s v="Skilled"/>
    <x v="0"/>
    <s v="&lt;1"/>
    <x v="1"/>
    <s v="critical/Others existing credit"/>
    <x v="3"/>
    <n v="4"/>
    <n v="1"/>
    <n v="2288"/>
    <s v="No"/>
    <s v="None"/>
    <s v="None"/>
    <x v="1"/>
    <x v="1"/>
    <n v="21"/>
    <x v="1"/>
  </r>
  <r>
    <n v="459"/>
    <n v="33"/>
    <x v="0"/>
    <s v="Male Divorced/Seperated"/>
    <x v="1"/>
    <x v="3"/>
    <n v="1"/>
    <x v="1"/>
    <s v="Unknown"/>
    <x v="1"/>
    <n v="1"/>
    <x v="1"/>
    <s v="No"/>
    <s v="&gt;=200"/>
    <x v="3"/>
    <s v="&lt;100"/>
    <x v="0"/>
    <s v="skilled"/>
    <s v="Skilled"/>
    <x v="0"/>
    <s v="&lt;1"/>
    <x v="1"/>
    <s v="critical/Others existing credit"/>
    <x v="3"/>
    <n v="2"/>
    <n v="1"/>
    <n v="2319"/>
    <s v="No"/>
    <s v="None"/>
    <s v="None"/>
    <x v="7"/>
    <x v="1"/>
    <n v="21"/>
    <x v="0"/>
  </r>
  <r>
    <n v="460"/>
    <n v="47"/>
    <x v="2"/>
    <s v="Male Divorced/Seperated"/>
    <x v="1"/>
    <x v="3"/>
    <n v="1"/>
    <x v="1"/>
    <s v="Unknown"/>
    <x v="0"/>
    <n v="4"/>
    <x v="0"/>
    <s v="No"/>
    <s v="0&lt;=X&lt;200"/>
    <x v="0"/>
    <s v="&lt;100"/>
    <x v="0"/>
    <s v="skilled"/>
    <s v="Skilled"/>
    <x v="0"/>
    <s v="1&lt;=X&lt;4"/>
    <x v="0"/>
    <s v="delayed previously"/>
    <x v="4"/>
    <n v="1"/>
    <n v="2"/>
    <n v="2353"/>
    <s v="No"/>
    <s v="None"/>
    <s v="None"/>
    <x v="3"/>
    <x v="1"/>
    <n v="21"/>
    <x v="1"/>
  </r>
  <r>
    <n v="461"/>
    <n v="46"/>
    <x v="2"/>
    <s v="Male single"/>
    <x v="1"/>
    <x v="1"/>
    <n v="1"/>
    <x v="1"/>
    <s v="Unknown"/>
    <x v="0"/>
    <n v="4"/>
    <x v="2"/>
    <s v="Yes"/>
    <s v="no checking"/>
    <x v="2"/>
    <s v="no known savings"/>
    <x v="1"/>
    <s v="high qualif/self emp/mgmt"/>
    <s v="Skilled"/>
    <x v="0"/>
    <s v="&gt;=7"/>
    <x v="3"/>
    <s v="existing paid"/>
    <x v="1"/>
    <n v="4"/>
    <n v="1"/>
    <n v="2476"/>
    <s v="No"/>
    <s v="None"/>
    <s v="None"/>
    <x v="2"/>
    <x v="1"/>
    <n v="21"/>
    <x v="1"/>
  </r>
  <r>
    <n v="462"/>
    <n v="41"/>
    <x v="2"/>
    <s v="Male single"/>
    <x v="1"/>
    <x v="1"/>
    <n v="2"/>
    <x v="1"/>
    <s v="Resident"/>
    <x v="0"/>
    <n v="2"/>
    <x v="2"/>
    <s v="No"/>
    <s v="no checking"/>
    <x v="2"/>
    <s v="500&lt;=X&lt;1000"/>
    <x v="4"/>
    <s v="unskilled resident"/>
    <s v="Unskilled"/>
    <x v="0"/>
    <s v="&lt;1"/>
    <x v="1"/>
    <s v="delayed previously"/>
    <x v="4"/>
    <n v="4"/>
    <n v="1"/>
    <n v="2580"/>
    <s v="No"/>
    <s v="None"/>
    <s v="Bank"/>
    <x v="5"/>
    <x v="1"/>
    <n v="21"/>
    <x v="0"/>
  </r>
  <r>
    <n v="463"/>
    <n v="28"/>
    <x v="1"/>
    <s v="Female Divorced with Dependents"/>
    <x v="0"/>
    <x v="0"/>
    <n v="1"/>
    <x v="1"/>
    <s v="Unknown"/>
    <x v="1"/>
    <n v="4"/>
    <x v="0"/>
    <s v="Yes"/>
    <s v="&lt;0"/>
    <x v="1"/>
    <s v="&lt;100"/>
    <x v="0"/>
    <s v="high qualif/self emp/mgmt"/>
    <s v="Skilled"/>
    <x v="0"/>
    <s v="&lt;1"/>
    <x v="1"/>
    <s v="existing paid"/>
    <x v="1"/>
    <n v="4"/>
    <n v="1"/>
    <n v="2606"/>
    <s v="No"/>
    <s v="None"/>
    <s v="None"/>
    <x v="4"/>
    <x v="1"/>
    <n v="21"/>
    <x v="1"/>
  </r>
  <r>
    <n v="464"/>
    <n v="32"/>
    <x v="0"/>
    <s v="Male single"/>
    <x v="1"/>
    <x v="1"/>
    <n v="1"/>
    <x v="1"/>
    <s v="Unknown"/>
    <x v="0"/>
    <n v="2"/>
    <x v="1"/>
    <s v="Yes"/>
    <s v="0&lt;=X&lt;200"/>
    <x v="0"/>
    <s v="&gt;=1000"/>
    <x v="2"/>
    <s v="skilled"/>
    <s v="Skilled"/>
    <x v="0"/>
    <s v="4&lt;=X&lt;7"/>
    <x v="2"/>
    <s v="critical/Others existing credit"/>
    <x v="3"/>
    <n v="3"/>
    <n v="2"/>
    <n v="2745"/>
    <s v="No"/>
    <s v="None"/>
    <s v="None"/>
    <x v="1"/>
    <x v="1"/>
    <n v="21"/>
    <x v="1"/>
  </r>
  <r>
    <n v="465"/>
    <n v="61"/>
    <x v="5"/>
    <s v="Male Divorced/Seperated"/>
    <x v="1"/>
    <x v="3"/>
    <n v="1"/>
    <x v="1"/>
    <s v="Resident"/>
    <x v="1"/>
    <n v="2"/>
    <x v="1"/>
    <s v="No"/>
    <s v="0&lt;=X&lt;200"/>
    <x v="0"/>
    <s v="100&lt;=X&lt;500"/>
    <x v="3"/>
    <s v="unskilled resident"/>
    <s v="Unskilled"/>
    <x v="0"/>
    <s v="&gt;=7"/>
    <x v="3"/>
    <s v="existing paid"/>
    <x v="1"/>
    <n v="4"/>
    <n v="2"/>
    <n v="2767"/>
    <s v="No"/>
    <s v="None"/>
    <s v="Bank"/>
    <x v="5"/>
    <x v="1"/>
    <n v="21"/>
    <x v="0"/>
  </r>
  <r>
    <n v="466"/>
    <n v="31"/>
    <x v="0"/>
    <s v="Female Divorced with Dependents"/>
    <x v="0"/>
    <x v="0"/>
    <n v="1"/>
    <x v="1"/>
    <s v="Unknown"/>
    <x v="0"/>
    <n v="2"/>
    <x v="1"/>
    <s v="No"/>
    <s v="no checking"/>
    <x v="2"/>
    <s v="500&lt;=X&lt;1000"/>
    <x v="4"/>
    <s v="high qualif/self emp/mgmt"/>
    <s v="Skilled"/>
    <x v="0"/>
    <s v="4&lt;=X&lt;7"/>
    <x v="2"/>
    <s v="existing paid"/>
    <x v="1"/>
    <n v="1"/>
    <n v="1"/>
    <n v="2782"/>
    <s v="No"/>
    <s v="None"/>
    <s v="Bank"/>
    <x v="3"/>
    <x v="1"/>
    <n v="21"/>
    <x v="1"/>
  </r>
  <r>
    <n v="467"/>
    <n v="28"/>
    <x v="1"/>
    <s v="Female Divorced with Dependents"/>
    <x v="0"/>
    <x v="0"/>
    <n v="1"/>
    <x v="1"/>
    <s v="Unknown"/>
    <x v="0"/>
    <n v="1"/>
    <x v="1"/>
    <s v="Yes"/>
    <s v="&gt;=200"/>
    <x v="3"/>
    <s v="100&lt;=X&lt;500"/>
    <x v="3"/>
    <s v="high qualif/self emp/mgmt"/>
    <s v="Skilled"/>
    <x v="0"/>
    <s v="1&lt;=X&lt;4"/>
    <x v="0"/>
    <s v="existing paid"/>
    <x v="1"/>
    <n v="1"/>
    <n v="1"/>
    <n v="2923"/>
    <s v="No"/>
    <s v="None"/>
    <s v="Bank"/>
    <x v="3"/>
    <x v="1"/>
    <n v="21"/>
    <x v="1"/>
  </r>
  <r>
    <n v="468"/>
    <n v="28"/>
    <x v="1"/>
    <s v="Male single"/>
    <x v="1"/>
    <x v="1"/>
    <n v="1"/>
    <x v="1"/>
    <s v="Resident"/>
    <x v="0"/>
    <n v="2"/>
    <x v="2"/>
    <s v="No"/>
    <s v="no checking"/>
    <x v="2"/>
    <s v="&lt;100"/>
    <x v="0"/>
    <s v="unskilled resident"/>
    <s v="Unskilled"/>
    <x v="0"/>
    <s v="1&lt;=X&lt;4"/>
    <x v="0"/>
    <s v="delayed previously"/>
    <x v="4"/>
    <n v="3"/>
    <n v="2"/>
    <n v="2993"/>
    <s v="No"/>
    <s v="None"/>
    <s v="Store"/>
    <x v="2"/>
    <x v="1"/>
    <n v="21"/>
    <x v="1"/>
  </r>
  <r>
    <n v="469"/>
    <n v="41"/>
    <x v="2"/>
    <s v="Male single"/>
    <x v="1"/>
    <x v="1"/>
    <n v="1"/>
    <x v="1"/>
    <s v="Unknown"/>
    <x v="0"/>
    <n v="3"/>
    <x v="0"/>
    <s v="Yes"/>
    <s v="no checking"/>
    <x v="2"/>
    <s v="no known savings"/>
    <x v="1"/>
    <s v="skilled"/>
    <s v="Skilled"/>
    <x v="0"/>
    <s v="&gt;=7"/>
    <x v="3"/>
    <s v="existing paid"/>
    <x v="1"/>
    <n v="4"/>
    <n v="1"/>
    <n v="3160"/>
    <s v="No"/>
    <s v="None"/>
    <s v="None"/>
    <x v="4"/>
    <x v="1"/>
    <n v="21"/>
    <x v="1"/>
  </r>
  <r>
    <n v="470"/>
    <n v="36"/>
    <x v="0"/>
    <s v="Male single"/>
    <x v="1"/>
    <x v="1"/>
    <n v="1"/>
    <x v="1"/>
    <s v="Unknown"/>
    <x v="0"/>
    <n v="4"/>
    <x v="1"/>
    <s v="Yes"/>
    <s v="no checking"/>
    <x v="2"/>
    <s v="&lt;100"/>
    <x v="0"/>
    <s v="high qualif/self emp/mgmt"/>
    <s v="Skilled"/>
    <x v="0"/>
    <s v="&gt;=7"/>
    <x v="3"/>
    <s v="critical/Others existing credit"/>
    <x v="3"/>
    <n v="1"/>
    <n v="1"/>
    <n v="3275"/>
    <s v="No"/>
    <s v="None"/>
    <s v="None"/>
    <x v="2"/>
    <x v="1"/>
    <n v="21"/>
    <x v="1"/>
  </r>
  <r>
    <n v="471"/>
    <n v="29"/>
    <x v="0"/>
    <s v="Female Divorced with Dependents"/>
    <x v="0"/>
    <x v="0"/>
    <n v="1"/>
    <x v="1"/>
    <s v="Unknown"/>
    <x v="0"/>
    <n v="2"/>
    <x v="1"/>
    <s v="No"/>
    <s v="&lt;0"/>
    <x v="1"/>
    <s v="&gt;=1000"/>
    <x v="2"/>
    <s v="skilled"/>
    <s v="Skilled"/>
    <x v="0"/>
    <s v="&lt;1"/>
    <x v="1"/>
    <s v="existing paid"/>
    <x v="1"/>
    <n v="4"/>
    <n v="1"/>
    <n v="3357"/>
    <s v="No"/>
    <s v="None"/>
    <s v="Bank"/>
    <x v="4"/>
    <x v="1"/>
    <n v="21"/>
    <x v="1"/>
  </r>
  <r>
    <n v="472"/>
    <n v="26"/>
    <x v="1"/>
    <s v="Male single"/>
    <x v="1"/>
    <x v="1"/>
    <n v="1"/>
    <x v="1"/>
    <s v="Unknown"/>
    <x v="0"/>
    <n v="1"/>
    <x v="0"/>
    <s v="No"/>
    <s v="&lt;0"/>
    <x v="1"/>
    <s v="&lt;100"/>
    <x v="0"/>
    <s v="skilled"/>
    <s v="Skilled"/>
    <x v="0"/>
    <s v="&lt;1"/>
    <x v="1"/>
    <s v="delayed previously"/>
    <x v="4"/>
    <n v="2"/>
    <n v="2"/>
    <n v="3414"/>
    <s v="No"/>
    <s v="None"/>
    <s v="None"/>
    <x v="7"/>
    <x v="1"/>
    <n v="21"/>
    <x v="0"/>
  </r>
  <r>
    <n v="473"/>
    <n v="26"/>
    <x v="1"/>
    <s v="Female Divorced with Dependents"/>
    <x v="0"/>
    <x v="0"/>
    <n v="1"/>
    <x v="1"/>
    <s v="Resident"/>
    <x v="1"/>
    <n v="4"/>
    <x v="1"/>
    <s v="No"/>
    <s v="&lt;0"/>
    <x v="1"/>
    <s v="&lt;100"/>
    <x v="0"/>
    <s v="unskilled resident"/>
    <s v="Unskilled"/>
    <x v="0"/>
    <s v="4&lt;=X&lt;7"/>
    <x v="2"/>
    <s v="existing paid"/>
    <x v="1"/>
    <n v="1"/>
    <n v="1"/>
    <n v="3599"/>
    <s v="No"/>
    <s v="None"/>
    <s v="None"/>
    <x v="1"/>
    <x v="1"/>
    <n v="21"/>
    <x v="1"/>
  </r>
  <r>
    <n v="474"/>
    <n v="27"/>
    <x v="1"/>
    <s v="Male single"/>
    <x v="1"/>
    <x v="1"/>
    <n v="1"/>
    <x v="1"/>
    <s v="Unknown"/>
    <x v="0"/>
    <n v="3"/>
    <x v="0"/>
    <s v="No"/>
    <s v="0&lt;=X&lt;200"/>
    <x v="0"/>
    <s v="&lt;100"/>
    <x v="0"/>
    <s v="skilled"/>
    <s v="Skilled"/>
    <x v="0"/>
    <s v="4&lt;=X&lt;7"/>
    <x v="2"/>
    <s v="critical/Others existing credit"/>
    <x v="3"/>
    <n v="2"/>
    <n v="2"/>
    <n v="3652"/>
    <s v="No"/>
    <s v="None"/>
    <s v="None"/>
    <x v="5"/>
    <x v="1"/>
    <n v="21"/>
    <x v="1"/>
  </r>
  <r>
    <n v="475"/>
    <n v="35"/>
    <x v="0"/>
    <s v="Male single"/>
    <x v="1"/>
    <x v="1"/>
    <n v="1"/>
    <x v="1"/>
    <s v="Unknown"/>
    <x v="0"/>
    <n v="3"/>
    <x v="1"/>
    <s v="Yes"/>
    <s v="0&lt;=X&lt;200"/>
    <x v="0"/>
    <s v="no known savings"/>
    <x v="1"/>
    <s v="skilled"/>
    <s v="Skilled"/>
    <x v="0"/>
    <s v="4&lt;=X&lt;7"/>
    <x v="2"/>
    <s v="existing paid"/>
    <x v="1"/>
    <n v="2"/>
    <n v="1"/>
    <n v="3976"/>
    <s v="No"/>
    <s v="None"/>
    <s v="None"/>
    <x v="1"/>
    <x v="1"/>
    <n v="21"/>
    <x v="1"/>
  </r>
  <r>
    <n v="476"/>
    <n v="29"/>
    <x v="0"/>
    <s v="Female Divorced with Dependents"/>
    <x v="0"/>
    <x v="0"/>
    <n v="1"/>
    <x v="1"/>
    <s v="Unknown"/>
    <x v="0"/>
    <n v="4"/>
    <x v="0"/>
    <s v="Yes"/>
    <s v="no checking"/>
    <x v="2"/>
    <s v="no known savings"/>
    <x v="1"/>
    <s v="skilled"/>
    <s v="Skilled"/>
    <x v="0"/>
    <s v="1&lt;=X&lt;4"/>
    <x v="0"/>
    <s v="no credits/all paid"/>
    <x v="0"/>
    <n v="1"/>
    <n v="2"/>
    <n v="5003"/>
    <s v="No"/>
    <s v="None"/>
    <s v="Bank"/>
    <x v="3"/>
    <x v="1"/>
    <n v="21"/>
    <x v="0"/>
  </r>
  <r>
    <n v="477"/>
    <n v="26"/>
    <x v="1"/>
    <s v="Male single"/>
    <x v="1"/>
    <x v="1"/>
    <n v="1"/>
    <x v="1"/>
    <s v="Unknown"/>
    <x v="0"/>
    <n v="3"/>
    <x v="1"/>
    <s v="No"/>
    <s v="no checking"/>
    <x v="2"/>
    <s v="no known savings"/>
    <x v="1"/>
    <s v="skilled"/>
    <s v="Skilled"/>
    <x v="0"/>
    <s v="1&lt;=X&lt;4"/>
    <x v="0"/>
    <s v="existing paid"/>
    <x v="1"/>
    <n v="1"/>
    <n v="1"/>
    <n v="5248"/>
    <s v="No"/>
    <s v="None"/>
    <s v="None"/>
    <x v="2"/>
    <x v="1"/>
    <n v="21"/>
    <x v="1"/>
  </r>
  <r>
    <n v="478"/>
    <n v="30"/>
    <x v="0"/>
    <s v="Male single"/>
    <x v="1"/>
    <x v="1"/>
    <n v="1"/>
    <x v="1"/>
    <s v="Unknown"/>
    <x v="2"/>
    <n v="4"/>
    <x v="3"/>
    <s v="Yes"/>
    <s v="no checking"/>
    <x v="2"/>
    <s v="no known savings"/>
    <x v="1"/>
    <s v="high qualif/self emp/mgmt"/>
    <s v="Skilled"/>
    <x v="0"/>
    <s v="&gt;=7"/>
    <x v="3"/>
    <s v="critical/Others existing credit"/>
    <x v="3"/>
    <n v="4"/>
    <n v="1"/>
    <n v="12680"/>
    <s v="No"/>
    <s v="None"/>
    <s v="None"/>
    <x v="3"/>
    <x v="1"/>
    <n v="21"/>
    <x v="0"/>
  </r>
  <r>
    <n v="479"/>
    <n v="39"/>
    <x v="2"/>
    <s v="Male single"/>
    <x v="1"/>
    <x v="1"/>
    <n v="1"/>
    <x v="1"/>
    <s v="Unknown"/>
    <x v="0"/>
    <n v="4"/>
    <x v="1"/>
    <s v="Yes"/>
    <s v="&lt;0"/>
    <x v="1"/>
    <s v="no known savings"/>
    <x v="1"/>
    <s v="skilled"/>
    <s v="Skilled"/>
    <x v="0"/>
    <s v="4&lt;=X&lt;7"/>
    <x v="2"/>
    <s v="existing paid"/>
    <x v="1"/>
    <n v="4"/>
    <n v="1"/>
    <n v="2212"/>
    <s v="No"/>
    <s v="None"/>
    <s v="None"/>
    <x v="1"/>
    <x v="1"/>
    <n v="20"/>
    <x v="1"/>
  </r>
  <r>
    <n v="480"/>
    <n v="29"/>
    <x v="0"/>
    <s v="Male single"/>
    <x v="1"/>
    <x v="1"/>
    <n v="1"/>
    <x v="1"/>
    <s v="Unknown"/>
    <x v="0"/>
    <n v="3"/>
    <x v="1"/>
    <s v="Yes"/>
    <s v="0&lt;=X&lt;200"/>
    <x v="0"/>
    <s v="&lt;100"/>
    <x v="0"/>
    <s v="skilled"/>
    <s v="Skilled"/>
    <x v="0"/>
    <s v="1&lt;=X&lt;4"/>
    <x v="0"/>
    <s v="delayed previously"/>
    <x v="4"/>
    <n v="2"/>
    <n v="2"/>
    <n v="2629"/>
    <s v="No"/>
    <s v="None"/>
    <s v="Bank"/>
    <x v="0"/>
    <x v="1"/>
    <n v="20"/>
    <x v="1"/>
  </r>
  <r>
    <n v="481"/>
    <n v="44"/>
    <x v="2"/>
    <s v="Male Divorced/Seperated"/>
    <x v="1"/>
    <x v="3"/>
    <n v="1"/>
    <x v="1"/>
    <s v="Unknown"/>
    <x v="0"/>
    <n v="4"/>
    <x v="2"/>
    <s v="Yes"/>
    <s v="no checking"/>
    <x v="2"/>
    <s v="no known savings"/>
    <x v="1"/>
    <s v="skilled"/>
    <s v="Skilled"/>
    <x v="0"/>
    <s v="&lt;1"/>
    <x v="1"/>
    <s v="critical/Others existing credit"/>
    <x v="3"/>
    <n v="2"/>
    <n v="2"/>
    <n v="3485"/>
    <s v="No"/>
    <s v="None"/>
    <s v="None"/>
    <x v="3"/>
    <x v="1"/>
    <n v="20"/>
    <x v="1"/>
  </r>
  <r>
    <n v="482"/>
    <n v="24"/>
    <x v="1"/>
    <s v="Female Divorced with Dependents"/>
    <x v="0"/>
    <x v="0"/>
    <n v="1"/>
    <x v="1"/>
    <s v="Unknown"/>
    <x v="0"/>
    <n v="4"/>
    <x v="0"/>
    <s v="No"/>
    <s v="&lt;0"/>
    <x v="1"/>
    <s v="&lt;100"/>
    <x v="0"/>
    <s v="skilled"/>
    <s v="Skilled"/>
    <x v="0"/>
    <s v="&gt;=7"/>
    <x v="3"/>
    <s v="critical/Others existing credit"/>
    <x v="3"/>
    <n v="1"/>
    <n v="2"/>
    <n v="4272"/>
    <s v="No"/>
    <s v="None"/>
    <s v="None"/>
    <x v="1"/>
    <x v="1"/>
    <n v="20"/>
    <x v="1"/>
  </r>
  <r>
    <n v="483"/>
    <n v="31"/>
    <x v="0"/>
    <s v="Male Married/Widowed"/>
    <x v="1"/>
    <x v="2"/>
    <n v="1"/>
    <x v="1"/>
    <s v="Unknown"/>
    <x v="0"/>
    <n v="4"/>
    <x v="1"/>
    <s v="Yes"/>
    <s v="0&lt;=X&lt;200"/>
    <x v="0"/>
    <s v="100&lt;=X&lt;500"/>
    <x v="3"/>
    <s v="skilled"/>
    <s v="Skilled"/>
    <x v="0"/>
    <s v="&gt;=7"/>
    <x v="3"/>
    <s v="no credits/all paid"/>
    <x v="0"/>
    <n v="3"/>
    <n v="2"/>
    <n v="6148"/>
    <s v="No"/>
    <s v="None"/>
    <s v="Bank"/>
    <x v="2"/>
    <x v="1"/>
    <n v="20"/>
    <x v="1"/>
  </r>
  <r>
    <n v="484"/>
    <n v="60"/>
    <x v="5"/>
    <s v="Male Divorced/Seperated"/>
    <x v="1"/>
    <x v="3"/>
    <n v="1"/>
    <x v="1"/>
    <s v="Unknown"/>
    <x v="0"/>
    <n v="4"/>
    <x v="2"/>
    <s v="Yes"/>
    <s v="0&lt;=X&lt;200"/>
    <x v="0"/>
    <s v="no known savings"/>
    <x v="1"/>
    <s v="high qualif/self emp/mgmt"/>
    <s v="Skilled"/>
    <x v="0"/>
    <s v="unemployed"/>
    <x v="4"/>
    <s v="existing paid"/>
    <x v="1"/>
    <n v="1"/>
    <n v="1"/>
    <n v="6468"/>
    <s v="No"/>
    <s v="None"/>
    <s v="None"/>
    <x v="2"/>
    <x v="1"/>
    <n v="20"/>
    <x v="1"/>
  </r>
  <r>
    <n v="485"/>
    <n v="36"/>
    <x v="0"/>
    <s v="Male single"/>
    <x v="1"/>
    <x v="1"/>
    <n v="2"/>
    <x v="1"/>
    <s v="Unknown"/>
    <x v="1"/>
    <n v="4"/>
    <x v="0"/>
    <s v="Yes"/>
    <s v="0&lt;=X&lt;200"/>
    <x v="0"/>
    <s v="no known savings"/>
    <x v="1"/>
    <s v="high qualif/self emp/mgmt"/>
    <s v="Skilled"/>
    <x v="0"/>
    <s v="4&lt;=X&lt;7"/>
    <x v="2"/>
    <s v="delayed previously"/>
    <x v="4"/>
    <n v="3"/>
    <n v="2"/>
    <n v="7057"/>
    <s v="No"/>
    <s v="None"/>
    <s v="Bank"/>
    <x v="2"/>
    <x v="1"/>
    <n v="20"/>
    <x v="1"/>
  </r>
  <r>
    <n v="486"/>
    <n v="22"/>
    <x v="1"/>
    <s v="Female Divorced with Dependents"/>
    <x v="0"/>
    <x v="0"/>
    <n v="1"/>
    <x v="1"/>
    <s v="Unknown"/>
    <x v="1"/>
    <n v="4"/>
    <x v="2"/>
    <s v="No"/>
    <s v="no checking"/>
    <x v="2"/>
    <s v="&lt;100"/>
    <x v="0"/>
    <s v="skilled"/>
    <s v="Skilled"/>
    <x v="0"/>
    <s v="unemployed"/>
    <x v="4"/>
    <s v="existing paid"/>
    <x v="1"/>
    <n v="3"/>
    <n v="1"/>
    <n v="433"/>
    <s v="co applicant"/>
    <s v="Co-applicant"/>
    <s v="None"/>
    <x v="4"/>
    <x v="1"/>
    <n v="18"/>
    <x v="0"/>
  </r>
  <r>
    <n v="487"/>
    <n v="32"/>
    <x v="0"/>
    <s v="Male single"/>
    <x v="1"/>
    <x v="1"/>
    <n v="1"/>
    <x v="1"/>
    <s v="Unknown"/>
    <x v="0"/>
    <n v="3"/>
    <x v="0"/>
    <s v="Yes"/>
    <s v="no checking"/>
    <x v="2"/>
    <s v="500&lt;=X&lt;1000"/>
    <x v="4"/>
    <s v="high qualif/self emp/mgmt"/>
    <s v="Skilled"/>
    <x v="0"/>
    <s v="&gt;=7"/>
    <x v="3"/>
    <s v="critical/Others existing credit"/>
    <x v="3"/>
    <n v="4"/>
    <n v="2"/>
    <n v="629"/>
    <s v="No"/>
    <s v="None"/>
    <s v="Bank"/>
    <x v="4"/>
    <x v="1"/>
    <n v="18"/>
    <x v="1"/>
  </r>
  <r>
    <n v="488"/>
    <n v="27"/>
    <x v="1"/>
    <s v="Female Divorced with Dependents"/>
    <x v="0"/>
    <x v="0"/>
    <n v="1"/>
    <x v="1"/>
    <s v="Non-resident"/>
    <x v="0"/>
    <n v="1"/>
    <x v="2"/>
    <s v="No"/>
    <s v="&lt;0"/>
    <x v="1"/>
    <s v="&lt;100"/>
    <x v="0"/>
    <s v="unemp/unskilled non res"/>
    <s v="Unskilled"/>
    <x v="1"/>
    <s v="unemployed"/>
    <x v="4"/>
    <s v="existing paid"/>
    <x v="1"/>
    <n v="4"/>
    <n v="1"/>
    <n v="750"/>
    <s v="No"/>
    <s v="None"/>
    <s v="None"/>
    <x v="7"/>
    <x v="1"/>
    <n v="18"/>
    <x v="0"/>
  </r>
  <r>
    <n v="489"/>
    <n v="25"/>
    <x v="1"/>
    <s v="Male Married/Widowed"/>
    <x v="1"/>
    <x v="2"/>
    <n v="1"/>
    <x v="1"/>
    <s v="Resident"/>
    <x v="0"/>
    <n v="2"/>
    <x v="2"/>
    <s v="No"/>
    <s v="0&lt;=X&lt;200"/>
    <x v="0"/>
    <s v="&lt;100"/>
    <x v="0"/>
    <s v="unskilled resident"/>
    <s v="Unskilled"/>
    <x v="0"/>
    <s v="1&lt;=X&lt;4"/>
    <x v="0"/>
    <s v="existing paid"/>
    <x v="1"/>
    <n v="4"/>
    <n v="1"/>
    <n v="866"/>
    <s v="guarantor"/>
    <s v="Guarantor"/>
    <s v="None"/>
    <x v="4"/>
    <x v="1"/>
    <n v="18"/>
    <x v="1"/>
  </r>
  <r>
    <n v="490"/>
    <n v="36"/>
    <x v="0"/>
    <s v="Male single"/>
    <x v="1"/>
    <x v="1"/>
    <n v="2"/>
    <x v="1"/>
    <s v="Unknown"/>
    <x v="0"/>
    <n v="4"/>
    <x v="1"/>
    <s v="Yes"/>
    <s v="0&lt;=X&lt;200"/>
    <x v="0"/>
    <s v="&lt;100"/>
    <x v="0"/>
    <s v="skilled"/>
    <s v="Skilled"/>
    <x v="0"/>
    <s v="&gt;=7"/>
    <x v="3"/>
    <s v="critical/Others existing credit"/>
    <x v="3"/>
    <n v="4"/>
    <n v="1"/>
    <n v="884"/>
    <s v="No"/>
    <s v="None"/>
    <s v="Bank"/>
    <x v="3"/>
    <x v="1"/>
    <n v="18"/>
    <x v="0"/>
  </r>
  <r>
    <n v="491"/>
    <n v="23"/>
    <x v="1"/>
    <s v="Female Divorced with Dependents"/>
    <x v="0"/>
    <x v="0"/>
    <n v="1"/>
    <x v="1"/>
    <s v="Resident"/>
    <x v="0"/>
    <n v="2"/>
    <x v="1"/>
    <s v="No"/>
    <s v="&lt;0"/>
    <x v="1"/>
    <s v="&lt;100"/>
    <x v="0"/>
    <s v="unskilled resident"/>
    <s v="Unskilled"/>
    <x v="0"/>
    <s v="&lt;1"/>
    <x v="1"/>
    <s v="existing paid"/>
    <x v="1"/>
    <n v="1"/>
    <n v="1"/>
    <n v="976"/>
    <s v="No"/>
    <s v="None"/>
    <s v="None"/>
    <x v="3"/>
    <x v="1"/>
    <n v="18"/>
    <x v="0"/>
  </r>
  <r>
    <n v="492"/>
    <n v="36"/>
    <x v="0"/>
    <s v="Female Divorced with Dependents"/>
    <x v="0"/>
    <x v="0"/>
    <n v="1"/>
    <x v="1"/>
    <s v="Unknown"/>
    <x v="0"/>
    <n v="3"/>
    <x v="2"/>
    <s v="No"/>
    <s v="no checking"/>
    <x v="2"/>
    <s v="&lt;100"/>
    <x v="0"/>
    <s v="skilled"/>
    <s v="Skilled"/>
    <x v="0"/>
    <s v="1&lt;=X&lt;4"/>
    <x v="0"/>
    <s v="critical/Others existing credit"/>
    <x v="3"/>
    <n v="4"/>
    <n v="2"/>
    <n v="1028"/>
    <s v="No"/>
    <s v="None"/>
    <s v="None"/>
    <x v="3"/>
    <x v="1"/>
    <n v="18"/>
    <x v="1"/>
  </r>
  <r>
    <n v="493"/>
    <n v="33"/>
    <x v="0"/>
    <s v="Female Divorced with Dependents"/>
    <x v="0"/>
    <x v="0"/>
    <n v="1"/>
    <x v="1"/>
    <s v="Unknown"/>
    <x v="0"/>
    <n v="2"/>
    <x v="0"/>
    <s v="No"/>
    <s v="0&lt;=X&lt;200"/>
    <x v="0"/>
    <s v="no known savings"/>
    <x v="1"/>
    <s v="skilled"/>
    <s v="Skilled"/>
    <x v="0"/>
    <s v="1&lt;=X&lt;4"/>
    <x v="0"/>
    <s v="existing paid"/>
    <x v="1"/>
    <n v="4"/>
    <n v="1"/>
    <n v="1042"/>
    <s v="No"/>
    <s v="None"/>
    <s v="None"/>
    <x v="3"/>
    <x v="1"/>
    <n v="18"/>
    <x v="0"/>
  </r>
  <r>
    <n v="494"/>
    <n v="21"/>
    <x v="1"/>
    <s v="Female Divorced with Dependents"/>
    <x v="0"/>
    <x v="0"/>
    <n v="1"/>
    <x v="1"/>
    <s v="Unknown"/>
    <x v="1"/>
    <n v="4"/>
    <x v="0"/>
    <s v="No"/>
    <s v="&lt;0"/>
    <x v="1"/>
    <s v="&lt;100"/>
    <x v="0"/>
    <s v="skilled"/>
    <s v="Skilled"/>
    <x v="0"/>
    <s v="&lt;1"/>
    <x v="1"/>
    <s v="critical/Others existing credit"/>
    <x v="3"/>
    <n v="4"/>
    <n v="1"/>
    <n v="1049"/>
    <s v="No"/>
    <s v="None"/>
    <s v="None"/>
    <x v="1"/>
    <x v="1"/>
    <n v="18"/>
    <x v="1"/>
  </r>
  <r>
    <n v="495"/>
    <n v="30"/>
    <x v="0"/>
    <s v="Female Divorced with Dependents"/>
    <x v="0"/>
    <x v="0"/>
    <n v="1"/>
    <x v="1"/>
    <s v="Unknown"/>
    <x v="0"/>
    <n v="1"/>
    <x v="0"/>
    <s v="No"/>
    <s v="no checking"/>
    <x v="2"/>
    <s v="&lt;100"/>
    <x v="0"/>
    <s v="skilled"/>
    <s v="Skilled"/>
    <x v="0"/>
    <s v="&lt;1"/>
    <x v="1"/>
    <s v="critical/Others existing credit"/>
    <x v="3"/>
    <n v="4"/>
    <n v="2"/>
    <n v="1055"/>
    <s v="No"/>
    <s v="None"/>
    <s v="None"/>
    <x v="3"/>
    <x v="1"/>
    <n v="18"/>
    <x v="1"/>
  </r>
  <r>
    <n v="496"/>
    <n v="30"/>
    <x v="0"/>
    <s v="Male single"/>
    <x v="1"/>
    <x v="1"/>
    <n v="1"/>
    <x v="1"/>
    <s v="Unknown"/>
    <x v="0"/>
    <n v="3"/>
    <x v="2"/>
    <s v="No"/>
    <s v="0&lt;=X&lt;200"/>
    <x v="0"/>
    <s v="&lt;100"/>
    <x v="0"/>
    <s v="skilled"/>
    <s v="Skilled"/>
    <x v="0"/>
    <s v="&gt;=7"/>
    <x v="3"/>
    <s v="critical/Others existing credit"/>
    <x v="3"/>
    <n v="3"/>
    <n v="2"/>
    <n v="1056"/>
    <s v="guarantor"/>
    <s v="Guarantor"/>
    <s v="Bank"/>
    <x v="3"/>
    <x v="1"/>
    <n v="18"/>
    <x v="0"/>
  </r>
  <r>
    <n v="497"/>
    <n v="65"/>
    <x v="5"/>
    <s v="Female Divorced with Dependents"/>
    <x v="0"/>
    <x v="0"/>
    <n v="1"/>
    <x v="1"/>
    <s v="Non-resident"/>
    <x v="0"/>
    <n v="4"/>
    <x v="1"/>
    <s v="No"/>
    <s v="no checking"/>
    <x v="2"/>
    <s v="&lt;100"/>
    <x v="0"/>
    <s v="unemp/unskilled non res"/>
    <s v="Unskilled"/>
    <x v="1"/>
    <s v="unemployed"/>
    <x v="4"/>
    <s v="critical/Others existing credit"/>
    <x v="3"/>
    <n v="4"/>
    <n v="2"/>
    <n v="1098"/>
    <s v="No"/>
    <s v="None"/>
    <s v="None"/>
    <x v="4"/>
    <x v="1"/>
    <n v="18"/>
    <x v="1"/>
  </r>
  <r>
    <n v="498"/>
    <n v="26"/>
    <x v="1"/>
    <s v="Female Divorced with Dependents"/>
    <x v="0"/>
    <x v="0"/>
    <n v="2"/>
    <x v="1"/>
    <s v="Resident"/>
    <x v="0"/>
    <n v="4"/>
    <x v="2"/>
    <s v="No"/>
    <s v="0&lt;=X&lt;200"/>
    <x v="0"/>
    <s v="&lt;100"/>
    <x v="0"/>
    <s v="unskilled resident"/>
    <s v="Unskilled"/>
    <x v="0"/>
    <s v="1&lt;=X&lt;4"/>
    <x v="0"/>
    <s v="existing paid"/>
    <x v="1"/>
    <n v="4"/>
    <n v="1"/>
    <n v="1113"/>
    <s v="guarantor"/>
    <s v="Guarantor"/>
    <s v="None"/>
    <x v="4"/>
    <x v="1"/>
    <n v="18"/>
    <x v="1"/>
  </r>
  <r>
    <n v="499"/>
    <n v="21"/>
    <x v="1"/>
    <s v="Female Divorced with Dependents"/>
    <x v="0"/>
    <x v="0"/>
    <n v="1"/>
    <x v="1"/>
    <s v="Unknown"/>
    <x v="1"/>
    <n v="2"/>
    <x v="2"/>
    <s v="Yes"/>
    <s v="no checking"/>
    <x v="2"/>
    <s v="no known savings"/>
    <x v="1"/>
    <s v="skilled"/>
    <s v="Skilled"/>
    <x v="0"/>
    <s v="&lt;1"/>
    <x v="1"/>
    <s v="existing paid"/>
    <x v="1"/>
    <n v="4"/>
    <n v="1"/>
    <n v="1126"/>
    <s v="No"/>
    <s v="None"/>
    <s v="None"/>
    <x v="4"/>
    <x v="1"/>
    <n v="18"/>
    <x v="1"/>
  </r>
  <r>
    <n v="500"/>
    <n v="33"/>
    <x v="0"/>
    <s v="Female Divorced with Dependents"/>
    <x v="0"/>
    <x v="0"/>
    <n v="1"/>
    <x v="1"/>
    <s v="Unknown"/>
    <x v="0"/>
    <n v="2"/>
    <x v="1"/>
    <s v="No"/>
    <s v="&lt;0"/>
    <x v="1"/>
    <s v="&lt;100"/>
    <x v="0"/>
    <s v="skilled"/>
    <s v="Skilled"/>
    <x v="0"/>
    <s v="unemployed"/>
    <x v="4"/>
    <s v="existing paid"/>
    <x v="1"/>
    <n v="4"/>
    <n v="1"/>
    <n v="1131"/>
    <s v="No"/>
    <s v="None"/>
    <s v="None"/>
    <x v="1"/>
    <x v="1"/>
    <n v="18"/>
    <x v="0"/>
  </r>
  <r>
    <n v="501"/>
    <n v="46"/>
    <x v="2"/>
    <s v="Male single"/>
    <x v="1"/>
    <x v="1"/>
    <n v="1"/>
    <x v="1"/>
    <s v="Unknown"/>
    <x v="0"/>
    <n v="3"/>
    <x v="2"/>
    <s v="No"/>
    <s v="no checking"/>
    <x v="2"/>
    <s v="&gt;=1000"/>
    <x v="2"/>
    <s v="skilled"/>
    <s v="Skilled"/>
    <x v="0"/>
    <s v="1&lt;=X&lt;4"/>
    <x v="0"/>
    <s v="critical/Others existing credit"/>
    <x v="3"/>
    <n v="4"/>
    <n v="2"/>
    <n v="1149"/>
    <s v="No"/>
    <s v="None"/>
    <s v="None"/>
    <x v="4"/>
    <x v="1"/>
    <n v="18"/>
    <x v="1"/>
  </r>
  <r>
    <n v="502"/>
    <n v="29"/>
    <x v="0"/>
    <s v="Male single"/>
    <x v="1"/>
    <x v="1"/>
    <n v="1"/>
    <x v="1"/>
    <s v="Unknown"/>
    <x v="0"/>
    <n v="3"/>
    <x v="0"/>
    <s v="Yes"/>
    <s v="no checking"/>
    <x v="2"/>
    <s v="no known savings"/>
    <x v="1"/>
    <s v="skilled"/>
    <s v="Skilled"/>
    <x v="0"/>
    <s v="1&lt;=X&lt;4"/>
    <x v="0"/>
    <s v="critical/Others existing credit"/>
    <x v="3"/>
    <n v="4"/>
    <n v="2"/>
    <n v="1169"/>
    <s v="No"/>
    <s v="None"/>
    <s v="None"/>
    <x v="4"/>
    <x v="1"/>
    <n v="18"/>
    <x v="1"/>
  </r>
  <r>
    <n v="503"/>
    <n v="55"/>
    <x v="3"/>
    <s v="Female Divorced with Dependents"/>
    <x v="0"/>
    <x v="0"/>
    <n v="2"/>
    <x v="1"/>
    <s v="Non-resident"/>
    <x v="2"/>
    <n v="4"/>
    <x v="3"/>
    <s v="No"/>
    <s v="&lt;0"/>
    <x v="1"/>
    <s v="&lt;100"/>
    <x v="0"/>
    <s v="unemp/unskilled non res"/>
    <s v="Unskilled"/>
    <x v="1"/>
    <s v="unemployed"/>
    <x v="4"/>
    <s v="critical/Others existing credit"/>
    <x v="3"/>
    <n v="2"/>
    <n v="3"/>
    <n v="1190"/>
    <s v="No"/>
    <s v="None"/>
    <s v="None"/>
    <x v="6"/>
    <x v="1"/>
    <n v="18"/>
    <x v="0"/>
  </r>
  <r>
    <n v="504"/>
    <n v="23"/>
    <x v="1"/>
    <s v="Female Divorced with Dependents"/>
    <x v="0"/>
    <x v="0"/>
    <n v="1"/>
    <x v="1"/>
    <s v="Unknown"/>
    <x v="1"/>
    <n v="3"/>
    <x v="1"/>
    <s v="Yes"/>
    <s v="&lt;0"/>
    <x v="1"/>
    <s v="&lt;100"/>
    <x v="0"/>
    <s v="skilled"/>
    <s v="Skilled"/>
    <x v="0"/>
    <s v="&lt;1"/>
    <x v="1"/>
    <s v="existing paid"/>
    <x v="1"/>
    <n v="4"/>
    <n v="1"/>
    <n v="1216"/>
    <s v="No"/>
    <s v="None"/>
    <s v="None"/>
    <x v="3"/>
    <x v="1"/>
    <n v="18"/>
    <x v="0"/>
  </r>
  <r>
    <n v="505"/>
    <n v="47"/>
    <x v="2"/>
    <s v="Male Married/Widowed"/>
    <x v="1"/>
    <x v="2"/>
    <n v="1"/>
    <x v="1"/>
    <s v="Resident"/>
    <x v="0"/>
    <n v="3"/>
    <x v="2"/>
    <s v="Yes"/>
    <s v="&lt;0"/>
    <x v="1"/>
    <s v="&lt;100"/>
    <x v="0"/>
    <s v="unskilled resident"/>
    <s v="Unskilled"/>
    <x v="0"/>
    <s v="1&lt;=X&lt;4"/>
    <x v="0"/>
    <s v="existing paid"/>
    <x v="1"/>
    <n v="4"/>
    <n v="1"/>
    <n v="1217"/>
    <s v="No"/>
    <s v="None"/>
    <s v="None"/>
    <x v="8"/>
    <x v="1"/>
    <n v="18"/>
    <x v="0"/>
  </r>
  <r>
    <n v="506"/>
    <n v="61"/>
    <x v="5"/>
    <s v="Male single"/>
    <x v="1"/>
    <x v="1"/>
    <n v="1"/>
    <x v="1"/>
    <s v="Unknown"/>
    <x v="2"/>
    <n v="4"/>
    <x v="3"/>
    <s v="No"/>
    <s v="0&lt;=X&lt;200"/>
    <x v="0"/>
    <s v="no known savings"/>
    <x v="1"/>
    <s v="skilled"/>
    <s v="Skilled"/>
    <x v="0"/>
    <s v="1&lt;=X&lt;4"/>
    <x v="0"/>
    <s v="existing paid"/>
    <x v="1"/>
    <n v="4"/>
    <n v="1"/>
    <n v="1239"/>
    <s v="No"/>
    <s v="None"/>
    <s v="None"/>
    <x v="7"/>
    <x v="1"/>
    <n v="18"/>
    <x v="1"/>
  </r>
  <r>
    <n v="507"/>
    <n v="33"/>
    <x v="0"/>
    <s v="Male Married/Widowed"/>
    <x v="1"/>
    <x v="2"/>
    <n v="1"/>
    <x v="1"/>
    <s v="Unknown"/>
    <x v="0"/>
    <n v="2"/>
    <x v="1"/>
    <s v="No"/>
    <s v="0&lt;=X&lt;200"/>
    <x v="0"/>
    <s v="&lt;100"/>
    <x v="0"/>
    <s v="skilled"/>
    <s v="Skilled"/>
    <x v="0"/>
    <s v="1&lt;=X&lt;4"/>
    <x v="0"/>
    <s v="critical/Others existing credit"/>
    <x v="3"/>
    <n v="4"/>
    <n v="1"/>
    <n v="1245"/>
    <s v="No"/>
    <s v="None"/>
    <s v="None"/>
    <x v="4"/>
    <x v="1"/>
    <n v="18"/>
    <x v="0"/>
  </r>
  <r>
    <n v="508"/>
    <n v="27"/>
    <x v="1"/>
    <s v="Female Divorced with Dependents"/>
    <x v="0"/>
    <x v="0"/>
    <n v="1"/>
    <x v="1"/>
    <s v="Unknown"/>
    <x v="0"/>
    <n v="1"/>
    <x v="0"/>
    <s v="No"/>
    <s v="0&lt;=X&lt;200"/>
    <x v="0"/>
    <s v="&lt;100"/>
    <x v="0"/>
    <s v="skilled"/>
    <s v="Skilled"/>
    <x v="0"/>
    <s v="&lt;1"/>
    <x v="1"/>
    <s v="critical/Others existing credit"/>
    <x v="3"/>
    <n v="4"/>
    <n v="2"/>
    <n v="1295"/>
    <s v="No"/>
    <s v="None"/>
    <s v="None"/>
    <x v="1"/>
    <x v="1"/>
    <n v="18"/>
    <x v="1"/>
  </r>
  <r>
    <n v="509"/>
    <n v="32"/>
    <x v="0"/>
    <s v="Male Married/Widowed"/>
    <x v="1"/>
    <x v="2"/>
    <n v="1"/>
    <x v="1"/>
    <s v="Resident"/>
    <x v="0"/>
    <n v="2"/>
    <x v="2"/>
    <s v="No"/>
    <s v="0&lt;=X&lt;200"/>
    <x v="0"/>
    <s v="&lt;100"/>
    <x v="0"/>
    <s v="unskilled resident"/>
    <s v="Unskilled"/>
    <x v="0"/>
    <s v="&gt;=7"/>
    <x v="3"/>
    <s v="existing paid"/>
    <x v="1"/>
    <n v="4"/>
    <n v="1"/>
    <n v="1301"/>
    <s v="guarantor"/>
    <s v="Guarantor"/>
    <s v="None"/>
    <x v="4"/>
    <x v="1"/>
    <n v="18"/>
    <x v="1"/>
  </r>
  <r>
    <n v="510"/>
    <n v="26"/>
    <x v="1"/>
    <s v="Male Married/Widowed"/>
    <x v="1"/>
    <x v="2"/>
    <n v="1"/>
    <x v="1"/>
    <s v="Unknown"/>
    <x v="0"/>
    <n v="3"/>
    <x v="2"/>
    <s v="No"/>
    <s v="&lt;0"/>
    <x v="1"/>
    <s v="&lt;100"/>
    <x v="0"/>
    <s v="skilled"/>
    <s v="Skilled"/>
    <x v="0"/>
    <s v="1&lt;=X&lt;4"/>
    <x v="0"/>
    <s v="existing paid"/>
    <x v="1"/>
    <n v="4"/>
    <n v="1"/>
    <n v="1345"/>
    <s v="No"/>
    <s v="None"/>
    <s v="Bank"/>
    <x v="4"/>
    <x v="1"/>
    <n v="18"/>
    <x v="0"/>
  </r>
  <r>
    <n v="511"/>
    <n v="32"/>
    <x v="0"/>
    <s v="Male single"/>
    <x v="1"/>
    <x v="1"/>
    <n v="2"/>
    <x v="1"/>
    <s v="Resident"/>
    <x v="2"/>
    <n v="4"/>
    <x v="3"/>
    <s v="No"/>
    <s v="&lt;0"/>
    <x v="1"/>
    <s v="&lt;100"/>
    <x v="0"/>
    <s v="unskilled resident"/>
    <s v="Unskilled"/>
    <x v="0"/>
    <s v="4&lt;=X&lt;7"/>
    <x v="2"/>
    <s v="all paid"/>
    <x v="2"/>
    <n v="4"/>
    <n v="2"/>
    <n v="1442"/>
    <s v="No"/>
    <s v="None"/>
    <s v="None"/>
    <x v="3"/>
    <x v="1"/>
    <n v="18"/>
    <x v="0"/>
  </r>
  <r>
    <n v="512"/>
    <n v="49"/>
    <x v="3"/>
    <s v="Male single"/>
    <x v="1"/>
    <x v="1"/>
    <n v="1"/>
    <x v="1"/>
    <s v="Resident"/>
    <x v="0"/>
    <n v="4"/>
    <x v="1"/>
    <s v="No"/>
    <s v="&gt;=200"/>
    <x v="3"/>
    <s v="no known savings"/>
    <x v="1"/>
    <s v="unskilled resident"/>
    <s v="Unskilled"/>
    <x v="0"/>
    <s v="4&lt;=X&lt;7"/>
    <x v="2"/>
    <s v="all paid"/>
    <x v="2"/>
    <n v="4"/>
    <n v="1"/>
    <n v="1445"/>
    <s v="No"/>
    <s v="None"/>
    <s v="Bank"/>
    <x v="4"/>
    <x v="1"/>
    <n v="18"/>
    <x v="1"/>
  </r>
  <r>
    <n v="513"/>
    <n v="26"/>
    <x v="1"/>
    <s v="Female Divorced with Dependents"/>
    <x v="0"/>
    <x v="0"/>
    <n v="1"/>
    <x v="1"/>
    <s v="Unknown"/>
    <x v="0"/>
    <n v="1"/>
    <x v="2"/>
    <s v="No"/>
    <s v="no checking"/>
    <x v="2"/>
    <s v="&lt;100"/>
    <x v="0"/>
    <s v="skilled"/>
    <s v="Skilled"/>
    <x v="0"/>
    <s v="&lt;1"/>
    <x v="1"/>
    <s v="existing paid"/>
    <x v="1"/>
    <n v="3"/>
    <n v="1"/>
    <n v="1453"/>
    <s v="No"/>
    <s v="None"/>
    <s v="None"/>
    <x v="4"/>
    <x v="1"/>
    <n v="18"/>
    <x v="1"/>
  </r>
  <r>
    <n v="514"/>
    <n v="39"/>
    <x v="2"/>
    <s v="Male Married/Widowed"/>
    <x v="1"/>
    <x v="2"/>
    <n v="1"/>
    <x v="1"/>
    <s v="Unknown"/>
    <x v="0"/>
    <n v="4"/>
    <x v="2"/>
    <s v="Yes"/>
    <s v="no checking"/>
    <x v="2"/>
    <s v="&lt;100"/>
    <x v="0"/>
    <s v="skilled"/>
    <s v="Skilled"/>
    <x v="0"/>
    <s v="&lt;1"/>
    <x v="1"/>
    <s v="existing paid"/>
    <x v="1"/>
    <n v="3"/>
    <n v="1"/>
    <n v="1473"/>
    <s v="No"/>
    <s v="None"/>
    <s v="None"/>
    <x v="4"/>
    <x v="1"/>
    <n v="18"/>
    <x v="1"/>
  </r>
  <r>
    <n v="515"/>
    <n v="32"/>
    <x v="0"/>
    <s v="Male single"/>
    <x v="1"/>
    <x v="1"/>
    <n v="1"/>
    <x v="1"/>
    <s v="Unknown"/>
    <x v="2"/>
    <n v="2"/>
    <x v="3"/>
    <s v="Yes"/>
    <s v="no checking"/>
    <x v="2"/>
    <s v="&lt;100"/>
    <x v="0"/>
    <s v="high qualif/self emp/mgmt"/>
    <s v="Skilled"/>
    <x v="0"/>
    <s v="1&lt;=X&lt;4"/>
    <x v="0"/>
    <s v="existing paid"/>
    <x v="1"/>
    <n v="4"/>
    <n v="1"/>
    <n v="1505"/>
    <s v="No"/>
    <s v="None"/>
    <s v="None"/>
    <x v="4"/>
    <x v="1"/>
    <n v="18"/>
    <x v="1"/>
  </r>
  <r>
    <n v="516"/>
    <n v="32"/>
    <x v="0"/>
    <s v="Male single"/>
    <x v="1"/>
    <x v="1"/>
    <n v="1"/>
    <x v="1"/>
    <s v="Unknown"/>
    <x v="0"/>
    <n v="2"/>
    <x v="0"/>
    <s v="No"/>
    <s v="no checking"/>
    <x v="2"/>
    <s v="&lt;100"/>
    <x v="0"/>
    <s v="skilled"/>
    <s v="Skilled"/>
    <x v="0"/>
    <s v="1&lt;=X&lt;4"/>
    <x v="0"/>
    <s v="critical/Others existing credit"/>
    <x v="3"/>
    <n v="3"/>
    <n v="2"/>
    <n v="1530"/>
    <s v="No"/>
    <s v="None"/>
    <s v="Bank"/>
    <x v="3"/>
    <x v="1"/>
    <n v="18"/>
    <x v="0"/>
  </r>
  <r>
    <n v="517"/>
    <n v="43"/>
    <x v="2"/>
    <s v="Male Married/Widowed"/>
    <x v="1"/>
    <x v="2"/>
    <n v="2"/>
    <x v="1"/>
    <s v="Resident"/>
    <x v="0"/>
    <n v="1"/>
    <x v="0"/>
    <s v="No"/>
    <s v="no checking"/>
    <x v="2"/>
    <s v="&lt;100"/>
    <x v="0"/>
    <s v="unskilled resident"/>
    <s v="Unskilled"/>
    <x v="0"/>
    <s v="&lt;1"/>
    <x v="1"/>
    <s v="existing paid"/>
    <x v="1"/>
    <n v="4"/>
    <n v="1"/>
    <n v="1533"/>
    <s v="co applicant"/>
    <s v="Co-applicant"/>
    <s v="None"/>
    <x v="1"/>
    <x v="1"/>
    <n v="18"/>
    <x v="0"/>
  </r>
  <r>
    <n v="518"/>
    <n v="44"/>
    <x v="2"/>
    <s v="Male single"/>
    <x v="1"/>
    <x v="1"/>
    <n v="1"/>
    <x v="1"/>
    <s v="Unknown"/>
    <x v="0"/>
    <n v="3"/>
    <x v="1"/>
    <s v="No"/>
    <s v="&lt;0"/>
    <x v="1"/>
    <s v="&lt;100"/>
    <x v="0"/>
    <s v="skilled"/>
    <s v="Skilled"/>
    <x v="0"/>
    <s v="1&lt;=X&lt;4"/>
    <x v="0"/>
    <s v="all paid"/>
    <x v="2"/>
    <n v="4"/>
    <n v="1"/>
    <n v="1553"/>
    <s v="No"/>
    <s v="None"/>
    <s v="Bank"/>
    <x v="1"/>
    <x v="1"/>
    <n v="18"/>
    <x v="0"/>
  </r>
  <r>
    <n v="519"/>
    <n v="24"/>
    <x v="1"/>
    <s v="Female Divorced with Dependents"/>
    <x v="0"/>
    <x v="0"/>
    <n v="1"/>
    <x v="1"/>
    <s v="Resident"/>
    <x v="1"/>
    <n v="4"/>
    <x v="0"/>
    <s v="No"/>
    <s v="no checking"/>
    <x v="2"/>
    <s v="100&lt;=X&lt;500"/>
    <x v="3"/>
    <s v="unskilled resident"/>
    <s v="Unskilled"/>
    <x v="0"/>
    <s v="1&lt;=X&lt;4"/>
    <x v="0"/>
    <s v="existing paid"/>
    <x v="1"/>
    <n v="3"/>
    <n v="1"/>
    <n v="1568"/>
    <s v="No"/>
    <s v="None"/>
    <s v="None"/>
    <x v="5"/>
    <x v="1"/>
    <n v="18"/>
    <x v="1"/>
  </r>
  <r>
    <n v="520"/>
    <n v="46"/>
    <x v="2"/>
    <s v="Male single"/>
    <x v="1"/>
    <x v="1"/>
    <n v="1"/>
    <x v="1"/>
    <s v="Unknown"/>
    <x v="0"/>
    <n v="4"/>
    <x v="1"/>
    <s v="No"/>
    <s v="no checking"/>
    <x v="2"/>
    <s v="&gt;=1000"/>
    <x v="2"/>
    <s v="skilled"/>
    <s v="Skilled"/>
    <x v="0"/>
    <s v="&gt;=7"/>
    <x v="3"/>
    <s v="critical/Others existing credit"/>
    <x v="3"/>
    <n v="4"/>
    <n v="2"/>
    <n v="1582"/>
    <s v="No"/>
    <s v="None"/>
    <s v="None"/>
    <x v="4"/>
    <x v="1"/>
    <n v="18"/>
    <x v="1"/>
  </r>
  <r>
    <n v="521"/>
    <n v="48"/>
    <x v="2"/>
    <s v="Female Divorced with Dependents"/>
    <x v="0"/>
    <x v="0"/>
    <n v="1"/>
    <x v="1"/>
    <s v="Resident"/>
    <x v="1"/>
    <n v="4"/>
    <x v="2"/>
    <s v="Yes"/>
    <s v="0&lt;=X&lt;200"/>
    <x v="0"/>
    <s v="&lt;100"/>
    <x v="0"/>
    <s v="unskilled resident"/>
    <s v="Unskilled"/>
    <x v="0"/>
    <s v="&gt;=7"/>
    <x v="3"/>
    <s v="critical/Others existing credit"/>
    <x v="3"/>
    <n v="3"/>
    <n v="2"/>
    <n v="1795"/>
    <s v="guarantor"/>
    <s v="Guarantor"/>
    <s v="Bank"/>
    <x v="4"/>
    <x v="1"/>
    <n v="18"/>
    <x v="1"/>
  </r>
  <r>
    <n v="522"/>
    <n v="24"/>
    <x v="1"/>
    <s v="Male single"/>
    <x v="1"/>
    <x v="1"/>
    <n v="1"/>
    <x v="1"/>
    <s v="Unknown"/>
    <x v="0"/>
    <n v="2"/>
    <x v="1"/>
    <s v="No"/>
    <s v="no checking"/>
    <x v="2"/>
    <s v="&lt;100"/>
    <x v="0"/>
    <s v="skilled"/>
    <s v="Skilled"/>
    <x v="0"/>
    <s v="1&lt;=X&lt;4"/>
    <x v="0"/>
    <s v="critical/Others existing credit"/>
    <x v="3"/>
    <n v="4"/>
    <n v="2"/>
    <n v="1800"/>
    <s v="No"/>
    <s v="None"/>
    <s v="None"/>
    <x v="4"/>
    <x v="1"/>
    <n v="18"/>
    <x v="1"/>
  </r>
  <r>
    <n v="523"/>
    <n v="22"/>
    <x v="1"/>
    <s v="Female Divorced with Dependents"/>
    <x v="0"/>
    <x v="0"/>
    <n v="1"/>
    <x v="1"/>
    <s v="Unknown"/>
    <x v="0"/>
    <n v="1"/>
    <x v="2"/>
    <s v="No"/>
    <s v="no checking"/>
    <x v="2"/>
    <s v="&lt;100"/>
    <x v="0"/>
    <s v="skilled"/>
    <s v="Skilled"/>
    <x v="0"/>
    <s v="4&lt;=X&lt;7"/>
    <x v="2"/>
    <s v="delayed previously"/>
    <x v="4"/>
    <n v="4"/>
    <n v="1"/>
    <n v="1808"/>
    <s v="No"/>
    <s v="None"/>
    <s v="None"/>
    <x v="1"/>
    <x v="1"/>
    <n v="18"/>
    <x v="0"/>
  </r>
  <r>
    <n v="524"/>
    <n v="28"/>
    <x v="1"/>
    <s v="Female Divorced with Dependents"/>
    <x v="0"/>
    <x v="0"/>
    <n v="1"/>
    <x v="1"/>
    <s v="Unknown"/>
    <x v="0"/>
    <n v="2"/>
    <x v="3"/>
    <s v="No"/>
    <s v="no checking"/>
    <x v="2"/>
    <s v="&lt;100"/>
    <x v="0"/>
    <s v="skilled"/>
    <s v="Skilled"/>
    <x v="0"/>
    <s v="1&lt;=X&lt;4"/>
    <x v="0"/>
    <s v="critical/Others existing credit"/>
    <x v="3"/>
    <n v="4"/>
    <n v="2"/>
    <n v="1817"/>
    <s v="No"/>
    <s v="None"/>
    <s v="None"/>
    <x v="1"/>
    <x v="1"/>
    <n v="18"/>
    <x v="1"/>
  </r>
  <r>
    <n v="525"/>
    <n v="30"/>
    <x v="0"/>
    <s v="Male Married/Widowed"/>
    <x v="1"/>
    <x v="2"/>
    <n v="1"/>
    <x v="1"/>
    <s v="Unknown"/>
    <x v="0"/>
    <n v="2"/>
    <x v="0"/>
    <s v="Yes"/>
    <s v="no checking"/>
    <x v="2"/>
    <s v="&lt;100"/>
    <x v="0"/>
    <s v="high qualif/self emp/mgmt"/>
    <s v="Skilled"/>
    <x v="0"/>
    <s v="1&lt;=X&lt;4"/>
    <x v="0"/>
    <s v="existing paid"/>
    <x v="1"/>
    <n v="2"/>
    <n v="1"/>
    <n v="1820"/>
    <s v="No"/>
    <s v="None"/>
    <s v="None"/>
    <x v="3"/>
    <x v="1"/>
    <n v="18"/>
    <x v="1"/>
  </r>
  <r>
    <n v="526"/>
    <n v="30"/>
    <x v="0"/>
    <s v="Female Divorced with Dependents"/>
    <x v="0"/>
    <x v="0"/>
    <n v="1"/>
    <x v="1"/>
    <s v="Unknown"/>
    <x v="0"/>
    <n v="2"/>
    <x v="2"/>
    <s v="No"/>
    <s v="no checking"/>
    <x v="2"/>
    <s v="100&lt;=X&lt;500"/>
    <x v="3"/>
    <s v="skilled"/>
    <s v="Skilled"/>
    <x v="0"/>
    <s v="1&lt;=X&lt;4"/>
    <x v="0"/>
    <s v="critical/Others existing credit"/>
    <x v="3"/>
    <n v="4"/>
    <n v="2"/>
    <n v="1864"/>
    <s v="No"/>
    <s v="None"/>
    <s v="None"/>
    <x v="7"/>
    <x v="1"/>
    <n v="18"/>
    <x v="0"/>
  </r>
  <r>
    <n v="527"/>
    <n v="32"/>
    <x v="0"/>
    <s v="Male Married/Widowed"/>
    <x v="1"/>
    <x v="2"/>
    <n v="1"/>
    <x v="1"/>
    <s v="Unknown"/>
    <x v="0"/>
    <n v="1"/>
    <x v="0"/>
    <s v="Yes"/>
    <s v="&lt;0"/>
    <x v="1"/>
    <s v="&lt;100"/>
    <x v="0"/>
    <s v="high qualif/self emp/mgmt"/>
    <s v="Skilled"/>
    <x v="0"/>
    <s v="4&lt;=X&lt;7"/>
    <x v="2"/>
    <s v="critical/Others existing credit"/>
    <x v="3"/>
    <n v="4"/>
    <n v="2"/>
    <n v="1880"/>
    <s v="No"/>
    <s v="None"/>
    <s v="None"/>
    <x v="4"/>
    <x v="1"/>
    <n v="18"/>
    <x v="1"/>
  </r>
  <r>
    <n v="528"/>
    <n v="25"/>
    <x v="1"/>
    <s v="Female Divorced with Dependents"/>
    <x v="0"/>
    <x v="0"/>
    <n v="1"/>
    <x v="1"/>
    <s v="Unknown"/>
    <x v="1"/>
    <n v="4"/>
    <x v="1"/>
    <s v="No"/>
    <s v="&lt;0"/>
    <x v="1"/>
    <s v="&lt;100"/>
    <x v="0"/>
    <s v="skilled"/>
    <s v="Skilled"/>
    <x v="0"/>
    <s v="1&lt;=X&lt;4"/>
    <x v="0"/>
    <s v="existing paid"/>
    <x v="1"/>
    <n v="4"/>
    <n v="2"/>
    <n v="1882"/>
    <s v="No"/>
    <s v="None"/>
    <s v="Bank"/>
    <x v="4"/>
    <x v="1"/>
    <n v="18"/>
    <x v="0"/>
  </r>
  <r>
    <n v="529"/>
    <n v="28"/>
    <x v="1"/>
    <s v="Male Married/Widowed"/>
    <x v="1"/>
    <x v="2"/>
    <n v="1"/>
    <x v="1"/>
    <s v="Unknown"/>
    <x v="0"/>
    <n v="4"/>
    <x v="2"/>
    <s v="No"/>
    <s v="0&lt;=X&lt;200"/>
    <x v="0"/>
    <s v="no known savings"/>
    <x v="1"/>
    <s v="skilled"/>
    <s v="Skilled"/>
    <x v="0"/>
    <s v="1&lt;=X&lt;4"/>
    <x v="0"/>
    <s v="critical/Others existing credit"/>
    <x v="3"/>
    <n v="4"/>
    <n v="2"/>
    <n v="1887"/>
    <s v="No"/>
    <s v="None"/>
    <s v="Bank"/>
    <x v="5"/>
    <x v="1"/>
    <n v="18"/>
    <x v="1"/>
  </r>
  <r>
    <n v="530"/>
    <n v="36"/>
    <x v="0"/>
    <s v="Male Married/Widowed"/>
    <x v="1"/>
    <x v="2"/>
    <n v="1"/>
    <x v="1"/>
    <s v="Unknown"/>
    <x v="0"/>
    <n v="3"/>
    <x v="2"/>
    <s v="Yes"/>
    <s v="0&lt;=X&lt;200"/>
    <x v="0"/>
    <s v="&gt;=1000"/>
    <x v="2"/>
    <s v="skilled"/>
    <s v="Skilled"/>
    <x v="0"/>
    <s v="&lt;1"/>
    <x v="1"/>
    <s v="existing paid"/>
    <x v="1"/>
    <n v="3"/>
    <n v="1"/>
    <n v="1913"/>
    <s v="No"/>
    <s v="None"/>
    <s v="Bank"/>
    <x v="5"/>
    <x v="1"/>
    <n v="18"/>
    <x v="1"/>
  </r>
  <r>
    <n v="531"/>
    <n v="27"/>
    <x v="1"/>
    <s v="Female Divorced with Dependents"/>
    <x v="0"/>
    <x v="0"/>
    <n v="1"/>
    <x v="1"/>
    <s v="Unknown"/>
    <x v="1"/>
    <n v="3"/>
    <x v="2"/>
    <s v="No"/>
    <s v="0&lt;=X&lt;200"/>
    <x v="0"/>
    <s v="no known savings"/>
    <x v="1"/>
    <s v="skilled"/>
    <s v="Skilled"/>
    <x v="0"/>
    <s v="&lt;1"/>
    <x v="1"/>
    <s v="existing paid"/>
    <x v="1"/>
    <n v="4"/>
    <n v="1"/>
    <n v="1924"/>
    <s v="No"/>
    <s v="None"/>
    <s v="None"/>
    <x v="1"/>
    <x v="1"/>
    <n v="18"/>
    <x v="0"/>
  </r>
  <r>
    <n v="532"/>
    <n v="31"/>
    <x v="0"/>
    <s v="Male single"/>
    <x v="1"/>
    <x v="1"/>
    <n v="1"/>
    <x v="1"/>
    <s v="Resident"/>
    <x v="0"/>
    <n v="2"/>
    <x v="2"/>
    <s v="No"/>
    <s v="0&lt;=X&lt;200"/>
    <x v="0"/>
    <s v="&lt;100"/>
    <x v="0"/>
    <s v="unskilled resident"/>
    <s v="Unskilled"/>
    <x v="0"/>
    <s v="&lt;1"/>
    <x v="1"/>
    <s v="critical/Others existing credit"/>
    <x v="3"/>
    <n v="2"/>
    <n v="2"/>
    <n v="1928"/>
    <s v="No"/>
    <s v="None"/>
    <s v="None"/>
    <x v="1"/>
    <x v="1"/>
    <n v="18"/>
    <x v="0"/>
  </r>
  <r>
    <n v="533"/>
    <n v="23"/>
    <x v="1"/>
    <s v="Male Married/Widowed"/>
    <x v="1"/>
    <x v="2"/>
    <n v="1"/>
    <x v="1"/>
    <s v="Resident"/>
    <x v="1"/>
    <n v="4"/>
    <x v="1"/>
    <s v="No"/>
    <s v="&lt;0"/>
    <x v="1"/>
    <s v="no known savings"/>
    <x v="1"/>
    <s v="unskilled resident"/>
    <s v="Unskilled"/>
    <x v="0"/>
    <s v="4&lt;=X&lt;7"/>
    <x v="2"/>
    <s v="existing paid"/>
    <x v="1"/>
    <n v="2"/>
    <n v="2"/>
    <n v="1936"/>
    <s v="No"/>
    <s v="None"/>
    <s v="None"/>
    <x v="4"/>
    <x v="1"/>
    <n v="18"/>
    <x v="1"/>
  </r>
  <r>
    <n v="534"/>
    <n v="36"/>
    <x v="0"/>
    <s v="Male single"/>
    <x v="1"/>
    <x v="1"/>
    <n v="1"/>
    <x v="1"/>
    <s v="Unknown"/>
    <x v="2"/>
    <n v="4"/>
    <x v="3"/>
    <s v="Yes"/>
    <s v="&lt;0"/>
    <x v="1"/>
    <s v="&lt;100"/>
    <x v="0"/>
    <s v="high qualif/self emp/mgmt"/>
    <s v="Skilled"/>
    <x v="0"/>
    <s v="&lt;1"/>
    <x v="1"/>
    <s v="all paid"/>
    <x v="2"/>
    <n v="3"/>
    <n v="1"/>
    <n v="1940"/>
    <s v="co applicant"/>
    <s v="Co-applicant"/>
    <s v="Bank"/>
    <x v="4"/>
    <x v="1"/>
    <n v="18"/>
    <x v="1"/>
  </r>
  <r>
    <n v="535"/>
    <n v="35"/>
    <x v="0"/>
    <s v="Male single"/>
    <x v="1"/>
    <x v="1"/>
    <n v="1"/>
    <x v="1"/>
    <s v="Resident"/>
    <x v="0"/>
    <n v="2"/>
    <x v="0"/>
    <s v="Yes"/>
    <s v="0&lt;=X&lt;200"/>
    <x v="0"/>
    <s v="&gt;=1000"/>
    <x v="2"/>
    <s v="unskilled resident"/>
    <s v="Unskilled"/>
    <x v="0"/>
    <s v="1&lt;=X&lt;4"/>
    <x v="0"/>
    <s v="existing paid"/>
    <x v="1"/>
    <n v="4"/>
    <n v="1"/>
    <n v="1941"/>
    <s v="No"/>
    <s v="None"/>
    <s v="None"/>
    <x v="5"/>
    <x v="1"/>
    <n v="18"/>
    <x v="1"/>
  </r>
  <r>
    <n v="536"/>
    <n v="23"/>
    <x v="1"/>
    <s v="Female Divorced with Dependents"/>
    <x v="0"/>
    <x v="0"/>
    <n v="1"/>
    <x v="1"/>
    <s v="Unknown"/>
    <x v="0"/>
    <n v="4"/>
    <x v="2"/>
    <s v="No"/>
    <s v="no checking"/>
    <x v="2"/>
    <s v="&lt;100"/>
    <x v="0"/>
    <s v="skilled"/>
    <s v="Skilled"/>
    <x v="0"/>
    <s v="&lt;1"/>
    <x v="1"/>
    <s v="existing paid"/>
    <x v="1"/>
    <n v="4"/>
    <n v="1"/>
    <n v="1943"/>
    <s v="No"/>
    <s v="None"/>
    <s v="None"/>
    <x v="6"/>
    <x v="1"/>
    <n v="18"/>
    <x v="0"/>
  </r>
  <r>
    <n v="537"/>
    <n v="34"/>
    <x v="0"/>
    <s v="Male single"/>
    <x v="1"/>
    <x v="1"/>
    <n v="1"/>
    <x v="1"/>
    <s v="Unknown"/>
    <x v="0"/>
    <n v="1"/>
    <x v="1"/>
    <s v="Yes"/>
    <s v="no checking"/>
    <x v="2"/>
    <s v="&lt;100"/>
    <x v="0"/>
    <s v="skilled"/>
    <s v="Skilled"/>
    <x v="0"/>
    <s v="4&lt;=X&lt;7"/>
    <x v="2"/>
    <s v="existing paid"/>
    <x v="1"/>
    <n v="4"/>
    <n v="2"/>
    <n v="1950"/>
    <s v="No"/>
    <s v="None"/>
    <s v="Store"/>
    <x v="5"/>
    <x v="1"/>
    <n v="18"/>
    <x v="1"/>
  </r>
  <r>
    <n v="538"/>
    <n v="23"/>
    <x v="1"/>
    <s v="Female Divorced with Dependents"/>
    <x v="0"/>
    <x v="0"/>
    <n v="1"/>
    <x v="1"/>
    <s v="Unknown"/>
    <x v="0"/>
    <n v="2"/>
    <x v="1"/>
    <s v="No"/>
    <s v="&gt;=200"/>
    <x v="3"/>
    <s v="&lt;100"/>
    <x v="0"/>
    <s v="high qualif/self emp/mgmt"/>
    <s v="Skilled"/>
    <x v="0"/>
    <s v="&gt;=7"/>
    <x v="3"/>
    <s v="existing paid"/>
    <x v="1"/>
    <n v="3"/>
    <n v="1"/>
    <n v="1961"/>
    <s v="No"/>
    <s v="None"/>
    <s v="None"/>
    <x v="3"/>
    <x v="1"/>
    <n v="18"/>
    <x v="1"/>
  </r>
  <r>
    <n v="539"/>
    <n v="47"/>
    <x v="2"/>
    <s v="Male single"/>
    <x v="1"/>
    <x v="1"/>
    <n v="1"/>
    <x v="1"/>
    <s v="Unknown"/>
    <x v="2"/>
    <n v="4"/>
    <x v="3"/>
    <s v="No"/>
    <s v="no checking"/>
    <x v="2"/>
    <s v="&lt;100"/>
    <x v="0"/>
    <s v="skilled"/>
    <s v="Skilled"/>
    <x v="0"/>
    <s v="1&lt;=X&lt;4"/>
    <x v="0"/>
    <s v="existing paid"/>
    <x v="1"/>
    <n v="4"/>
    <n v="2"/>
    <n v="1984"/>
    <s v="No"/>
    <s v="None"/>
    <s v="Bank"/>
    <x v="1"/>
    <x v="1"/>
    <n v="18"/>
    <x v="1"/>
  </r>
  <r>
    <n v="540"/>
    <n v="20"/>
    <x v="1"/>
    <s v="Female Divorced with Dependents"/>
    <x v="0"/>
    <x v="0"/>
    <n v="1"/>
    <x v="1"/>
    <s v="Unknown"/>
    <x v="1"/>
    <n v="4"/>
    <x v="2"/>
    <s v="No"/>
    <s v="&lt;0"/>
    <x v="1"/>
    <s v="&lt;100"/>
    <x v="0"/>
    <s v="skilled"/>
    <s v="Skilled"/>
    <x v="0"/>
    <s v="1&lt;=X&lt;4"/>
    <x v="0"/>
    <s v="existing paid"/>
    <x v="1"/>
    <n v="1"/>
    <n v="1"/>
    <n v="2039"/>
    <s v="No"/>
    <s v="None"/>
    <s v="Bank"/>
    <x v="1"/>
    <x v="1"/>
    <n v="18"/>
    <x v="0"/>
  </r>
  <r>
    <n v="541"/>
    <n v="33"/>
    <x v="0"/>
    <s v="Male single"/>
    <x v="1"/>
    <x v="1"/>
    <n v="1"/>
    <x v="1"/>
    <s v="Unknown"/>
    <x v="0"/>
    <n v="1"/>
    <x v="2"/>
    <s v="No"/>
    <s v="no checking"/>
    <x v="2"/>
    <s v="&lt;100"/>
    <x v="0"/>
    <s v="skilled"/>
    <s v="Skilled"/>
    <x v="0"/>
    <s v="&lt;1"/>
    <x v="1"/>
    <s v="existing paid"/>
    <x v="1"/>
    <n v="4"/>
    <n v="1"/>
    <n v="2051"/>
    <s v="No"/>
    <s v="None"/>
    <s v="None"/>
    <x v="4"/>
    <x v="1"/>
    <n v="18"/>
    <x v="1"/>
  </r>
  <r>
    <n v="542"/>
    <n v="37"/>
    <x v="0"/>
    <s v="Male single"/>
    <x v="1"/>
    <x v="1"/>
    <n v="1"/>
    <x v="1"/>
    <s v="Unknown"/>
    <x v="0"/>
    <n v="2"/>
    <x v="2"/>
    <s v="No"/>
    <s v="&gt;=200"/>
    <x v="3"/>
    <s v="&lt;100"/>
    <x v="0"/>
    <s v="skilled"/>
    <s v="Skilled"/>
    <x v="0"/>
    <s v="1&lt;=X&lt;4"/>
    <x v="0"/>
    <s v="existing paid"/>
    <x v="1"/>
    <n v="4"/>
    <n v="1"/>
    <n v="2100"/>
    <s v="co applicant"/>
    <s v="Co-applicant"/>
    <s v="Store"/>
    <x v="4"/>
    <x v="1"/>
    <n v="18"/>
    <x v="0"/>
  </r>
  <r>
    <n v="543"/>
    <n v="24"/>
    <x v="1"/>
    <s v="Female Divorced with Dependents"/>
    <x v="0"/>
    <x v="0"/>
    <n v="1"/>
    <x v="1"/>
    <s v="Unknown"/>
    <x v="1"/>
    <n v="4"/>
    <x v="2"/>
    <s v="No"/>
    <s v="&lt;0"/>
    <x v="1"/>
    <s v="&lt;100"/>
    <x v="0"/>
    <s v="skilled"/>
    <s v="Skilled"/>
    <x v="0"/>
    <s v="1&lt;=X&lt;4"/>
    <x v="0"/>
    <s v="critical/Others existing credit"/>
    <x v="3"/>
    <n v="4"/>
    <n v="2"/>
    <n v="2124"/>
    <s v="No"/>
    <s v="None"/>
    <s v="None"/>
    <x v="1"/>
    <x v="1"/>
    <n v="18"/>
    <x v="0"/>
  </r>
  <r>
    <n v="544"/>
    <n v="28"/>
    <x v="1"/>
    <s v="Male Married/Widowed"/>
    <x v="1"/>
    <x v="2"/>
    <n v="1"/>
    <x v="1"/>
    <s v="Unknown"/>
    <x v="0"/>
    <n v="2"/>
    <x v="1"/>
    <s v="Yes"/>
    <s v="no checking"/>
    <x v="2"/>
    <s v="&lt;100"/>
    <x v="0"/>
    <s v="skilled"/>
    <s v="Skilled"/>
    <x v="0"/>
    <s v="1&lt;=X&lt;4"/>
    <x v="0"/>
    <s v="delayed previously"/>
    <x v="4"/>
    <n v="4"/>
    <n v="1"/>
    <n v="2169"/>
    <s v="No"/>
    <s v="None"/>
    <s v="None"/>
    <x v="5"/>
    <x v="1"/>
    <n v="18"/>
    <x v="0"/>
  </r>
  <r>
    <n v="545"/>
    <n v="25"/>
    <x v="1"/>
    <s v="Female Divorced with Dependents"/>
    <x v="0"/>
    <x v="0"/>
    <n v="1"/>
    <x v="1"/>
    <s v="Unknown"/>
    <x v="0"/>
    <n v="1"/>
    <x v="1"/>
    <s v="No"/>
    <s v="no checking"/>
    <x v="2"/>
    <s v="&lt;100"/>
    <x v="0"/>
    <s v="skilled"/>
    <s v="Skilled"/>
    <x v="0"/>
    <s v="1&lt;=X&lt;4"/>
    <x v="0"/>
    <s v="critical/Others existing credit"/>
    <x v="3"/>
    <n v="2"/>
    <n v="2"/>
    <n v="2238"/>
    <s v="No"/>
    <s v="None"/>
    <s v="None"/>
    <x v="4"/>
    <x v="1"/>
    <n v="18"/>
    <x v="1"/>
  </r>
  <r>
    <n v="546"/>
    <n v="30"/>
    <x v="0"/>
    <s v="Male single"/>
    <x v="1"/>
    <x v="1"/>
    <n v="2"/>
    <x v="1"/>
    <s v="Unknown"/>
    <x v="0"/>
    <n v="3"/>
    <x v="1"/>
    <s v="Yes"/>
    <s v="&lt;0"/>
    <x v="1"/>
    <s v="100&lt;=X&lt;500"/>
    <x v="3"/>
    <s v="high qualif/self emp/mgmt"/>
    <s v="Skilled"/>
    <x v="0"/>
    <s v="4&lt;=X&lt;7"/>
    <x v="2"/>
    <s v="existing paid"/>
    <x v="1"/>
    <n v="4"/>
    <n v="1"/>
    <n v="2249"/>
    <s v="No"/>
    <s v="None"/>
    <s v="None"/>
    <x v="3"/>
    <x v="1"/>
    <n v="18"/>
    <x v="1"/>
  </r>
  <r>
    <n v="547"/>
    <n v="28"/>
    <x v="1"/>
    <s v="Female Divorced with Dependents"/>
    <x v="0"/>
    <x v="0"/>
    <n v="1"/>
    <x v="1"/>
    <s v="Unknown"/>
    <x v="0"/>
    <n v="3"/>
    <x v="1"/>
    <s v="No"/>
    <s v="0&lt;=X&lt;200"/>
    <x v="0"/>
    <s v="100&lt;=X&lt;500"/>
    <x v="3"/>
    <s v="skilled"/>
    <s v="Skilled"/>
    <x v="0"/>
    <s v="&lt;1"/>
    <x v="1"/>
    <s v="no credits/all paid"/>
    <x v="0"/>
    <n v="3"/>
    <n v="2"/>
    <n v="2278"/>
    <s v="No"/>
    <s v="None"/>
    <s v="None"/>
    <x v="3"/>
    <x v="1"/>
    <n v="18"/>
    <x v="0"/>
  </r>
  <r>
    <n v="548"/>
    <n v="34"/>
    <x v="0"/>
    <s v="Male Married/Widowed"/>
    <x v="1"/>
    <x v="2"/>
    <n v="1"/>
    <x v="1"/>
    <s v="Unknown"/>
    <x v="0"/>
    <n v="3"/>
    <x v="2"/>
    <s v="No"/>
    <s v="no checking"/>
    <x v="2"/>
    <s v="&lt;100"/>
    <x v="0"/>
    <s v="skilled"/>
    <s v="Skilled"/>
    <x v="0"/>
    <s v="unemployed"/>
    <x v="4"/>
    <s v="delayed previously"/>
    <x v="4"/>
    <n v="2"/>
    <n v="2"/>
    <n v="2320"/>
    <s v="No"/>
    <s v="None"/>
    <s v="None"/>
    <x v="4"/>
    <x v="1"/>
    <n v="18"/>
    <x v="1"/>
  </r>
  <r>
    <n v="549"/>
    <n v="27"/>
    <x v="1"/>
    <s v="Female Divorced with Dependents"/>
    <x v="0"/>
    <x v="0"/>
    <n v="1"/>
    <x v="1"/>
    <s v="Unknown"/>
    <x v="0"/>
    <n v="1"/>
    <x v="1"/>
    <s v="No"/>
    <s v="&lt;0"/>
    <x v="1"/>
    <s v="&lt;100"/>
    <x v="0"/>
    <s v="skilled"/>
    <s v="Skilled"/>
    <x v="0"/>
    <s v="&lt;1"/>
    <x v="1"/>
    <s v="existing paid"/>
    <x v="1"/>
    <n v="4"/>
    <n v="1"/>
    <n v="2389"/>
    <s v="No"/>
    <s v="None"/>
    <s v="Store"/>
    <x v="4"/>
    <x v="1"/>
    <n v="18"/>
    <x v="1"/>
  </r>
  <r>
    <n v="550"/>
    <n v="26"/>
    <x v="1"/>
    <s v="Female Divorced with Dependents"/>
    <x v="0"/>
    <x v="0"/>
    <n v="1"/>
    <x v="1"/>
    <s v="Unknown"/>
    <x v="0"/>
    <n v="2"/>
    <x v="1"/>
    <s v="No"/>
    <s v="no checking"/>
    <x v="2"/>
    <s v="&lt;100"/>
    <x v="0"/>
    <s v="skilled"/>
    <s v="Skilled"/>
    <x v="0"/>
    <s v="1&lt;=X&lt;4"/>
    <x v="0"/>
    <s v="critical/Others existing credit"/>
    <x v="3"/>
    <n v="2"/>
    <n v="2"/>
    <n v="2404"/>
    <s v="No"/>
    <s v="None"/>
    <s v="None"/>
    <x v="4"/>
    <x v="1"/>
    <n v="18"/>
    <x v="1"/>
  </r>
  <r>
    <n v="551"/>
    <n v="42"/>
    <x v="2"/>
    <s v="Male single"/>
    <x v="1"/>
    <x v="1"/>
    <n v="1"/>
    <x v="1"/>
    <s v="Unknown"/>
    <x v="0"/>
    <n v="2"/>
    <x v="0"/>
    <s v="No"/>
    <s v="0&lt;=X&lt;200"/>
    <x v="0"/>
    <s v="no known savings"/>
    <x v="1"/>
    <s v="skilled"/>
    <s v="Skilled"/>
    <x v="0"/>
    <s v="&gt;=7"/>
    <x v="3"/>
    <s v="delayed previously"/>
    <x v="4"/>
    <n v="4"/>
    <n v="2"/>
    <n v="2427"/>
    <s v="No"/>
    <s v="None"/>
    <s v="None"/>
    <x v="5"/>
    <x v="1"/>
    <n v="18"/>
    <x v="1"/>
  </r>
  <r>
    <n v="552"/>
    <n v="22"/>
    <x v="1"/>
    <s v="Male single"/>
    <x v="1"/>
    <x v="1"/>
    <n v="1"/>
    <x v="1"/>
    <s v="Unknown"/>
    <x v="0"/>
    <n v="2"/>
    <x v="1"/>
    <s v="No"/>
    <s v="&lt;0"/>
    <x v="1"/>
    <s v="&lt;100"/>
    <x v="0"/>
    <s v="skilled"/>
    <s v="Skilled"/>
    <x v="0"/>
    <s v="1&lt;=X&lt;4"/>
    <x v="0"/>
    <s v="existing paid"/>
    <x v="1"/>
    <n v="2"/>
    <n v="1"/>
    <n v="2462"/>
    <s v="No"/>
    <s v="None"/>
    <s v="None"/>
    <x v="1"/>
    <x v="1"/>
    <n v="18"/>
    <x v="0"/>
  </r>
  <r>
    <n v="553"/>
    <n v="25"/>
    <x v="1"/>
    <s v="Male single"/>
    <x v="1"/>
    <x v="1"/>
    <n v="1"/>
    <x v="1"/>
    <s v="Non-resident"/>
    <x v="0"/>
    <n v="1"/>
    <x v="1"/>
    <s v="No"/>
    <s v="&lt;0"/>
    <x v="1"/>
    <s v="&lt;100"/>
    <x v="0"/>
    <s v="unemp/unskilled non res"/>
    <s v="Unskilled"/>
    <x v="1"/>
    <s v="unemployed"/>
    <x v="4"/>
    <s v="existing paid"/>
    <x v="1"/>
    <n v="4"/>
    <n v="1"/>
    <n v="2473"/>
    <s v="No"/>
    <s v="None"/>
    <s v="None"/>
    <x v="1"/>
    <x v="1"/>
    <n v="18"/>
    <x v="0"/>
  </r>
  <r>
    <n v="554"/>
    <n v="43"/>
    <x v="2"/>
    <s v="Male single"/>
    <x v="1"/>
    <x v="1"/>
    <n v="1"/>
    <x v="1"/>
    <s v="Unknown"/>
    <x v="0"/>
    <n v="4"/>
    <x v="2"/>
    <s v="Yes"/>
    <s v="no checking"/>
    <x v="2"/>
    <s v="&lt;100"/>
    <x v="0"/>
    <s v="skilled"/>
    <s v="Skilled"/>
    <x v="0"/>
    <s v="1&lt;=X&lt;4"/>
    <x v="0"/>
    <s v="existing paid"/>
    <x v="1"/>
    <n v="3"/>
    <n v="1"/>
    <n v="2515"/>
    <s v="No"/>
    <s v="None"/>
    <s v="None"/>
    <x v="1"/>
    <x v="1"/>
    <n v="18"/>
    <x v="1"/>
  </r>
  <r>
    <n v="555"/>
    <n v="65"/>
    <x v="5"/>
    <s v="Male single"/>
    <x v="1"/>
    <x v="1"/>
    <n v="1"/>
    <x v="1"/>
    <s v="Unknown"/>
    <x v="2"/>
    <n v="4"/>
    <x v="3"/>
    <s v="No"/>
    <s v="&lt;0"/>
    <x v="1"/>
    <s v="&lt;100"/>
    <x v="0"/>
    <s v="skilled"/>
    <s v="Skilled"/>
    <x v="0"/>
    <s v="1&lt;=X&lt;4"/>
    <x v="0"/>
    <s v="existing paid"/>
    <x v="1"/>
    <n v="4"/>
    <n v="2"/>
    <n v="2600"/>
    <s v="No"/>
    <s v="None"/>
    <s v="None"/>
    <x v="4"/>
    <x v="1"/>
    <n v="18"/>
    <x v="0"/>
  </r>
  <r>
    <n v="556"/>
    <n v="34"/>
    <x v="0"/>
    <s v="Male single"/>
    <x v="1"/>
    <x v="1"/>
    <n v="1"/>
    <x v="1"/>
    <s v="Unknown"/>
    <x v="0"/>
    <n v="4"/>
    <x v="1"/>
    <s v="No"/>
    <s v="0&lt;=X&lt;200"/>
    <x v="0"/>
    <s v="100&lt;=X&lt;500"/>
    <x v="3"/>
    <s v="skilled"/>
    <s v="Skilled"/>
    <x v="0"/>
    <s v="1&lt;=X&lt;4"/>
    <x v="0"/>
    <s v="existing paid"/>
    <x v="1"/>
    <n v="4"/>
    <n v="1"/>
    <n v="2622"/>
    <s v="No"/>
    <s v="None"/>
    <s v="None"/>
    <x v="5"/>
    <x v="1"/>
    <n v="18"/>
    <x v="1"/>
  </r>
  <r>
    <n v="557"/>
    <n v="28"/>
    <x v="1"/>
    <s v="Male single"/>
    <x v="1"/>
    <x v="1"/>
    <n v="1"/>
    <x v="1"/>
    <s v="Unknown"/>
    <x v="0"/>
    <n v="2"/>
    <x v="1"/>
    <s v="No"/>
    <s v="&lt;0"/>
    <x v="1"/>
    <s v="&gt;=1000"/>
    <x v="2"/>
    <s v="skilled"/>
    <s v="Skilled"/>
    <x v="0"/>
    <s v="1&lt;=X&lt;4"/>
    <x v="0"/>
    <s v="existing paid"/>
    <x v="1"/>
    <n v="4"/>
    <n v="1"/>
    <n v="2659"/>
    <s v="No"/>
    <s v="None"/>
    <s v="None"/>
    <x v="1"/>
    <x v="1"/>
    <n v="18"/>
    <x v="1"/>
  </r>
  <r>
    <n v="558"/>
    <n v="31"/>
    <x v="0"/>
    <s v="Male single"/>
    <x v="1"/>
    <x v="1"/>
    <n v="1"/>
    <x v="1"/>
    <s v="Unknown"/>
    <x v="0"/>
    <n v="2"/>
    <x v="0"/>
    <s v="No"/>
    <s v="no checking"/>
    <x v="2"/>
    <s v="&lt;100"/>
    <x v="0"/>
    <s v="skilled"/>
    <s v="Skilled"/>
    <x v="0"/>
    <s v="4&lt;=X&lt;7"/>
    <x v="2"/>
    <s v="critical/Others existing credit"/>
    <x v="3"/>
    <n v="2"/>
    <n v="2"/>
    <n v="2775"/>
    <s v="No"/>
    <s v="None"/>
    <s v="Bank"/>
    <x v="3"/>
    <x v="1"/>
    <n v="18"/>
    <x v="0"/>
  </r>
  <r>
    <n v="559"/>
    <n v="21"/>
    <x v="1"/>
    <s v="Male Married/Widowed"/>
    <x v="1"/>
    <x v="2"/>
    <n v="1"/>
    <x v="1"/>
    <s v="Unknown"/>
    <x v="1"/>
    <n v="3"/>
    <x v="1"/>
    <s v="Yes"/>
    <s v="0&lt;=X&lt;200"/>
    <x v="0"/>
    <s v="&lt;100"/>
    <x v="0"/>
    <s v="skilled"/>
    <s v="Skilled"/>
    <x v="0"/>
    <s v="1&lt;=X&lt;4"/>
    <x v="0"/>
    <s v="existing paid"/>
    <x v="1"/>
    <n v="1"/>
    <n v="1"/>
    <n v="2779"/>
    <s v="No"/>
    <s v="None"/>
    <s v="None"/>
    <x v="2"/>
    <x v="1"/>
    <n v="18"/>
    <x v="1"/>
  </r>
  <r>
    <n v="560"/>
    <n v="34"/>
    <x v="0"/>
    <s v="Male single"/>
    <x v="1"/>
    <x v="1"/>
    <n v="2"/>
    <x v="1"/>
    <s v="Resident"/>
    <x v="0"/>
    <n v="1"/>
    <x v="2"/>
    <s v="No"/>
    <s v="&gt;=200"/>
    <x v="3"/>
    <s v="&lt;100"/>
    <x v="0"/>
    <s v="unskilled resident"/>
    <s v="Unskilled"/>
    <x v="0"/>
    <s v="1&lt;=X&lt;4"/>
    <x v="0"/>
    <s v="existing paid"/>
    <x v="1"/>
    <n v="2"/>
    <n v="1"/>
    <n v="2864"/>
    <s v="No"/>
    <s v="None"/>
    <s v="None"/>
    <x v="1"/>
    <x v="1"/>
    <n v="18"/>
    <x v="0"/>
  </r>
  <r>
    <n v="561"/>
    <n v="43"/>
    <x v="2"/>
    <s v="Male single"/>
    <x v="1"/>
    <x v="1"/>
    <n v="2"/>
    <x v="1"/>
    <s v="Unknown"/>
    <x v="0"/>
    <n v="4"/>
    <x v="1"/>
    <s v="No"/>
    <s v="0&lt;=X&lt;200"/>
    <x v="0"/>
    <s v="no known savings"/>
    <x v="1"/>
    <s v="skilled"/>
    <s v="Skilled"/>
    <x v="0"/>
    <s v="&gt;=7"/>
    <x v="3"/>
    <s v="delayed previously"/>
    <x v="4"/>
    <n v="4"/>
    <n v="1"/>
    <n v="2899"/>
    <s v="No"/>
    <s v="None"/>
    <s v="None"/>
    <x v="3"/>
    <x v="1"/>
    <n v="18"/>
    <x v="1"/>
  </r>
  <r>
    <n v="562"/>
    <n v="40"/>
    <x v="2"/>
    <s v="Female Divorced with Dependents"/>
    <x v="0"/>
    <x v="0"/>
    <n v="1"/>
    <x v="1"/>
    <s v="Unknown"/>
    <x v="1"/>
    <n v="4"/>
    <x v="2"/>
    <s v="No"/>
    <s v="0&lt;=X&lt;200"/>
    <x v="0"/>
    <s v="&lt;100"/>
    <x v="0"/>
    <s v="skilled"/>
    <s v="Skilled"/>
    <x v="0"/>
    <s v="4&lt;=X&lt;7"/>
    <x v="2"/>
    <s v="existing paid"/>
    <x v="1"/>
    <n v="2"/>
    <n v="1"/>
    <n v="3001"/>
    <s v="No"/>
    <s v="None"/>
    <s v="None"/>
    <x v="1"/>
    <x v="1"/>
    <n v="18"/>
    <x v="1"/>
  </r>
  <r>
    <n v="563"/>
    <n v="45"/>
    <x v="2"/>
    <s v="Female Divorced with Dependents"/>
    <x v="0"/>
    <x v="0"/>
    <n v="1"/>
    <x v="1"/>
    <s v="Resident"/>
    <x v="0"/>
    <n v="1"/>
    <x v="0"/>
    <s v="No"/>
    <s v="&gt;=200"/>
    <x v="3"/>
    <s v="&lt;100"/>
    <x v="0"/>
    <s v="unskilled resident"/>
    <s v="Unskilled"/>
    <x v="0"/>
    <s v="&lt;1"/>
    <x v="1"/>
    <s v="existing paid"/>
    <x v="1"/>
    <n v="1"/>
    <n v="1"/>
    <n v="3049"/>
    <s v="No"/>
    <s v="None"/>
    <s v="Store"/>
    <x v="1"/>
    <x v="1"/>
    <n v="18"/>
    <x v="1"/>
  </r>
  <r>
    <n v="564"/>
    <n v="31"/>
    <x v="0"/>
    <s v="Male single"/>
    <x v="1"/>
    <x v="1"/>
    <n v="1"/>
    <x v="1"/>
    <s v="Unknown"/>
    <x v="0"/>
    <n v="1"/>
    <x v="0"/>
    <s v="Yes"/>
    <s v="&lt;0"/>
    <x v="1"/>
    <s v="&lt;100"/>
    <x v="0"/>
    <s v="skilled"/>
    <s v="Skilled"/>
    <x v="0"/>
    <s v="4&lt;=X&lt;7"/>
    <x v="2"/>
    <s v="no credits/all paid"/>
    <x v="0"/>
    <n v="3"/>
    <n v="1"/>
    <n v="3104"/>
    <s v="No"/>
    <s v="None"/>
    <s v="Bank"/>
    <x v="5"/>
    <x v="1"/>
    <n v="18"/>
    <x v="1"/>
  </r>
  <r>
    <n v="565"/>
    <n v="26"/>
    <x v="1"/>
    <s v="Female Divorced with Dependents"/>
    <x v="0"/>
    <x v="0"/>
    <n v="1"/>
    <x v="1"/>
    <s v="Unknown"/>
    <x v="1"/>
    <n v="4"/>
    <x v="0"/>
    <s v="No"/>
    <s v="&lt;0"/>
    <x v="1"/>
    <s v="&lt;100"/>
    <x v="0"/>
    <s v="skilled"/>
    <s v="Skilled"/>
    <x v="0"/>
    <s v="&lt;1"/>
    <x v="1"/>
    <s v="no credits/all paid"/>
    <x v="0"/>
    <n v="1"/>
    <n v="1"/>
    <n v="3114"/>
    <s v="No"/>
    <s v="None"/>
    <s v="None"/>
    <x v="1"/>
    <x v="1"/>
    <n v="18"/>
    <x v="0"/>
  </r>
  <r>
    <n v="566"/>
    <n v="24"/>
    <x v="1"/>
    <s v="Female Divorced with Dependents"/>
    <x v="0"/>
    <x v="0"/>
    <n v="1"/>
    <x v="1"/>
    <s v="Unknown"/>
    <x v="0"/>
    <n v="2"/>
    <x v="2"/>
    <s v="No"/>
    <s v="&lt;0"/>
    <x v="1"/>
    <s v="&lt;100"/>
    <x v="0"/>
    <s v="skilled"/>
    <s v="Skilled"/>
    <x v="0"/>
    <s v="1&lt;=X&lt;4"/>
    <x v="0"/>
    <s v="existing paid"/>
    <x v="1"/>
    <n v="2"/>
    <n v="1"/>
    <n v="3190"/>
    <s v="No"/>
    <s v="None"/>
    <s v="None"/>
    <x v="4"/>
    <x v="1"/>
    <n v="18"/>
    <x v="0"/>
  </r>
  <r>
    <n v="567"/>
    <n v="25"/>
    <x v="1"/>
    <s v="Male Married/Widowed"/>
    <x v="1"/>
    <x v="2"/>
    <n v="1"/>
    <x v="1"/>
    <s v="Unknown"/>
    <x v="1"/>
    <n v="3"/>
    <x v="2"/>
    <s v="No"/>
    <s v="0&lt;=X&lt;200"/>
    <x v="0"/>
    <s v="500&lt;=X&lt;1000"/>
    <x v="4"/>
    <s v="skilled"/>
    <s v="Skilled"/>
    <x v="0"/>
    <s v="&lt;1"/>
    <x v="1"/>
    <s v="existing paid"/>
    <x v="1"/>
    <n v="1"/>
    <n v="1"/>
    <n v="3213"/>
    <s v="No"/>
    <s v="None"/>
    <s v="None"/>
    <x v="4"/>
    <x v="1"/>
    <n v="18"/>
    <x v="1"/>
  </r>
  <r>
    <n v="568"/>
    <n v="38"/>
    <x v="0"/>
    <s v="Male single"/>
    <x v="1"/>
    <x v="1"/>
    <n v="1"/>
    <x v="1"/>
    <s v="Unknown"/>
    <x v="0"/>
    <n v="4"/>
    <x v="3"/>
    <s v="Yes"/>
    <s v="no checking"/>
    <x v="2"/>
    <s v="no known savings"/>
    <x v="1"/>
    <s v="high qualif/self emp/mgmt"/>
    <s v="Skilled"/>
    <x v="0"/>
    <s v="unemployed"/>
    <x v="4"/>
    <s v="critical/Others existing credit"/>
    <x v="3"/>
    <n v="2"/>
    <n v="1"/>
    <n v="3229"/>
    <s v="No"/>
    <s v="None"/>
    <s v="None"/>
    <x v="2"/>
    <x v="1"/>
    <n v="18"/>
    <x v="1"/>
  </r>
  <r>
    <n v="569"/>
    <n v="33"/>
    <x v="0"/>
    <s v="Female Divorced with Dependents"/>
    <x v="0"/>
    <x v="0"/>
    <n v="1"/>
    <x v="1"/>
    <s v="Unknown"/>
    <x v="0"/>
    <n v="4"/>
    <x v="1"/>
    <s v="Yes"/>
    <s v="0&lt;=X&lt;200"/>
    <x v="0"/>
    <s v="&lt;100"/>
    <x v="0"/>
    <s v="skilled"/>
    <s v="Skilled"/>
    <x v="0"/>
    <s v="1&lt;=X&lt;4"/>
    <x v="0"/>
    <s v="no credits/all paid"/>
    <x v="0"/>
    <n v="1"/>
    <n v="2"/>
    <n v="3244"/>
    <s v="No"/>
    <s v="None"/>
    <s v="Bank"/>
    <x v="1"/>
    <x v="1"/>
    <n v="18"/>
    <x v="1"/>
  </r>
  <r>
    <n v="570"/>
    <n v="31"/>
    <x v="0"/>
    <s v="Male single"/>
    <x v="1"/>
    <x v="1"/>
    <n v="1"/>
    <x v="1"/>
    <s v="Unknown"/>
    <x v="0"/>
    <n v="1"/>
    <x v="0"/>
    <s v="Yes"/>
    <s v="no checking"/>
    <x v="2"/>
    <s v="no known savings"/>
    <x v="1"/>
    <s v="skilled"/>
    <s v="Skilled"/>
    <x v="0"/>
    <s v="1&lt;=X&lt;4"/>
    <x v="0"/>
    <s v="existing paid"/>
    <x v="1"/>
    <n v="2"/>
    <n v="1"/>
    <n v="3378"/>
    <s v="No"/>
    <s v="None"/>
    <s v="None"/>
    <x v="2"/>
    <x v="1"/>
    <n v="18"/>
    <x v="1"/>
  </r>
  <r>
    <n v="571"/>
    <n v="47"/>
    <x v="2"/>
    <s v="Male single"/>
    <x v="1"/>
    <x v="1"/>
    <n v="2"/>
    <x v="1"/>
    <s v="Unknown"/>
    <x v="0"/>
    <n v="4"/>
    <x v="0"/>
    <s v="Yes"/>
    <s v="no checking"/>
    <x v="2"/>
    <s v="&lt;100"/>
    <x v="0"/>
    <s v="skilled"/>
    <s v="Skilled"/>
    <x v="0"/>
    <s v="&gt;=7"/>
    <x v="3"/>
    <s v="existing paid"/>
    <x v="1"/>
    <n v="4"/>
    <n v="3"/>
    <n v="3422"/>
    <s v="No"/>
    <s v="None"/>
    <s v="Bank"/>
    <x v="1"/>
    <x v="1"/>
    <n v="18"/>
    <x v="1"/>
  </r>
  <r>
    <n v="572"/>
    <n v="25"/>
    <x v="1"/>
    <s v="Female Divorced with Dependents"/>
    <x v="0"/>
    <x v="0"/>
    <n v="1"/>
    <x v="1"/>
    <s v="Unknown"/>
    <x v="0"/>
    <n v="1"/>
    <x v="2"/>
    <s v="No"/>
    <s v="&lt;0"/>
    <x v="1"/>
    <s v="&lt;100"/>
    <x v="0"/>
    <s v="skilled"/>
    <s v="Skilled"/>
    <x v="0"/>
    <s v="4&lt;=X&lt;7"/>
    <x v="2"/>
    <s v="existing paid"/>
    <x v="1"/>
    <n v="4"/>
    <n v="1"/>
    <n v="3509"/>
    <s v="guarantor"/>
    <s v="Guarantor"/>
    <s v="None"/>
    <x v="4"/>
    <x v="1"/>
    <n v="18"/>
    <x v="1"/>
  </r>
  <r>
    <n v="573"/>
    <n v="40"/>
    <x v="2"/>
    <s v="Male Married/Widowed"/>
    <x v="1"/>
    <x v="2"/>
    <n v="2"/>
    <x v="1"/>
    <s v="Non-resident"/>
    <x v="0"/>
    <n v="3"/>
    <x v="1"/>
    <s v="Yes"/>
    <s v="0&lt;=X&lt;200"/>
    <x v="0"/>
    <s v="&lt;100"/>
    <x v="0"/>
    <s v="unemp/unskilled non res"/>
    <s v="Unskilled"/>
    <x v="1"/>
    <s v="unemployed"/>
    <x v="4"/>
    <s v="critical/Others existing credit"/>
    <x v="3"/>
    <n v="3"/>
    <n v="3"/>
    <n v="3590"/>
    <s v="No"/>
    <s v="None"/>
    <s v="None"/>
    <x v="5"/>
    <x v="1"/>
    <n v="18"/>
    <x v="1"/>
  </r>
  <r>
    <n v="574"/>
    <n v="37"/>
    <x v="0"/>
    <s v="Female Divorced with Dependents"/>
    <x v="0"/>
    <x v="0"/>
    <n v="1"/>
    <x v="1"/>
    <s v="Unknown"/>
    <x v="0"/>
    <n v="4"/>
    <x v="0"/>
    <s v="Yes"/>
    <s v="0&lt;=X&lt;200"/>
    <x v="0"/>
    <s v="&lt;100"/>
    <x v="0"/>
    <s v="skilled"/>
    <s v="Skilled"/>
    <x v="0"/>
    <s v="&gt;=7"/>
    <x v="3"/>
    <s v="critical/Others existing credit"/>
    <x v="3"/>
    <n v="3"/>
    <n v="1"/>
    <n v="3612"/>
    <s v="No"/>
    <s v="None"/>
    <s v="None"/>
    <x v="1"/>
    <x v="1"/>
    <n v="18"/>
    <x v="1"/>
  </r>
  <r>
    <n v="575"/>
    <n v="22"/>
    <x v="1"/>
    <s v="Female Divorced with Dependents"/>
    <x v="0"/>
    <x v="0"/>
    <n v="1"/>
    <x v="1"/>
    <s v="Unknown"/>
    <x v="1"/>
    <n v="4"/>
    <x v="1"/>
    <s v="No"/>
    <s v="&lt;0"/>
    <x v="1"/>
    <s v="&lt;100"/>
    <x v="0"/>
    <s v="skilled"/>
    <s v="Skilled"/>
    <x v="0"/>
    <s v="&lt;1"/>
    <x v="1"/>
    <s v="existing paid"/>
    <x v="1"/>
    <n v="1"/>
    <n v="1"/>
    <n v="3650"/>
    <s v="No"/>
    <s v="None"/>
    <s v="None"/>
    <x v="1"/>
    <x v="1"/>
    <n v="18"/>
    <x v="1"/>
  </r>
  <r>
    <n v="576"/>
    <n v="35"/>
    <x v="0"/>
    <s v="Male Divorced/Seperated"/>
    <x v="1"/>
    <x v="3"/>
    <n v="1"/>
    <x v="1"/>
    <s v="Unknown"/>
    <x v="0"/>
    <n v="2"/>
    <x v="1"/>
    <s v="Yes"/>
    <s v="no checking"/>
    <x v="2"/>
    <s v="&lt;100"/>
    <x v="0"/>
    <s v="high qualif/self emp/mgmt"/>
    <s v="Skilled"/>
    <x v="0"/>
    <s v="&lt;1"/>
    <x v="1"/>
    <s v="critical/Others existing credit"/>
    <x v="3"/>
    <n v="3"/>
    <n v="2"/>
    <n v="3780"/>
    <s v="No"/>
    <s v="None"/>
    <s v="None"/>
    <x v="1"/>
    <x v="1"/>
    <n v="18"/>
    <x v="1"/>
  </r>
  <r>
    <n v="577"/>
    <n v="27"/>
    <x v="1"/>
    <s v="Male single"/>
    <x v="1"/>
    <x v="1"/>
    <n v="1"/>
    <x v="1"/>
    <s v="Unknown"/>
    <x v="0"/>
    <n v="1"/>
    <x v="1"/>
    <s v="No"/>
    <s v="no checking"/>
    <x v="2"/>
    <s v="&lt;100"/>
    <x v="0"/>
    <s v="skilled"/>
    <s v="Skilled"/>
    <x v="0"/>
    <s v="4&lt;=X&lt;7"/>
    <x v="2"/>
    <s v="critical/Others existing credit"/>
    <x v="3"/>
    <n v="3"/>
    <n v="2"/>
    <n v="3850"/>
    <s v="No"/>
    <s v="None"/>
    <s v="None"/>
    <x v="2"/>
    <x v="1"/>
    <n v="18"/>
    <x v="1"/>
  </r>
  <r>
    <n v="578"/>
    <n v="67"/>
    <x v="5"/>
    <s v="Female Divorced with Dependents"/>
    <x v="0"/>
    <x v="0"/>
    <n v="1"/>
    <x v="1"/>
    <s v="Unknown"/>
    <x v="0"/>
    <n v="4"/>
    <x v="1"/>
    <s v="Yes"/>
    <s v="0&lt;=X&lt;200"/>
    <x v="0"/>
    <s v="&lt;100"/>
    <x v="0"/>
    <s v="skilled"/>
    <s v="Skilled"/>
    <x v="0"/>
    <s v="unemployed"/>
    <x v="4"/>
    <s v="existing paid"/>
    <x v="1"/>
    <n v="2"/>
    <n v="1"/>
    <n v="3872"/>
    <s v="No"/>
    <s v="None"/>
    <s v="None"/>
    <x v="6"/>
    <x v="1"/>
    <n v="18"/>
    <x v="1"/>
  </r>
  <r>
    <n v="579"/>
    <n v="33"/>
    <x v="0"/>
    <s v="Female Divorced with Dependents"/>
    <x v="0"/>
    <x v="0"/>
    <n v="1"/>
    <x v="1"/>
    <s v="Unknown"/>
    <x v="1"/>
    <n v="4"/>
    <x v="2"/>
    <s v="Yes"/>
    <s v="&lt;0"/>
    <x v="1"/>
    <s v="&lt;100"/>
    <x v="0"/>
    <s v="skilled"/>
    <s v="Skilled"/>
    <x v="0"/>
    <s v="&gt;=7"/>
    <x v="3"/>
    <s v="critical/Others existing credit"/>
    <x v="3"/>
    <n v="1"/>
    <n v="3"/>
    <n v="3966"/>
    <s v="No"/>
    <s v="None"/>
    <s v="Bank"/>
    <x v="3"/>
    <x v="1"/>
    <n v="18"/>
    <x v="0"/>
  </r>
  <r>
    <n v="580"/>
    <n v="42"/>
    <x v="2"/>
    <s v="Male single"/>
    <x v="1"/>
    <x v="1"/>
    <n v="1"/>
    <x v="1"/>
    <s v="Unknown"/>
    <x v="0"/>
    <n v="3"/>
    <x v="1"/>
    <s v="No"/>
    <s v="&lt;0"/>
    <x v="1"/>
    <s v="&lt;100"/>
    <x v="0"/>
    <s v="skilled"/>
    <s v="Skilled"/>
    <x v="0"/>
    <s v="1&lt;=X&lt;4"/>
    <x v="0"/>
    <s v="existing paid"/>
    <x v="1"/>
    <n v="2"/>
    <n v="1"/>
    <n v="4153"/>
    <s v="co applicant"/>
    <s v="Co-applicant"/>
    <s v="None"/>
    <x v="1"/>
    <x v="1"/>
    <n v="18"/>
    <x v="0"/>
  </r>
  <r>
    <n v="581"/>
    <n v="36"/>
    <x v="0"/>
    <s v="Male single"/>
    <x v="1"/>
    <x v="1"/>
    <n v="2"/>
    <x v="1"/>
    <s v="Unknown"/>
    <x v="0"/>
    <n v="2"/>
    <x v="1"/>
    <s v="No"/>
    <s v="no checking"/>
    <x v="2"/>
    <s v="&lt;100"/>
    <x v="0"/>
    <s v="skilled"/>
    <s v="Skilled"/>
    <x v="0"/>
    <s v="1&lt;=X&lt;4"/>
    <x v="0"/>
    <s v="no credits/all paid"/>
    <x v="0"/>
    <n v="2"/>
    <n v="2"/>
    <n v="4165"/>
    <s v="No"/>
    <s v="None"/>
    <s v="Store"/>
    <x v="5"/>
    <x v="1"/>
    <n v="18"/>
    <x v="0"/>
  </r>
  <r>
    <n v="582"/>
    <n v="40"/>
    <x v="2"/>
    <s v="Male Divorced/Seperated"/>
    <x v="1"/>
    <x v="3"/>
    <n v="1"/>
    <x v="1"/>
    <s v="Unknown"/>
    <x v="0"/>
    <n v="3"/>
    <x v="3"/>
    <s v="Yes"/>
    <s v="0&lt;=X&lt;200"/>
    <x v="0"/>
    <s v="&lt;100"/>
    <x v="0"/>
    <s v="high qualif/self emp/mgmt"/>
    <s v="Skilled"/>
    <x v="0"/>
    <s v="&gt;=7"/>
    <x v="3"/>
    <s v="delayed previously"/>
    <x v="4"/>
    <n v="4"/>
    <n v="1"/>
    <n v="4297"/>
    <s v="No"/>
    <s v="None"/>
    <s v="None"/>
    <x v="1"/>
    <x v="1"/>
    <n v="18"/>
    <x v="0"/>
  </r>
  <r>
    <n v="583"/>
    <n v="35"/>
    <x v="0"/>
    <s v="Male single"/>
    <x v="1"/>
    <x v="1"/>
    <n v="2"/>
    <x v="1"/>
    <s v="Resident"/>
    <x v="0"/>
    <n v="4"/>
    <x v="1"/>
    <s v="Yes"/>
    <s v="&lt;0"/>
    <x v="1"/>
    <s v="100&lt;=X&lt;500"/>
    <x v="3"/>
    <s v="unskilled resident"/>
    <s v="Unskilled"/>
    <x v="0"/>
    <s v="1&lt;=X&lt;4"/>
    <x v="0"/>
    <s v="existing paid"/>
    <x v="1"/>
    <n v="3"/>
    <n v="1"/>
    <n v="4380"/>
    <s v="No"/>
    <s v="None"/>
    <s v="None"/>
    <x v="3"/>
    <x v="1"/>
    <n v="18"/>
    <x v="1"/>
  </r>
  <r>
    <n v="584"/>
    <n v="33"/>
    <x v="0"/>
    <s v="Male single"/>
    <x v="1"/>
    <x v="1"/>
    <n v="1"/>
    <x v="1"/>
    <s v="Unknown"/>
    <x v="0"/>
    <n v="1"/>
    <x v="2"/>
    <s v="Yes"/>
    <s v="0&lt;=X&lt;200"/>
    <x v="0"/>
    <s v="&lt;100"/>
    <x v="0"/>
    <s v="high qualif/self emp/mgmt"/>
    <s v="Skilled"/>
    <x v="0"/>
    <s v="&gt;=7"/>
    <x v="3"/>
    <s v="existing paid"/>
    <x v="1"/>
    <n v="1"/>
    <n v="1"/>
    <n v="4439"/>
    <s v="co applicant"/>
    <s v="Co-applicant"/>
    <s v="Bank"/>
    <x v="5"/>
    <x v="1"/>
    <n v="18"/>
    <x v="1"/>
  </r>
  <r>
    <n v="585"/>
    <n v="32"/>
    <x v="0"/>
    <s v="Male single"/>
    <x v="1"/>
    <x v="1"/>
    <n v="1"/>
    <x v="1"/>
    <s v="Unknown"/>
    <x v="0"/>
    <n v="2"/>
    <x v="1"/>
    <s v="Yes"/>
    <s v="no checking"/>
    <x v="2"/>
    <s v="&lt;100"/>
    <x v="0"/>
    <s v="skilled"/>
    <s v="Skilled"/>
    <x v="0"/>
    <s v="&lt;1"/>
    <x v="1"/>
    <s v="existing paid"/>
    <x v="1"/>
    <n v="3"/>
    <n v="1"/>
    <n v="4594"/>
    <s v="No"/>
    <s v="None"/>
    <s v="None"/>
    <x v="4"/>
    <x v="1"/>
    <n v="18"/>
    <x v="1"/>
  </r>
  <r>
    <n v="586"/>
    <n v="36"/>
    <x v="0"/>
    <s v="Male single"/>
    <x v="1"/>
    <x v="1"/>
    <n v="1"/>
    <x v="1"/>
    <s v="Unknown"/>
    <x v="2"/>
    <n v="4"/>
    <x v="3"/>
    <s v="Yes"/>
    <s v="&lt;0"/>
    <x v="1"/>
    <s v="&lt;100"/>
    <x v="0"/>
    <s v="high qualif/self emp/mgmt"/>
    <s v="Skilled"/>
    <x v="0"/>
    <s v="&gt;=7"/>
    <x v="3"/>
    <s v="critical/Others existing credit"/>
    <x v="3"/>
    <n v="2"/>
    <n v="3"/>
    <n v="5302"/>
    <s v="No"/>
    <s v="None"/>
    <s v="None"/>
    <x v="3"/>
    <x v="1"/>
    <n v="18"/>
    <x v="1"/>
  </r>
  <r>
    <n v="587"/>
    <n v="30"/>
    <x v="0"/>
    <s v="Male single"/>
    <x v="1"/>
    <x v="1"/>
    <n v="1"/>
    <x v="1"/>
    <s v="Unknown"/>
    <x v="0"/>
    <n v="2"/>
    <x v="1"/>
    <s v="Yes"/>
    <s v="0&lt;=X&lt;200"/>
    <x v="0"/>
    <s v="100&lt;=X&lt;500"/>
    <x v="3"/>
    <s v="skilled"/>
    <s v="Skilled"/>
    <x v="0"/>
    <s v="1&lt;=X&lt;4"/>
    <x v="0"/>
    <s v="existing paid"/>
    <x v="1"/>
    <n v="2"/>
    <n v="2"/>
    <n v="5866"/>
    <s v="No"/>
    <s v="None"/>
    <s v="None"/>
    <x v="3"/>
    <x v="1"/>
    <n v="18"/>
    <x v="1"/>
  </r>
  <r>
    <n v="588"/>
    <n v="33"/>
    <x v="0"/>
    <s v="Male single"/>
    <x v="1"/>
    <x v="1"/>
    <n v="1"/>
    <x v="1"/>
    <s v="Unknown"/>
    <x v="0"/>
    <n v="4"/>
    <x v="1"/>
    <s v="Yes"/>
    <s v="no checking"/>
    <x v="2"/>
    <s v="&lt;100"/>
    <x v="0"/>
    <s v="skilled"/>
    <s v="Skilled"/>
    <x v="0"/>
    <s v="&gt;=7"/>
    <x v="3"/>
    <s v="critical/Others existing credit"/>
    <x v="3"/>
    <n v="3"/>
    <n v="2"/>
    <n v="6070"/>
    <s v="No"/>
    <s v="None"/>
    <s v="None"/>
    <x v="4"/>
    <x v="1"/>
    <n v="18"/>
    <x v="1"/>
  </r>
  <r>
    <n v="589"/>
    <n v="44"/>
    <x v="2"/>
    <s v="Male single"/>
    <x v="1"/>
    <x v="1"/>
    <n v="2"/>
    <x v="1"/>
    <s v="Resident"/>
    <x v="0"/>
    <n v="4"/>
    <x v="2"/>
    <s v="Yes"/>
    <s v="0&lt;=X&lt;200"/>
    <x v="0"/>
    <s v="&lt;100"/>
    <x v="0"/>
    <s v="unskilled resident"/>
    <s v="Unskilled"/>
    <x v="0"/>
    <s v="1&lt;=X&lt;4"/>
    <x v="0"/>
    <s v="delayed previously"/>
    <x v="4"/>
    <n v="2"/>
    <n v="1"/>
    <n v="6204"/>
    <s v="No"/>
    <s v="None"/>
    <s v="None"/>
    <x v="6"/>
    <x v="1"/>
    <n v="18"/>
    <x v="1"/>
  </r>
  <r>
    <n v="590"/>
    <n v="28"/>
    <x v="1"/>
    <s v="Male single"/>
    <x v="1"/>
    <x v="1"/>
    <n v="1"/>
    <x v="1"/>
    <s v="Resident"/>
    <x v="1"/>
    <n v="3"/>
    <x v="2"/>
    <s v="No"/>
    <s v="0&lt;=X&lt;200"/>
    <x v="0"/>
    <s v="&lt;100"/>
    <x v="0"/>
    <s v="unskilled resident"/>
    <s v="Unskilled"/>
    <x v="0"/>
    <s v="4&lt;=X&lt;7"/>
    <x v="2"/>
    <s v="existing paid"/>
    <x v="1"/>
    <n v="3"/>
    <n v="1"/>
    <n v="6260"/>
    <s v="No"/>
    <s v="None"/>
    <s v="None"/>
    <x v="3"/>
    <x v="1"/>
    <n v="18"/>
    <x v="1"/>
  </r>
  <r>
    <n v="591"/>
    <n v="41"/>
    <x v="2"/>
    <s v="Male single"/>
    <x v="1"/>
    <x v="1"/>
    <n v="1"/>
    <x v="1"/>
    <s v="Unknown"/>
    <x v="0"/>
    <n v="1"/>
    <x v="3"/>
    <s v="Yes"/>
    <s v="0&lt;=X&lt;200"/>
    <x v="0"/>
    <s v="&lt;100"/>
    <x v="0"/>
    <s v="skilled"/>
    <s v="Skilled"/>
    <x v="0"/>
    <s v="&gt;=7"/>
    <x v="3"/>
    <s v="critical/Others existing credit"/>
    <x v="3"/>
    <n v="2"/>
    <n v="1"/>
    <n v="6361"/>
    <s v="No"/>
    <s v="None"/>
    <s v="None"/>
    <x v="1"/>
    <x v="1"/>
    <n v="18"/>
    <x v="1"/>
  </r>
  <r>
    <n v="592"/>
    <n v="39"/>
    <x v="2"/>
    <s v="Male single"/>
    <x v="1"/>
    <x v="1"/>
    <n v="2"/>
    <x v="1"/>
    <s v="Unknown"/>
    <x v="0"/>
    <n v="4"/>
    <x v="3"/>
    <s v="Yes"/>
    <s v="no checking"/>
    <x v="2"/>
    <s v="&lt;100"/>
    <x v="0"/>
    <s v="high qualif/self emp/mgmt"/>
    <s v="Skilled"/>
    <x v="0"/>
    <s v="&gt;=7"/>
    <x v="3"/>
    <s v="all paid"/>
    <x v="2"/>
    <n v="2"/>
    <n v="2"/>
    <n v="6458"/>
    <s v="No"/>
    <s v="None"/>
    <s v="Bank"/>
    <x v="3"/>
    <x v="1"/>
    <n v="18"/>
    <x v="0"/>
  </r>
  <r>
    <n v="593"/>
    <n v="68"/>
    <x v="5"/>
    <s v="Male single"/>
    <x v="1"/>
    <x v="1"/>
    <n v="1"/>
    <x v="1"/>
    <s v="Unknown"/>
    <x v="1"/>
    <n v="4"/>
    <x v="1"/>
    <s v="No"/>
    <s v="no checking"/>
    <x v="2"/>
    <s v="no known savings"/>
    <x v="1"/>
    <s v="skilled"/>
    <s v="Skilled"/>
    <x v="0"/>
    <s v="1&lt;=X&lt;4"/>
    <x v="0"/>
    <s v="existing paid"/>
    <x v="1"/>
    <n v="2"/>
    <n v="2"/>
    <n v="6761"/>
    <s v="No"/>
    <s v="None"/>
    <s v="None"/>
    <x v="3"/>
    <x v="1"/>
    <n v="18"/>
    <x v="0"/>
  </r>
  <r>
    <n v="594"/>
    <n v="40"/>
    <x v="2"/>
    <s v="Male single"/>
    <x v="1"/>
    <x v="1"/>
    <n v="1"/>
    <x v="1"/>
    <s v="Unknown"/>
    <x v="0"/>
    <n v="4"/>
    <x v="0"/>
    <s v="Yes"/>
    <s v="0&lt;=X&lt;200"/>
    <x v="0"/>
    <s v="&lt;100"/>
    <x v="0"/>
    <s v="high qualif/self emp/mgmt"/>
    <s v="Skilled"/>
    <x v="0"/>
    <s v="unemployed"/>
    <x v="4"/>
    <s v="critical/Others existing credit"/>
    <x v="3"/>
    <n v="4"/>
    <n v="2"/>
    <n v="7374"/>
    <s v="No"/>
    <s v="None"/>
    <s v="Store"/>
    <x v="1"/>
    <x v="1"/>
    <n v="18"/>
    <x v="1"/>
  </r>
  <r>
    <n v="595"/>
    <n v="51"/>
    <x v="3"/>
    <s v="Male single"/>
    <x v="1"/>
    <x v="1"/>
    <n v="2"/>
    <x v="1"/>
    <s v="Unknown"/>
    <x v="2"/>
    <n v="4"/>
    <x v="0"/>
    <s v="Yes"/>
    <s v="&lt;0"/>
    <x v="1"/>
    <s v="no known savings"/>
    <x v="1"/>
    <s v="skilled"/>
    <s v="Skilled"/>
    <x v="0"/>
    <s v="&gt;=7"/>
    <x v="3"/>
    <s v="existing paid"/>
    <x v="1"/>
    <n v="1"/>
    <n v="1"/>
    <n v="7511"/>
    <s v="No"/>
    <s v="None"/>
    <s v="None"/>
    <x v="2"/>
    <x v="1"/>
    <n v="18"/>
    <x v="0"/>
  </r>
  <r>
    <n v="596"/>
    <n v="23"/>
    <x v="1"/>
    <s v="Female Divorced with Dependents"/>
    <x v="0"/>
    <x v="0"/>
    <n v="1"/>
    <x v="1"/>
    <s v="Unknown"/>
    <x v="1"/>
    <n v="2"/>
    <x v="1"/>
    <s v="Yes"/>
    <s v="&lt;0"/>
    <x v="1"/>
    <s v="no known savings"/>
    <x v="1"/>
    <s v="skilled"/>
    <s v="Skilled"/>
    <x v="0"/>
    <s v="1&lt;=X&lt;4"/>
    <x v="0"/>
    <s v="delayed previously"/>
    <x v="4"/>
    <n v="1"/>
    <n v="2"/>
    <n v="8471"/>
    <s v="No"/>
    <s v="None"/>
    <s v="None"/>
    <x v="7"/>
    <x v="1"/>
    <n v="18"/>
    <x v="1"/>
  </r>
  <r>
    <n v="597"/>
    <n v="38"/>
    <x v="0"/>
    <s v="Female Divorced with Dependents"/>
    <x v="0"/>
    <x v="0"/>
    <n v="1"/>
    <x v="1"/>
    <s v="Unknown"/>
    <x v="2"/>
    <n v="4"/>
    <x v="3"/>
    <s v="Yes"/>
    <s v="0&lt;=X&lt;200"/>
    <x v="0"/>
    <s v="&lt;100"/>
    <x v="0"/>
    <s v="high qualif/self emp/mgmt"/>
    <s v="Skilled"/>
    <x v="0"/>
    <s v="unemployed"/>
    <x v="4"/>
    <s v="existing paid"/>
    <x v="1"/>
    <n v="3"/>
    <n v="1"/>
    <n v="12976"/>
    <s v="No"/>
    <s v="None"/>
    <s v="None"/>
    <x v="2"/>
    <x v="1"/>
    <n v="18"/>
    <x v="0"/>
  </r>
  <r>
    <n v="598"/>
    <n v="68"/>
    <x v="5"/>
    <s v="Male single"/>
    <x v="1"/>
    <x v="1"/>
    <n v="1"/>
    <x v="1"/>
    <s v="Non-resident"/>
    <x v="2"/>
    <n v="3"/>
    <x v="1"/>
    <s v="Yes"/>
    <s v="0&lt;=X&lt;200"/>
    <x v="0"/>
    <s v="&lt;100"/>
    <x v="0"/>
    <s v="unemp/unskilled non res"/>
    <s v="Unskilled"/>
    <x v="1"/>
    <s v="unemployed"/>
    <x v="4"/>
    <s v="critical/Others existing credit"/>
    <x v="3"/>
    <n v="2"/>
    <n v="3"/>
    <n v="1175"/>
    <s v="No"/>
    <s v="None"/>
    <s v="None"/>
    <x v="3"/>
    <x v="1"/>
    <n v="16"/>
    <x v="1"/>
  </r>
  <r>
    <n v="599"/>
    <n v="43"/>
    <x v="2"/>
    <s v="Male single"/>
    <x v="1"/>
    <x v="1"/>
    <n v="1"/>
    <x v="1"/>
    <s v="Unknown"/>
    <x v="1"/>
    <n v="4"/>
    <x v="0"/>
    <s v="Yes"/>
    <s v="&lt;0"/>
    <x v="1"/>
    <s v="&lt;100"/>
    <x v="0"/>
    <s v="skilled"/>
    <s v="Skilled"/>
    <x v="0"/>
    <s v="&gt;=7"/>
    <x v="3"/>
    <s v="critical/Others existing credit"/>
    <x v="3"/>
    <n v="2"/>
    <n v="1"/>
    <n v="2625"/>
    <s v="guarantor"/>
    <s v="Guarantor"/>
    <s v="Bank"/>
    <x v="3"/>
    <x v="1"/>
    <n v="16"/>
    <x v="0"/>
  </r>
  <r>
    <n v="600"/>
    <n v="23"/>
    <x v="1"/>
    <s v="Female Divorced with Dependents"/>
    <x v="0"/>
    <x v="0"/>
    <n v="1"/>
    <x v="1"/>
    <s v="Unknown"/>
    <x v="1"/>
    <n v="4"/>
    <x v="0"/>
    <s v="Yes"/>
    <s v="&gt;=200"/>
    <x v="3"/>
    <s v="&lt;100"/>
    <x v="0"/>
    <s v="skilled"/>
    <s v="Skilled"/>
    <x v="0"/>
    <s v="&lt;1"/>
    <x v="1"/>
    <s v="existing paid"/>
    <x v="1"/>
    <n v="4"/>
    <n v="1"/>
    <n v="392"/>
    <s v="No"/>
    <s v="None"/>
    <s v="None"/>
    <x v="7"/>
    <x v="1"/>
    <n v="15"/>
    <x v="1"/>
  </r>
  <r>
    <n v="601"/>
    <n v="37"/>
    <x v="0"/>
    <s v="Male single"/>
    <x v="1"/>
    <x v="1"/>
    <n v="2"/>
    <x v="1"/>
    <s v="Unknown"/>
    <x v="0"/>
    <n v="3"/>
    <x v="1"/>
    <s v="No"/>
    <s v="0&lt;=X&lt;200"/>
    <x v="0"/>
    <s v="&lt;100"/>
    <x v="0"/>
    <s v="skilled"/>
    <s v="Skilled"/>
    <x v="0"/>
    <s v="&gt;=7"/>
    <x v="3"/>
    <s v="existing paid"/>
    <x v="1"/>
    <n v="4"/>
    <n v="1"/>
    <n v="802"/>
    <s v="No"/>
    <s v="None"/>
    <s v="None"/>
    <x v="4"/>
    <x v="1"/>
    <n v="15"/>
    <x v="0"/>
  </r>
  <r>
    <n v="602"/>
    <n v="22"/>
    <x v="1"/>
    <s v="Female Divorced with Dependents"/>
    <x v="0"/>
    <x v="0"/>
    <n v="1"/>
    <x v="1"/>
    <s v="Resident"/>
    <x v="0"/>
    <n v="4"/>
    <x v="0"/>
    <s v="No"/>
    <s v="&lt;0"/>
    <x v="1"/>
    <s v="&lt;100"/>
    <x v="0"/>
    <s v="unskilled resident"/>
    <s v="Unskilled"/>
    <x v="0"/>
    <s v="1&lt;=X&lt;4"/>
    <x v="0"/>
    <s v="existing paid"/>
    <x v="1"/>
    <n v="4"/>
    <n v="1"/>
    <n v="806"/>
    <s v="No"/>
    <s v="None"/>
    <s v="None"/>
    <x v="5"/>
    <x v="1"/>
    <n v="15"/>
    <x v="1"/>
  </r>
  <r>
    <n v="603"/>
    <n v="24"/>
    <x v="1"/>
    <s v="Female Divorced with Dependents"/>
    <x v="0"/>
    <x v="0"/>
    <n v="1"/>
    <x v="1"/>
    <s v="Unknown"/>
    <x v="0"/>
    <n v="1"/>
    <x v="2"/>
    <s v="No"/>
    <s v="no checking"/>
    <x v="2"/>
    <s v="no known savings"/>
    <x v="1"/>
    <s v="skilled"/>
    <s v="Skilled"/>
    <x v="0"/>
    <s v="&lt;1"/>
    <x v="1"/>
    <s v="existing paid"/>
    <x v="1"/>
    <n v="4"/>
    <n v="1"/>
    <n v="874"/>
    <s v="No"/>
    <s v="None"/>
    <s v="None"/>
    <x v="8"/>
    <x v="1"/>
    <n v="15"/>
    <x v="1"/>
  </r>
  <r>
    <n v="604"/>
    <n v="33"/>
    <x v="0"/>
    <s v="Male single"/>
    <x v="1"/>
    <x v="1"/>
    <n v="2"/>
    <x v="1"/>
    <s v="Unknown"/>
    <x v="1"/>
    <n v="3"/>
    <x v="1"/>
    <s v="No"/>
    <s v="&lt;0"/>
    <x v="1"/>
    <s v="&lt;100"/>
    <x v="0"/>
    <s v="skilled"/>
    <s v="Skilled"/>
    <x v="0"/>
    <s v="&gt;=7"/>
    <x v="3"/>
    <s v="no credits/all paid"/>
    <x v="0"/>
    <n v="4"/>
    <n v="2"/>
    <n v="950"/>
    <s v="No"/>
    <s v="None"/>
    <s v="None"/>
    <x v="3"/>
    <x v="1"/>
    <n v="15"/>
    <x v="0"/>
  </r>
  <r>
    <n v="605"/>
    <n v="30"/>
    <x v="0"/>
    <s v="Female Divorced with Dependents"/>
    <x v="0"/>
    <x v="0"/>
    <n v="1"/>
    <x v="1"/>
    <s v="Unknown"/>
    <x v="0"/>
    <n v="2"/>
    <x v="0"/>
    <s v="No"/>
    <s v="no checking"/>
    <x v="2"/>
    <s v="&gt;=1000"/>
    <x v="2"/>
    <s v="skilled"/>
    <s v="Skilled"/>
    <x v="0"/>
    <s v="4&lt;=X&lt;7"/>
    <x v="2"/>
    <s v="delayed previously"/>
    <x v="4"/>
    <n v="3"/>
    <n v="2"/>
    <n v="960"/>
    <s v="No"/>
    <s v="None"/>
    <s v="None"/>
    <x v="1"/>
    <x v="1"/>
    <n v="15"/>
    <x v="1"/>
  </r>
  <r>
    <n v="606"/>
    <n v="25"/>
    <x v="1"/>
    <s v="Male Divorced/Seperated"/>
    <x v="1"/>
    <x v="3"/>
    <n v="1"/>
    <x v="1"/>
    <s v="Unknown"/>
    <x v="0"/>
    <n v="3"/>
    <x v="0"/>
    <s v="No"/>
    <s v="&lt;0"/>
    <x v="1"/>
    <s v="&lt;100"/>
    <x v="0"/>
    <s v="skilled"/>
    <s v="Skilled"/>
    <x v="0"/>
    <s v="1&lt;=X&lt;4"/>
    <x v="0"/>
    <s v="critical/Others existing credit"/>
    <x v="3"/>
    <n v="2"/>
    <n v="2"/>
    <n v="975"/>
    <s v="No"/>
    <s v="None"/>
    <s v="None"/>
    <x v="1"/>
    <x v="1"/>
    <n v="15"/>
    <x v="1"/>
  </r>
  <r>
    <n v="607"/>
    <n v="47"/>
    <x v="2"/>
    <s v="Male single"/>
    <x v="1"/>
    <x v="1"/>
    <n v="1"/>
    <x v="1"/>
    <s v="Unknown"/>
    <x v="0"/>
    <n v="3"/>
    <x v="0"/>
    <s v="Yes"/>
    <s v="no checking"/>
    <x v="2"/>
    <s v="500&lt;=X&lt;1000"/>
    <x v="4"/>
    <s v="skilled"/>
    <s v="Skilled"/>
    <x v="0"/>
    <s v="&gt;=7"/>
    <x v="3"/>
    <s v="existing paid"/>
    <x v="1"/>
    <n v="4"/>
    <n v="1"/>
    <n v="1213"/>
    <s v="No"/>
    <s v="None"/>
    <s v="Store"/>
    <x v="4"/>
    <x v="1"/>
    <n v="15"/>
    <x v="1"/>
  </r>
  <r>
    <n v="608"/>
    <n v="36"/>
    <x v="0"/>
    <s v="Male single"/>
    <x v="1"/>
    <x v="1"/>
    <n v="1"/>
    <x v="1"/>
    <s v="Unknown"/>
    <x v="0"/>
    <n v="3"/>
    <x v="0"/>
    <s v="Yes"/>
    <s v="no checking"/>
    <x v="2"/>
    <s v="500&lt;=X&lt;1000"/>
    <x v="4"/>
    <s v="skilled"/>
    <s v="Skilled"/>
    <x v="0"/>
    <s v="4&lt;=X&lt;7"/>
    <x v="2"/>
    <s v="existing paid"/>
    <x v="1"/>
    <n v="4"/>
    <n v="2"/>
    <n v="1262"/>
    <s v="No"/>
    <s v="None"/>
    <s v="None"/>
    <x v="8"/>
    <x v="1"/>
    <n v="15"/>
    <x v="1"/>
  </r>
  <r>
    <n v="609"/>
    <n v="25"/>
    <x v="1"/>
    <s v="Male Married/Widowed"/>
    <x v="1"/>
    <x v="2"/>
    <n v="1"/>
    <x v="1"/>
    <s v="Unknown"/>
    <x v="1"/>
    <n v="2"/>
    <x v="0"/>
    <s v="No"/>
    <s v="0&lt;=X&lt;200"/>
    <x v="0"/>
    <s v="100&lt;=X&lt;500"/>
    <x v="3"/>
    <s v="skilled"/>
    <s v="Skilled"/>
    <x v="0"/>
    <s v="1&lt;=X&lt;4"/>
    <x v="0"/>
    <s v="all paid"/>
    <x v="2"/>
    <n v="2"/>
    <n v="1"/>
    <n v="1264"/>
    <s v="No"/>
    <s v="None"/>
    <s v="None"/>
    <x v="3"/>
    <x v="1"/>
    <n v="15"/>
    <x v="0"/>
  </r>
  <r>
    <n v="610"/>
    <n v="39"/>
    <x v="2"/>
    <s v="Male single"/>
    <x v="1"/>
    <x v="1"/>
    <n v="1"/>
    <x v="1"/>
    <s v="Unknown"/>
    <x v="2"/>
    <n v="4"/>
    <x v="3"/>
    <s v="Yes"/>
    <s v="&gt;=200"/>
    <x v="3"/>
    <s v="no known savings"/>
    <x v="1"/>
    <s v="skilled"/>
    <s v="Skilled"/>
    <x v="0"/>
    <s v="1&lt;=X&lt;4"/>
    <x v="0"/>
    <s v="critical/Others existing credit"/>
    <x v="3"/>
    <n v="3"/>
    <n v="2"/>
    <n v="1271"/>
    <s v="No"/>
    <s v="None"/>
    <s v="None"/>
    <x v="4"/>
    <x v="1"/>
    <n v="15"/>
    <x v="0"/>
  </r>
  <r>
    <n v="611"/>
    <n v="24"/>
    <x v="1"/>
    <s v="Female Divorced with Dependents"/>
    <x v="0"/>
    <x v="0"/>
    <n v="1"/>
    <x v="1"/>
    <s v="Unknown"/>
    <x v="1"/>
    <n v="2"/>
    <x v="1"/>
    <s v="No"/>
    <s v="&lt;0"/>
    <x v="1"/>
    <s v="no known savings"/>
    <x v="1"/>
    <s v="skilled"/>
    <s v="Skilled"/>
    <x v="0"/>
    <s v="1&lt;=X&lt;4"/>
    <x v="0"/>
    <s v="existing paid"/>
    <x v="1"/>
    <n v="4"/>
    <n v="1"/>
    <n v="1275"/>
    <s v="No"/>
    <s v="None"/>
    <s v="None"/>
    <x v="8"/>
    <x v="1"/>
    <n v="15"/>
    <x v="0"/>
  </r>
  <r>
    <n v="612"/>
    <n v="45"/>
    <x v="2"/>
    <s v="Male single"/>
    <x v="1"/>
    <x v="1"/>
    <n v="2"/>
    <x v="1"/>
    <s v="Unknown"/>
    <x v="2"/>
    <n v="4"/>
    <x v="3"/>
    <s v="No"/>
    <s v="no checking"/>
    <x v="2"/>
    <s v="no known savings"/>
    <x v="1"/>
    <s v="skilled"/>
    <s v="Skilled"/>
    <x v="0"/>
    <s v="&gt;=7"/>
    <x v="3"/>
    <s v="existing paid"/>
    <x v="1"/>
    <n v="4"/>
    <n v="1"/>
    <n v="1300"/>
    <s v="No"/>
    <s v="None"/>
    <s v="Bank"/>
    <x v="2"/>
    <x v="1"/>
    <n v="15"/>
    <x v="1"/>
  </r>
  <r>
    <n v="613"/>
    <n v="38"/>
    <x v="0"/>
    <s v="Male single"/>
    <x v="1"/>
    <x v="1"/>
    <n v="1"/>
    <x v="1"/>
    <s v="Resident"/>
    <x v="0"/>
    <n v="4"/>
    <x v="1"/>
    <s v="No"/>
    <s v="0&lt;=X&lt;200"/>
    <x v="0"/>
    <s v="&lt;100"/>
    <x v="0"/>
    <s v="unskilled resident"/>
    <s v="Unskilled"/>
    <x v="0"/>
    <s v="&gt;=7"/>
    <x v="3"/>
    <s v="existing paid"/>
    <x v="1"/>
    <n v="4"/>
    <n v="2"/>
    <n v="1308"/>
    <s v="No"/>
    <s v="None"/>
    <s v="None"/>
    <x v="6"/>
    <x v="1"/>
    <n v="15"/>
    <x v="1"/>
  </r>
  <r>
    <n v="614"/>
    <n v="47"/>
    <x v="2"/>
    <s v="Male Married/Widowed"/>
    <x v="1"/>
    <x v="2"/>
    <n v="1"/>
    <x v="1"/>
    <s v="Resident"/>
    <x v="0"/>
    <n v="2"/>
    <x v="0"/>
    <s v="No"/>
    <s v="no checking"/>
    <x v="2"/>
    <s v="500&lt;=X&lt;1000"/>
    <x v="4"/>
    <s v="unskilled resident"/>
    <s v="Unskilled"/>
    <x v="0"/>
    <s v="1&lt;=X&lt;4"/>
    <x v="0"/>
    <s v="critical/Others existing credit"/>
    <x v="3"/>
    <n v="2"/>
    <n v="2"/>
    <n v="1316"/>
    <s v="No"/>
    <s v="None"/>
    <s v="None"/>
    <x v="4"/>
    <x v="1"/>
    <n v="15"/>
    <x v="1"/>
  </r>
  <r>
    <n v="615"/>
    <n v="31"/>
    <x v="0"/>
    <s v="Male single"/>
    <x v="1"/>
    <x v="1"/>
    <n v="1"/>
    <x v="1"/>
    <s v="Unknown"/>
    <x v="0"/>
    <n v="2"/>
    <x v="0"/>
    <s v="No"/>
    <s v="no checking"/>
    <x v="2"/>
    <s v="&lt;100"/>
    <x v="0"/>
    <s v="skilled"/>
    <s v="Skilled"/>
    <x v="0"/>
    <s v="1&lt;=X&lt;4"/>
    <x v="0"/>
    <s v="critical/Others existing credit"/>
    <x v="3"/>
    <n v="4"/>
    <n v="2"/>
    <n v="1360"/>
    <s v="No"/>
    <s v="None"/>
    <s v="None"/>
    <x v="4"/>
    <x v="1"/>
    <n v="15"/>
    <x v="1"/>
  </r>
  <r>
    <n v="616"/>
    <n v="40"/>
    <x v="2"/>
    <s v="Male Married/Widowed"/>
    <x v="1"/>
    <x v="2"/>
    <n v="1"/>
    <x v="1"/>
    <s v="Unknown"/>
    <x v="1"/>
    <n v="2"/>
    <x v="2"/>
    <s v="Yes"/>
    <s v="no checking"/>
    <x v="2"/>
    <s v="no known savings"/>
    <x v="1"/>
    <s v="skilled"/>
    <s v="Skilled"/>
    <x v="0"/>
    <s v="1&lt;=X&lt;4"/>
    <x v="0"/>
    <s v="existing paid"/>
    <x v="1"/>
    <n v="4"/>
    <n v="1"/>
    <n v="1386"/>
    <s v="No"/>
    <s v="None"/>
    <s v="None"/>
    <x v="4"/>
    <x v="1"/>
    <n v="15"/>
    <x v="1"/>
  </r>
  <r>
    <n v="617"/>
    <n v="28"/>
    <x v="1"/>
    <s v="Female Divorced with Dependents"/>
    <x v="0"/>
    <x v="0"/>
    <n v="1"/>
    <x v="1"/>
    <s v="Unknown"/>
    <x v="1"/>
    <n v="4"/>
    <x v="1"/>
    <s v="No"/>
    <s v="&lt;0"/>
    <x v="1"/>
    <s v="&lt;100"/>
    <x v="0"/>
    <s v="skilled"/>
    <s v="Skilled"/>
    <x v="0"/>
    <s v="1&lt;=X&lt;4"/>
    <x v="0"/>
    <s v="existing paid"/>
    <x v="1"/>
    <n v="2"/>
    <n v="1"/>
    <n v="1403"/>
    <s v="No"/>
    <s v="None"/>
    <s v="None"/>
    <x v="3"/>
    <x v="1"/>
    <n v="15"/>
    <x v="1"/>
  </r>
  <r>
    <n v="618"/>
    <n v="25"/>
    <x v="1"/>
    <s v="Female Divorced with Dependents"/>
    <x v="0"/>
    <x v="0"/>
    <n v="1"/>
    <x v="1"/>
    <s v="Unknown"/>
    <x v="1"/>
    <n v="3"/>
    <x v="0"/>
    <s v="No"/>
    <s v="&lt;0"/>
    <x v="1"/>
    <s v="&lt;100"/>
    <x v="0"/>
    <s v="skilled"/>
    <s v="Skilled"/>
    <x v="0"/>
    <s v="1&lt;=X&lt;4"/>
    <x v="0"/>
    <s v="critical/Others existing credit"/>
    <x v="3"/>
    <n v="4"/>
    <n v="2"/>
    <n v="1433"/>
    <s v="No"/>
    <s v="None"/>
    <s v="None"/>
    <x v="1"/>
    <x v="1"/>
    <n v="15"/>
    <x v="1"/>
  </r>
  <r>
    <n v="619"/>
    <n v="23"/>
    <x v="1"/>
    <s v="Male single"/>
    <x v="1"/>
    <x v="1"/>
    <n v="1"/>
    <x v="1"/>
    <s v="Unknown"/>
    <x v="0"/>
    <n v="1"/>
    <x v="0"/>
    <s v="No"/>
    <s v="0&lt;=X&lt;200"/>
    <x v="0"/>
    <s v="no known savings"/>
    <x v="1"/>
    <s v="skilled"/>
    <s v="Skilled"/>
    <x v="0"/>
    <s v="&lt;1"/>
    <x v="1"/>
    <s v="existing paid"/>
    <x v="1"/>
    <n v="4"/>
    <n v="1"/>
    <n v="1444"/>
    <s v="No"/>
    <s v="None"/>
    <s v="None"/>
    <x v="4"/>
    <x v="1"/>
    <n v="15"/>
    <x v="1"/>
  </r>
  <r>
    <n v="620"/>
    <n v="43"/>
    <x v="2"/>
    <s v="Female Divorced with Dependents"/>
    <x v="0"/>
    <x v="0"/>
    <n v="1"/>
    <x v="1"/>
    <s v="Resident"/>
    <x v="0"/>
    <n v="2"/>
    <x v="1"/>
    <s v="No"/>
    <s v="no checking"/>
    <x v="2"/>
    <s v="&lt;100"/>
    <x v="0"/>
    <s v="unskilled resident"/>
    <s v="Unskilled"/>
    <x v="0"/>
    <s v="1&lt;=X&lt;4"/>
    <x v="0"/>
    <s v="critical/Others existing credit"/>
    <x v="3"/>
    <n v="4"/>
    <n v="1"/>
    <n v="1459"/>
    <s v="No"/>
    <s v="None"/>
    <s v="None"/>
    <x v="4"/>
    <x v="1"/>
    <n v="15"/>
    <x v="1"/>
  </r>
  <r>
    <n v="621"/>
    <n v="35"/>
    <x v="0"/>
    <s v="Male single"/>
    <x v="1"/>
    <x v="1"/>
    <n v="1"/>
    <x v="1"/>
    <s v="Unknown"/>
    <x v="2"/>
    <n v="4"/>
    <x v="3"/>
    <s v="Yes"/>
    <s v="no checking"/>
    <x v="2"/>
    <s v="&lt;100"/>
    <x v="0"/>
    <s v="skilled"/>
    <s v="Skilled"/>
    <x v="0"/>
    <s v="1&lt;=X&lt;4"/>
    <x v="0"/>
    <s v="critical/Others existing credit"/>
    <x v="3"/>
    <n v="4"/>
    <n v="2"/>
    <n v="1471"/>
    <s v="No"/>
    <s v="None"/>
    <s v="None"/>
    <x v="4"/>
    <x v="1"/>
    <n v="15"/>
    <x v="1"/>
  </r>
  <r>
    <n v="622"/>
    <n v="44"/>
    <x v="2"/>
    <s v="Male single"/>
    <x v="1"/>
    <x v="1"/>
    <n v="2"/>
    <x v="1"/>
    <s v="Unknown"/>
    <x v="0"/>
    <n v="4"/>
    <x v="1"/>
    <s v="Yes"/>
    <s v="&lt;0"/>
    <x v="1"/>
    <s v="&lt;100"/>
    <x v="0"/>
    <s v="skilled"/>
    <s v="Skilled"/>
    <x v="0"/>
    <s v="&gt;=7"/>
    <x v="3"/>
    <s v="critical/Others existing credit"/>
    <x v="3"/>
    <n v="4"/>
    <n v="2"/>
    <n v="1478"/>
    <s v="No"/>
    <s v="None"/>
    <s v="None"/>
    <x v="1"/>
    <x v="1"/>
    <n v="15"/>
    <x v="1"/>
  </r>
  <r>
    <n v="623"/>
    <n v="33"/>
    <x v="0"/>
    <s v="Male Married/Widowed"/>
    <x v="1"/>
    <x v="2"/>
    <n v="1"/>
    <x v="1"/>
    <s v="Unknown"/>
    <x v="0"/>
    <n v="3"/>
    <x v="2"/>
    <s v="No"/>
    <s v="no checking"/>
    <x v="2"/>
    <s v="&lt;100"/>
    <x v="0"/>
    <s v="skilled"/>
    <s v="Skilled"/>
    <x v="0"/>
    <s v="1&lt;=X&lt;4"/>
    <x v="0"/>
    <s v="delayed previously"/>
    <x v="4"/>
    <n v="4"/>
    <n v="2"/>
    <n v="1478"/>
    <s v="No"/>
    <s v="None"/>
    <s v="Bank"/>
    <x v="4"/>
    <x v="1"/>
    <n v="15"/>
    <x v="1"/>
  </r>
  <r>
    <n v="624"/>
    <n v="61"/>
    <x v="5"/>
    <s v="Male Married/Widowed"/>
    <x v="1"/>
    <x v="2"/>
    <n v="1"/>
    <x v="1"/>
    <s v="Unknown"/>
    <x v="0"/>
    <n v="3"/>
    <x v="0"/>
    <s v="No"/>
    <s v="0&lt;=X&lt;200"/>
    <x v="0"/>
    <s v="&gt;=1000"/>
    <x v="2"/>
    <s v="skilled"/>
    <s v="Skilled"/>
    <x v="0"/>
    <s v="1&lt;=X&lt;4"/>
    <x v="0"/>
    <s v="delayed previously"/>
    <x v="4"/>
    <n v="3"/>
    <n v="2"/>
    <n v="1512"/>
    <s v="No"/>
    <s v="None"/>
    <s v="Store"/>
    <x v="6"/>
    <x v="1"/>
    <n v="15"/>
    <x v="0"/>
  </r>
  <r>
    <n v="625"/>
    <n v="22"/>
    <x v="1"/>
    <s v="Male single"/>
    <x v="1"/>
    <x v="1"/>
    <n v="1"/>
    <x v="1"/>
    <s v="Unknown"/>
    <x v="0"/>
    <n v="2"/>
    <x v="2"/>
    <s v="No"/>
    <s v="0&lt;=X&lt;200"/>
    <x v="0"/>
    <s v="100&lt;=X&lt;500"/>
    <x v="3"/>
    <s v="skilled"/>
    <s v="Skilled"/>
    <x v="0"/>
    <s v="1&lt;=X&lt;4"/>
    <x v="0"/>
    <s v="existing paid"/>
    <x v="1"/>
    <n v="4"/>
    <n v="1"/>
    <n v="1514"/>
    <s v="guarantor"/>
    <s v="Guarantor"/>
    <s v="None"/>
    <x v="6"/>
    <x v="1"/>
    <n v="15"/>
    <x v="1"/>
  </r>
  <r>
    <n v="626"/>
    <n v="63"/>
    <x v="5"/>
    <s v="Male single"/>
    <x v="1"/>
    <x v="1"/>
    <n v="1"/>
    <x v="1"/>
    <s v="Unknown"/>
    <x v="0"/>
    <n v="4"/>
    <x v="0"/>
    <s v="No"/>
    <s v="no checking"/>
    <x v="2"/>
    <s v="no known savings"/>
    <x v="1"/>
    <s v="skilled"/>
    <s v="Skilled"/>
    <x v="0"/>
    <s v="&gt;=7"/>
    <x v="3"/>
    <s v="critical/Others existing credit"/>
    <x v="3"/>
    <n v="4"/>
    <n v="1"/>
    <n v="1520"/>
    <s v="No"/>
    <s v="None"/>
    <s v="None"/>
    <x v="1"/>
    <x v="1"/>
    <n v="15"/>
    <x v="1"/>
  </r>
  <r>
    <n v="627"/>
    <n v="31"/>
    <x v="0"/>
    <s v="Female Divorced with Dependents"/>
    <x v="0"/>
    <x v="0"/>
    <n v="1"/>
    <x v="1"/>
    <s v="Unknown"/>
    <x v="0"/>
    <n v="3"/>
    <x v="1"/>
    <s v="No"/>
    <s v="no checking"/>
    <x v="2"/>
    <s v="100&lt;=X&lt;500"/>
    <x v="3"/>
    <s v="skilled"/>
    <s v="Skilled"/>
    <x v="0"/>
    <s v="1&lt;=X&lt;4"/>
    <x v="0"/>
    <s v="critical/Others existing credit"/>
    <x v="3"/>
    <n v="4"/>
    <n v="1"/>
    <n v="1532"/>
    <s v="No"/>
    <s v="None"/>
    <s v="None"/>
    <x v="7"/>
    <x v="1"/>
    <n v="15"/>
    <x v="1"/>
  </r>
  <r>
    <n v="628"/>
    <n v="50"/>
    <x v="3"/>
    <s v="Male single"/>
    <x v="1"/>
    <x v="1"/>
    <n v="1"/>
    <x v="1"/>
    <s v="Unknown"/>
    <x v="0"/>
    <n v="4"/>
    <x v="2"/>
    <s v="Yes"/>
    <s v="0&lt;=X&lt;200"/>
    <x v="0"/>
    <s v="no known savings"/>
    <x v="1"/>
    <s v="skilled"/>
    <s v="Skilled"/>
    <x v="0"/>
    <s v="&gt;=7"/>
    <x v="3"/>
    <s v="critical/Others existing credit"/>
    <x v="3"/>
    <n v="4"/>
    <n v="2"/>
    <n v="1537"/>
    <s v="guarantor"/>
    <s v="Guarantor"/>
    <s v="None"/>
    <x v="4"/>
    <x v="1"/>
    <n v="15"/>
    <x v="1"/>
  </r>
  <r>
    <n v="629"/>
    <n v="34"/>
    <x v="0"/>
    <s v="Male single"/>
    <x v="1"/>
    <x v="1"/>
    <n v="2"/>
    <x v="1"/>
    <s v="Resident"/>
    <x v="0"/>
    <n v="4"/>
    <x v="1"/>
    <s v="No"/>
    <s v="no checking"/>
    <x v="2"/>
    <s v="100&lt;=X&lt;500"/>
    <x v="3"/>
    <s v="unskilled resident"/>
    <s v="Unskilled"/>
    <x v="0"/>
    <s v="&gt;=7"/>
    <x v="3"/>
    <s v="all paid"/>
    <x v="2"/>
    <n v="4"/>
    <n v="1"/>
    <n v="1569"/>
    <s v="No"/>
    <s v="None"/>
    <s v="Bank"/>
    <x v="4"/>
    <x v="1"/>
    <n v="15"/>
    <x v="1"/>
  </r>
  <r>
    <n v="630"/>
    <n v="36"/>
    <x v="0"/>
    <s v="Male single"/>
    <x v="1"/>
    <x v="1"/>
    <n v="1"/>
    <x v="1"/>
    <s v="Unknown"/>
    <x v="0"/>
    <n v="3"/>
    <x v="2"/>
    <s v="No"/>
    <s v="&lt;0"/>
    <x v="1"/>
    <s v="&lt;100"/>
    <x v="0"/>
    <s v="skilled"/>
    <s v="Skilled"/>
    <x v="0"/>
    <s v="&lt;1"/>
    <x v="1"/>
    <s v="existing paid"/>
    <x v="1"/>
    <n v="2"/>
    <n v="1"/>
    <n v="1721"/>
    <s v="No"/>
    <s v="None"/>
    <s v="None"/>
    <x v="3"/>
    <x v="1"/>
    <n v="15"/>
    <x v="1"/>
  </r>
  <r>
    <n v="631"/>
    <n v="26"/>
    <x v="1"/>
    <s v="Female Divorced with Dependents"/>
    <x v="0"/>
    <x v="0"/>
    <n v="1"/>
    <x v="1"/>
    <s v="Non-resident"/>
    <x v="1"/>
    <n v="1"/>
    <x v="2"/>
    <s v="No"/>
    <s v="0&lt;=X&lt;200"/>
    <x v="0"/>
    <s v="&lt;100"/>
    <x v="0"/>
    <s v="unemp/unskilled non res"/>
    <s v="Unskilled"/>
    <x v="1"/>
    <s v="&lt;1"/>
    <x v="1"/>
    <s v="no credits/all paid"/>
    <x v="0"/>
    <n v="2"/>
    <n v="2"/>
    <n v="1778"/>
    <s v="No"/>
    <s v="None"/>
    <s v="None"/>
    <x v="3"/>
    <x v="1"/>
    <n v="15"/>
    <x v="0"/>
  </r>
  <r>
    <n v="632"/>
    <n v="46"/>
    <x v="2"/>
    <s v="Male single"/>
    <x v="1"/>
    <x v="1"/>
    <n v="1"/>
    <x v="1"/>
    <s v="Unknown"/>
    <x v="0"/>
    <n v="4"/>
    <x v="1"/>
    <s v="Yes"/>
    <s v="no checking"/>
    <x v="2"/>
    <s v="&lt;100"/>
    <x v="0"/>
    <s v="skilled"/>
    <s v="Skilled"/>
    <x v="0"/>
    <s v="&gt;=7"/>
    <x v="3"/>
    <s v="critical/Others existing credit"/>
    <x v="3"/>
    <n v="4"/>
    <n v="2"/>
    <n v="1829"/>
    <s v="No"/>
    <s v="None"/>
    <s v="None"/>
    <x v="4"/>
    <x v="1"/>
    <n v="15"/>
    <x v="1"/>
  </r>
  <r>
    <n v="633"/>
    <n v="46"/>
    <x v="2"/>
    <s v="Female Divorced with Dependents"/>
    <x v="0"/>
    <x v="0"/>
    <n v="1"/>
    <x v="1"/>
    <s v="Unknown"/>
    <x v="1"/>
    <n v="1"/>
    <x v="0"/>
    <s v="No"/>
    <s v="&lt;0"/>
    <x v="1"/>
    <s v="&lt;100"/>
    <x v="0"/>
    <s v="skilled"/>
    <s v="Skilled"/>
    <x v="0"/>
    <s v="&lt;1"/>
    <x v="1"/>
    <s v="existing paid"/>
    <x v="1"/>
    <n v="4"/>
    <n v="1"/>
    <n v="1845"/>
    <s v="guarantor"/>
    <s v="Guarantor"/>
    <s v="None"/>
    <x v="1"/>
    <x v="1"/>
    <n v="15"/>
    <x v="1"/>
  </r>
  <r>
    <n v="634"/>
    <n v="40"/>
    <x v="2"/>
    <s v="Male single"/>
    <x v="1"/>
    <x v="1"/>
    <n v="1"/>
    <x v="1"/>
    <s v="Unknown"/>
    <x v="1"/>
    <n v="4"/>
    <x v="1"/>
    <s v="Yes"/>
    <s v="&gt;=200"/>
    <x v="3"/>
    <s v="&lt;100"/>
    <x v="0"/>
    <s v="high qualif/self emp/mgmt"/>
    <s v="Skilled"/>
    <x v="0"/>
    <s v="&gt;=7"/>
    <x v="3"/>
    <s v="existing paid"/>
    <x v="1"/>
    <n v="4"/>
    <n v="1"/>
    <n v="1905"/>
    <s v="No"/>
    <s v="None"/>
    <s v="None"/>
    <x v="7"/>
    <x v="1"/>
    <n v="15"/>
    <x v="1"/>
  </r>
  <r>
    <n v="635"/>
    <n v="35"/>
    <x v="0"/>
    <s v="Male single"/>
    <x v="1"/>
    <x v="1"/>
    <n v="1"/>
    <x v="1"/>
    <s v="Unknown"/>
    <x v="0"/>
    <n v="2"/>
    <x v="1"/>
    <s v="No"/>
    <s v="no checking"/>
    <x v="2"/>
    <s v="no known savings"/>
    <x v="1"/>
    <s v="skilled"/>
    <s v="Skilled"/>
    <x v="0"/>
    <s v="&gt;=7"/>
    <x v="3"/>
    <s v="existing paid"/>
    <x v="1"/>
    <n v="4"/>
    <n v="1"/>
    <n v="1979"/>
    <s v="No"/>
    <s v="None"/>
    <s v="None"/>
    <x v="4"/>
    <x v="1"/>
    <n v="15"/>
    <x v="1"/>
  </r>
  <r>
    <n v="636"/>
    <n v="33"/>
    <x v="0"/>
    <s v="Female Divorced with Dependents"/>
    <x v="0"/>
    <x v="0"/>
    <n v="1"/>
    <x v="1"/>
    <s v="Resident"/>
    <x v="1"/>
    <n v="4"/>
    <x v="2"/>
    <s v="No"/>
    <s v="no checking"/>
    <x v="2"/>
    <s v="no known savings"/>
    <x v="1"/>
    <s v="unskilled resident"/>
    <s v="Unskilled"/>
    <x v="0"/>
    <s v="4&lt;=X&lt;7"/>
    <x v="2"/>
    <s v="existing paid"/>
    <x v="1"/>
    <n v="1"/>
    <n v="1"/>
    <n v="2186"/>
    <s v="No"/>
    <s v="None"/>
    <s v="Bank"/>
    <x v="1"/>
    <x v="1"/>
    <n v="15"/>
    <x v="1"/>
  </r>
  <r>
    <n v="637"/>
    <n v="20"/>
    <x v="1"/>
    <s v="Female Divorced with Dependents"/>
    <x v="0"/>
    <x v="0"/>
    <n v="1"/>
    <x v="1"/>
    <s v="Unknown"/>
    <x v="1"/>
    <n v="4"/>
    <x v="1"/>
    <s v="No"/>
    <s v="no checking"/>
    <x v="2"/>
    <s v="500&lt;=X&lt;1000"/>
    <x v="4"/>
    <s v="skilled"/>
    <s v="Skilled"/>
    <x v="0"/>
    <s v="1&lt;=X&lt;4"/>
    <x v="0"/>
    <s v="existing paid"/>
    <x v="1"/>
    <n v="2"/>
    <n v="1"/>
    <n v="2221"/>
    <s v="No"/>
    <s v="None"/>
    <s v="None"/>
    <x v="1"/>
    <x v="1"/>
    <n v="15"/>
    <x v="1"/>
  </r>
  <r>
    <n v="638"/>
    <n v="27"/>
    <x v="1"/>
    <s v="Male single"/>
    <x v="1"/>
    <x v="1"/>
    <n v="1"/>
    <x v="1"/>
    <s v="Unknown"/>
    <x v="0"/>
    <n v="4"/>
    <x v="1"/>
    <s v="No"/>
    <s v="0&lt;=X&lt;200"/>
    <x v="0"/>
    <s v="500&lt;=X&lt;1000"/>
    <x v="4"/>
    <s v="skilled"/>
    <s v="Skilled"/>
    <x v="0"/>
    <s v="1&lt;=X&lt;4"/>
    <x v="0"/>
    <s v="critical/Others existing credit"/>
    <x v="3"/>
    <n v="2"/>
    <n v="1"/>
    <n v="2326"/>
    <s v="No"/>
    <s v="None"/>
    <s v="Bank"/>
    <x v="5"/>
    <x v="1"/>
    <n v="15"/>
    <x v="1"/>
  </r>
  <r>
    <n v="639"/>
    <n v="25"/>
    <x v="1"/>
    <s v="Female Divorced with Dependents"/>
    <x v="0"/>
    <x v="0"/>
    <n v="1"/>
    <x v="1"/>
    <s v="Resident"/>
    <x v="0"/>
    <n v="3"/>
    <x v="2"/>
    <s v="No"/>
    <s v="&gt;=200"/>
    <x v="3"/>
    <s v="&lt;100"/>
    <x v="0"/>
    <s v="unskilled resident"/>
    <s v="Unskilled"/>
    <x v="0"/>
    <s v="&lt;1"/>
    <x v="1"/>
    <s v="existing paid"/>
    <x v="1"/>
    <n v="2"/>
    <n v="1"/>
    <n v="2327"/>
    <s v="No"/>
    <s v="None"/>
    <s v="None"/>
    <x v="4"/>
    <x v="1"/>
    <n v="15"/>
    <x v="0"/>
  </r>
  <r>
    <n v="640"/>
    <n v="36"/>
    <x v="0"/>
    <s v="Male single"/>
    <x v="1"/>
    <x v="1"/>
    <n v="1"/>
    <x v="1"/>
    <s v="Unknown"/>
    <x v="0"/>
    <n v="2"/>
    <x v="1"/>
    <s v="Yes"/>
    <s v="&gt;=200"/>
    <x v="3"/>
    <s v="500&lt;=X&lt;1000"/>
    <x v="4"/>
    <s v="skilled"/>
    <s v="Skilled"/>
    <x v="0"/>
    <s v="1&lt;=X&lt;4"/>
    <x v="0"/>
    <s v="critical/Others existing credit"/>
    <x v="3"/>
    <n v="2"/>
    <n v="1"/>
    <n v="2360"/>
    <s v="No"/>
    <s v="None"/>
    <s v="None"/>
    <x v="2"/>
    <x v="1"/>
    <n v="15"/>
    <x v="1"/>
  </r>
  <r>
    <n v="641"/>
    <n v="23"/>
    <x v="1"/>
    <s v="Female Divorced with Dependents"/>
    <x v="0"/>
    <x v="0"/>
    <n v="1"/>
    <x v="1"/>
    <s v="Unknown"/>
    <x v="1"/>
    <n v="4"/>
    <x v="1"/>
    <s v="No"/>
    <s v="&lt;0"/>
    <x v="1"/>
    <s v="&lt;100"/>
    <x v="0"/>
    <s v="skilled"/>
    <s v="Skilled"/>
    <x v="0"/>
    <s v="unemployed"/>
    <x v="4"/>
    <s v="existing paid"/>
    <x v="1"/>
    <n v="1"/>
    <n v="1"/>
    <n v="2511"/>
    <s v="No"/>
    <s v="None"/>
    <s v="None"/>
    <x v="3"/>
    <x v="1"/>
    <n v="15"/>
    <x v="1"/>
  </r>
  <r>
    <n v="642"/>
    <n v="28"/>
    <x v="1"/>
    <s v="Female Divorced with Dependents"/>
    <x v="0"/>
    <x v="0"/>
    <n v="1"/>
    <x v="1"/>
    <s v="Unknown"/>
    <x v="1"/>
    <n v="4"/>
    <x v="1"/>
    <s v="Yes"/>
    <s v="0&lt;=X&lt;200"/>
    <x v="0"/>
    <s v="100&lt;=X&lt;500"/>
    <x v="3"/>
    <s v="skilled"/>
    <s v="Skilled"/>
    <x v="0"/>
    <s v="1&lt;=X&lt;4"/>
    <x v="0"/>
    <s v="existing paid"/>
    <x v="1"/>
    <n v="2"/>
    <n v="2"/>
    <n v="2631"/>
    <s v="No"/>
    <s v="None"/>
    <s v="None"/>
    <x v="3"/>
    <x v="1"/>
    <n v="15"/>
    <x v="0"/>
  </r>
  <r>
    <n v="643"/>
    <n v="25"/>
    <x v="1"/>
    <s v="Female Divorced with Dependents"/>
    <x v="0"/>
    <x v="0"/>
    <n v="1"/>
    <x v="1"/>
    <s v="Resident"/>
    <x v="0"/>
    <n v="2"/>
    <x v="2"/>
    <s v="No"/>
    <s v="0&lt;=X&lt;200"/>
    <x v="0"/>
    <s v="100&lt;=X&lt;500"/>
    <x v="3"/>
    <s v="unskilled resident"/>
    <s v="Unskilled"/>
    <x v="0"/>
    <s v="1&lt;=X&lt;4"/>
    <x v="0"/>
    <s v="existing paid"/>
    <x v="1"/>
    <n v="3"/>
    <n v="1"/>
    <n v="2631"/>
    <s v="No"/>
    <s v="None"/>
    <s v="None"/>
    <x v="6"/>
    <x v="1"/>
    <n v="15"/>
    <x v="1"/>
  </r>
  <r>
    <n v="644"/>
    <n v="26"/>
    <x v="1"/>
    <s v="Male single"/>
    <x v="1"/>
    <x v="1"/>
    <n v="1"/>
    <x v="1"/>
    <s v="Unknown"/>
    <x v="1"/>
    <n v="4"/>
    <x v="0"/>
    <s v="Yes"/>
    <s v="&gt;=200"/>
    <x v="3"/>
    <s v="&lt;100"/>
    <x v="0"/>
    <s v="skilled"/>
    <s v="Skilled"/>
    <x v="0"/>
    <s v="4&lt;=X&lt;7"/>
    <x v="2"/>
    <s v="existing paid"/>
    <x v="1"/>
    <n v="2"/>
    <n v="1"/>
    <n v="2687"/>
    <s v="No"/>
    <s v="None"/>
    <s v="None"/>
    <x v="5"/>
    <x v="1"/>
    <n v="15"/>
    <x v="1"/>
  </r>
  <r>
    <n v="645"/>
    <n v="27"/>
    <x v="1"/>
    <s v="Male single"/>
    <x v="1"/>
    <x v="1"/>
    <n v="1"/>
    <x v="1"/>
    <s v="Resident"/>
    <x v="0"/>
    <n v="3"/>
    <x v="0"/>
    <s v="No"/>
    <s v="no checking"/>
    <x v="2"/>
    <s v="&lt;100"/>
    <x v="0"/>
    <s v="unskilled resident"/>
    <s v="Unskilled"/>
    <x v="0"/>
    <s v="&lt;1"/>
    <x v="1"/>
    <s v="existing paid"/>
    <x v="1"/>
    <n v="2"/>
    <n v="2"/>
    <n v="2708"/>
    <s v="No"/>
    <s v="None"/>
    <s v="Bank"/>
    <x v="1"/>
    <x v="1"/>
    <n v="15"/>
    <x v="1"/>
  </r>
  <r>
    <n v="646"/>
    <n v="35"/>
    <x v="0"/>
    <s v="Male single"/>
    <x v="1"/>
    <x v="1"/>
    <n v="1"/>
    <x v="1"/>
    <s v="Unknown"/>
    <x v="0"/>
    <n v="2"/>
    <x v="2"/>
    <s v="Yes"/>
    <s v="0&lt;=X&lt;200"/>
    <x v="0"/>
    <s v="no known savings"/>
    <x v="1"/>
    <s v="skilled"/>
    <s v="Skilled"/>
    <x v="0"/>
    <s v="4&lt;=X&lt;7"/>
    <x v="2"/>
    <s v="critical/Others existing credit"/>
    <x v="3"/>
    <n v="4"/>
    <n v="3"/>
    <n v="2728"/>
    <s v="guarantor"/>
    <s v="Guarantor"/>
    <s v="Bank"/>
    <x v="4"/>
    <x v="1"/>
    <n v="15"/>
    <x v="1"/>
  </r>
  <r>
    <n v="647"/>
    <n v="24"/>
    <x v="1"/>
    <s v="Female Divorced with Dependents"/>
    <x v="0"/>
    <x v="0"/>
    <n v="1"/>
    <x v="1"/>
    <s v="Unknown"/>
    <x v="0"/>
    <n v="3"/>
    <x v="1"/>
    <s v="No"/>
    <s v="no checking"/>
    <x v="2"/>
    <s v="&lt;100"/>
    <x v="0"/>
    <s v="skilled"/>
    <s v="Skilled"/>
    <x v="0"/>
    <s v="4&lt;=X&lt;7"/>
    <x v="2"/>
    <s v="critical/Others existing credit"/>
    <x v="3"/>
    <n v="2"/>
    <n v="2"/>
    <n v="2788"/>
    <s v="co applicant"/>
    <s v="Co-applicant"/>
    <s v="Bank"/>
    <x v="1"/>
    <x v="1"/>
    <n v="15"/>
    <x v="1"/>
  </r>
  <r>
    <n v="648"/>
    <n v="33"/>
    <x v="0"/>
    <s v="Male single"/>
    <x v="1"/>
    <x v="1"/>
    <n v="1"/>
    <x v="1"/>
    <s v="Unknown"/>
    <x v="0"/>
    <n v="2"/>
    <x v="1"/>
    <s v="No"/>
    <s v="no checking"/>
    <x v="2"/>
    <s v="&lt;100"/>
    <x v="0"/>
    <s v="skilled"/>
    <s v="Skilled"/>
    <x v="0"/>
    <s v="4&lt;=X&lt;7"/>
    <x v="2"/>
    <s v="existing paid"/>
    <x v="1"/>
    <n v="2"/>
    <n v="1"/>
    <n v="3029"/>
    <s v="No"/>
    <s v="None"/>
    <s v="None"/>
    <x v="2"/>
    <x v="1"/>
    <n v="15"/>
    <x v="1"/>
  </r>
  <r>
    <n v="649"/>
    <n v="20"/>
    <x v="1"/>
    <s v="Female Divorced with Dependents"/>
    <x v="0"/>
    <x v="0"/>
    <n v="1"/>
    <x v="1"/>
    <s v="Unknown"/>
    <x v="1"/>
    <n v="3"/>
    <x v="1"/>
    <s v="No"/>
    <s v="no checking"/>
    <x v="2"/>
    <s v="&gt;=1000"/>
    <x v="2"/>
    <s v="skilled"/>
    <s v="Skilled"/>
    <x v="0"/>
    <s v="4&lt;=X&lt;7"/>
    <x v="2"/>
    <s v="existing paid"/>
    <x v="1"/>
    <n v="2"/>
    <n v="1"/>
    <n v="3186"/>
    <s v="No"/>
    <s v="None"/>
    <s v="None"/>
    <x v="3"/>
    <x v="1"/>
    <n v="15"/>
    <x v="1"/>
  </r>
  <r>
    <n v="650"/>
    <n v="28"/>
    <x v="1"/>
    <s v="Male single"/>
    <x v="1"/>
    <x v="1"/>
    <n v="1"/>
    <x v="1"/>
    <s v="Unknown"/>
    <x v="2"/>
    <n v="2"/>
    <x v="3"/>
    <s v="Yes"/>
    <s v="no checking"/>
    <x v="2"/>
    <s v="&lt;100"/>
    <x v="0"/>
    <s v="skilled"/>
    <s v="Skilled"/>
    <x v="0"/>
    <s v="1&lt;=X&lt;4"/>
    <x v="0"/>
    <s v="critical/Others existing credit"/>
    <x v="3"/>
    <n v="4"/>
    <n v="1"/>
    <n v="3343"/>
    <s v="No"/>
    <s v="None"/>
    <s v="None"/>
    <x v="1"/>
    <x v="1"/>
    <n v="15"/>
    <x v="1"/>
  </r>
  <r>
    <n v="651"/>
    <n v="23"/>
    <x v="1"/>
    <s v="Male single"/>
    <x v="1"/>
    <x v="1"/>
    <n v="1"/>
    <x v="1"/>
    <s v="Unknown"/>
    <x v="1"/>
    <n v="4"/>
    <x v="3"/>
    <s v="Yes"/>
    <s v="no checking"/>
    <x v="2"/>
    <s v="&gt;=1000"/>
    <x v="2"/>
    <s v="skilled"/>
    <s v="Skilled"/>
    <x v="0"/>
    <s v="&gt;=7"/>
    <x v="3"/>
    <s v="critical/Others existing credit"/>
    <x v="3"/>
    <n v="3"/>
    <n v="2"/>
    <n v="3368"/>
    <s v="No"/>
    <s v="None"/>
    <s v="None"/>
    <x v="2"/>
    <x v="1"/>
    <n v="15"/>
    <x v="1"/>
  </r>
  <r>
    <n v="652"/>
    <n v="29"/>
    <x v="0"/>
    <s v="Male single"/>
    <x v="1"/>
    <x v="1"/>
    <n v="1"/>
    <x v="1"/>
    <s v="Unknown"/>
    <x v="0"/>
    <n v="2"/>
    <x v="3"/>
    <s v="No"/>
    <s v="no checking"/>
    <x v="2"/>
    <s v="no known savings"/>
    <x v="1"/>
    <s v="skilled"/>
    <s v="Skilled"/>
    <x v="0"/>
    <s v="1&lt;=X&lt;4"/>
    <x v="0"/>
    <s v="existing paid"/>
    <x v="1"/>
    <n v="3"/>
    <n v="1"/>
    <n v="3556"/>
    <s v="No"/>
    <s v="None"/>
    <s v="None"/>
    <x v="3"/>
    <x v="1"/>
    <n v="15"/>
    <x v="1"/>
  </r>
  <r>
    <n v="653"/>
    <n v="54"/>
    <x v="3"/>
    <s v="Female Divorced with Dependents"/>
    <x v="0"/>
    <x v="0"/>
    <n v="1"/>
    <x v="1"/>
    <s v="Unknown"/>
    <x v="1"/>
    <n v="2"/>
    <x v="1"/>
    <s v="Yes"/>
    <s v="no checking"/>
    <x v="2"/>
    <s v="&lt;100"/>
    <x v="0"/>
    <s v="high qualif/self emp/mgmt"/>
    <s v="Skilled"/>
    <x v="0"/>
    <s v="&gt;=7"/>
    <x v="3"/>
    <s v="existing paid"/>
    <x v="1"/>
    <n v="4"/>
    <n v="1"/>
    <n v="3568"/>
    <s v="No"/>
    <s v="None"/>
    <s v="Bank"/>
    <x v="4"/>
    <x v="1"/>
    <n v="15"/>
    <x v="1"/>
  </r>
  <r>
    <n v="654"/>
    <n v="46"/>
    <x v="2"/>
    <s v="Female Divorced with Dependents"/>
    <x v="0"/>
    <x v="0"/>
    <n v="1"/>
    <x v="1"/>
    <s v="Resident"/>
    <x v="0"/>
    <n v="2"/>
    <x v="0"/>
    <s v="No"/>
    <s v="no checking"/>
    <x v="2"/>
    <s v="&lt;100"/>
    <x v="0"/>
    <s v="unskilled resident"/>
    <s v="Unskilled"/>
    <x v="0"/>
    <s v="&lt;1"/>
    <x v="1"/>
    <s v="delayed previously"/>
    <x v="4"/>
    <n v="1"/>
    <n v="2"/>
    <n v="3594"/>
    <s v="No"/>
    <s v="None"/>
    <s v="None"/>
    <x v="2"/>
    <x v="1"/>
    <n v="15"/>
    <x v="1"/>
  </r>
  <r>
    <n v="655"/>
    <n v="27"/>
    <x v="1"/>
    <s v="Female Divorced with Dependents"/>
    <x v="0"/>
    <x v="0"/>
    <n v="1"/>
    <x v="1"/>
    <s v="Resident"/>
    <x v="0"/>
    <n v="4"/>
    <x v="0"/>
    <s v="No"/>
    <s v="&lt;0"/>
    <x v="1"/>
    <s v="&lt;100"/>
    <x v="0"/>
    <s v="unskilled resident"/>
    <s v="Unskilled"/>
    <x v="0"/>
    <s v="&gt;=7"/>
    <x v="3"/>
    <s v="delayed previously"/>
    <x v="4"/>
    <n v="1"/>
    <n v="2"/>
    <n v="3643"/>
    <s v="No"/>
    <s v="None"/>
    <s v="None"/>
    <x v="1"/>
    <x v="1"/>
    <n v="15"/>
    <x v="1"/>
  </r>
  <r>
    <n v="656"/>
    <n v="23"/>
    <x v="1"/>
    <s v="Female Divorced with Dependents"/>
    <x v="0"/>
    <x v="0"/>
    <n v="1"/>
    <x v="1"/>
    <s v="Unknown"/>
    <x v="0"/>
    <n v="4"/>
    <x v="1"/>
    <s v="Yes"/>
    <s v="no checking"/>
    <x v="2"/>
    <s v="100&lt;=X&lt;500"/>
    <x v="3"/>
    <s v="skilled"/>
    <s v="Skilled"/>
    <x v="0"/>
    <s v="&lt;1"/>
    <x v="1"/>
    <s v="existing paid"/>
    <x v="1"/>
    <n v="1"/>
    <n v="1"/>
    <n v="3812"/>
    <s v="No"/>
    <s v="None"/>
    <s v="None"/>
    <x v="2"/>
    <x v="1"/>
    <n v="15"/>
    <x v="1"/>
  </r>
  <r>
    <n v="657"/>
    <n v="29"/>
    <x v="0"/>
    <s v="Female Divorced with Dependents"/>
    <x v="0"/>
    <x v="0"/>
    <n v="1"/>
    <x v="1"/>
    <s v="Unknown"/>
    <x v="0"/>
    <n v="2"/>
    <x v="0"/>
    <s v="Yes"/>
    <s v="&lt;0"/>
    <x v="1"/>
    <s v="&lt;100"/>
    <x v="0"/>
    <s v="skilled"/>
    <s v="Skilled"/>
    <x v="0"/>
    <s v="1&lt;=X&lt;4"/>
    <x v="0"/>
    <s v="existing paid"/>
    <x v="1"/>
    <n v="3"/>
    <n v="1"/>
    <n v="3959"/>
    <s v="No"/>
    <s v="None"/>
    <s v="None"/>
    <x v="3"/>
    <x v="1"/>
    <n v="15"/>
    <x v="0"/>
  </r>
  <r>
    <n v="658"/>
    <n v="40"/>
    <x v="2"/>
    <s v="Male single"/>
    <x v="1"/>
    <x v="1"/>
    <n v="1"/>
    <x v="1"/>
    <s v="Unknown"/>
    <x v="0"/>
    <n v="2"/>
    <x v="0"/>
    <s v="Yes"/>
    <s v="no checking"/>
    <x v="2"/>
    <s v="100&lt;=X&lt;500"/>
    <x v="3"/>
    <s v="high qualif/self emp/mgmt"/>
    <s v="Skilled"/>
    <x v="0"/>
    <s v="1&lt;=X&lt;4"/>
    <x v="0"/>
    <s v="existing paid"/>
    <x v="1"/>
    <n v="3"/>
    <n v="1"/>
    <n v="4623"/>
    <s v="No"/>
    <s v="None"/>
    <s v="None"/>
    <x v="7"/>
    <x v="1"/>
    <n v="15"/>
    <x v="0"/>
  </r>
  <r>
    <n v="659"/>
    <n v="30"/>
    <x v="0"/>
    <s v="Male single"/>
    <x v="1"/>
    <x v="1"/>
    <n v="1"/>
    <x v="1"/>
    <s v="Unknown"/>
    <x v="0"/>
    <n v="2"/>
    <x v="1"/>
    <s v="Yes"/>
    <s v="no checking"/>
    <x v="2"/>
    <s v="&lt;100"/>
    <x v="0"/>
    <s v="skilled"/>
    <s v="Skilled"/>
    <x v="0"/>
    <s v="1&lt;=X&lt;4"/>
    <x v="0"/>
    <s v="existing paid"/>
    <x v="1"/>
    <n v="3"/>
    <n v="1"/>
    <n v="4657"/>
    <s v="No"/>
    <s v="None"/>
    <s v="None"/>
    <x v="2"/>
    <x v="1"/>
    <n v="15"/>
    <x v="1"/>
  </r>
  <r>
    <n v="660"/>
    <n v="59"/>
    <x v="5"/>
    <s v="Female Divorced with Dependents"/>
    <x v="0"/>
    <x v="0"/>
    <n v="1"/>
    <x v="1"/>
    <s v="Unknown"/>
    <x v="0"/>
    <n v="4"/>
    <x v="1"/>
    <s v="Yes"/>
    <s v="no checking"/>
    <x v="2"/>
    <s v="no known savings"/>
    <x v="1"/>
    <s v="skilled"/>
    <s v="Skilled"/>
    <x v="0"/>
    <s v="&gt;=7"/>
    <x v="3"/>
    <s v="critical/Others existing credit"/>
    <x v="3"/>
    <n v="1"/>
    <n v="1"/>
    <n v="5045"/>
    <s v="No"/>
    <s v="None"/>
    <s v="None"/>
    <x v="3"/>
    <x v="1"/>
    <n v="15"/>
    <x v="1"/>
  </r>
  <r>
    <n v="661"/>
    <n v="35"/>
    <x v="0"/>
    <s v="Female Divorced with Dependents"/>
    <x v="0"/>
    <x v="0"/>
    <n v="1"/>
    <x v="1"/>
    <s v="Unknown"/>
    <x v="2"/>
    <n v="4"/>
    <x v="3"/>
    <s v="No"/>
    <s v="no checking"/>
    <x v="2"/>
    <s v="500&lt;=X&lt;1000"/>
    <x v="4"/>
    <s v="skilled"/>
    <s v="Skilled"/>
    <x v="0"/>
    <s v="&gt;=7"/>
    <x v="3"/>
    <s v="existing paid"/>
    <x v="1"/>
    <n v="1"/>
    <n v="1"/>
    <n v="5324"/>
    <s v="No"/>
    <s v="None"/>
    <s v="None"/>
    <x v="3"/>
    <x v="1"/>
    <n v="15"/>
    <x v="1"/>
  </r>
  <r>
    <n v="662"/>
    <n v="34"/>
    <x v="0"/>
    <s v="Male single"/>
    <x v="1"/>
    <x v="1"/>
    <n v="2"/>
    <x v="1"/>
    <s v="Unknown"/>
    <x v="0"/>
    <n v="2"/>
    <x v="0"/>
    <s v="Yes"/>
    <s v="0&lt;=X&lt;200"/>
    <x v="0"/>
    <s v="100&lt;=X&lt;500"/>
    <x v="3"/>
    <s v="high qualif/self emp/mgmt"/>
    <s v="Skilled"/>
    <x v="0"/>
    <s v="unemployed"/>
    <x v="4"/>
    <s v="all paid"/>
    <x v="2"/>
    <n v="1"/>
    <n v="1"/>
    <n v="6850"/>
    <s v="No"/>
    <s v="None"/>
    <s v="None"/>
    <x v="3"/>
    <x v="1"/>
    <n v="15"/>
    <x v="0"/>
  </r>
  <r>
    <n v="663"/>
    <n v="27"/>
    <x v="1"/>
    <s v="Male single"/>
    <x v="1"/>
    <x v="1"/>
    <n v="1"/>
    <x v="1"/>
    <s v="Resident"/>
    <x v="0"/>
    <n v="2"/>
    <x v="1"/>
    <s v="No"/>
    <s v="no checking"/>
    <x v="2"/>
    <s v="&lt;100"/>
    <x v="0"/>
    <s v="unskilled resident"/>
    <s v="Unskilled"/>
    <x v="0"/>
    <s v="1&lt;=X&lt;4"/>
    <x v="0"/>
    <s v="delayed previously"/>
    <x v="4"/>
    <n v="4"/>
    <n v="2"/>
    <n v="802"/>
    <s v="No"/>
    <s v="None"/>
    <s v="None"/>
    <x v="3"/>
    <x v="1"/>
    <n v="14"/>
    <x v="1"/>
  </r>
  <r>
    <n v="664"/>
    <n v="35"/>
    <x v="0"/>
    <s v="Male Married/Widowed"/>
    <x v="1"/>
    <x v="2"/>
    <n v="1"/>
    <x v="1"/>
    <s v="Unknown"/>
    <x v="0"/>
    <n v="2"/>
    <x v="2"/>
    <s v="Yes"/>
    <s v="0&lt;=X&lt;200"/>
    <x v="0"/>
    <s v="500&lt;=X&lt;1000"/>
    <x v="4"/>
    <s v="skilled"/>
    <s v="Skilled"/>
    <x v="0"/>
    <s v="&gt;=7"/>
    <x v="3"/>
    <s v="existing paid"/>
    <x v="1"/>
    <n v="1"/>
    <n v="1"/>
    <n v="1410"/>
    <s v="No"/>
    <s v="None"/>
    <s v="None"/>
    <x v="5"/>
    <x v="1"/>
    <n v="14"/>
    <x v="1"/>
  </r>
  <r>
    <n v="665"/>
    <n v="22"/>
    <x v="1"/>
    <s v="Male single"/>
    <x v="1"/>
    <x v="1"/>
    <n v="1"/>
    <x v="1"/>
    <s v="Unknown"/>
    <x v="2"/>
    <n v="4"/>
    <x v="3"/>
    <s v="No"/>
    <s v="&lt;0"/>
    <x v="1"/>
    <s v="&lt;100"/>
    <x v="0"/>
    <s v="skilled"/>
    <s v="Skilled"/>
    <x v="0"/>
    <s v="unemployed"/>
    <x v="4"/>
    <s v="existing paid"/>
    <x v="1"/>
    <n v="1"/>
    <n v="1"/>
    <n v="3973"/>
    <s v="No"/>
    <s v="None"/>
    <s v="None"/>
    <x v="3"/>
    <x v="1"/>
    <n v="14"/>
    <x v="1"/>
  </r>
  <r>
    <n v="666"/>
    <n v="23"/>
    <x v="1"/>
    <s v="Male single"/>
    <x v="1"/>
    <x v="1"/>
    <n v="1"/>
    <x v="1"/>
    <s v="Unknown"/>
    <x v="0"/>
    <n v="4"/>
    <x v="2"/>
    <s v="No"/>
    <s v="0&lt;=X&lt;200"/>
    <x v="0"/>
    <s v="&lt;100"/>
    <x v="0"/>
    <s v="skilled"/>
    <s v="Skilled"/>
    <x v="0"/>
    <s v="&lt;1"/>
    <x v="1"/>
    <s v="critical/Others existing credit"/>
    <x v="3"/>
    <n v="4"/>
    <n v="2"/>
    <n v="882"/>
    <s v="guarantor"/>
    <s v="Guarantor"/>
    <s v="None"/>
    <x v="4"/>
    <x v="1"/>
    <n v="13"/>
    <x v="1"/>
  </r>
  <r>
    <n v="667"/>
    <n v="64"/>
    <x v="5"/>
    <s v="Female Divorced with Dependents"/>
    <x v="0"/>
    <x v="0"/>
    <n v="1"/>
    <x v="1"/>
    <s v="Unknown"/>
    <x v="0"/>
    <n v="4"/>
    <x v="2"/>
    <s v="No"/>
    <s v="no checking"/>
    <x v="2"/>
    <s v="100&lt;=X&lt;500"/>
    <x v="3"/>
    <s v="skilled"/>
    <s v="Skilled"/>
    <x v="0"/>
    <s v="unemployed"/>
    <x v="4"/>
    <s v="existing paid"/>
    <x v="1"/>
    <n v="2"/>
    <n v="1"/>
    <n v="1409"/>
    <s v="No"/>
    <s v="None"/>
    <s v="None"/>
    <x v="4"/>
    <x v="1"/>
    <n v="13"/>
    <x v="1"/>
  </r>
  <r>
    <n v="668"/>
    <n v="28"/>
    <x v="1"/>
    <s v="Male single"/>
    <x v="1"/>
    <x v="1"/>
    <n v="1"/>
    <x v="1"/>
    <s v="Resident"/>
    <x v="0"/>
    <n v="1"/>
    <x v="0"/>
    <s v="No"/>
    <s v="&lt;0"/>
    <x v="1"/>
    <s v="&lt;100"/>
    <x v="0"/>
    <s v="unskilled resident"/>
    <s v="Unskilled"/>
    <x v="0"/>
    <s v="&lt;1"/>
    <x v="1"/>
    <s v="critical/Others existing credit"/>
    <x v="3"/>
    <n v="3"/>
    <n v="2"/>
    <n v="1797"/>
    <s v="No"/>
    <s v="None"/>
    <s v="Bank"/>
    <x v="5"/>
    <x v="1"/>
    <n v="13"/>
    <x v="1"/>
  </r>
  <r>
    <n v="669"/>
    <n v="23"/>
    <x v="1"/>
    <s v="Female Divorced with Dependents"/>
    <x v="0"/>
    <x v="0"/>
    <n v="1"/>
    <x v="1"/>
    <s v="Resident"/>
    <x v="0"/>
    <n v="4"/>
    <x v="0"/>
    <s v="No"/>
    <s v="0&lt;=X&lt;200"/>
    <x v="0"/>
    <s v="&lt;100"/>
    <x v="0"/>
    <s v="unskilled resident"/>
    <s v="Unskilled"/>
    <x v="0"/>
    <s v="&lt;1"/>
    <x v="1"/>
    <s v="existing paid"/>
    <x v="1"/>
    <n v="2"/>
    <n v="1"/>
    <n v="2101"/>
    <s v="guarantor"/>
    <s v="Guarantor"/>
    <s v="None"/>
    <x v="4"/>
    <x v="1"/>
    <n v="13"/>
    <x v="1"/>
  </r>
  <r>
    <n v="670"/>
    <n v="45"/>
    <x v="2"/>
    <s v="Male Married/Widowed"/>
    <x v="1"/>
    <x v="2"/>
    <n v="1"/>
    <x v="1"/>
    <s v="Resident"/>
    <x v="0"/>
    <n v="1"/>
    <x v="1"/>
    <s v="No"/>
    <s v="&lt;0"/>
    <x v="1"/>
    <s v="&lt;100"/>
    <x v="0"/>
    <s v="unskilled resident"/>
    <s v="Unskilled"/>
    <x v="0"/>
    <s v="&gt;=7"/>
    <x v="3"/>
    <s v="all paid"/>
    <x v="2"/>
    <n v="4"/>
    <n v="1"/>
    <n v="339"/>
    <s v="No"/>
    <s v="None"/>
    <s v="Bank"/>
    <x v="9"/>
    <x v="2"/>
    <n v="12"/>
    <x v="1"/>
  </r>
  <r>
    <n v="671"/>
    <n v="58"/>
    <x v="3"/>
    <s v="Female Divorced with Dependents"/>
    <x v="0"/>
    <x v="0"/>
    <n v="1"/>
    <x v="1"/>
    <s v="Resident"/>
    <x v="0"/>
    <n v="3"/>
    <x v="2"/>
    <s v="Yes"/>
    <s v="&lt;0"/>
    <x v="1"/>
    <s v="&lt;100"/>
    <x v="0"/>
    <s v="unskilled resident"/>
    <s v="Unskilled"/>
    <x v="0"/>
    <s v="4&lt;=X&lt;7"/>
    <x v="2"/>
    <s v="critical/Others existing credit"/>
    <x v="3"/>
    <n v="4"/>
    <n v="4"/>
    <n v="385"/>
    <s v="No"/>
    <s v="None"/>
    <s v="None"/>
    <x v="4"/>
    <x v="2"/>
    <n v="12"/>
    <x v="1"/>
  </r>
  <r>
    <n v="672"/>
    <n v="42"/>
    <x v="2"/>
    <s v="Female Divorced with Dependents"/>
    <x v="0"/>
    <x v="0"/>
    <n v="1"/>
    <x v="1"/>
    <s v="Unknown"/>
    <x v="1"/>
    <n v="3"/>
    <x v="2"/>
    <s v="No"/>
    <s v="&gt;=200"/>
    <x v="3"/>
    <s v="&gt;=1000"/>
    <x v="2"/>
    <s v="skilled"/>
    <s v="Skilled"/>
    <x v="0"/>
    <s v="1&lt;=X&lt;4"/>
    <x v="0"/>
    <s v="all paid"/>
    <x v="2"/>
    <n v="3"/>
    <n v="2"/>
    <n v="409"/>
    <s v="No"/>
    <s v="None"/>
    <s v="None"/>
    <x v="4"/>
    <x v="2"/>
    <n v="12"/>
    <x v="1"/>
  </r>
  <r>
    <n v="673"/>
    <n v="42"/>
    <x v="2"/>
    <s v="Male single"/>
    <x v="1"/>
    <x v="1"/>
    <n v="2"/>
    <x v="1"/>
    <s v="Unknown"/>
    <x v="0"/>
    <n v="4"/>
    <x v="0"/>
    <s v="Yes"/>
    <s v="no checking"/>
    <x v="2"/>
    <s v="500&lt;=X&lt;1000"/>
    <x v="4"/>
    <s v="skilled"/>
    <s v="Skilled"/>
    <x v="0"/>
    <s v="&gt;=7"/>
    <x v="3"/>
    <s v="critical/Others existing credit"/>
    <x v="3"/>
    <n v="4"/>
    <n v="2"/>
    <n v="522"/>
    <s v="No"/>
    <s v="None"/>
    <s v="None"/>
    <x v="4"/>
    <x v="2"/>
    <n v="12"/>
    <x v="1"/>
  </r>
  <r>
    <n v="674"/>
    <n v="20"/>
    <x v="1"/>
    <s v="Male Married/Widowed"/>
    <x v="1"/>
    <x v="2"/>
    <n v="1"/>
    <x v="1"/>
    <s v="Unknown"/>
    <x v="1"/>
    <n v="4"/>
    <x v="2"/>
    <s v="No"/>
    <s v="0&lt;=X&lt;200"/>
    <x v="0"/>
    <s v="&lt;100"/>
    <x v="0"/>
    <s v="skilled"/>
    <s v="Skilled"/>
    <x v="0"/>
    <s v="1&lt;=X&lt;4"/>
    <x v="0"/>
    <s v="delayed previously"/>
    <x v="4"/>
    <n v="4"/>
    <n v="2"/>
    <n v="585"/>
    <s v="co applicant"/>
    <s v="Co-applicant"/>
    <s v="None"/>
    <x v="4"/>
    <x v="2"/>
    <n v="12"/>
    <x v="1"/>
  </r>
  <r>
    <n v="675"/>
    <n v="26"/>
    <x v="1"/>
    <s v="Female Divorced with Dependents"/>
    <x v="0"/>
    <x v="0"/>
    <n v="1"/>
    <x v="1"/>
    <s v="Non-resident"/>
    <x v="0"/>
    <n v="1"/>
    <x v="2"/>
    <s v="No"/>
    <s v="&gt;=200"/>
    <x v="3"/>
    <s v="&lt;100"/>
    <x v="0"/>
    <s v="unemp/unskilled non res"/>
    <s v="Unskilled"/>
    <x v="1"/>
    <s v="&lt;1"/>
    <x v="1"/>
    <s v="all paid"/>
    <x v="2"/>
    <n v="4"/>
    <n v="1"/>
    <n v="609"/>
    <s v="No"/>
    <s v="None"/>
    <s v="None"/>
    <x v="5"/>
    <x v="2"/>
    <n v="12"/>
    <x v="0"/>
  </r>
  <r>
    <n v="676"/>
    <n v="56"/>
    <x v="3"/>
    <s v="Male single"/>
    <x v="1"/>
    <x v="1"/>
    <n v="1"/>
    <x v="1"/>
    <s v="Unknown"/>
    <x v="0"/>
    <n v="4"/>
    <x v="2"/>
    <s v="No"/>
    <s v="no checking"/>
    <x v="2"/>
    <s v="&lt;100"/>
    <x v="0"/>
    <s v="skilled"/>
    <s v="Skilled"/>
    <x v="0"/>
    <s v="&gt;=7"/>
    <x v="3"/>
    <s v="critical/Others existing credit"/>
    <x v="3"/>
    <n v="4"/>
    <n v="1"/>
    <n v="618"/>
    <s v="No"/>
    <s v="None"/>
    <s v="None"/>
    <x v="4"/>
    <x v="2"/>
    <n v="12"/>
    <x v="1"/>
  </r>
  <r>
    <n v="677"/>
    <n v="26"/>
    <x v="1"/>
    <s v="Male Married/Widowed"/>
    <x v="1"/>
    <x v="2"/>
    <n v="1"/>
    <x v="1"/>
    <s v="Resident"/>
    <x v="0"/>
    <n v="1"/>
    <x v="2"/>
    <s v="No"/>
    <s v="0&lt;=X&lt;200"/>
    <x v="0"/>
    <s v="&lt;100"/>
    <x v="0"/>
    <s v="unskilled resident"/>
    <s v="Unskilled"/>
    <x v="0"/>
    <s v="&lt;1"/>
    <x v="1"/>
    <s v="existing paid"/>
    <x v="1"/>
    <n v="4"/>
    <n v="1"/>
    <n v="625"/>
    <s v="guarantor"/>
    <s v="Guarantor"/>
    <s v="Bank"/>
    <x v="4"/>
    <x v="2"/>
    <n v="12"/>
    <x v="1"/>
  </r>
  <r>
    <n v="678"/>
    <n v="24"/>
    <x v="1"/>
    <s v="Female Divorced with Dependents"/>
    <x v="0"/>
    <x v="0"/>
    <n v="1"/>
    <x v="1"/>
    <s v="Resident"/>
    <x v="0"/>
    <n v="4"/>
    <x v="2"/>
    <s v="No"/>
    <s v="&lt;0"/>
    <x v="1"/>
    <s v="&lt;100"/>
    <x v="0"/>
    <s v="unskilled resident"/>
    <s v="Unskilled"/>
    <x v="0"/>
    <s v="1&lt;=X&lt;4"/>
    <x v="0"/>
    <s v="all paid"/>
    <x v="2"/>
    <n v="4"/>
    <n v="1"/>
    <n v="626"/>
    <s v="No"/>
    <s v="None"/>
    <s v="Bank"/>
    <x v="4"/>
    <x v="2"/>
    <n v="12"/>
    <x v="0"/>
  </r>
  <r>
    <n v="679"/>
    <n v="30"/>
    <x v="0"/>
    <s v="Male single"/>
    <x v="1"/>
    <x v="1"/>
    <n v="1"/>
    <x v="1"/>
    <s v="Unknown"/>
    <x v="0"/>
    <n v="2"/>
    <x v="1"/>
    <s v="No"/>
    <s v="0&lt;=X&lt;200"/>
    <x v="0"/>
    <s v="&lt;100"/>
    <x v="0"/>
    <s v="skilled"/>
    <s v="Skilled"/>
    <x v="0"/>
    <s v="1&lt;=X&lt;4"/>
    <x v="0"/>
    <s v="existing paid"/>
    <x v="1"/>
    <n v="4"/>
    <n v="1"/>
    <n v="639"/>
    <s v="No"/>
    <s v="None"/>
    <s v="None"/>
    <x v="6"/>
    <x v="2"/>
    <n v="12"/>
    <x v="0"/>
  </r>
  <r>
    <n v="680"/>
    <n v="49"/>
    <x v="3"/>
    <s v="Male Divorced/Seperated"/>
    <x v="1"/>
    <x v="3"/>
    <n v="1"/>
    <x v="1"/>
    <s v="Resident"/>
    <x v="0"/>
    <n v="2"/>
    <x v="2"/>
    <s v="No"/>
    <s v="no checking"/>
    <x v="2"/>
    <s v="&lt;100"/>
    <x v="0"/>
    <s v="unskilled resident"/>
    <s v="Unskilled"/>
    <x v="0"/>
    <s v="1&lt;=X&lt;4"/>
    <x v="0"/>
    <s v="existing paid"/>
    <x v="1"/>
    <n v="4"/>
    <n v="1"/>
    <n v="640"/>
    <s v="No"/>
    <s v="None"/>
    <s v="None"/>
    <x v="3"/>
    <x v="2"/>
    <n v="12"/>
    <x v="1"/>
  </r>
  <r>
    <n v="681"/>
    <n v="24"/>
    <x v="1"/>
    <s v="Female Divorced with Dependents"/>
    <x v="0"/>
    <x v="0"/>
    <n v="1"/>
    <x v="1"/>
    <s v="Unknown"/>
    <x v="1"/>
    <n v="4"/>
    <x v="0"/>
    <s v="No"/>
    <s v="&lt;0"/>
    <x v="1"/>
    <s v="&lt;100"/>
    <x v="0"/>
    <s v="skilled"/>
    <s v="Skilled"/>
    <x v="0"/>
    <s v="&gt;=7"/>
    <x v="3"/>
    <s v="existing paid"/>
    <x v="1"/>
    <n v="4"/>
    <n v="1"/>
    <n v="652"/>
    <s v="No"/>
    <s v="None"/>
    <s v="None"/>
    <x v="1"/>
    <x v="2"/>
    <n v="12"/>
    <x v="1"/>
  </r>
  <r>
    <n v="682"/>
    <n v="20"/>
    <x v="1"/>
    <s v="Male Married/Widowed"/>
    <x v="1"/>
    <x v="2"/>
    <n v="1"/>
    <x v="1"/>
    <s v="Unknown"/>
    <x v="0"/>
    <n v="1"/>
    <x v="0"/>
    <s v="No"/>
    <s v="&lt;0"/>
    <x v="1"/>
    <s v="100&lt;=X&lt;500"/>
    <x v="3"/>
    <s v="skilled"/>
    <s v="Skilled"/>
    <x v="0"/>
    <s v="4&lt;=X&lt;7"/>
    <x v="2"/>
    <s v="existing paid"/>
    <x v="1"/>
    <n v="4"/>
    <n v="1"/>
    <n v="674"/>
    <s v="No"/>
    <s v="None"/>
    <s v="None"/>
    <x v="4"/>
    <x v="2"/>
    <n v="12"/>
    <x v="0"/>
  </r>
  <r>
    <n v="683"/>
    <n v="51"/>
    <x v="3"/>
    <s v="Female Divorced with Dependents"/>
    <x v="0"/>
    <x v="0"/>
    <n v="1"/>
    <x v="1"/>
    <s v="Unknown"/>
    <x v="0"/>
    <n v="3"/>
    <x v="1"/>
    <s v="Yes"/>
    <s v="no checking"/>
    <x v="2"/>
    <s v="100&lt;=X&lt;500"/>
    <x v="3"/>
    <s v="skilled"/>
    <s v="Skilled"/>
    <x v="0"/>
    <s v="4&lt;=X&lt;7"/>
    <x v="2"/>
    <s v="critical/Others existing credit"/>
    <x v="3"/>
    <n v="4"/>
    <n v="2"/>
    <n v="682"/>
    <s v="No"/>
    <s v="None"/>
    <s v="None"/>
    <x v="3"/>
    <x v="2"/>
    <n v="12"/>
    <x v="1"/>
  </r>
  <r>
    <n v="684"/>
    <n v="40"/>
    <x v="2"/>
    <s v="Male single"/>
    <x v="1"/>
    <x v="1"/>
    <n v="2"/>
    <x v="1"/>
    <s v="Resident"/>
    <x v="1"/>
    <n v="4"/>
    <x v="1"/>
    <s v="No"/>
    <s v="&lt;0"/>
    <x v="1"/>
    <s v="&lt;100"/>
    <x v="0"/>
    <s v="unskilled resident"/>
    <s v="Unskilled"/>
    <x v="0"/>
    <s v="1&lt;=X&lt;4"/>
    <x v="0"/>
    <s v="existing paid"/>
    <x v="1"/>
    <n v="4"/>
    <n v="1"/>
    <n v="684"/>
    <s v="No"/>
    <s v="None"/>
    <s v="None"/>
    <x v="7"/>
    <x v="2"/>
    <n v="12"/>
    <x v="0"/>
  </r>
  <r>
    <n v="685"/>
    <n v="25"/>
    <x v="1"/>
    <s v="Male Married/Widowed"/>
    <x v="1"/>
    <x v="2"/>
    <n v="1"/>
    <x v="1"/>
    <s v="Resident"/>
    <x v="0"/>
    <n v="3"/>
    <x v="1"/>
    <s v="No"/>
    <s v="0&lt;=X&lt;200"/>
    <x v="0"/>
    <s v="&lt;100"/>
    <x v="0"/>
    <s v="unskilled resident"/>
    <s v="Unskilled"/>
    <x v="0"/>
    <s v="4&lt;=X&lt;7"/>
    <x v="2"/>
    <s v="existing paid"/>
    <x v="1"/>
    <n v="2"/>
    <n v="1"/>
    <n v="685"/>
    <s v="No"/>
    <s v="None"/>
    <s v="Bank"/>
    <x v="3"/>
    <x v="2"/>
    <n v="12"/>
    <x v="0"/>
  </r>
  <r>
    <n v="686"/>
    <n v="35"/>
    <x v="0"/>
    <s v="Male single"/>
    <x v="1"/>
    <x v="1"/>
    <n v="1"/>
    <x v="1"/>
    <s v="Unknown"/>
    <x v="0"/>
    <n v="3"/>
    <x v="0"/>
    <s v="No"/>
    <s v="&lt;0"/>
    <x v="1"/>
    <s v="&lt;100"/>
    <x v="0"/>
    <s v="skilled"/>
    <s v="Skilled"/>
    <x v="0"/>
    <s v="&gt;=7"/>
    <x v="3"/>
    <s v="critical/Others existing credit"/>
    <x v="3"/>
    <n v="4"/>
    <n v="2"/>
    <n v="691"/>
    <s v="No"/>
    <s v="None"/>
    <s v="None"/>
    <x v="3"/>
    <x v="2"/>
    <n v="12"/>
    <x v="0"/>
  </r>
  <r>
    <n v="687"/>
    <n v="46"/>
    <x v="2"/>
    <s v="Male single"/>
    <x v="1"/>
    <x v="1"/>
    <n v="1"/>
    <x v="1"/>
    <s v="Unknown"/>
    <x v="0"/>
    <n v="2"/>
    <x v="1"/>
    <s v="Yes"/>
    <s v="&lt;0"/>
    <x v="1"/>
    <s v="&lt;100"/>
    <x v="0"/>
    <s v="skilled"/>
    <s v="Skilled"/>
    <x v="0"/>
    <s v="&lt;1"/>
    <x v="1"/>
    <s v="all paid"/>
    <x v="2"/>
    <n v="4"/>
    <n v="2"/>
    <n v="697"/>
    <s v="No"/>
    <s v="None"/>
    <s v="Bank"/>
    <x v="3"/>
    <x v="2"/>
    <n v="12"/>
    <x v="0"/>
  </r>
  <r>
    <n v="688"/>
    <n v="40"/>
    <x v="2"/>
    <s v="Male Married/Widowed"/>
    <x v="1"/>
    <x v="2"/>
    <n v="1"/>
    <x v="1"/>
    <s v="Resident"/>
    <x v="0"/>
    <n v="2"/>
    <x v="2"/>
    <s v="No"/>
    <s v="&lt;0"/>
    <x v="1"/>
    <s v="&lt;100"/>
    <x v="0"/>
    <s v="unskilled resident"/>
    <s v="Unskilled"/>
    <x v="0"/>
    <s v="1&lt;=X&lt;4"/>
    <x v="0"/>
    <s v="existing paid"/>
    <x v="1"/>
    <n v="4"/>
    <n v="1"/>
    <n v="701"/>
    <s v="No"/>
    <s v="None"/>
    <s v="None"/>
    <x v="4"/>
    <x v="2"/>
    <n v="12"/>
    <x v="1"/>
  </r>
  <r>
    <n v="689"/>
    <n v="32"/>
    <x v="0"/>
    <s v="Male single"/>
    <x v="1"/>
    <x v="1"/>
    <n v="1"/>
    <x v="1"/>
    <s v="Unknown"/>
    <x v="0"/>
    <n v="2"/>
    <x v="1"/>
    <s v="No"/>
    <s v="no checking"/>
    <x v="2"/>
    <s v="&lt;100"/>
    <x v="0"/>
    <s v="skilled"/>
    <s v="Skilled"/>
    <x v="0"/>
    <s v="1&lt;=X&lt;4"/>
    <x v="0"/>
    <s v="critical/Others existing credit"/>
    <x v="3"/>
    <n v="4"/>
    <n v="2"/>
    <n v="701"/>
    <s v="No"/>
    <s v="None"/>
    <s v="None"/>
    <x v="7"/>
    <x v="2"/>
    <n v="12"/>
    <x v="1"/>
  </r>
  <r>
    <n v="690"/>
    <n v="30"/>
    <x v="0"/>
    <s v="Male single"/>
    <x v="1"/>
    <x v="1"/>
    <n v="1"/>
    <x v="1"/>
    <s v="Unknown"/>
    <x v="0"/>
    <n v="2"/>
    <x v="2"/>
    <s v="No"/>
    <s v="no checking"/>
    <x v="2"/>
    <s v="&lt;100"/>
    <x v="0"/>
    <s v="skilled"/>
    <s v="Skilled"/>
    <x v="0"/>
    <s v="1&lt;=X&lt;4"/>
    <x v="0"/>
    <s v="existing paid"/>
    <x v="1"/>
    <n v="4"/>
    <n v="2"/>
    <n v="707"/>
    <s v="No"/>
    <s v="None"/>
    <s v="Bank"/>
    <x v="4"/>
    <x v="2"/>
    <n v="12"/>
    <x v="1"/>
  </r>
  <r>
    <n v="691"/>
    <n v="38"/>
    <x v="0"/>
    <s v="Male single"/>
    <x v="1"/>
    <x v="1"/>
    <n v="2"/>
    <x v="1"/>
    <s v="Resident"/>
    <x v="0"/>
    <n v="3"/>
    <x v="0"/>
    <s v="No"/>
    <s v="&lt;0"/>
    <x v="1"/>
    <s v="&lt;100"/>
    <x v="0"/>
    <s v="unskilled resident"/>
    <s v="Unskilled"/>
    <x v="0"/>
    <s v="1&lt;=X&lt;4"/>
    <x v="0"/>
    <s v="existing paid"/>
    <x v="1"/>
    <n v="2"/>
    <n v="1"/>
    <n v="708"/>
    <s v="guarantor"/>
    <s v="Guarantor"/>
    <s v="None"/>
    <x v="1"/>
    <x v="2"/>
    <n v="12"/>
    <x v="1"/>
  </r>
  <r>
    <n v="692"/>
    <n v="57"/>
    <x v="3"/>
    <s v="Male single"/>
    <x v="1"/>
    <x v="1"/>
    <n v="1"/>
    <x v="1"/>
    <s v="Resident"/>
    <x v="0"/>
    <n v="4"/>
    <x v="2"/>
    <s v="No"/>
    <s v="&lt;0"/>
    <x v="1"/>
    <s v="&lt;100"/>
    <x v="0"/>
    <s v="unskilled resident"/>
    <s v="Unskilled"/>
    <x v="0"/>
    <s v="&gt;=7"/>
    <x v="3"/>
    <s v="existing paid"/>
    <x v="1"/>
    <n v="4"/>
    <n v="1"/>
    <n v="709"/>
    <s v="No"/>
    <s v="None"/>
    <s v="Store"/>
    <x v="4"/>
    <x v="2"/>
    <n v="12"/>
    <x v="0"/>
  </r>
  <r>
    <n v="693"/>
    <n v="52"/>
    <x v="3"/>
    <s v="Male single"/>
    <x v="1"/>
    <x v="1"/>
    <n v="1"/>
    <x v="1"/>
    <s v="Unknown"/>
    <x v="0"/>
    <n v="4"/>
    <x v="2"/>
    <s v="No"/>
    <s v="no checking"/>
    <x v="2"/>
    <s v="&lt;100"/>
    <x v="0"/>
    <s v="skilled"/>
    <s v="Skilled"/>
    <x v="0"/>
    <s v="&gt;=7"/>
    <x v="3"/>
    <s v="critical/Others existing credit"/>
    <x v="3"/>
    <n v="4"/>
    <n v="3"/>
    <n v="717"/>
    <s v="No"/>
    <s v="None"/>
    <s v="None"/>
    <x v="4"/>
    <x v="2"/>
    <n v="12"/>
    <x v="1"/>
  </r>
  <r>
    <n v="694"/>
    <n v="41"/>
    <x v="2"/>
    <s v="Male single"/>
    <x v="1"/>
    <x v="1"/>
    <n v="2"/>
    <x v="1"/>
    <s v="Resident"/>
    <x v="0"/>
    <n v="4"/>
    <x v="1"/>
    <s v="No"/>
    <s v="no checking"/>
    <x v="2"/>
    <s v="&lt;100"/>
    <x v="0"/>
    <s v="unskilled resident"/>
    <s v="Unskilled"/>
    <x v="0"/>
    <s v="&gt;=7"/>
    <x v="3"/>
    <s v="existing paid"/>
    <x v="1"/>
    <n v="4"/>
    <n v="1"/>
    <n v="719"/>
    <s v="No"/>
    <s v="None"/>
    <s v="Bank"/>
    <x v="7"/>
    <x v="2"/>
    <n v="12"/>
    <x v="0"/>
  </r>
  <r>
    <n v="695"/>
    <n v="33"/>
    <x v="0"/>
    <s v="Male Married/Widowed"/>
    <x v="1"/>
    <x v="2"/>
    <n v="1"/>
    <x v="1"/>
    <s v="Resident"/>
    <x v="0"/>
    <n v="3"/>
    <x v="3"/>
    <s v="Yes"/>
    <s v="&lt;0"/>
    <x v="1"/>
    <s v="100&lt;=X&lt;500"/>
    <x v="3"/>
    <s v="unskilled resident"/>
    <s v="Unskilled"/>
    <x v="0"/>
    <s v="&lt;1"/>
    <x v="1"/>
    <s v="existing paid"/>
    <x v="1"/>
    <n v="4"/>
    <n v="1"/>
    <n v="727"/>
    <s v="No"/>
    <s v="None"/>
    <s v="None"/>
    <x v="4"/>
    <x v="2"/>
    <n v="12"/>
    <x v="0"/>
  </r>
  <r>
    <n v="696"/>
    <n v="22"/>
    <x v="1"/>
    <s v="Female Divorced with Dependents"/>
    <x v="0"/>
    <x v="0"/>
    <n v="1"/>
    <x v="1"/>
    <s v="Unknown"/>
    <x v="0"/>
    <n v="3"/>
    <x v="0"/>
    <s v="No"/>
    <s v="&lt;0"/>
    <x v="1"/>
    <s v="100&lt;=X&lt;500"/>
    <x v="3"/>
    <s v="skilled"/>
    <s v="Skilled"/>
    <x v="0"/>
    <s v="unemployed"/>
    <x v="4"/>
    <s v="existing paid"/>
    <x v="1"/>
    <n v="4"/>
    <n v="1"/>
    <n v="741"/>
    <s v="No"/>
    <s v="None"/>
    <s v="None"/>
    <x v="8"/>
    <x v="2"/>
    <n v="12"/>
    <x v="0"/>
  </r>
  <r>
    <n v="697"/>
    <n v="38"/>
    <x v="0"/>
    <s v="Male single"/>
    <x v="1"/>
    <x v="1"/>
    <n v="1"/>
    <x v="1"/>
    <s v="Unknown"/>
    <x v="0"/>
    <n v="4"/>
    <x v="0"/>
    <s v="No"/>
    <s v="0&lt;=X&lt;200"/>
    <x v="0"/>
    <s v="no known savings"/>
    <x v="1"/>
    <s v="skilled"/>
    <s v="Skilled"/>
    <x v="0"/>
    <s v="&gt;=7"/>
    <x v="3"/>
    <s v="existing paid"/>
    <x v="1"/>
    <n v="4"/>
    <n v="2"/>
    <n v="754"/>
    <s v="No"/>
    <s v="None"/>
    <s v="None"/>
    <x v="9"/>
    <x v="2"/>
    <n v="12"/>
    <x v="1"/>
  </r>
  <r>
    <n v="698"/>
    <n v="26"/>
    <x v="1"/>
    <s v="Male single"/>
    <x v="1"/>
    <x v="1"/>
    <n v="1"/>
    <x v="1"/>
    <s v="Unknown"/>
    <x v="0"/>
    <n v="2"/>
    <x v="2"/>
    <s v="No"/>
    <s v="&lt;0"/>
    <x v="1"/>
    <s v="&lt;100"/>
    <x v="0"/>
    <s v="skilled"/>
    <s v="Skilled"/>
    <x v="0"/>
    <s v="4&lt;=X&lt;7"/>
    <x v="2"/>
    <s v="existing paid"/>
    <x v="1"/>
    <n v="4"/>
    <n v="1"/>
    <n v="759"/>
    <s v="No"/>
    <s v="None"/>
    <s v="None"/>
    <x v="3"/>
    <x v="2"/>
    <n v="12"/>
    <x v="0"/>
  </r>
  <r>
    <n v="699"/>
    <n v="26"/>
    <x v="1"/>
    <s v="Female Divorced with Dependents"/>
    <x v="0"/>
    <x v="0"/>
    <n v="1"/>
    <x v="1"/>
    <s v="Unknown"/>
    <x v="0"/>
    <n v="1"/>
    <x v="2"/>
    <s v="Yes"/>
    <s v="no checking"/>
    <x v="2"/>
    <s v="&lt;100"/>
    <x v="0"/>
    <s v="skilled"/>
    <s v="Skilled"/>
    <x v="0"/>
    <s v="1&lt;=X&lt;4"/>
    <x v="0"/>
    <s v="existing paid"/>
    <x v="1"/>
    <n v="4"/>
    <n v="1"/>
    <n v="763"/>
    <s v="No"/>
    <s v="None"/>
    <s v="None"/>
    <x v="1"/>
    <x v="2"/>
    <n v="12"/>
    <x v="1"/>
  </r>
  <r>
    <n v="700"/>
    <n v="66"/>
    <x v="5"/>
    <s v="Male single"/>
    <x v="1"/>
    <x v="1"/>
    <n v="1"/>
    <x v="1"/>
    <s v="Resident"/>
    <x v="0"/>
    <n v="3"/>
    <x v="2"/>
    <s v="No"/>
    <s v="0&lt;=X&lt;200"/>
    <x v="0"/>
    <s v="500&lt;=X&lt;1000"/>
    <x v="4"/>
    <s v="unskilled resident"/>
    <s v="Unskilled"/>
    <x v="0"/>
    <s v="1&lt;=X&lt;4"/>
    <x v="0"/>
    <s v="existing paid"/>
    <x v="1"/>
    <n v="4"/>
    <n v="1"/>
    <n v="766"/>
    <s v="No"/>
    <s v="None"/>
    <s v="None"/>
    <x v="4"/>
    <x v="2"/>
    <n v="12"/>
    <x v="0"/>
  </r>
  <r>
    <n v="701"/>
    <n v="28"/>
    <x v="1"/>
    <s v="Male Married/Widowed"/>
    <x v="1"/>
    <x v="2"/>
    <n v="1"/>
    <x v="1"/>
    <s v="Unknown"/>
    <x v="0"/>
    <n v="2"/>
    <x v="2"/>
    <s v="No"/>
    <s v="no checking"/>
    <x v="2"/>
    <s v="&lt;100"/>
    <x v="0"/>
    <s v="skilled"/>
    <s v="Skilled"/>
    <x v="0"/>
    <s v="1&lt;=X&lt;4"/>
    <x v="0"/>
    <s v="existing paid"/>
    <x v="1"/>
    <n v="4"/>
    <n v="1"/>
    <n v="776"/>
    <s v="No"/>
    <s v="None"/>
    <s v="None"/>
    <x v="4"/>
    <x v="2"/>
    <n v="12"/>
    <x v="1"/>
  </r>
  <r>
    <n v="702"/>
    <n v="53"/>
    <x v="3"/>
    <s v="Female Divorced with Dependents"/>
    <x v="0"/>
    <x v="0"/>
    <n v="1"/>
    <x v="1"/>
    <s v="Unknown"/>
    <x v="0"/>
    <n v="4"/>
    <x v="0"/>
    <s v="No"/>
    <s v="&lt;0"/>
    <x v="1"/>
    <s v="&lt;100"/>
    <x v="0"/>
    <s v="skilled"/>
    <s v="Skilled"/>
    <x v="0"/>
    <s v="&lt;1"/>
    <x v="1"/>
    <s v="existing paid"/>
    <x v="1"/>
    <n v="4"/>
    <n v="1"/>
    <n v="795"/>
    <s v="No"/>
    <s v="None"/>
    <s v="None"/>
    <x v="7"/>
    <x v="2"/>
    <n v="12"/>
    <x v="0"/>
  </r>
  <r>
    <n v="703"/>
    <n v="33"/>
    <x v="0"/>
    <s v="Female Divorced with Dependents"/>
    <x v="0"/>
    <x v="0"/>
    <n v="2"/>
    <x v="1"/>
    <s v="Resident"/>
    <x v="0"/>
    <n v="3"/>
    <x v="0"/>
    <s v="No"/>
    <s v="no checking"/>
    <x v="2"/>
    <s v="no known savings"/>
    <x v="1"/>
    <s v="unskilled resident"/>
    <s v="Unskilled"/>
    <x v="0"/>
    <s v="&gt;=7"/>
    <x v="3"/>
    <s v="critical/Others existing credit"/>
    <x v="3"/>
    <n v="4"/>
    <n v="1"/>
    <n v="797"/>
    <s v="No"/>
    <s v="None"/>
    <s v="Bank"/>
    <x v="4"/>
    <x v="2"/>
    <n v="12"/>
    <x v="0"/>
  </r>
  <r>
    <n v="704"/>
    <n v="38"/>
    <x v="0"/>
    <s v="Male single"/>
    <x v="1"/>
    <x v="1"/>
    <n v="1"/>
    <x v="1"/>
    <s v="Unknown"/>
    <x v="0"/>
    <n v="4"/>
    <x v="1"/>
    <s v="No"/>
    <s v="no checking"/>
    <x v="2"/>
    <s v="&lt;100"/>
    <x v="0"/>
    <s v="skilled"/>
    <s v="Skilled"/>
    <x v="0"/>
    <s v="&gt;=7"/>
    <x v="3"/>
    <s v="existing paid"/>
    <x v="1"/>
    <n v="4"/>
    <n v="1"/>
    <n v="804"/>
    <s v="No"/>
    <s v="None"/>
    <s v="None"/>
    <x v="4"/>
    <x v="2"/>
    <n v="12"/>
    <x v="1"/>
  </r>
  <r>
    <n v="705"/>
    <n v="23"/>
    <x v="1"/>
    <s v="Female Divorced with Dependents"/>
    <x v="0"/>
    <x v="0"/>
    <n v="1"/>
    <x v="1"/>
    <s v="Resident"/>
    <x v="0"/>
    <n v="2"/>
    <x v="0"/>
    <s v="No"/>
    <s v="0&lt;=X&lt;200"/>
    <x v="0"/>
    <s v="100&lt;=X&lt;500"/>
    <x v="3"/>
    <s v="unskilled resident"/>
    <s v="Unskilled"/>
    <x v="0"/>
    <s v="&lt;1"/>
    <x v="1"/>
    <s v="existing paid"/>
    <x v="1"/>
    <n v="4"/>
    <n v="1"/>
    <n v="836"/>
    <s v="No"/>
    <s v="None"/>
    <s v="Bank"/>
    <x v="3"/>
    <x v="2"/>
    <n v="12"/>
    <x v="0"/>
  </r>
  <r>
    <n v="706"/>
    <n v="23"/>
    <x v="1"/>
    <s v="Female Divorced with Dependents"/>
    <x v="0"/>
    <x v="0"/>
    <n v="1"/>
    <x v="1"/>
    <s v="Resident"/>
    <x v="1"/>
    <n v="4"/>
    <x v="2"/>
    <s v="No"/>
    <s v="0&lt;=X&lt;200"/>
    <x v="0"/>
    <s v="100&lt;=X&lt;500"/>
    <x v="3"/>
    <s v="unskilled resident"/>
    <s v="Unskilled"/>
    <x v="0"/>
    <s v="4&lt;=X&lt;7"/>
    <x v="2"/>
    <s v="existing paid"/>
    <x v="1"/>
    <n v="2"/>
    <n v="1"/>
    <n v="841"/>
    <s v="No"/>
    <s v="None"/>
    <s v="None"/>
    <x v="5"/>
    <x v="2"/>
    <n v="12"/>
    <x v="1"/>
  </r>
  <r>
    <n v="707"/>
    <n v="21"/>
    <x v="1"/>
    <s v="Female Divorced with Dependents"/>
    <x v="0"/>
    <x v="0"/>
    <n v="1"/>
    <x v="1"/>
    <s v="Unknown"/>
    <x v="0"/>
    <n v="2"/>
    <x v="1"/>
    <s v="No"/>
    <s v="no checking"/>
    <x v="2"/>
    <s v="no known savings"/>
    <x v="1"/>
    <s v="skilled"/>
    <s v="Skilled"/>
    <x v="0"/>
    <s v="1&lt;=X&lt;4"/>
    <x v="0"/>
    <s v="existing paid"/>
    <x v="1"/>
    <n v="4"/>
    <n v="1"/>
    <n v="886"/>
    <s v="No"/>
    <s v="None"/>
    <s v="None"/>
    <x v="4"/>
    <x v="2"/>
    <n v="12"/>
    <x v="1"/>
  </r>
  <r>
    <n v="708"/>
    <n v="41"/>
    <x v="2"/>
    <s v="Male single"/>
    <x v="1"/>
    <x v="1"/>
    <n v="2"/>
    <x v="1"/>
    <s v="Resident"/>
    <x v="0"/>
    <n v="4"/>
    <x v="1"/>
    <s v="No"/>
    <s v="0&lt;=X&lt;200"/>
    <x v="0"/>
    <s v="&lt;100"/>
    <x v="0"/>
    <s v="unskilled resident"/>
    <s v="Unskilled"/>
    <x v="0"/>
    <s v="&gt;=7"/>
    <x v="3"/>
    <s v="existing paid"/>
    <x v="1"/>
    <n v="4"/>
    <n v="1"/>
    <n v="888"/>
    <s v="No"/>
    <s v="None"/>
    <s v="Bank"/>
    <x v="3"/>
    <x v="2"/>
    <n v="12"/>
    <x v="0"/>
  </r>
  <r>
    <n v="709"/>
    <n v="23"/>
    <x v="1"/>
    <s v="Male Married/Widowed"/>
    <x v="1"/>
    <x v="2"/>
    <n v="1"/>
    <x v="1"/>
    <s v="Unknown"/>
    <x v="0"/>
    <n v="2"/>
    <x v="1"/>
    <s v="No"/>
    <s v="&lt;0"/>
    <x v="1"/>
    <s v="no known savings"/>
    <x v="1"/>
    <s v="skilled"/>
    <s v="Skilled"/>
    <x v="0"/>
    <s v="1&lt;=X&lt;4"/>
    <x v="0"/>
    <s v="existing paid"/>
    <x v="1"/>
    <n v="4"/>
    <n v="1"/>
    <n v="900"/>
    <s v="No"/>
    <s v="None"/>
    <s v="None"/>
    <x v="3"/>
    <x v="2"/>
    <n v="12"/>
    <x v="0"/>
  </r>
  <r>
    <n v="710"/>
    <n v="21"/>
    <x v="1"/>
    <s v="Male Married/Widowed"/>
    <x v="1"/>
    <x v="2"/>
    <n v="1"/>
    <x v="1"/>
    <s v="Unknown"/>
    <x v="1"/>
    <n v="4"/>
    <x v="0"/>
    <s v="No"/>
    <s v="&lt;0"/>
    <x v="1"/>
    <s v="&lt;100"/>
    <x v="0"/>
    <s v="skilled"/>
    <s v="Skilled"/>
    <x v="0"/>
    <s v="4&lt;=X&lt;7"/>
    <x v="2"/>
    <s v="existing paid"/>
    <x v="1"/>
    <n v="4"/>
    <n v="1"/>
    <n v="902"/>
    <s v="No"/>
    <s v="None"/>
    <s v="None"/>
    <x v="9"/>
    <x v="2"/>
    <n v="12"/>
    <x v="0"/>
  </r>
  <r>
    <n v="711"/>
    <n v="38"/>
    <x v="0"/>
    <s v="Female Divorced with Dependents"/>
    <x v="0"/>
    <x v="0"/>
    <n v="1"/>
    <x v="1"/>
    <s v="Non-resident"/>
    <x v="0"/>
    <n v="2"/>
    <x v="0"/>
    <s v="No"/>
    <s v="no checking"/>
    <x v="2"/>
    <s v="&lt;100"/>
    <x v="0"/>
    <s v="unemp/unskilled non res"/>
    <s v="Unskilled"/>
    <x v="1"/>
    <s v="unemployed"/>
    <x v="4"/>
    <s v="critical/Others existing credit"/>
    <x v="3"/>
    <n v="1"/>
    <n v="1"/>
    <n v="926"/>
    <s v="No"/>
    <s v="None"/>
    <s v="None"/>
    <x v="3"/>
    <x v="2"/>
    <n v="12"/>
    <x v="1"/>
  </r>
  <r>
    <n v="712"/>
    <n v="65"/>
    <x v="5"/>
    <s v="Male single"/>
    <x v="1"/>
    <x v="1"/>
    <n v="1"/>
    <x v="1"/>
    <s v="Unknown"/>
    <x v="0"/>
    <n v="4"/>
    <x v="2"/>
    <s v="No"/>
    <s v="no checking"/>
    <x v="2"/>
    <s v="no known savings"/>
    <x v="1"/>
    <s v="skilled"/>
    <s v="Skilled"/>
    <x v="0"/>
    <s v="&gt;=7"/>
    <x v="3"/>
    <s v="critical/Others existing credit"/>
    <x v="3"/>
    <n v="4"/>
    <n v="4"/>
    <n v="930"/>
    <s v="No"/>
    <s v="None"/>
    <s v="None"/>
    <x v="4"/>
    <x v="2"/>
    <n v="12"/>
    <x v="1"/>
  </r>
  <r>
    <n v="713"/>
    <n v="28"/>
    <x v="1"/>
    <s v="Male Married/Widowed"/>
    <x v="1"/>
    <x v="2"/>
    <n v="1"/>
    <x v="1"/>
    <s v="Unknown"/>
    <x v="0"/>
    <n v="2"/>
    <x v="2"/>
    <s v="Yes"/>
    <s v="&gt;=200"/>
    <x v="3"/>
    <s v="500&lt;=X&lt;1000"/>
    <x v="4"/>
    <s v="skilled"/>
    <s v="Skilled"/>
    <x v="0"/>
    <s v="4&lt;=X&lt;7"/>
    <x v="2"/>
    <s v="critical/Others existing credit"/>
    <x v="3"/>
    <n v="4"/>
    <n v="3"/>
    <n v="939"/>
    <s v="No"/>
    <s v="None"/>
    <s v="None"/>
    <x v="3"/>
    <x v="2"/>
    <n v="12"/>
    <x v="0"/>
  </r>
  <r>
    <n v="714"/>
    <n v="27"/>
    <x v="1"/>
    <s v="Female Divorced with Dependents"/>
    <x v="0"/>
    <x v="0"/>
    <n v="1"/>
    <x v="1"/>
    <s v="Unknown"/>
    <x v="1"/>
    <n v="4"/>
    <x v="1"/>
    <s v="No"/>
    <s v="0&lt;=X&lt;200"/>
    <x v="0"/>
    <s v="100&lt;=X&lt;500"/>
    <x v="3"/>
    <s v="skilled"/>
    <s v="Skilled"/>
    <x v="0"/>
    <s v="&lt;1"/>
    <x v="1"/>
    <s v="existing paid"/>
    <x v="1"/>
    <n v="4"/>
    <n v="4"/>
    <n v="951"/>
    <s v="No"/>
    <s v="None"/>
    <s v="Bank"/>
    <x v="1"/>
    <x v="2"/>
    <n v="12"/>
    <x v="0"/>
  </r>
  <r>
    <n v="715"/>
    <n v="47"/>
    <x v="2"/>
    <s v="Male single"/>
    <x v="1"/>
    <x v="1"/>
    <n v="2"/>
    <x v="1"/>
    <s v="Resident"/>
    <x v="0"/>
    <n v="3"/>
    <x v="2"/>
    <s v="No"/>
    <s v="0&lt;=X&lt;200"/>
    <x v="0"/>
    <s v="&lt;100"/>
    <x v="0"/>
    <s v="unskilled resident"/>
    <s v="Unskilled"/>
    <x v="0"/>
    <s v="4&lt;=X&lt;7"/>
    <x v="2"/>
    <s v="critical/Others existing credit"/>
    <x v="3"/>
    <n v="2"/>
    <n v="2"/>
    <n v="958"/>
    <s v="No"/>
    <s v="None"/>
    <s v="None"/>
    <x v="3"/>
    <x v="2"/>
    <n v="12"/>
    <x v="1"/>
  </r>
  <r>
    <n v="716"/>
    <n v="35"/>
    <x v="0"/>
    <s v="Male single"/>
    <x v="1"/>
    <x v="1"/>
    <n v="1"/>
    <x v="1"/>
    <s v="Unknown"/>
    <x v="0"/>
    <n v="4"/>
    <x v="1"/>
    <s v="No"/>
    <s v="no checking"/>
    <x v="2"/>
    <s v="no known savings"/>
    <x v="1"/>
    <s v="skilled"/>
    <s v="Skilled"/>
    <x v="0"/>
    <s v="&gt;=7"/>
    <x v="3"/>
    <s v="critical/Others existing credit"/>
    <x v="3"/>
    <n v="4"/>
    <n v="2"/>
    <n v="976"/>
    <s v="No"/>
    <s v="None"/>
    <s v="None"/>
    <x v="4"/>
    <x v="2"/>
    <n v="12"/>
    <x v="1"/>
  </r>
  <r>
    <n v="717"/>
    <n v="19"/>
    <x v="1"/>
    <s v="Female Divorced with Dependents"/>
    <x v="0"/>
    <x v="0"/>
    <n v="1"/>
    <x v="1"/>
    <s v="Resident"/>
    <x v="1"/>
    <n v="4"/>
    <x v="2"/>
    <s v="No"/>
    <s v="0&lt;=X&lt;200"/>
    <x v="0"/>
    <s v="&gt;=1000"/>
    <x v="2"/>
    <s v="unskilled resident"/>
    <s v="Unskilled"/>
    <x v="0"/>
    <s v="&lt;1"/>
    <x v="1"/>
    <s v="existing paid"/>
    <x v="1"/>
    <n v="1"/>
    <n v="1"/>
    <n v="983"/>
    <s v="No"/>
    <s v="None"/>
    <s v="None"/>
    <x v="1"/>
    <x v="2"/>
    <n v="12"/>
    <x v="1"/>
  </r>
  <r>
    <n v="718"/>
    <n v="23"/>
    <x v="1"/>
    <s v="Female Divorced with Dependents"/>
    <x v="0"/>
    <x v="0"/>
    <n v="1"/>
    <x v="1"/>
    <s v="Unknown"/>
    <x v="0"/>
    <n v="4"/>
    <x v="2"/>
    <s v="No"/>
    <s v="no checking"/>
    <x v="2"/>
    <s v="no known savings"/>
    <x v="1"/>
    <s v="skilled"/>
    <s v="Skilled"/>
    <x v="0"/>
    <s v="4&lt;=X&lt;7"/>
    <x v="2"/>
    <s v="critical/Others existing credit"/>
    <x v="3"/>
    <n v="4"/>
    <n v="2"/>
    <n v="996"/>
    <s v="No"/>
    <s v="None"/>
    <s v="None"/>
    <x v="6"/>
    <x v="2"/>
    <n v="12"/>
    <x v="1"/>
  </r>
  <r>
    <n v="719"/>
    <n v="22"/>
    <x v="1"/>
    <s v="Male Married/Widowed"/>
    <x v="1"/>
    <x v="2"/>
    <n v="1"/>
    <x v="1"/>
    <s v="Unknown"/>
    <x v="0"/>
    <n v="1"/>
    <x v="2"/>
    <s v="No"/>
    <s v="0&lt;=X&lt;200"/>
    <x v="0"/>
    <s v="&gt;=1000"/>
    <x v="2"/>
    <s v="skilled"/>
    <s v="Skilled"/>
    <x v="0"/>
    <s v="1&lt;=X&lt;4"/>
    <x v="0"/>
    <s v="existing paid"/>
    <x v="1"/>
    <n v="4"/>
    <n v="1"/>
    <n v="1007"/>
    <s v="No"/>
    <s v="None"/>
    <s v="None"/>
    <x v="3"/>
    <x v="2"/>
    <n v="12"/>
    <x v="1"/>
  </r>
  <r>
    <n v="720"/>
    <n v="39"/>
    <x v="2"/>
    <s v="Male single"/>
    <x v="1"/>
    <x v="1"/>
    <n v="1"/>
    <x v="1"/>
    <s v="Resident"/>
    <x v="0"/>
    <n v="4"/>
    <x v="2"/>
    <s v="No"/>
    <s v="0&lt;=X&lt;200"/>
    <x v="0"/>
    <s v="100&lt;=X&lt;500"/>
    <x v="3"/>
    <s v="unskilled resident"/>
    <s v="Unskilled"/>
    <x v="0"/>
    <s v="4&lt;=X&lt;7"/>
    <x v="2"/>
    <s v="existing paid"/>
    <x v="1"/>
    <n v="3"/>
    <n v="1"/>
    <n v="1037"/>
    <s v="No"/>
    <s v="None"/>
    <s v="None"/>
    <x v="5"/>
    <x v="2"/>
    <n v="12"/>
    <x v="1"/>
  </r>
  <r>
    <n v="721"/>
    <n v="48"/>
    <x v="2"/>
    <s v="Male single"/>
    <x v="1"/>
    <x v="1"/>
    <n v="1"/>
    <x v="1"/>
    <s v="Unknown"/>
    <x v="0"/>
    <n v="4"/>
    <x v="1"/>
    <s v="No"/>
    <s v="&lt;0"/>
    <x v="1"/>
    <s v="&lt;100"/>
    <x v="0"/>
    <s v="skilled"/>
    <s v="Skilled"/>
    <x v="0"/>
    <s v="1&lt;=X&lt;4"/>
    <x v="0"/>
    <s v="no credits/all paid"/>
    <x v="0"/>
    <n v="4"/>
    <n v="2"/>
    <n v="1082"/>
    <s v="No"/>
    <s v="None"/>
    <s v="Bank"/>
    <x v="3"/>
    <x v="2"/>
    <n v="12"/>
    <x v="0"/>
  </r>
  <r>
    <n v="722"/>
    <n v="49"/>
    <x v="3"/>
    <s v="Female Divorced with Dependents"/>
    <x v="0"/>
    <x v="0"/>
    <n v="1"/>
    <x v="1"/>
    <s v="Unknown"/>
    <x v="0"/>
    <n v="4"/>
    <x v="2"/>
    <s v="Yes"/>
    <s v="0&lt;=X&lt;200"/>
    <x v="0"/>
    <s v="&lt;100"/>
    <x v="0"/>
    <s v="skilled"/>
    <s v="Skilled"/>
    <x v="0"/>
    <s v="1&lt;=X&lt;4"/>
    <x v="0"/>
    <s v="existing paid"/>
    <x v="1"/>
    <n v="4"/>
    <n v="2"/>
    <n v="1092"/>
    <s v="guarantor"/>
    <s v="Guarantor"/>
    <s v="None"/>
    <x v="4"/>
    <x v="2"/>
    <n v="12"/>
    <x v="1"/>
  </r>
  <r>
    <n v="723"/>
    <n v="27"/>
    <x v="1"/>
    <s v="Male Married/Widowed"/>
    <x v="1"/>
    <x v="2"/>
    <n v="1"/>
    <x v="1"/>
    <s v="Unknown"/>
    <x v="0"/>
    <n v="2"/>
    <x v="2"/>
    <s v="Yes"/>
    <s v="no checking"/>
    <x v="2"/>
    <s v="&lt;100"/>
    <x v="0"/>
    <s v="skilled"/>
    <s v="Skilled"/>
    <x v="0"/>
    <s v="1&lt;=X&lt;4"/>
    <x v="0"/>
    <s v="existing paid"/>
    <x v="1"/>
    <n v="3"/>
    <n v="2"/>
    <n v="1101"/>
    <s v="No"/>
    <s v="None"/>
    <s v="None"/>
    <x v="3"/>
    <x v="2"/>
    <n v="12"/>
    <x v="1"/>
  </r>
  <r>
    <n v="724"/>
    <n v="20"/>
    <x v="1"/>
    <s v="Male single"/>
    <x v="1"/>
    <x v="1"/>
    <n v="2"/>
    <x v="1"/>
    <s v="Unknown"/>
    <x v="1"/>
    <n v="2"/>
    <x v="2"/>
    <s v="Yes"/>
    <s v="&lt;0"/>
    <x v="1"/>
    <s v="&lt;100"/>
    <x v="0"/>
    <s v="high qualif/self emp/mgmt"/>
    <s v="Skilled"/>
    <x v="0"/>
    <s v="1&lt;=X&lt;4"/>
    <x v="0"/>
    <s v="existing paid"/>
    <x v="1"/>
    <n v="2"/>
    <n v="1"/>
    <n v="1107"/>
    <s v="No"/>
    <s v="None"/>
    <s v="None"/>
    <x v="4"/>
    <x v="2"/>
    <n v="12"/>
    <x v="1"/>
  </r>
  <r>
    <n v="725"/>
    <n v="28"/>
    <x v="1"/>
    <s v="Male single"/>
    <x v="1"/>
    <x v="1"/>
    <n v="1"/>
    <x v="1"/>
    <s v="Unknown"/>
    <x v="0"/>
    <n v="3"/>
    <x v="2"/>
    <s v="No"/>
    <s v="&lt;0"/>
    <x v="1"/>
    <s v="&lt;100"/>
    <x v="0"/>
    <s v="skilled"/>
    <s v="Skilled"/>
    <x v="0"/>
    <s v="4&lt;=X&lt;7"/>
    <x v="2"/>
    <s v="no credits/all paid"/>
    <x v="0"/>
    <n v="4"/>
    <n v="2"/>
    <n v="1108"/>
    <s v="No"/>
    <s v="None"/>
    <s v="None"/>
    <x v="6"/>
    <x v="2"/>
    <n v="12"/>
    <x v="0"/>
  </r>
  <r>
    <n v="726"/>
    <n v="29"/>
    <x v="0"/>
    <s v="Female Divorced with Dependents"/>
    <x v="0"/>
    <x v="0"/>
    <n v="1"/>
    <x v="1"/>
    <s v="Resident"/>
    <x v="1"/>
    <n v="4"/>
    <x v="1"/>
    <s v="No"/>
    <s v="no checking"/>
    <x v="2"/>
    <s v="500&lt;=X&lt;1000"/>
    <x v="4"/>
    <s v="unskilled resident"/>
    <s v="Unskilled"/>
    <x v="0"/>
    <s v="1&lt;=X&lt;4"/>
    <x v="0"/>
    <s v="existing paid"/>
    <x v="1"/>
    <n v="4"/>
    <n v="1"/>
    <n v="1123"/>
    <s v="No"/>
    <s v="None"/>
    <s v="None"/>
    <x v="1"/>
    <x v="2"/>
    <n v="12"/>
    <x v="0"/>
  </r>
  <r>
    <n v="727"/>
    <n v="40"/>
    <x v="2"/>
    <s v="Male Married/Widowed"/>
    <x v="1"/>
    <x v="2"/>
    <n v="1"/>
    <x v="1"/>
    <s v="Resident"/>
    <x v="0"/>
    <n v="3"/>
    <x v="2"/>
    <s v="No"/>
    <s v="0&lt;=X&lt;200"/>
    <x v="0"/>
    <s v="&lt;100"/>
    <x v="0"/>
    <s v="unskilled resident"/>
    <s v="Unskilled"/>
    <x v="0"/>
    <s v="&gt;=7"/>
    <x v="3"/>
    <s v="existing paid"/>
    <x v="1"/>
    <n v="3"/>
    <n v="2"/>
    <n v="1155"/>
    <s v="guarantor"/>
    <s v="Guarantor"/>
    <s v="Bank"/>
    <x v="4"/>
    <x v="2"/>
    <n v="12"/>
    <x v="1"/>
  </r>
  <r>
    <n v="728"/>
    <n v="26"/>
    <x v="1"/>
    <s v="Male Divorced/Seperated"/>
    <x v="1"/>
    <x v="3"/>
    <n v="1"/>
    <x v="1"/>
    <s v="Unknown"/>
    <x v="0"/>
    <n v="1"/>
    <x v="1"/>
    <s v="Yes"/>
    <s v="0&lt;=X&lt;200"/>
    <x v="0"/>
    <s v="500&lt;=X&lt;1000"/>
    <x v="4"/>
    <s v="skilled"/>
    <s v="Skilled"/>
    <x v="0"/>
    <s v="1&lt;=X&lt;4"/>
    <x v="0"/>
    <s v="existing paid"/>
    <x v="1"/>
    <n v="3"/>
    <n v="1"/>
    <n v="1158"/>
    <s v="No"/>
    <s v="None"/>
    <s v="None"/>
    <x v="4"/>
    <x v="2"/>
    <n v="12"/>
    <x v="1"/>
  </r>
  <r>
    <n v="729"/>
    <n v="44"/>
    <x v="2"/>
    <s v="Male single"/>
    <x v="1"/>
    <x v="1"/>
    <n v="1"/>
    <x v="1"/>
    <s v="Unknown"/>
    <x v="0"/>
    <n v="4"/>
    <x v="2"/>
    <s v="Yes"/>
    <s v="no checking"/>
    <x v="2"/>
    <s v="500&lt;=X&lt;1000"/>
    <x v="4"/>
    <s v="skilled"/>
    <s v="Skilled"/>
    <x v="0"/>
    <s v="1&lt;=X&lt;4"/>
    <x v="0"/>
    <s v="critical/Others existing credit"/>
    <x v="3"/>
    <n v="4"/>
    <n v="1"/>
    <n v="1163"/>
    <s v="No"/>
    <s v="None"/>
    <s v="None"/>
    <x v="3"/>
    <x v="2"/>
    <n v="12"/>
    <x v="1"/>
  </r>
  <r>
    <n v="730"/>
    <n v="27"/>
    <x v="1"/>
    <s v="Male Married/Widowed"/>
    <x v="1"/>
    <x v="2"/>
    <n v="1"/>
    <x v="1"/>
    <s v="Resident"/>
    <x v="0"/>
    <n v="3"/>
    <x v="2"/>
    <s v="No"/>
    <s v="&lt;0"/>
    <x v="1"/>
    <s v="&lt;100"/>
    <x v="0"/>
    <s v="unskilled resident"/>
    <s v="Unskilled"/>
    <x v="0"/>
    <s v="1&lt;=X&lt;4"/>
    <x v="0"/>
    <s v="existing paid"/>
    <x v="1"/>
    <n v="4"/>
    <n v="1"/>
    <n v="1168"/>
    <s v="No"/>
    <s v="None"/>
    <s v="None"/>
    <x v="3"/>
    <x v="2"/>
    <n v="12"/>
    <x v="1"/>
  </r>
  <r>
    <n v="731"/>
    <n v="27"/>
    <x v="1"/>
    <s v="Female Divorced with Dependents"/>
    <x v="0"/>
    <x v="0"/>
    <n v="1"/>
    <x v="1"/>
    <s v="Unknown"/>
    <x v="0"/>
    <n v="2"/>
    <x v="2"/>
    <s v="No"/>
    <s v="no checking"/>
    <x v="2"/>
    <s v="&lt;100"/>
    <x v="0"/>
    <s v="skilled"/>
    <s v="Skilled"/>
    <x v="0"/>
    <s v="1&lt;=X&lt;4"/>
    <x v="0"/>
    <s v="critical/Others existing credit"/>
    <x v="3"/>
    <n v="3"/>
    <n v="2"/>
    <n v="1185"/>
    <s v="No"/>
    <s v="None"/>
    <s v="None"/>
    <x v="5"/>
    <x v="2"/>
    <n v="12"/>
    <x v="1"/>
  </r>
  <r>
    <n v="732"/>
    <n v="23"/>
    <x v="1"/>
    <s v="Female Divorced with Dependents"/>
    <x v="0"/>
    <x v="0"/>
    <n v="1"/>
    <x v="1"/>
    <s v="Unknown"/>
    <x v="1"/>
    <n v="4"/>
    <x v="0"/>
    <s v="Yes"/>
    <s v="&lt;0"/>
    <x v="1"/>
    <s v="no known savings"/>
    <x v="1"/>
    <s v="skilled"/>
    <s v="Skilled"/>
    <x v="0"/>
    <s v="1&lt;=X&lt;4"/>
    <x v="0"/>
    <s v="existing paid"/>
    <x v="1"/>
    <n v="4"/>
    <n v="1"/>
    <n v="1200"/>
    <s v="No"/>
    <s v="None"/>
    <s v="Bank"/>
    <x v="7"/>
    <x v="2"/>
    <n v="12"/>
    <x v="1"/>
  </r>
  <r>
    <n v="733"/>
    <n v="46"/>
    <x v="2"/>
    <s v="Male Divorced/Seperated"/>
    <x v="1"/>
    <x v="3"/>
    <n v="1"/>
    <x v="1"/>
    <s v="Unknown"/>
    <x v="1"/>
    <n v="1"/>
    <x v="2"/>
    <s v="No"/>
    <s v="0&lt;=X&lt;200"/>
    <x v="0"/>
    <s v="&lt;100"/>
    <x v="0"/>
    <s v="skilled"/>
    <s v="Skilled"/>
    <x v="0"/>
    <s v="&gt;=7"/>
    <x v="3"/>
    <s v="existing paid"/>
    <x v="1"/>
    <n v="1"/>
    <n v="2"/>
    <n v="1223"/>
    <s v="No"/>
    <s v="None"/>
    <s v="None"/>
    <x v="3"/>
    <x v="2"/>
    <n v="12"/>
    <x v="0"/>
  </r>
  <r>
    <n v="734"/>
    <n v="24"/>
    <x v="1"/>
    <s v="Female Divorced with Dependents"/>
    <x v="0"/>
    <x v="0"/>
    <n v="1"/>
    <x v="1"/>
    <s v="Resident"/>
    <x v="0"/>
    <n v="2"/>
    <x v="2"/>
    <s v="No"/>
    <s v="&lt;0"/>
    <x v="1"/>
    <s v="&lt;100"/>
    <x v="0"/>
    <s v="unskilled resident"/>
    <s v="Unskilled"/>
    <x v="0"/>
    <s v="1&lt;=X&lt;4"/>
    <x v="0"/>
    <s v="existing paid"/>
    <x v="1"/>
    <n v="4"/>
    <n v="1"/>
    <n v="1228"/>
    <s v="No"/>
    <s v="None"/>
    <s v="None"/>
    <x v="3"/>
    <x v="2"/>
    <n v="12"/>
    <x v="0"/>
  </r>
  <r>
    <n v="735"/>
    <n v="38"/>
    <x v="0"/>
    <s v="Female Divorced with Dependents"/>
    <x v="0"/>
    <x v="0"/>
    <n v="1"/>
    <x v="1"/>
    <s v="Unknown"/>
    <x v="0"/>
    <n v="2"/>
    <x v="2"/>
    <s v="Yes"/>
    <s v="no checking"/>
    <x v="2"/>
    <s v="no known savings"/>
    <x v="1"/>
    <s v="skilled"/>
    <s v="Skilled"/>
    <x v="0"/>
    <s v="&gt;=7"/>
    <x v="3"/>
    <s v="critical/Others existing credit"/>
    <x v="3"/>
    <n v="4"/>
    <n v="2"/>
    <n v="1240"/>
    <s v="No"/>
    <s v="None"/>
    <s v="None"/>
    <x v="4"/>
    <x v="2"/>
    <n v="12"/>
    <x v="1"/>
  </r>
  <r>
    <n v="736"/>
    <n v="61"/>
    <x v="5"/>
    <s v="Male single"/>
    <x v="1"/>
    <x v="1"/>
    <n v="1"/>
    <x v="1"/>
    <s v="Resident"/>
    <x v="0"/>
    <n v="4"/>
    <x v="2"/>
    <s v="No"/>
    <s v="no checking"/>
    <x v="2"/>
    <s v="&lt;100"/>
    <x v="0"/>
    <s v="unskilled resident"/>
    <s v="Unskilled"/>
    <x v="0"/>
    <s v="&gt;=7"/>
    <x v="3"/>
    <s v="critical/Others existing credit"/>
    <x v="3"/>
    <n v="4"/>
    <n v="2"/>
    <n v="1255"/>
    <s v="No"/>
    <s v="None"/>
    <s v="None"/>
    <x v="3"/>
    <x v="2"/>
    <n v="12"/>
    <x v="1"/>
  </r>
  <r>
    <n v="737"/>
    <n v="22"/>
    <x v="1"/>
    <s v="Female Divorced with Dependents"/>
    <x v="0"/>
    <x v="0"/>
    <n v="1"/>
    <x v="1"/>
    <s v="Resident"/>
    <x v="1"/>
    <n v="4"/>
    <x v="0"/>
    <s v="No"/>
    <s v="no checking"/>
    <x v="2"/>
    <s v="&lt;100"/>
    <x v="0"/>
    <s v="unskilled resident"/>
    <s v="Unskilled"/>
    <x v="0"/>
    <s v="&lt;1"/>
    <x v="1"/>
    <s v="critical/Others existing credit"/>
    <x v="3"/>
    <n v="2"/>
    <n v="2"/>
    <n v="1258"/>
    <s v="No"/>
    <s v="None"/>
    <s v="None"/>
    <x v="1"/>
    <x v="2"/>
    <n v="12"/>
    <x v="1"/>
  </r>
  <r>
    <n v="738"/>
    <n v="25"/>
    <x v="1"/>
    <s v="Male single"/>
    <x v="1"/>
    <x v="1"/>
    <n v="1"/>
    <x v="1"/>
    <s v="Unknown"/>
    <x v="0"/>
    <n v="2"/>
    <x v="1"/>
    <s v="No"/>
    <s v="no checking"/>
    <x v="2"/>
    <s v="&lt;100"/>
    <x v="0"/>
    <s v="skilled"/>
    <s v="Skilled"/>
    <x v="0"/>
    <s v="1&lt;=X&lt;4"/>
    <x v="0"/>
    <s v="existing paid"/>
    <x v="1"/>
    <n v="3"/>
    <n v="1"/>
    <n v="1262"/>
    <s v="No"/>
    <s v="None"/>
    <s v="None"/>
    <x v="4"/>
    <x v="2"/>
    <n v="12"/>
    <x v="1"/>
  </r>
  <r>
    <n v="739"/>
    <n v="49"/>
    <x v="3"/>
    <s v="Male Divorced/Seperated"/>
    <x v="1"/>
    <x v="3"/>
    <n v="1"/>
    <x v="1"/>
    <s v="Resident"/>
    <x v="0"/>
    <n v="4"/>
    <x v="0"/>
    <s v="Yes"/>
    <s v="&lt;0"/>
    <x v="1"/>
    <s v="no known savings"/>
    <x v="1"/>
    <s v="unskilled resident"/>
    <s v="Unskilled"/>
    <x v="0"/>
    <s v="&gt;=7"/>
    <x v="3"/>
    <s v="existing paid"/>
    <x v="1"/>
    <n v="2"/>
    <n v="1"/>
    <n v="1262"/>
    <s v="No"/>
    <s v="None"/>
    <s v="None"/>
    <x v="1"/>
    <x v="2"/>
    <n v="12"/>
    <x v="1"/>
  </r>
  <r>
    <n v="740"/>
    <n v="57"/>
    <x v="3"/>
    <s v="Male single"/>
    <x v="1"/>
    <x v="1"/>
    <n v="1"/>
    <x v="1"/>
    <s v="Resident"/>
    <x v="1"/>
    <n v="4"/>
    <x v="3"/>
    <s v="No"/>
    <s v="no checking"/>
    <x v="2"/>
    <s v="no known savings"/>
    <x v="1"/>
    <s v="unskilled resident"/>
    <s v="Unskilled"/>
    <x v="0"/>
    <s v="&gt;=7"/>
    <x v="3"/>
    <s v="critical/Others existing credit"/>
    <x v="3"/>
    <n v="4"/>
    <n v="1"/>
    <n v="1264"/>
    <s v="No"/>
    <s v="None"/>
    <s v="None"/>
    <x v="5"/>
    <x v="2"/>
    <n v="12"/>
    <x v="1"/>
  </r>
  <r>
    <n v="741"/>
    <n v="37"/>
    <x v="0"/>
    <s v="Female Divorced with Dependents"/>
    <x v="0"/>
    <x v="0"/>
    <n v="1"/>
    <x v="1"/>
    <s v="Resident"/>
    <x v="0"/>
    <n v="1"/>
    <x v="2"/>
    <s v="No"/>
    <s v="&lt;0"/>
    <x v="1"/>
    <s v="&lt;100"/>
    <x v="0"/>
    <s v="unskilled resident"/>
    <s v="Unskilled"/>
    <x v="0"/>
    <s v="&lt;1"/>
    <x v="1"/>
    <s v="existing paid"/>
    <x v="1"/>
    <n v="3"/>
    <n v="1"/>
    <n v="1274"/>
    <s v="No"/>
    <s v="None"/>
    <s v="None"/>
    <x v="3"/>
    <x v="2"/>
    <n v="12"/>
    <x v="0"/>
  </r>
  <r>
    <n v="742"/>
    <n v="20"/>
    <x v="1"/>
    <s v="Female Divorced with Dependents"/>
    <x v="0"/>
    <x v="0"/>
    <n v="1"/>
    <x v="1"/>
    <s v="Unknown"/>
    <x v="1"/>
    <n v="4"/>
    <x v="1"/>
    <s v="No"/>
    <s v="&lt;0"/>
    <x v="1"/>
    <s v="&lt;100"/>
    <x v="0"/>
    <s v="skilled"/>
    <s v="Skilled"/>
    <x v="0"/>
    <s v="1&lt;=X&lt;4"/>
    <x v="0"/>
    <s v="existing paid"/>
    <x v="1"/>
    <n v="2"/>
    <n v="1"/>
    <n v="1282"/>
    <s v="No"/>
    <s v="None"/>
    <s v="None"/>
    <x v="1"/>
    <x v="2"/>
    <n v="12"/>
    <x v="0"/>
  </r>
  <r>
    <n v="743"/>
    <n v="21"/>
    <x v="1"/>
    <s v="Male single"/>
    <x v="1"/>
    <x v="1"/>
    <n v="1"/>
    <x v="1"/>
    <s v="Resident"/>
    <x v="0"/>
    <n v="1"/>
    <x v="0"/>
    <s v="No"/>
    <s v="&lt;0"/>
    <x v="1"/>
    <s v="&lt;100"/>
    <x v="0"/>
    <s v="unskilled resident"/>
    <s v="Unskilled"/>
    <x v="0"/>
    <s v="1&lt;=X&lt;4"/>
    <x v="0"/>
    <s v="existing paid"/>
    <x v="1"/>
    <n v="4"/>
    <n v="1"/>
    <n v="1289"/>
    <s v="guarantor"/>
    <s v="Guarantor"/>
    <s v="None"/>
    <x v="1"/>
    <x v="2"/>
    <n v="12"/>
    <x v="1"/>
  </r>
  <r>
    <n v="744"/>
    <n v="35"/>
    <x v="0"/>
    <s v="Female Divorced with Dependents"/>
    <x v="0"/>
    <x v="0"/>
    <n v="1"/>
    <x v="1"/>
    <s v="Unknown"/>
    <x v="0"/>
    <n v="2"/>
    <x v="0"/>
    <s v="No"/>
    <s v="no checking"/>
    <x v="2"/>
    <s v="&lt;100"/>
    <x v="0"/>
    <s v="skilled"/>
    <s v="Skilled"/>
    <x v="0"/>
    <s v="1&lt;=X&lt;4"/>
    <x v="0"/>
    <s v="critical/Others existing credit"/>
    <x v="3"/>
    <n v="4"/>
    <n v="2"/>
    <n v="1291"/>
    <s v="No"/>
    <s v="None"/>
    <s v="None"/>
    <x v="4"/>
    <x v="2"/>
    <n v="12"/>
    <x v="1"/>
  </r>
  <r>
    <n v="745"/>
    <n v="25"/>
    <x v="1"/>
    <s v="Female Divorced with Dependents"/>
    <x v="0"/>
    <x v="0"/>
    <n v="1"/>
    <x v="1"/>
    <s v="Unknown"/>
    <x v="1"/>
    <n v="1"/>
    <x v="1"/>
    <s v="No"/>
    <s v="0&lt;=X&lt;200"/>
    <x v="0"/>
    <s v="&lt;100"/>
    <x v="0"/>
    <s v="skilled"/>
    <s v="Skilled"/>
    <x v="0"/>
    <s v="&lt;1"/>
    <x v="1"/>
    <s v="existing paid"/>
    <x v="1"/>
    <n v="3"/>
    <n v="1"/>
    <n v="1295"/>
    <s v="No"/>
    <s v="None"/>
    <s v="None"/>
    <x v="3"/>
    <x v="2"/>
    <n v="12"/>
    <x v="0"/>
  </r>
  <r>
    <n v="746"/>
    <n v="23"/>
    <x v="1"/>
    <s v="Male Married/Widowed"/>
    <x v="1"/>
    <x v="2"/>
    <n v="1"/>
    <x v="1"/>
    <s v="Unknown"/>
    <x v="1"/>
    <n v="4"/>
    <x v="2"/>
    <s v="No"/>
    <s v="&gt;=200"/>
    <x v="3"/>
    <s v="&lt;100"/>
    <x v="0"/>
    <s v="skilled"/>
    <s v="Skilled"/>
    <x v="0"/>
    <s v="1&lt;=X&lt;4"/>
    <x v="0"/>
    <s v="existing paid"/>
    <x v="1"/>
    <n v="3"/>
    <n v="1"/>
    <n v="1297"/>
    <s v="No"/>
    <s v="None"/>
    <s v="None"/>
    <x v="4"/>
    <x v="2"/>
    <n v="12"/>
    <x v="1"/>
  </r>
  <r>
    <n v="747"/>
    <n v="54"/>
    <x v="3"/>
    <s v="Male single"/>
    <x v="1"/>
    <x v="1"/>
    <n v="1"/>
    <x v="1"/>
    <s v="Unknown"/>
    <x v="0"/>
    <n v="4"/>
    <x v="2"/>
    <s v="Yes"/>
    <s v="0&lt;=X&lt;200"/>
    <x v="0"/>
    <s v="&gt;=1000"/>
    <x v="2"/>
    <s v="skilled"/>
    <s v="Skilled"/>
    <x v="0"/>
    <s v="&gt;=7"/>
    <x v="3"/>
    <s v="existing paid"/>
    <x v="1"/>
    <n v="4"/>
    <n v="1"/>
    <n v="1318"/>
    <s v="No"/>
    <s v="None"/>
    <s v="None"/>
    <x v="3"/>
    <x v="2"/>
    <n v="12"/>
    <x v="1"/>
  </r>
  <r>
    <n v="748"/>
    <n v="26"/>
    <x v="1"/>
    <s v="Male single"/>
    <x v="1"/>
    <x v="1"/>
    <n v="1"/>
    <x v="1"/>
    <s v="Unknown"/>
    <x v="0"/>
    <n v="1"/>
    <x v="2"/>
    <s v="No"/>
    <s v="&gt;=200"/>
    <x v="3"/>
    <s v="&lt;100"/>
    <x v="0"/>
    <s v="skilled"/>
    <s v="Skilled"/>
    <x v="0"/>
    <s v="&lt;1"/>
    <x v="1"/>
    <s v="existing paid"/>
    <x v="1"/>
    <n v="4"/>
    <n v="1"/>
    <n v="1330"/>
    <s v="No"/>
    <s v="None"/>
    <s v="None"/>
    <x v="3"/>
    <x v="2"/>
    <n v="12"/>
    <x v="1"/>
  </r>
  <r>
    <n v="749"/>
    <n v="22"/>
    <x v="1"/>
    <s v="Male single"/>
    <x v="1"/>
    <x v="1"/>
    <n v="1"/>
    <x v="1"/>
    <s v="Unknown"/>
    <x v="0"/>
    <n v="1"/>
    <x v="1"/>
    <s v="No"/>
    <s v="0&lt;=X&lt;200"/>
    <x v="0"/>
    <s v="&lt;100"/>
    <x v="0"/>
    <s v="skilled"/>
    <s v="Skilled"/>
    <x v="0"/>
    <s v="&lt;1"/>
    <x v="1"/>
    <s v="existing paid"/>
    <x v="1"/>
    <n v="2"/>
    <n v="1"/>
    <n v="1331"/>
    <s v="No"/>
    <s v="None"/>
    <s v="Store"/>
    <x v="4"/>
    <x v="2"/>
    <n v="12"/>
    <x v="0"/>
  </r>
  <r>
    <n v="750"/>
    <n v="43"/>
    <x v="2"/>
    <s v="Male single"/>
    <x v="1"/>
    <x v="1"/>
    <n v="2"/>
    <x v="1"/>
    <s v="Resident"/>
    <x v="0"/>
    <n v="2"/>
    <x v="2"/>
    <s v="No"/>
    <s v="&lt;0"/>
    <x v="1"/>
    <s v="&lt;100"/>
    <x v="0"/>
    <s v="unskilled resident"/>
    <s v="Unskilled"/>
    <x v="0"/>
    <s v="1&lt;=X&lt;4"/>
    <x v="0"/>
    <s v="delayed previously"/>
    <x v="4"/>
    <n v="4"/>
    <n v="2"/>
    <n v="1344"/>
    <s v="No"/>
    <s v="None"/>
    <s v="None"/>
    <x v="3"/>
    <x v="2"/>
    <n v="12"/>
    <x v="1"/>
  </r>
  <r>
    <n v="751"/>
    <n v="36"/>
    <x v="0"/>
    <s v="Male Divorced/Seperated"/>
    <x v="1"/>
    <x v="3"/>
    <n v="1"/>
    <x v="1"/>
    <s v="Unknown"/>
    <x v="0"/>
    <n v="3"/>
    <x v="1"/>
    <s v="No"/>
    <s v="&lt;0"/>
    <x v="1"/>
    <s v="&lt;100"/>
    <x v="0"/>
    <s v="skilled"/>
    <s v="Skilled"/>
    <x v="0"/>
    <s v="4&lt;=X&lt;7"/>
    <x v="2"/>
    <s v="existing paid"/>
    <x v="1"/>
    <n v="2"/>
    <n v="1"/>
    <n v="1372"/>
    <s v="No"/>
    <s v="None"/>
    <s v="None"/>
    <x v="3"/>
    <x v="2"/>
    <n v="12"/>
    <x v="0"/>
  </r>
  <r>
    <n v="752"/>
    <n v="26"/>
    <x v="1"/>
    <s v="Female Divorced with Dependents"/>
    <x v="0"/>
    <x v="0"/>
    <n v="1"/>
    <x v="1"/>
    <s v="Unknown"/>
    <x v="0"/>
    <n v="2"/>
    <x v="0"/>
    <s v="No"/>
    <s v="no checking"/>
    <x v="2"/>
    <s v="500&lt;=X&lt;1000"/>
    <x v="4"/>
    <s v="skilled"/>
    <s v="Skilled"/>
    <x v="0"/>
    <s v="1&lt;=X&lt;4"/>
    <x v="0"/>
    <s v="existing paid"/>
    <x v="1"/>
    <n v="2"/>
    <n v="1"/>
    <n v="1386"/>
    <s v="No"/>
    <s v="None"/>
    <s v="None"/>
    <x v="3"/>
    <x v="2"/>
    <n v="12"/>
    <x v="0"/>
  </r>
  <r>
    <n v="753"/>
    <n v="47"/>
    <x v="2"/>
    <s v="Male single"/>
    <x v="1"/>
    <x v="1"/>
    <n v="2"/>
    <x v="1"/>
    <s v="Unknown"/>
    <x v="0"/>
    <n v="4"/>
    <x v="0"/>
    <s v="Yes"/>
    <s v="no checking"/>
    <x v="2"/>
    <s v="&lt;100"/>
    <x v="0"/>
    <s v="skilled"/>
    <s v="Skilled"/>
    <x v="0"/>
    <s v="&gt;=7"/>
    <x v="3"/>
    <s v="existing paid"/>
    <x v="1"/>
    <n v="4"/>
    <n v="3"/>
    <n v="1393"/>
    <s v="No"/>
    <s v="None"/>
    <s v="Bank"/>
    <x v="7"/>
    <x v="2"/>
    <n v="12"/>
    <x v="1"/>
  </r>
  <r>
    <n v="754"/>
    <n v="37"/>
    <x v="0"/>
    <s v="Female Divorced with Dependents"/>
    <x v="0"/>
    <x v="0"/>
    <n v="1"/>
    <x v="1"/>
    <s v="Unknown"/>
    <x v="1"/>
    <n v="4"/>
    <x v="1"/>
    <s v="Yes"/>
    <s v="no checking"/>
    <x v="2"/>
    <s v="500&lt;=X&lt;1000"/>
    <x v="4"/>
    <s v="skilled"/>
    <s v="Skilled"/>
    <x v="0"/>
    <s v="4&lt;=X&lt;7"/>
    <x v="2"/>
    <s v="critical/Others existing credit"/>
    <x v="3"/>
    <n v="3"/>
    <n v="1"/>
    <n v="1402"/>
    <s v="No"/>
    <s v="None"/>
    <s v="None"/>
    <x v="1"/>
    <x v="2"/>
    <n v="12"/>
    <x v="1"/>
  </r>
  <r>
    <n v="755"/>
    <n v="54"/>
    <x v="3"/>
    <s v="Male single"/>
    <x v="1"/>
    <x v="1"/>
    <n v="1"/>
    <x v="1"/>
    <s v="Unknown"/>
    <x v="0"/>
    <n v="3"/>
    <x v="2"/>
    <s v="No"/>
    <s v="&lt;0"/>
    <x v="1"/>
    <s v="&lt;100"/>
    <x v="0"/>
    <s v="skilled"/>
    <s v="Skilled"/>
    <x v="0"/>
    <s v="&gt;=7"/>
    <x v="3"/>
    <s v="critical/Others existing credit"/>
    <x v="3"/>
    <n v="4"/>
    <n v="1"/>
    <n v="1409"/>
    <s v="No"/>
    <s v="None"/>
    <s v="None"/>
    <x v="2"/>
    <x v="2"/>
    <n v="12"/>
    <x v="1"/>
  </r>
  <r>
    <n v="756"/>
    <n v="31"/>
    <x v="0"/>
    <s v="Male single"/>
    <x v="1"/>
    <x v="1"/>
    <n v="1"/>
    <x v="1"/>
    <s v="Resident"/>
    <x v="0"/>
    <n v="2"/>
    <x v="2"/>
    <s v="Yes"/>
    <s v="0&lt;=X&lt;200"/>
    <x v="0"/>
    <s v="&lt;100"/>
    <x v="0"/>
    <s v="unskilled resident"/>
    <s v="Unskilled"/>
    <x v="0"/>
    <s v="1&lt;=X&lt;4"/>
    <x v="0"/>
    <s v="no credits/all paid"/>
    <x v="0"/>
    <n v="2"/>
    <n v="1"/>
    <n v="1410"/>
    <s v="No"/>
    <s v="None"/>
    <s v="None"/>
    <x v="9"/>
    <x v="2"/>
    <n v="12"/>
    <x v="1"/>
  </r>
  <r>
    <n v="757"/>
    <n v="29"/>
    <x v="0"/>
    <s v="Female Divorced with Dependents"/>
    <x v="0"/>
    <x v="0"/>
    <n v="1"/>
    <x v="1"/>
    <s v="Unknown"/>
    <x v="0"/>
    <n v="2"/>
    <x v="2"/>
    <s v="Yes"/>
    <s v="no checking"/>
    <x v="2"/>
    <s v="&lt;100"/>
    <x v="0"/>
    <s v="high qualif/self emp/mgmt"/>
    <s v="Skilled"/>
    <x v="0"/>
    <s v="1&lt;=X&lt;4"/>
    <x v="0"/>
    <s v="critical/Others existing credit"/>
    <x v="3"/>
    <n v="4"/>
    <n v="2"/>
    <n v="1412"/>
    <s v="guarantor"/>
    <s v="Guarantor"/>
    <s v="None"/>
    <x v="5"/>
    <x v="2"/>
    <n v="12"/>
    <x v="1"/>
  </r>
  <r>
    <n v="758"/>
    <n v="26"/>
    <x v="1"/>
    <s v="Male single"/>
    <x v="1"/>
    <x v="1"/>
    <n v="1"/>
    <x v="1"/>
    <s v="Unknown"/>
    <x v="0"/>
    <n v="3"/>
    <x v="0"/>
    <s v="No"/>
    <s v="0&lt;=X&lt;200"/>
    <x v="0"/>
    <s v="&lt;100"/>
    <x v="0"/>
    <s v="skilled"/>
    <s v="Skilled"/>
    <x v="0"/>
    <s v="4&lt;=X&lt;7"/>
    <x v="2"/>
    <s v="critical/Others existing credit"/>
    <x v="3"/>
    <n v="4"/>
    <n v="1"/>
    <n v="1424"/>
    <s v="No"/>
    <s v="None"/>
    <s v="None"/>
    <x v="8"/>
    <x v="2"/>
    <n v="12"/>
    <x v="1"/>
  </r>
  <r>
    <n v="759"/>
    <n v="55"/>
    <x v="3"/>
    <s v="Female Divorced with Dependents"/>
    <x v="0"/>
    <x v="0"/>
    <n v="1"/>
    <x v="1"/>
    <s v="Unknown"/>
    <x v="0"/>
    <n v="4"/>
    <x v="2"/>
    <s v="Yes"/>
    <s v="&gt;=200"/>
    <x v="3"/>
    <s v="no known savings"/>
    <x v="1"/>
    <s v="high qualif/self emp/mgmt"/>
    <s v="Skilled"/>
    <x v="0"/>
    <s v="&gt;=7"/>
    <x v="3"/>
    <s v="existing paid"/>
    <x v="1"/>
    <n v="3"/>
    <n v="1"/>
    <n v="1424"/>
    <s v="No"/>
    <s v="None"/>
    <s v="None"/>
    <x v="1"/>
    <x v="2"/>
    <n v="12"/>
    <x v="1"/>
  </r>
  <r>
    <n v="760"/>
    <n v="33"/>
    <x v="0"/>
    <s v="Female Divorced with Dependents"/>
    <x v="0"/>
    <x v="0"/>
    <n v="1"/>
    <x v="1"/>
    <s v="Unknown"/>
    <x v="0"/>
    <n v="1"/>
    <x v="0"/>
    <s v="Yes"/>
    <s v="&gt;=200"/>
    <x v="3"/>
    <s v="&lt;100"/>
    <x v="0"/>
    <s v="high qualif/self emp/mgmt"/>
    <s v="Skilled"/>
    <x v="0"/>
    <s v="&lt;1"/>
    <x v="1"/>
    <s v="existing paid"/>
    <x v="1"/>
    <n v="4"/>
    <n v="1"/>
    <n v="1474"/>
    <s v="No"/>
    <s v="None"/>
    <s v="Bank"/>
    <x v="1"/>
    <x v="2"/>
    <n v="12"/>
    <x v="1"/>
  </r>
  <r>
    <n v="761"/>
    <n v="66"/>
    <x v="5"/>
    <s v="Male single"/>
    <x v="1"/>
    <x v="1"/>
    <n v="1"/>
    <x v="1"/>
    <s v="Non-resident"/>
    <x v="2"/>
    <n v="4"/>
    <x v="3"/>
    <s v="No"/>
    <s v="&gt;=200"/>
    <x v="3"/>
    <s v="500&lt;=X&lt;1000"/>
    <x v="4"/>
    <s v="unemp/unskilled non res"/>
    <s v="Unskilled"/>
    <x v="1"/>
    <s v="unemployed"/>
    <x v="4"/>
    <s v="critical/Others existing credit"/>
    <x v="3"/>
    <n v="2"/>
    <n v="3"/>
    <n v="1480"/>
    <s v="No"/>
    <s v="None"/>
    <s v="Bank"/>
    <x v="3"/>
    <x v="2"/>
    <n v="12"/>
    <x v="1"/>
  </r>
  <r>
    <n v="762"/>
    <n v="25"/>
    <x v="1"/>
    <s v="Male Married/Widowed"/>
    <x v="1"/>
    <x v="2"/>
    <n v="1"/>
    <x v="1"/>
    <s v="Unknown"/>
    <x v="0"/>
    <n v="1"/>
    <x v="2"/>
    <s v="Yes"/>
    <s v="0&lt;=X&lt;200"/>
    <x v="0"/>
    <s v="no known savings"/>
    <x v="1"/>
    <s v="skilled"/>
    <s v="Skilled"/>
    <x v="0"/>
    <s v="1&lt;=X&lt;4"/>
    <x v="0"/>
    <s v="existing paid"/>
    <x v="1"/>
    <n v="2"/>
    <n v="1"/>
    <n v="1484"/>
    <s v="No"/>
    <s v="None"/>
    <s v="None"/>
    <x v="4"/>
    <x v="2"/>
    <n v="12"/>
    <x v="0"/>
  </r>
  <r>
    <n v="763"/>
    <n v="34"/>
    <x v="0"/>
    <s v="Female Divorced with Dependents"/>
    <x v="0"/>
    <x v="0"/>
    <n v="2"/>
    <x v="1"/>
    <s v="Unknown"/>
    <x v="0"/>
    <n v="3"/>
    <x v="1"/>
    <s v="No"/>
    <s v="no checking"/>
    <x v="2"/>
    <s v="&lt;100"/>
    <x v="0"/>
    <s v="skilled"/>
    <s v="Skilled"/>
    <x v="0"/>
    <s v="&lt;1"/>
    <x v="1"/>
    <s v="existing paid"/>
    <x v="1"/>
    <n v="4"/>
    <n v="1"/>
    <n v="1493"/>
    <s v="No"/>
    <s v="None"/>
    <s v="None"/>
    <x v="4"/>
    <x v="2"/>
    <n v="12"/>
    <x v="1"/>
  </r>
  <r>
    <n v="764"/>
    <n v="38"/>
    <x v="0"/>
    <s v="Male single"/>
    <x v="1"/>
    <x v="1"/>
    <n v="2"/>
    <x v="1"/>
    <s v="Resident"/>
    <x v="0"/>
    <n v="1"/>
    <x v="2"/>
    <s v="No"/>
    <s v="no checking"/>
    <x v="2"/>
    <s v="&lt;100"/>
    <x v="0"/>
    <s v="unskilled resident"/>
    <s v="Unskilled"/>
    <x v="0"/>
    <s v="&gt;=7"/>
    <x v="3"/>
    <s v="critical/Others existing credit"/>
    <x v="3"/>
    <n v="4"/>
    <n v="2"/>
    <n v="1495"/>
    <s v="No"/>
    <s v="None"/>
    <s v="None"/>
    <x v="3"/>
    <x v="2"/>
    <n v="12"/>
    <x v="1"/>
  </r>
  <r>
    <n v="765"/>
    <n v="23"/>
    <x v="1"/>
    <s v="Female Divorced with Dependents"/>
    <x v="0"/>
    <x v="0"/>
    <n v="1"/>
    <x v="1"/>
    <s v="Unknown"/>
    <x v="0"/>
    <n v="1"/>
    <x v="1"/>
    <s v="No"/>
    <s v="&lt;0"/>
    <x v="1"/>
    <s v="&lt;100"/>
    <x v="0"/>
    <s v="skilled"/>
    <s v="Skilled"/>
    <x v="0"/>
    <s v="1&lt;=X&lt;4"/>
    <x v="0"/>
    <s v="existing paid"/>
    <x v="1"/>
    <n v="4"/>
    <n v="1"/>
    <n v="1498"/>
    <s v="No"/>
    <s v="None"/>
    <s v="Bank"/>
    <x v="4"/>
    <x v="2"/>
    <n v="12"/>
    <x v="1"/>
  </r>
  <r>
    <n v="766"/>
    <n v="41"/>
    <x v="2"/>
    <s v="Male Married/Widowed"/>
    <x v="1"/>
    <x v="2"/>
    <n v="1"/>
    <x v="1"/>
    <s v="Unknown"/>
    <x v="1"/>
    <n v="4"/>
    <x v="2"/>
    <s v="No"/>
    <s v="no checking"/>
    <x v="2"/>
    <s v="&lt;100"/>
    <x v="0"/>
    <s v="skilled"/>
    <s v="Skilled"/>
    <x v="0"/>
    <s v="1&lt;=X&lt;4"/>
    <x v="0"/>
    <s v="delayed previously"/>
    <x v="4"/>
    <n v="4"/>
    <n v="1"/>
    <n v="1503"/>
    <s v="No"/>
    <s v="None"/>
    <s v="None"/>
    <x v="2"/>
    <x v="2"/>
    <n v="12"/>
    <x v="1"/>
  </r>
  <r>
    <n v="767"/>
    <n v="66"/>
    <x v="5"/>
    <s v="Male single"/>
    <x v="1"/>
    <x v="1"/>
    <n v="1"/>
    <x v="1"/>
    <s v="Unknown"/>
    <x v="2"/>
    <n v="4"/>
    <x v="3"/>
    <s v="No"/>
    <s v="&lt;0"/>
    <x v="1"/>
    <s v="&lt;100"/>
    <x v="0"/>
    <s v="high qualif/self emp/mgmt"/>
    <s v="Skilled"/>
    <x v="0"/>
    <s v="&gt;=7"/>
    <x v="3"/>
    <s v="critical/Others existing credit"/>
    <x v="3"/>
    <n v="4"/>
    <n v="2"/>
    <n v="1526"/>
    <s v="No"/>
    <s v="None"/>
    <s v="None"/>
    <x v="2"/>
    <x v="2"/>
    <n v="12"/>
    <x v="1"/>
  </r>
  <r>
    <n v="768"/>
    <n v="23"/>
    <x v="1"/>
    <s v="Male Married/Widowed"/>
    <x v="1"/>
    <x v="2"/>
    <n v="1"/>
    <x v="1"/>
    <s v="Unknown"/>
    <x v="1"/>
    <n v="1"/>
    <x v="2"/>
    <s v="No"/>
    <s v="0&lt;=X&lt;200"/>
    <x v="0"/>
    <s v="&lt;100"/>
    <x v="0"/>
    <s v="skilled"/>
    <s v="Skilled"/>
    <x v="0"/>
    <s v="&lt;1"/>
    <x v="1"/>
    <s v="existing paid"/>
    <x v="1"/>
    <n v="1"/>
    <n v="1"/>
    <n v="1534"/>
    <s v="No"/>
    <s v="None"/>
    <s v="None"/>
    <x v="4"/>
    <x v="2"/>
    <n v="12"/>
    <x v="0"/>
  </r>
  <r>
    <n v="769"/>
    <n v="36"/>
    <x v="0"/>
    <s v="Male single"/>
    <x v="1"/>
    <x v="1"/>
    <n v="1"/>
    <x v="1"/>
    <s v="Unknown"/>
    <x v="0"/>
    <n v="4"/>
    <x v="1"/>
    <s v="Yes"/>
    <s v="no checking"/>
    <x v="2"/>
    <s v="&lt;100"/>
    <x v="0"/>
    <s v="skilled"/>
    <s v="Skilled"/>
    <x v="0"/>
    <s v="4&lt;=X&lt;7"/>
    <x v="2"/>
    <s v="existing paid"/>
    <x v="1"/>
    <n v="2"/>
    <n v="1"/>
    <n v="1542"/>
    <s v="No"/>
    <s v="None"/>
    <s v="None"/>
    <x v="5"/>
    <x v="2"/>
    <n v="12"/>
    <x v="1"/>
  </r>
  <r>
    <n v="770"/>
    <n v="55"/>
    <x v="3"/>
    <s v="Male single"/>
    <x v="1"/>
    <x v="1"/>
    <n v="2"/>
    <x v="1"/>
    <s v="Unknown"/>
    <x v="2"/>
    <n v="4"/>
    <x v="3"/>
    <s v="No"/>
    <s v="no checking"/>
    <x v="2"/>
    <s v="&gt;=1000"/>
    <x v="2"/>
    <s v="skilled"/>
    <s v="Skilled"/>
    <x v="0"/>
    <s v="&gt;=7"/>
    <x v="3"/>
    <s v="delayed previously"/>
    <x v="4"/>
    <n v="4"/>
    <n v="2"/>
    <n v="1555"/>
    <s v="No"/>
    <s v="None"/>
    <s v="None"/>
    <x v="6"/>
    <x v="2"/>
    <n v="12"/>
    <x v="0"/>
  </r>
  <r>
    <n v="771"/>
    <n v="22"/>
    <x v="1"/>
    <s v="Female Divorced with Dependents"/>
    <x v="0"/>
    <x v="0"/>
    <n v="1"/>
    <x v="1"/>
    <s v="Unknown"/>
    <x v="0"/>
    <n v="1"/>
    <x v="1"/>
    <s v="Yes"/>
    <s v="0&lt;=X&lt;200"/>
    <x v="0"/>
    <s v="&lt;100"/>
    <x v="0"/>
    <s v="skilled"/>
    <s v="Skilled"/>
    <x v="0"/>
    <s v="1&lt;=X&lt;4"/>
    <x v="0"/>
    <s v="existing paid"/>
    <x v="1"/>
    <n v="1"/>
    <n v="1"/>
    <n v="1567"/>
    <s v="No"/>
    <s v="None"/>
    <s v="None"/>
    <x v="4"/>
    <x v="2"/>
    <n v="12"/>
    <x v="1"/>
  </r>
  <r>
    <n v="772"/>
    <n v="50"/>
    <x v="3"/>
    <s v="Male single"/>
    <x v="1"/>
    <x v="1"/>
    <n v="1"/>
    <x v="1"/>
    <s v="Unknown"/>
    <x v="0"/>
    <n v="2"/>
    <x v="2"/>
    <s v="No"/>
    <s v="no checking"/>
    <x v="2"/>
    <s v="&lt;100"/>
    <x v="0"/>
    <s v="skilled"/>
    <s v="Skilled"/>
    <x v="0"/>
    <s v="1&lt;=X&lt;4"/>
    <x v="0"/>
    <s v="existing paid"/>
    <x v="1"/>
    <n v="4"/>
    <n v="1"/>
    <n v="1574"/>
    <s v="No"/>
    <s v="None"/>
    <s v="None"/>
    <x v="1"/>
    <x v="2"/>
    <n v="12"/>
    <x v="1"/>
  </r>
  <r>
    <n v="773"/>
    <n v="30"/>
    <x v="0"/>
    <s v="Female Divorced with Dependents"/>
    <x v="0"/>
    <x v="0"/>
    <n v="1"/>
    <x v="1"/>
    <s v="Unknown"/>
    <x v="0"/>
    <n v="3"/>
    <x v="0"/>
    <s v="No"/>
    <s v="&lt;0"/>
    <x v="1"/>
    <s v="&lt;100"/>
    <x v="0"/>
    <s v="skilled"/>
    <s v="Skilled"/>
    <x v="0"/>
    <s v="1&lt;=X&lt;4"/>
    <x v="0"/>
    <s v="existing paid"/>
    <x v="1"/>
    <n v="2"/>
    <n v="1"/>
    <n v="1620"/>
    <s v="co applicant"/>
    <s v="Co-applicant"/>
    <s v="None"/>
    <x v="1"/>
    <x v="2"/>
    <n v="12"/>
    <x v="1"/>
  </r>
  <r>
    <n v="774"/>
    <n v="63"/>
    <x v="5"/>
    <s v="Male single"/>
    <x v="1"/>
    <x v="1"/>
    <n v="1"/>
    <x v="1"/>
    <s v="Resident"/>
    <x v="0"/>
    <n v="4"/>
    <x v="2"/>
    <s v="Yes"/>
    <s v="no checking"/>
    <x v="2"/>
    <s v="&lt;100"/>
    <x v="0"/>
    <s v="unskilled resident"/>
    <s v="Unskilled"/>
    <x v="0"/>
    <s v="&gt;=7"/>
    <x v="3"/>
    <s v="critical/Others existing credit"/>
    <x v="3"/>
    <n v="2"/>
    <n v="2"/>
    <n v="1655"/>
    <s v="No"/>
    <s v="None"/>
    <s v="None"/>
    <x v="4"/>
    <x v="2"/>
    <n v="12"/>
    <x v="1"/>
  </r>
  <r>
    <n v="775"/>
    <n v="27"/>
    <x v="1"/>
    <s v="Male single"/>
    <x v="1"/>
    <x v="1"/>
    <n v="1"/>
    <x v="1"/>
    <s v="Unknown"/>
    <x v="0"/>
    <n v="2"/>
    <x v="2"/>
    <s v="No"/>
    <s v="&lt;0"/>
    <x v="1"/>
    <s v="&lt;100"/>
    <x v="0"/>
    <s v="skilled"/>
    <s v="Skilled"/>
    <x v="0"/>
    <s v="1&lt;=X&lt;4"/>
    <x v="0"/>
    <s v="existing paid"/>
    <x v="1"/>
    <n v="2"/>
    <n v="1"/>
    <n v="1657"/>
    <s v="No"/>
    <s v="None"/>
    <s v="None"/>
    <x v="1"/>
    <x v="2"/>
    <n v="12"/>
    <x v="1"/>
  </r>
  <r>
    <n v="776"/>
    <n v="35"/>
    <x v="0"/>
    <s v="Male Married/Widowed"/>
    <x v="1"/>
    <x v="2"/>
    <n v="1"/>
    <x v="1"/>
    <s v="Unknown"/>
    <x v="0"/>
    <n v="1"/>
    <x v="2"/>
    <s v="No"/>
    <s v="&lt;0"/>
    <x v="1"/>
    <s v="500&lt;=X&lt;1000"/>
    <x v="4"/>
    <s v="skilled"/>
    <s v="Skilled"/>
    <x v="0"/>
    <s v="&gt;=7"/>
    <x v="3"/>
    <s v="existing paid"/>
    <x v="1"/>
    <n v="3"/>
    <n v="1"/>
    <n v="1680"/>
    <s v="No"/>
    <s v="None"/>
    <s v="None"/>
    <x v="4"/>
    <x v="2"/>
    <n v="12"/>
    <x v="1"/>
  </r>
  <r>
    <n v="777"/>
    <n v="31"/>
    <x v="0"/>
    <s v="Female Divorced with Dependents"/>
    <x v="0"/>
    <x v="0"/>
    <n v="1"/>
    <x v="1"/>
    <s v="Resident"/>
    <x v="0"/>
    <n v="4"/>
    <x v="2"/>
    <s v="No"/>
    <s v="no checking"/>
    <x v="2"/>
    <s v="&lt;100"/>
    <x v="0"/>
    <s v="unskilled resident"/>
    <s v="Unskilled"/>
    <x v="0"/>
    <s v="4&lt;=X&lt;7"/>
    <x v="2"/>
    <s v="existing paid"/>
    <x v="1"/>
    <n v="3"/>
    <n v="1"/>
    <n v="1736"/>
    <s v="No"/>
    <s v="None"/>
    <s v="None"/>
    <x v="1"/>
    <x v="2"/>
    <n v="12"/>
    <x v="1"/>
  </r>
  <r>
    <n v="778"/>
    <n v="24"/>
    <x v="1"/>
    <s v="Male single"/>
    <x v="1"/>
    <x v="1"/>
    <n v="1"/>
    <x v="1"/>
    <s v="Resident"/>
    <x v="1"/>
    <n v="2"/>
    <x v="2"/>
    <s v="No"/>
    <s v="no checking"/>
    <x v="2"/>
    <s v="&lt;100"/>
    <x v="0"/>
    <s v="unskilled resident"/>
    <s v="Unskilled"/>
    <x v="0"/>
    <s v="1&lt;=X&lt;4"/>
    <x v="0"/>
    <s v="existing paid"/>
    <x v="1"/>
    <n v="3"/>
    <n v="1"/>
    <n v="1768"/>
    <s v="No"/>
    <s v="None"/>
    <s v="None"/>
    <x v="1"/>
    <x v="2"/>
    <n v="12"/>
    <x v="1"/>
  </r>
  <r>
    <n v="779"/>
    <n v="44"/>
    <x v="2"/>
    <s v="Male single"/>
    <x v="1"/>
    <x v="1"/>
    <n v="1"/>
    <x v="1"/>
    <s v="Unknown"/>
    <x v="0"/>
    <n v="4"/>
    <x v="0"/>
    <s v="No"/>
    <s v="0&lt;=X&lt;200"/>
    <x v="0"/>
    <s v="100&lt;=X&lt;500"/>
    <x v="3"/>
    <s v="skilled"/>
    <s v="Skilled"/>
    <x v="0"/>
    <s v="&lt;1"/>
    <x v="1"/>
    <s v="critical/Others existing credit"/>
    <x v="3"/>
    <n v="3"/>
    <n v="1"/>
    <n v="1804"/>
    <s v="No"/>
    <s v="None"/>
    <s v="None"/>
    <x v="2"/>
    <x v="2"/>
    <n v="12"/>
    <x v="1"/>
  </r>
  <r>
    <n v="780"/>
    <n v="22"/>
    <x v="1"/>
    <s v="Female Divorced with Dependents"/>
    <x v="0"/>
    <x v="0"/>
    <n v="1"/>
    <x v="1"/>
    <s v="Unknown"/>
    <x v="1"/>
    <n v="1"/>
    <x v="1"/>
    <s v="No"/>
    <s v="&lt;0"/>
    <x v="1"/>
    <s v="&lt;100"/>
    <x v="0"/>
    <s v="skilled"/>
    <s v="Skilled"/>
    <x v="0"/>
    <s v="&lt;1"/>
    <x v="1"/>
    <s v="existing paid"/>
    <x v="1"/>
    <n v="4"/>
    <n v="1"/>
    <n v="1858"/>
    <s v="No"/>
    <s v="None"/>
    <s v="None"/>
    <x v="1"/>
    <x v="2"/>
    <n v="12"/>
    <x v="1"/>
  </r>
  <r>
    <n v="781"/>
    <n v="34"/>
    <x v="0"/>
    <s v="Male single"/>
    <x v="1"/>
    <x v="1"/>
    <n v="1"/>
    <x v="1"/>
    <s v="Unknown"/>
    <x v="0"/>
    <n v="2"/>
    <x v="1"/>
    <s v="Yes"/>
    <s v="0&lt;=X&lt;200"/>
    <x v="0"/>
    <s v="&lt;100"/>
    <x v="0"/>
    <s v="high qualif/self emp/mgmt"/>
    <s v="Skilled"/>
    <x v="0"/>
    <s v="unemployed"/>
    <x v="4"/>
    <s v="critical/Others existing credit"/>
    <x v="3"/>
    <n v="4"/>
    <n v="2"/>
    <n v="1860"/>
    <s v="No"/>
    <s v="None"/>
    <s v="None"/>
    <x v="2"/>
    <x v="2"/>
    <n v="12"/>
    <x v="1"/>
  </r>
  <r>
    <n v="782"/>
    <n v="44"/>
    <x v="2"/>
    <s v="Female Divorced with Dependents"/>
    <x v="0"/>
    <x v="0"/>
    <n v="1"/>
    <x v="1"/>
    <s v="Resident"/>
    <x v="1"/>
    <n v="2"/>
    <x v="1"/>
    <s v="Yes"/>
    <s v="&gt;=200"/>
    <x v="3"/>
    <s v="&lt;100"/>
    <x v="0"/>
    <s v="unskilled resident"/>
    <s v="Unskilled"/>
    <x v="0"/>
    <s v="1&lt;=X&lt;4"/>
    <x v="0"/>
    <s v="existing paid"/>
    <x v="1"/>
    <n v="2"/>
    <n v="1"/>
    <n v="1881"/>
    <s v="No"/>
    <s v="None"/>
    <s v="None"/>
    <x v="4"/>
    <x v="2"/>
    <n v="12"/>
    <x v="1"/>
  </r>
  <r>
    <n v="783"/>
    <n v="39"/>
    <x v="2"/>
    <s v="Male single"/>
    <x v="1"/>
    <x v="1"/>
    <n v="1"/>
    <x v="1"/>
    <s v="Unknown"/>
    <x v="0"/>
    <n v="4"/>
    <x v="1"/>
    <s v="Yes"/>
    <s v="no checking"/>
    <x v="2"/>
    <s v="&lt;100"/>
    <x v="0"/>
    <s v="high qualif/self emp/mgmt"/>
    <s v="Skilled"/>
    <x v="0"/>
    <s v="&gt;=7"/>
    <x v="3"/>
    <s v="existing paid"/>
    <x v="1"/>
    <n v="4"/>
    <n v="1"/>
    <n v="1884"/>
    <s v="No"/>
    <s v="None"/>
    <s v="None"/>
    <x v="3"/>
    <x v="2"/>
    <n v="12"/>
    <x v="1"/>
  </r>
  <r>
    <n v="784"/>
    <n v="29"/>
    <x v="0"/>
    <s v="Female Divorced with Dependents"/>
    <x v="0"/>
    <x v="0"/>
    <n v="1"/>
    <x v="1"/>
    <s v="Unknown"/>
    <x v="0"/>
    <n v="4"/>
    <x v="0"/>
    <s v="Yes"/>
    <s v="&lt;0"/>
    <x v="1"/>
    <s v="&lt;100"/>
    <x v="0"/>
    <s v="skilled"/>
    <s v="Skilled"/>
    <x v="0"/>
    <s v="1&lt;=X&lt;4"/>
    <x v="0"/>
    <s v="existing paid"/>
    <x v="1"/>
    <n v="4"/>
    <n v="1"/>
    <n v="1893"/>
    <s v="guarantor"/>
    <s v="Guarantor"/>
    <s v="None"/>
    <x v="3"/>
    <x v="2"/>
    <n v="12"/>
    <x v="1"/>
  </r>
  <r>
    <n v="785"/>
    <n v="37"/>
    <x v="0"/>
    <s v="Male single"/>
    <x v="1"/>
    <x v="1"/>
    <n v="1"/>
    <x v="1"/>
    <s v="Resident"/>
    <x v="0"/>
    <n v="2"/>
    <x v="0"/>
    <s v="No"/>
    <s v="0&lt;=X&lt;200"/>
    <x v="0"/>
    <s v="&lt;100"/>
    <x v="0"/>
    <s v="unskilled resident"/>
    <s v="Unskilled"/>
    <x v="0"/>
    <s v="1&lt;=X&lt;4"/>
    <x v="0"/>
    <s v="existing paid"/>
    <x v="1"/>
    <n v="4"/>
    <n v="1"/>
    <n v="1922"/>
    <s v="No"/>
    <s v="None"/>
    <s v="None"/>
    <x v="1"/>
    <x v="2"/>
    <n v="12"/>
    <x v="0"/>
  </r>
  <r>
    <n v="786"/>
    <n v="26"/>
    <x v="1"/>
    <s v="Male single"/>
    <x v="1"/>
    <x v="1"/>
    <n v="1"/>
    <x v="1"/>
    <s v="Unknown"/>
    <x v="0"/>
    <n v="2"/>
    <x v="3"/>
    <s v="No"/>
    <s v="no checking"/>
    <x v="2"/>
    <s v="&lt;100"/>
    <x v="0"/>
    <s v="skilled"/>
    <s v="Skilled"/>
    <x v="0"/>
    <s v="&gt;=7"/>
    <x v="3"/>
    <s v="critical/Others existing credit"/>
    <x v="3"/>
    <n v="2"/>
    <n v="2"/>
    <n v="1934"/>
    <s v="No"/>
    <s v="None"/>
    <s v="None"/>
    <x v="4"/>
    <x v="2"/>
    <n v="12"/>
    <x v="1"/>
  </r>
  <r>
    <n v="787"/>
    <n v="43"/>
    <x v="2"/>
    <s v="Male single"/>
    <x v="1"/>
    <x v="1"/>
    <n v="1"/>
    <x v="1"/>
    <s v="Unknown"/>
    <x v="0"/>
    <n v="4"/>
    <x v="2"/>
    <s v="Yes"/>
    <s v="no checking"/>
    <x v="2"/>
    <s v="&lt;100"/>
    <x v="0"/>
    <s v="skilled"/>
    <s v="Skilled"/>
    <x v="0"/>
    <s v="&gt;=7"/>
    <x v="3"/>
    <s v="critical/Others existing credit"/>
    <x v="3"/>
    <n v="4"/>
    <n v="3"/>
    <n v="1935"/>
    <s v="No"/>
    <s v="None"/>
    <s v="None"/>
    <x v="1"/>
    <x v="2"/>
    <n v="12"/>
    <x v="1"/>
  </r>
  <r>
    <n v="788"/>
    <n v="31"/>
    <x v="0"/>
    <s v="Male single"/>
    <x v="1"/>
    <x v="1"/>
    <n v="2"/>
    <x v="1"/>
    <s v="Unknown"/>
    <x v="1"/>
    <n v="2"/>
    <x v="1"/>
    <s v="Yes"/>
    <s v="no checking"/>
    <x v="2"/>
    <s v="&lt;100"/>
    <x v="0"/>
    <s v="high qualif/self emp/mgmt"/>
    <s v="Skilled"/>
    <x v="0"/>
    <s v="4&lt;=X&lt;7"/>
    <x v="2"/>
    <s v="existing paid"/>
    <x v="1"/>
    <n v="4"/>
    <n v="2"/>
    <n v="1963"/>
    <s v="No"/>
    <s v="None"/>
    <s v="None"/>
    <x v="4"/>
    <x v="2"/>
    <n v="12"/>
    <x v="1"/>
  </r>
  <r>
    <n v="789"/>
    <n v="27"/>
    <x v="1"/>
    <s v="Male single"/>
    <x v="1"/>
    <x v="1"/>
    <n v="1"/>
    <x v="1"/>
    <s v="Unknown"/>
    <x v="0"/>
    <n v="1"/>
    <x v="1"/>
    <s v="No"/>
    <s v="0&lt;=X&lt;200"/>
    <x v="0"/>
    <s v="100&lt;=X&lt;500"/>
    <x v="3"/>
    <s v="skilled"/>
    <s v="Skilled"/>
    <x v="0"/>
    <s v="&lt;1"/>
    <x v="1"/>
    <s v="critical/Others existing credit"/>
    <x v="3"/>
    <n v="4"/>
    <n v="1"/>
    <n v="1995"/>
    <s v="No"/>
    <s v="None"/>
    <s v="None"/>
    <x v="3"/>
    <x v="2"/>
    <n v="12"/>
    <x v="1"/>
  </r>
  <r>
    <n v="790"/>
    <n v="30"/>
    <x v="0"/>
    <s v="Male single"/>
    <x v="1"/>
    <x v="1"/>
    <n v="2"/>
    <x v="1"/>
    <s v="Unknown"/>
    <x v="1"/>
    <n v="4"/>
    <x v="0"/>
    <s v="Yes"/>
    <s v="0&lt;=X&lt;200"/>
    <x v="0"/>
    <s v="&lt;100"/>
    <x v="0"/>
    <s v="skilled"/>
    <s v="Skilled"/>
    <x v="0"/>
    <s v="4&lt;=X&lt;7"/>
    <x v="2"/>
    <s v="existing paid"/>
    <x v="1"/>
    <n v="3"/>
    <n v="1"/>
    <n v="2002"/>
    <s v="No"/>
    <s v="None"/>
    <s v="None"/>
    <x v="3"/>
    <x v="2"/>
    <n v="12"/>
    <x v="1"/>
  </r>
  <r>
    <n v="791"/>
    <n v="61"/>
    <x v="5"/>
    <s v="Female Divorced with Dependents"/>
    <x v="0"/>
    <x v="0"/>
    <n v="1"/>
    <x v="1"/>
    <s v="Unknown"/>
    <x v="0"/>
    <n v="2"/>
    <x v="1"/>
    <s v="No"/>
    <s v="no checking"/>
    <x v="2"/>
    <s v="no known savings"/>
    <x v="1"/>
    <s v="skilled"/>
    <s v="Skilled"/>
    <x v="0"/>
    <s v="4&lt;=X&lt;7"/>
    <x v="2"/>
    <s v="critical/Others existing credit"/>
    <x v="3"/>
    <n v="4"/>
    <n v="1"/>
    <n v="2012"/>
    <s v="No"/>
    <s v="None"/>
    <s v="None"/>
    <x v="7"/>
    <x v="2"/>
    <n v="12"/>
    <x v="1"/>
  </r>
  <r>
    <n v="792"/>
    <n v="30"/>
    <x v="0"/>
    <s v="Male single"/>
    <x v="1"/>
    <x v="1"/>
    <n v="1"/>
    <x v="1"/>
    <s v="Unknown"/>
    <x v="0"/>
    <n v="2"/>
    <x v="1"/>
    <s v="No"/>
    <s v="0&lt;=X&lt;200"/>
    <x v="0"/>
    <s v="no known savings"/>
    <x v="1"/>
    <s v="skilled"/>
    <s v="Skilled"/>
    <x v="0"/>
    <s v="1&lt;=X&lt;4"/>
    <x v="0"/>
    <s v="existing paid"/>
    <x v="1"/>
    <n v="4"/>
    <n v="1"/>
    <n v="2028"/>
    <s v="No"/>
    <s v="None"/>
    <s v="None"/>
    <x v="2"/>
    <x v="2"/>
    <n v="12"/>
    <x v="1"/>
  </r>
  <r>
    <n v="793"/>
    <n v="28"/>
    <x v="1"/>
    <s v="Female Divorced with Dependents"/>
    <x v="0"/>
    <x v="0"/>
    <n v="1"/>
    <x v="1"/>
    <s v="Unknown"/>
    <x v="0"/>
    <n v="2"/>
    <x v="2"/>
    <s v="No"/>
    <s v="no checking"/>
    <x v="2"/>
    <s v="100&lt;=X&lt;500"/>
    <x v="3"/>
    <s v="skilled"/>
    <s v="Skilled"/>
    <x v="0"/>
    <s v="1&lt;=X&lt;4"/>
    <x v="0"/>
    <s v="existing paid"/>
    <x v="1"/>
    <n v="4"/>
    <n v="1"/>
    <n v="2073"/>
    <s v="co applicant"/>
    <s v="Co-applicant"/>
    <s v="None"/>
    <x v="4"/>
    <x v="2"/>
    <n v="12"/>
    <x v="1"/>
  </r>
  <r>
    <n v="794"/>
    <n v="49"/>
    <x v="3"/>
    <s v="Male single"/>
    <x v="1"/>
    <x v="1"/>
    <n v="2"/>
    <x v="1"/>
    <s v="Resident"/>
    <x v="0"/>
    <n v="3"/>
    <x v="2"/>
    <s v="No"/>
    <s v="no checking"/>
    <x v="2"/>
    <s v="&lt;100"/>
    <x v="0"/>
    <s v="unskilled resident"/>
    <s v="Unskilled"/>
    <x v="0"/>
    <s v="4&lt;=X&lt;7"/>
    <x v="2"/>
    <s v="critical/Others existing credit"/>
    <x v="3"/>
    <n v="2"/>
    <n v="1"/>
    <n v="2096"/>
    <s v="No"/>
    <s v="None"/>
    <s v="None"/>
    <x v="7"/>
    <x v="2"/>
    <n v="12"/>
    <x v="1"/>
  </r>
  <r>
    <n v="795"/>
    <n v="30"/>
    <x v="0"/>
    <s v="Male single"/>
    <x v="1"/>
    <x v="1"/>
    <n v="1"/>
    <x v="1"/>
    <s v="Unknown"/>
    <x v="0"/>
    <n v="2"/>
    <x v="0"/>
    <s v="No"/>
    <s v="&lt;0"/>
    <x v="1"/>
    <s v="&lt;100"/>
    <x v="0"/>
    <s v="skilled"/>
    <s v="Skilled"/>
    <x v="0"/>
    <s v="1&lt;=X&lt;4"/>
    <x v="0"/>
    <s v="critical/Others existing credit"/>
    <x v="3"/>
    <n v="4"/>
    <n v="2"/>
    <n v="2121"/>
    <s v="No"/>
    <s v="None"/>
    <s v="None"/>
    <x v="3"/>
    <x v="2"/>
    <n v="12"/>
    <x v="1"/>
  </r>
  <r>
    <n v="796"/>
    <n v="52"/>
    <x v="3"/>
    <s v="Female Divorced with Dependents"/>
    <x v="0"/>
    <x v="0"/>
    <n v="1"/>
    <x v="1"/>
    <s v="Unknown"/>
    <x v="2"/>
    <n v="4"/>
    <x v="3"/>
    <s v="Yes"/>
    <s v="no checking"/>
    <x v="2"/>
    <s v="no known savings"/>
    <x v="1"/>
    <s v="high qualif/self emp/mgmt"/>
    <s v="Skilled"/>
    <x v="0"/>
    <s v="&gt;=7"/>
    <x v="3"/>
    <s v="existing paid"/>
    <x v="1"/>
    <n v="4"/>
    <n v="1"/>
    <n v="2133"/>
    <s v="No"/>
    <s v="None"/>
    <s v="None"/>
    <x v="3"/>
    <x v="2"/>
    <n v="12"/>
    <x v="1"/>
  </r>
  <r>
    <n v="797"/>
    <n v="35"/>
    <x v="0"/>
    <s v="Male single"/>
    <x v="1"/>
    <x v="1"/>
    <n v="1"/>
    <x v="1"/>
    <s v="Unknown"/>
    <x v="0"/>
    <n v="1"/>
    <x v="3"/>
    <s v="No"/>
    <s v="no checking"/>
    <x v="2"/>
    <s v="100&lt;=X&lt;500"/>
    <x v="3"/>
    <s v="skilled"/>
    <s v="Skilled"/>
    <x v="0"/>
    <s v="4&lt;=X&lt;7"/>
    <x v="2"/>
    <s v="existing paid"/>
    <x v="1"/>
    <n v="3"/>
    <n v="1"/>
    <n v="2141"/>
    <s v="No"/>
    <s v="None"/>
    <s v="None"/>
    <x v="4"/>
    <x v="2"/>
    <n v="12"/>
    <x v="1"/>
  </r>
  <r>
    <n v="798"/>
    <n v="29"/>
    <x v="0"/>
    <s v="Male Divorced/Seperated"/>
    <x v="1"/>
    <x v="3"/>
    <n v="1"/>
    <x v="1"/>
    <s v="Unknown"/>
    <x v="2"/>
    <n v="1"/>
    <x v="3"/>
    <s v="No"/>
    <s v="&lt;0"/>
    <x v="1"/>
    <s v="&lt;100"/>
    <x v="0"/>
    <s v="skilled"/>
    <s v="Skilled"/>
    <x v="0"/>
    <s v="1&lt;=X&lt;4"/>
    <x v="0"/>
    <s v="all paid"/>
    <x v="2"/>
    <n v="4"/>
    <n v="1"/>
    <n v="2149"/>
    <s v="No"/>
    <s v="None"/>
    <s v="None"/>
    <x v="4"/>
    <x v="2"/>
    <n v="12"/>
    <x v="0"/>
  </r>
  <r>
    <n v="799"/>
    <n v="29"/>
    <x v="0"/>
    <s v="Female Divorced with Dependents"/>
    <x v="0"/>
    <x v="0"/>
    <n v="1"/>
    <x v="1"/>
    <s v="Unknown"/>
    <x v="0"/>
    <n v="2"/>
    <x v="1"/>
    <s v="No"/>
    <s v="no checking"/>
    <x v="2"/>
    <s v="&lt;100"/>
    <x v="0"/>
    <s v="skilled"/>
    <s v="Skilled"/>
    <x v="0"/>
    <s v="&lt;1"/>
    <x v="1"/>
    <s v="existing paid"/>
    <x v="1"/>
    <n v="2"/>
    <n v="1"/>
    <n v="2171"/>
    <s v="No"/>
    <s v="None"/>
    <s v="Bank"/>
    <x v="4"/>
    <x v="2"/>
    <n v="12"/>
    <x v="1"/>
  </r>
  <r>
    <n v="800"/>
    <n v="24"/>
    <x v="1"/>
    <s v="Male single"/>
    <x v="1"/>
    <x v="1"/>
    <n v="1"/>
    <x v="1"/>
    <s v="Resident"/>
    <x v="0"/>
    <n v="3"/>
    <x v="0"/>
    <s v="No"/>
    <s v="&lt;0"/>
    <x v="1"/>
    <s v="&lt;100"/>
    <x v="0"/>
    <s v="unskilled resident"/>
    <s v="Unskilled"/>
    <x v="0"/>
    <s v="1&lt;=X&lt;4"/>
    <x v="0"/>
    <s v="existing paid"/>
    <x v="1"/>
    <n v="4"/>
    <n v="1"/>
    <n v="2214"/>
    <s v="No"/>
    <s v="None"/>
    <s v="None"/>
    <x v="4"/>
    <x v="2"/>
    <n v="12"/>
    <x v="1"/>
  </r>
  <r>
    <n v="801"/>
    <n v="60"/>
    <x v="5"/>
    <s v="Male single"/>
    <x v="1"/>
    <x v="1"/>
    <n v="1"/>
    <x v="1"/>
    <s v="Unknown"/>
    <x v="0"/>
    <n v="3"/>
    <x v="0"/>
    <s v="No"/>
    <s v="&lt;0"/>
    <x v="1"/>
    <s v="&lt;100"/>
    <x v="0"/>
    <s v="skilled"/>
    <s v="Skilled"/>
    <x v="0"/>
    <s v="&gt;=7"/>
    <x v="3"/>
    <s v="critical/Others existing credit"/>
    <x v="3"/>
    <n v="3"/>
    <n v="2"/>
    <n v="2246"/>
    <s v="No"/>
    <s v="None"/>
    <s v="None"/>
    <x v="1"/>
    <x v="2"/>
    <n v="12"/>
    <x v="0"/>
  </r>
  <r>
    <n v="802"/>
    <n v="36"/>
    <x v="0"/>
    <s v="Female Divorced with Dependents"/>
    <x v="0"/>
    <x v="0"/>
    <n v="1"/>
    <x v="1"/>
    <s v="Unknown"/>
    <x v="0"/>
    <n v="2"/>
    <x v="1"/>
    <s v="Yes"/>
    <s v="&gt;=200"/>
    <x v="3"/>
    <s v="&lt;100"/>
    <x v="0"/>
    <s v="skilled"/>
    <s v="Skilled"/>
    <x v="0"/>
    <s v="1&lt;=X&lt;4"/>
    <x v="0"/>
    <s v="delayed previously"/>
    <x v="4"/>
    <n v="2"/>
    <n v="2"/>
    <n v="2247"/>
    <s v="No"/>
    <s v="None"/>
    <s v="Store"/>
    <x v="3"/>
    <x v="2"/>
    <n v="12"/>
    <x v="1"/>
  </r>
  <r>
    <n v="803"/>
    <n v="46"/>
    <x v="2"/>
    <s v="Female Divorced with Dependents"/>
    <x v="0"/>
    <x v="0"/>
    <n v="1"/>
    <x v="1"/>
    <s v="Resident"/>
    <x v="0"/>
    <n v="2"/>
    <x v="1"/>
    <s v="No"/>
    <s v="&gt;=200"/>
    <x v="3"/>
    <s v="&lt;100"/>
    <x v="0"/>
    <s v="unskilled resident"/>
    <s v="Unskilled"/>
    <x v="0"/>
    <s v="1&lt;=X&lt;4"/>
    <x v="0"/>
    <s v="existing paid"/>
    <x v="1"/>
    <n v="1"/>
    <n v="1"/>
    <n v="2251"/>
    <s v="No"/>
    <s v="None"/>
    <s v="None"/>
    <x v="1"/>
    <x v="2"/>
    <n v="12"/>
    <x v="1"/>
  </r>
  <r>
    <n v="804"/>
    <n v="37"/>
    <x v="0"/>
    <s v="Male single"/>
    <x v="1"/>
    <x v="1"/>
    <n v="1"/>
    <x v="1"/>
    <s v="Unknown"/>
    <x v="2"/>
    <n v="4"/>
    <x v="3"/>
    <s v="Yes"/>
    <s v="no checking"/>
    <x v="2"/>
    <s v="no known savings"/>
    <x v="1"/>
    <s v="skilled"/>
    <s v="Skilled"/>
    <x v="0"/>
    <s v="1&lt;=X&lt;4"/>
    <x v="0"/>
    <s v="existing paid"/>
    <x v="1"/>
    <n v="4"/>
    <n v="1"/>
    <n v="2279"/>
    <s v="No"/>
    <s v="None"/>
    <s v="None"/>
    <x v="4"/>
    <x v="2"/>
    <n v="12"/>
    <x v="1"/>
  </r>
  <r>
    <n v="805"/>
    <n v="42"/>
    <x v="2"/>
    <s v="Male single"/>
    <x v="1"/>
    <x v="1"/>
    <n v="1"/>
    <x v="1"/>
    <s v="Unknown"/>
    <x v="0"/>
    <n v="2"/>
    <x v="1"/>
    <s v="Yes"/>
    <s v="no checking"/>
    <x v="2"/>
    <s v="&lt;100"/>
    <x v="0"/>
    <s v="high qualif/self emp/mgmt"/>
    <s v="Skilled"/>
    <x v="0"/>
    <s v="unemployed"/>
    <x v="4"/>
    <s v="critical/Others existing credit"/>
    <x v="3"/>
    <n v="4"/>
    <n v="2"/>
    <n v="2292"/>
    <s v="No"/>
    <s v="None"/>
    <s v="Store"/>
    <x v="5"/>
    <x v="2"/>
    <n v="12"/>
    <x v="0"/>
  </r>
  <r>
    <n v="806"/>
    <n v="49"/>
    <x v="3"/>
    <s v="Male single"/>
    <x v="1"/>
    <x v="1"/>
    <n v="1"/>
    <x v="1"/>
    <s v="Unknown"/>
    <x v="0"/>
    <n v="4"/>
    <x v="2"/>
    <s v="Yes"/>
    <s v="no checking"/>
    <x v="2"/>
    <s v="no known savings"/>
    <x v="1"/>
    <s v="skilled"/>
    <s v="Skilled"/>
    <x v="0"/>
    <s v="&gt;=7"/>
    <x v="3"/>
    <s v="critical/Others existing credit"/>
    <x v="3"/>
    <n v="1"/>
    <n v="1"/>
    <n v="2331"/>
    <s v="co applicant"/>
    <s v="Co-applicant"/>
    <s v="None"/>
    <x v="4"/>
    <x v="2"/>
    <n v="12"/>
    <x v="1"/>
  </r>
  <r>
    <n v="807"/>
    <n v="36"/>
    <x v="0"/>
    <s v="Male Divorced/Seperated"/>
    <x v="1"/>
    <x v="3"/>
    <n v="1"/>
    <x v="1"/>
    <s v="Unknown"/>
    <x v="0"/>
    <n v="3"/>
    <x v="1"/>
    <s v="Yes"/>
    <s v="0&lt;=X&lt;200"/>
    <x v="0"/>
    <s v="500&lt;=X&lt;1000"/>
    <x v="4"/>
    <s v="high qualif/self emp/mgmt"/>
    <s v="Skilled"/>
    <x v="0"/>
    <s v="4&lt;=X&lt;7"/>
    <x v="2"/>
    <s v="critical/Others existing credit"/>
    <x v="3"/>
    <n v="3"/>
    <n v="1"/>
    <n v="2366"/>
    <s v="No"/>
    <s v="None"/>
    <s v="None"/>
    <x v="3"/>
    <x v="2"/>
    <n v="12"/>
    <x v="1"/>
  </r>
  <r>
    <n v="808"/>
    <n v="50"/>
    <x v="3"/>
    <s v="Male single"/>
    <x v="1"/>
    <x v="1"/>
    <n v="1"/>
    <x v="1"/>
    <s v="Unknown"/>
    <x v="0"/>
    <n v="3"/>
    <x v="1"/>
    <s v="Yes"/>
    <s v="no checking"/>
    <x v="2"/>
    <s v="no known savings"/>
    <x v="1"/>
    <s v="skilled"/>
    <s v="Skilled"/>
    <x v="0"/>
    <s v="&gt;=7"/>
    <x v="3"/>
    <s v="existing paid"/>
    <x v="1"/>
    <n v="4"/>
    <n v="1"/>
    <n v="2390"/>
    <s v="No"/>
    <s v="None"/>
    <s v="None"/>
    <x v="3"/>
    <x v="2"/>
    <n v="12"/>
    <x v="1"/>
  </r>
  <r>
    <n v="809"/>
    <n v="26"/>
    <x v="1"/>
    <s v="Male Married/Widowed"/>
    <x v="1"/>
    <x v="2"/>
    <n v="1"/>
    <x v="1"/>
    <s v="Unknown"/>
    <x v="1"/>
    <n v="4"/>
    <x v="1"/>
    <s v="Yes"/>
    <s v="no checking"/>
    <x v="2"/>
    <s v="no known savings"/>
    <x v="1"/>
    <s v="skilled"/>
    <s v="Skilled"/>
    <x v="0"/>
    <s v="&lt;1"/>
    <x v="1"/>
    <s v="existing paid"/>
    <x v="1"/>
    <n v="2"/>
    <n v="1"/>
    <n v="2445"/>
    <s v="No"/>
    <s v="None"/>
    <s v="None"/>
    <x v="2"/>
    <x v="2"/>
    <n v="12"/>
    <x v="1"/>
  </r>
  <r>
    <n v="810"/>
    <n v="42"/>
    <x v="2"/>
    <s v="Male Divorced/Seperated"/>
    <x v="1"/>
    <x v="3"/>
    <n v="1"/>
    <x v="1"/>
    <s v="Unknown"/>
    <x v="0"/>
    <n v="1"/>
    <x v="1"/>
    <s v="No"/>
    <s v="&lt;0"/>
    <x v="1"/>
    <s v="&lt;100"/>
    <x v="0"/>
    <s v="skilled"/>
    <s v="Skilled"/>
    <x v="0"/>
    <s v="1&lt;=X&lt;4"/>
    <x v="0"/>
    <s v="existing paid"/>
    <x v="1"/>
    <n v="2"/>
    <n v="1"/>
    <n v="2577"/>
    <s v="No"/>
    <s v="None"/>
    <s v="None"/>
    <x v="1"/>
    <x v="2"/>
    <n v="12"/>
    <x v="1"/>
  </r>
  <r>
    <n v="811"/>
    <n v="55"/>
    <x v="3"/>
    <s v="Female Divorced with Dependents"/>
    <x v="0"/>
    <x v="0"/>
    <n v="1"/>
    <x v="1"/>
    <s v="Unknown"/>
    <x v="2"/>
    <n v="4"/>
    <x v="3"/>
    <s v="No"/>
    <s v="&lt;0"/>
    <x v="1"/>
    <s v="&lt;100"/>
    <x v="0"/>
    <s v="high qualif/self emp/mgmt"/>
    <s v="Skilled"/>
    <x v="0"/>
    <s v="unemployed"/>
    <x v="4"/>
    <s v="existing paid"/>
    <x v="1"/>
    <n v="3"/>
    <n v="1"/>
    <n v="2578"/>
    <s v="No"/>
    <s v="None"/>
    <s v="None"/>
    <x v="1"/>
    <x v="2"/>
    <n v="12"/>
    <x v="1"/>
  </r>
  <r>
    <n v="812"/>
    <n v="33"/>
    <x v="0"/>
    <s v="Male single"/>
    <x v="1"/>
    <x v="1"/>
    <n v="2"/>
    <x v="1"/>
    <s v="Resident"/>
    <x v="0"/>
    <n v="1"/>
    <x v="2"/>
    <s v="No"/>
    <s v="&lt;0"/>
    <x v="1"/>
    <s v="&lt;100"/>
    <x v="0"/>
    <s v="unskilled resident"/>
    <s v="Unskilled"/>
    <x v="0"/>
    <s v="&lt;1"/>
    <x v="1"/>
    <s v="existing paid"/>
    <x v="1"/>
    <n v="4"/>
    <n v="1"/>
    <n v="2579"/>
    <s v="No"/>
    <s v="None"/>
    <s v="None"/>
    <x v="3"/>
    <x v="2"/>
    <n v="12"/>
    <x v="0"/>
  </r>
  <r>
    <n v="813"/>
    <n v="57"/>
    <x v="3"/>
    <s v="Female Divorced with Dependents"/>
    <x v="0"/>
    <x v="0"/>
    <n v="1"/>
    <x v="1"/>
    <s v="Resident"/>
    <x v="2"/>
    <n v="4"/>
    <x v="3"/>
    <s v="No"/>
    <s v="no checking"/>
    <x v="2"/>
    <s v="&lt;100"/>
    <x v="0"/>
    <s v="unskilled resident"/>
    <s v="Unskilled"/>
    <x v="0"/>
    <s v="&gt;=7"/>
    <x v="3"/>
    <s v="critical/Others existing credit"/>
    <x v="3"/>
    <n v="2"/>
    <n v="3"/>
    <n v="2748"/>
    <s v="No"/>
    <s v="None"/>
    <s v="Bank"/>
    <x v="7"/>
    <x v="2"/>
    <n v="12"/>
    <x v="1"/>
  </r>
  <r>
    <n v="814"/>
    <n v="34"/>
    <x v="0"/>
    <s v="Male single"/>
    <x v="1"/>
    <x v="1"/>
    <n v="1"/>
    <x v="1"/>
    <s v="Unknown"/>
    <x v="0"/>
    <n v="4"/>
    <x v="0"/>
    <s v="No"/>
    <s v="no checking"/>
    <x v="2"/>
    <s v="&lt;100"/>
    <x v="0"/>
    <s v="skilled"/>
    <s v="Skilled"/>
    <x v="0"/>
    <s v="&gt;=7"/>
    <x v="3"/>
    <s v="no credits/all paid"/>
    <x v="0"/>
    <n v="2"/>
    <n v="2"/>
    <n v="2759"/>
    <s v="No"/>
    <s v="None"/>
    <s v="None"/>
    <x v="1"/>
    <x v="2"/>
    <n v="12"/>
    <x v="1"/>
  </r>
  <r>
    <n v="815"/>
    <n v="25"/>
    <x v="1"/>
    <s v="Female Divorced with Dependents"/>
    <x v="0"/>
    <x v="0"/>
    <n v="1"/>
    <x v="1"/>
    <s v="Unknown"/>
    <x v="0"/>
    <n v="2"/>
    <x v="0"/>
    <s v="Yes"/>
    <s v="0&lt;=X&lt;200"/>
    <x v="0"/>
    <s v="no known savings"/>
    <x v="1"/>
    <s v="skilled"/>
    <s v="Skilled"/>
    <x v="0"/>
    <s v="&gt;=7"/>
    <x v="3"/>
    <s v="existing paid"/>
    <x v="1"/>
    <n v="1"/>
    <n v="1"/>
    <n v="2762"/>
    <s v="No"/>
    <s v="None"/>
    <s v="Bank"/>
    <x v="1"/>
    <x v="2"/>
    <n v="12"/>
    <x v="0"/>
  </r>
  <r>
    <n v="816"/>
    <n v="38"/>
    <x v="0"/>
    <s v="Male single"/>
    <x v="1"/>
    <x v="1"/>
    <n v="1"/>
    <x v="1"/>
    <s v="Unknown"/>
    <x v="0"/>
    <n v="4"/>
    <x v="3"/>
    <s v="Yes"/>
    <s v="no checking"/>
    <x v="2"/>
    <s v="no known savings"/>
    <x v="1"/>
    <s v="high qualif/self emp/mgmt"/>
    <s v="Skilled"/>
    <x v="0"/>
    <s v="unemployed"/>
    <x v="4"/>
    <s v="existing paid"/>
    <x v="1"/>
    <n v="4"/>
    <n v="1"/>
    <n v="2859"/>
    <s v="No"/>
    <s v="None"/>
    <s v="None"/>
    <x v="3"/>
    <x v="2"/>
    <n v="12"/>
    <x v="1"/>
  </r>
  <r>
    <n v="817"/>
    <n v="27"/>
    <x v="1"/>
    <s v="Female Divorced with Dependents"/>
    <x v="0"/>
    <x v="0"/>
    <n v="1"/>
    <x v="1"/>
    <s v="Unknown"/>
    <x v="0"/>
    <n v="1"/>
    <x v="2"/>
    <s v="No"/>
    <s v="0&lt;=X&lt;200"/>
    <x v="0"/>
    <s v="&lt;100"/>
    <x v="0"/>
    <s v="skilled"/>
    <s v="Skilled"/>
    <x v="0"/>
    <s v="4&lt;=X&lt;7"/>
    <x v="2"/>
    <s v="existing paid"/>
    <x v="1"/>
    <n v="2"/>
    <n v="1"/>
    <n v="2930"/>
    <s v="No"/>
    <s v="None"/>
    <s v="None"/>
    <x v="4"/>
    <x v="2"/>
    <n v="12"/>
    <x v="1"/>
  </r>
  <r>
    <n v="818"/>
    <n v="25"/>
    <x v="1"/>
    <s v="Female Divorced with Dependents"/>
    <x v="0"/>
    <x v="0"/>
    <n v="1"/>
    <x v="1"/>
    <s v="Unknown"/>
    <x v="1"/>
    <n v="3"/>
    <x v="0"/>
    <s v="No"/>
    <s v="0&lt;=X&lt;200"/>
    <x v="0"/>
    <s v="&lt;100"/>
    <x v="0"/>
    <s v="skilled"/>
    <s v="Skilled"/>
    <x v="0"/>
    <s v="&lt;1"/>
    <x v="1"/>
    <s v="no credits/all paid"/>
    <x v="0"/>
    <n v="4"/>
    <n v="2"/>
    <n v="2969"/>
    <s v="No"/>
    <s v="None"/>
    <s v="None"/>
    <x v="1"/>
    <x v="2"/>
    <n v="12"/>
    <x v="0"/>
  </r>
  <r>
    <n v="819"/>
    <n v="24"/>
    <x v="1"/>
    <s v="Male Married/Widowed"/>
    <x v="1"/>
    <x v="2"/>
    <n v="1"/>
    <x v="1"/>
    <s v="Unknown"/>
    <x v="0"/>
    <n v="1"/>
    <x v="1"/>
    <s v="No"/>
    <s v="&gt;=200"/>
    <x v="3"/>
    <s v="&lt;100"/>
    <x v="0"/>
    <s v="skilled"/>
    <s v="Skilled"/>
    <x v="0"/>
    <s v="1&lt;=X&lt;4"/>
    <x v="0"/>
    <s v="existing paid"/>
    <x v="1"/>
    <n v="3"/>
    <n v="1"/>
    <n v="3016"/>
    <s v="No"/>
    <s v="None"/>
    <s v="None"/>
    <x v="4"/>
    <x v="2"/>
    <n v="12"/>
    <x v="1"/>
  </r>
  <r>
    <n v="820"/>
    <n v="34"/>
    <x v="0"/>
    <s v="Female Divorced with Dependents"/>
    <x v="0"/>
    <x v="0"/>
    <n v="1"/>
    <x v="1"/>
    <s v="Unknown"/>
    <x v="1"/>
    <n v="1"/>
    <x v="2"/>
    <s v="No"/>
    <s v="0&lt;=X&lt;200"/>
    <x v="0"/>
    <s v="&lt;100"/>
    <x v="0"/>
    <s v="high qualif/self emp/mgmt"/>
    <s v="Skilled"/>
    <x v="0"/>
    <s v="&lt;1"/>
    <x v="1"/>
    <s v="existing paid"/>
    <x v="1"/>
    <n v="3"/>
    <n v="1"/>
    <n v="3017"/>
    <s v="No"/>
    <s v="None"/>
    <s v="None"/>
    <x v="1"/>
    <x v="2"/>
    <n v="12"/>
    <x v="1"/>
  </r>
  <r>
    <n v="821"/>
    <n v="61"/>
    <x v="5"/>
    <s v="Male Divorced/Seperated"/>
    <x v="1"/>
    <x v="3"/>
    <n v="1"/>
    <x v="1"/>
    <s v="Resident"/>
    <x v="0"/>
    <n v="4"/>
    <x v="2"/>
    <s v="No"/>
    <s v="no checking"/>
    <x v="2"/>
    <s v="&gt;=1000"/>
    <x v="2"/>
    <s v="unskilled resident"/>
    <s v="Unskilled"/>
    <x v="0"/>
    <s v="4&lt;=X&lt;7"/>
    <x v="2"/>
    <s v="existing paid"/>
    <x v="1"/>
    <n v="2"/>
    <n v="1"/>
    <n v="3059"/>
    <s v="No"/>
    <s v="None"/>
    <s v="None"/>
    <x v="4"/>
    <x v="2"/>
    <n v="12"/>
    <x v="1"/>
  </r>
  <r>
    <n v="822"/>
    <n v="52"/>
    <x v="3"/>
    <s v="Male single"/>
    <x v="1"/>
    <x v="1"/>
    <n v="1"/>
    <x v="1"/>
    <s v="Unknown"/>
    <x v="0"/>
    <n v="4"/>
    <x v="1"/>
    <s v="Yes"/>
    <s v="no checking"/>
    <x v="2"/>
    <s v="&lt;100"/>
    <x v="0"/>
    <s v="skilled"/>
    <s v="Skilled"/>
    <x v="0"/>
    <s v="1&lt;=X&lt;4"/>
    <x v="0"/>
    <s v="existing paid"/>
    <x v="1"/>
    <n v="2"/>
    <n v="1"/>
    <n v="3077"/>
    <s v="No"/>
    <s v="None"/>
    <s v="None"/>
    <x v="4"/>
    <x v="2"/>
    <n v="12"/>
    <x v="1"/>
  </r>
  <r>
    <n v="823"/>
    <n v="49"/>
    <x v="3"/>
    <s v="Male single"/>
    <x v="1"/>
    <x v="1"/>
    <n v="2"/>
    <x v="1"/>
    <s v="Resident"/>
    <x v="0"/>
    <n v="3"/>
    <x v="2"/>
    <s v="No"/>
    <s v="0&lt;=X&lt;200"/>
    <x v="0"/>
    <s v="&lt;100"/>
    <x v="0"/>
    <s v="unskilled resident"/>
    <s v="Unskilled"/>
    <x v="0"/>
    <s v="&lt;1"/>
    <x v="1"/>
    <s v="critical/Others existing credit"/>
    <x v="3"/>
    <n v="1"/>
    <n v="2"/>
    <n v="3124"/>
    <s v="No"/>
    <s v="None"/>
    <s v="Bank"/>
    <x v="3"/>
    <x v="2"/>
    <n v="12"/>
    <x v="1"/>
  </r>
  <r>
    <n v="824"/>
    <n v="42"/>
    <x v="2"/>
    <s v="Male single"/>
    <x v="1"/>
    <x v="1"/>
    <n v="1"/>
    <x v="1"/>
    <s v="Unknown"/>
    <x v="0"/>
    <n v="4"/>
    <x v="0"/>
    <s v="No"/>
    <s v="no checking"/>
    <x v="2"/>
    <s v="&lt;100"/>
    <x v="0"/>
    <s v="skilled"/>
    <s v="Skilled"/>
    <x v="0"/>
    <s v="&gt;=7"/>
    <x v="3"/>
    <s v="critical/Others existing credit"/>
    <x v="3"/>
    <n v="2"/>
    <n v="1"/>
    <n v="3331"/>
    <s v="No"/>
    <s v="None"/>
    <s v="Store"/>
    <x v="1"/>
    <x v="2"/>
    <n v="12"/>
    <x v="1"/>
  </r>
  <r>
    <n v="825"/>
    <n v="35"/>
    <x v="0"/>
    <s v="Male single"/>
    <x v="1"/>
    <x v="1"/>
    <n v="1"/>
    <x v="1"/>
    <s v="Unknown"/>
    <x v="2"/>
    <n v="4"/>
    <x v="3"/>
    <s v="Yes"/>
    <s v="&lt;0"/>
    <x v="1"/>
    <s v="&lt;100"/>
    <x v="0"/>
    <s v="skilled"/>
    <s v="Skilled"/>
    <x v="0"/>
    <s v="&gt;=7"/>
    <x v="3"/>
    <s v="existing paid"/>
    <x v="1"/>
    <n v="3"/>
    <n v="1"/>
    <n v="3386"/>
    <s v="No"/>
    <s v="None"/>
    <s v="None"/>
    <x v="2"/>
    <x v="2"/>
    <n v="12"/>
    <x v="0"/>
  </r>
  <r>
    <n v="826"/>
    <n v="37"/>
    <x v="0"/>
    <s v="Male single"/>
    <x v="1"/>
    <x v="1"/>
    <n v="1"/>
    <x v="1"/>
    <s v="Unknown"/>
    <x v="0"/>
    <n v="3"/>
    <x v="1"/>
    <s v="No"/>
    <s v="&gt;=200"/>
    <x v="3"/>
    <s v="no known savings"/>
    <x v="1"/>
    <s v="high qualif/self emp/mgmt"/>
    <s v="Skilled"/>
    <x v="0"/>
    <s v="&gt;=7"/>
    <x v="3"/>
    <s v="existing paid"/>
    <x v="1"/>
    <n v="2"/>
    <n v="1"/>
    <n v="3399"/>
    <s v="No"/>
    <s v="None"/>
    <s v="None"/>
    <x v="4"/>
    <x v="2"/>
    <n v="12"/>
    <x v="1"/>
  </r>
  <r>
    <n v="827"/>
    <n v="35"/>
    <x v="0"/>
    <s v="Female Divorced with Dependents"/>
    <x v="0"/>
    <x v="0"/>
    <n v="2"/>
    <x v="1"/>
    <s v="Resident"/>
    <x v="0"/>
    <n v="3"/>
    <x v="2"/>
    <s v="No"/>
    <s v="no checking"/>
    <x v="2"/>
    <s v="500&lt;=X&lt;1000"/>
    <x v="4"/>
    <s v="unskilled resident"/>
    <s v="Unskilled"/>
    <x v="0"/>
    <s v="1&lt;=X&lt;4"/>
    <x v="0"/>
    <s v="all paid"/>
    <x v="2"/>
    <n v="4"/>
    <n v="1"/>
    <n v="3447"/>
    <s v="No"/>
    <s v="None"/>
    <s v="None"/>
    <x v="9"/>
    <x v="2"/>
    <n v="12"/>
    <x v="1"/>
  </r>
  <r>
    <n v="828"/>
    <n v="29"/>
    <x v="0"/>
    <s v="Female Divorced with Dependents"/>
    <x v="0"/>
    <x v="0"/>
    <n v="1"/>
    <x v="1"/>
    <s v="Unknown"/>
    <x v="0"/>
    <n v="2"/>
    <x v="2"/>
    <s v="No"/>
    <s v="&lt;0"/>
    <x v="1"/>
    <s v="&lt;100"/>
    <x v="0"/>
    <s v="skilled"/>
    <s v="Skilled"/>
    <x v="0"/>
    <s v="1&lt;=X&lt;4"/>
    <x v="0"/>
    <s v="critical/Others existing credit"/>
    <x v="3"/>
    <n v="3"/>
    <n v="2"/>
    <n v="3499"/>
    <s v="co applicant"/>
    <s v="Co-applicant"/>
    <s v="None"/>
    <x v="3"/>
    <x v="2"/>
    <n v="12"/>
    <x v="0"/>
  </r>
  <r>
    <n v="829"/>
    <n v="45"/>
    <x v="2"/>
    <s v="Male single"/>
    <x v="1"/>
    <x v="1"/>
    <n v="2"/>
    <x v="1"/>
    <s v="Unknown"/>
    <x v="0"/>
    <n v="3"/>
    <x v="0"/>
    <s v="Yes"/>
    <s v="no checking"/>
    <x v="2"/>
    <s v="no known savings"/>
    <x v="1"/>
    <s v="high qualif/self emp/mgmt"/>
    <s v="Skilled"/>
    <x v="0"/>
    <s v="&lt;1"/>
    <x v="1"/>
    <s v="existing paid"/>
    <x v="1"/>
    <n v="2"/>
    <n v="1"/>
    <n v="3527"/>
    <s v="No"/>
    <s v="None"/>
    <s v="None"/>
    <x v="3"/>
    <x v="2"/>
    <n v="12"/>
    <x v="1"/>
  </r>
  <r>
    <n v="830"/>
    <n v="37"/>
    <x v="0"/>
    <s v="Male single"/>
    <x v="1"/>
    <x v="1"/>
    <n v="2"/>
    <x v="1"/>
    <s v="Resident"/>
    <x v="0"/>
    <n v="1"/>
    <x v="0"/>
    <s v="No"/>
    <s v="no checking"/>
    <x v="2"/>
    <s v="no known savings"/>
    <x v="1"/>
    <s v="unskilled resident"/>
    <s v="Unskilled"/>
    <x v="0"/>
    <s v="&lt;1"/>
    <x v="1"/>
    <s v="critical/Others existing credit"/>
    <x v="3"/>
    <n v="2"/>
    <n v="2"/>
    <n v="3565"/>
    <s v="No"/>
    <s v="None"/>
    <s v="None"/>
    <x v="7"/>
    <x v="2"/>
    <n v="12"/>
    <x v="1"/>
  </r>
  <r>
    <n v="831"/>
    <n v="23"/>
    <x v="1"/>
    <s v="Female Divorced with Dependents"/>
    <x v="0"/>
    <x v="0"/>
    <n v="1"/>
    <x v="1"/>
    <s v="Resident"/>
    <x v="0"/>
    <n v="1"/>
    <x v="2"/>
    <s v="No"/>
    <s v="0&lt;=X&lt;200"/>
    <x v="0"/>
    <s v="&lt;100"/>
    <x v="0"/>
    <s v="unskilled resident"/>
    <s v="Unskilled"/>
    <x v="0"/>
    <s v="1&lt;=X&lt;4"/>
    <x v="0"/>
    <s v="critical/Others existing credit"/>
    <x v="3"/>
    <n v="1"/>
    <n v="1"/>
    <n v="3573"/>
    <s v="No"/>
    <s v="None"/>
    <s v="None"/>
    <x v="4"/>
    <x v="2"/>
    <n v="12"/>
    <x v="1"/>
  </r>
  <r>
    <n v="832"/>
    <n v="29"/>
    <x v="0"/>
    <s v="Male single"/>
    <x v="1"/>
    <x v="1"/>
    <n v="2"/>
    <x v="1"/>
    <s v="Resident"/>
    <x v="0"/>
    <n v="2"/>
    <x v="0"/>
    <s v="No"/>
    <s v="&lt;0"/>
    <x v="1"/>
    <s v="&lt;100"/>
    <x v="0"/>
    <s v="unskilled resident"/>
    <s v="Unskilled"/>
    <x v="0"/>
    <s v="1&lt;=X&lt;4"/>
    <x v="0"/>
    <s v="existing paid"/>
    <x v="1"/>
    <n v="2"/>
    <n v="1"/>
    <n v="3590"/>
    <s v="co applicant"/>
    <s v="Co-applicant"/>
    <s v="None"/>
    <x v="1"/>
    <x v="2"/>
    <n v="12"/>
    <x v="1"/>
  </r>
  <r>
    <n v="833"/>
    <n v="28"/>
    <x v="1"/>
    <s v="Male single"/>
    <x v="1"/>
    <x v="1"/>
    <n v="1"/>
    <x v="1"/>
    <s v="Unknown"/>
    <x v="1"/>
    <n v="4"/>
    <x v="1"/>
    <s v="Yes"/>
    <s v="0&lt;=X&lt;200"/>
    <x v="0"/>
    <s v="&lt;100"/>
    <x v="0"/>
    <s v="skilled"/>
    <s v="Skilled"/>
    <x v="0"/>
    <s v="&gt;=7"/>
    <x v="3"/>
    <s v="critical/Others existing credit"/>
    <x v="3"/>
    <n v="1"/>
    <n v="3"/>
    <n v="3617"/>
    <s v="No"/>
    <s v="None"/>
    <s v="None"/>
    <x v="1"/>
    <x v="2"/>
    <n v="12"/>
    <x v="1"/>
  </r>
  <r>
    <n v="834"/>
    <n v="31"/>
    <x v="0"/>
    <s v="Male single"/>
    <x v="1"/>
    <x v="1"/>
    <n v="2"/>
    <x v="1"/>
    <s v="Unknown"/>
    <x v="0"/>
    <n v="3"/>
    <x v="0"/>
    <s v="No"/>
    <s v="&lt;0"/>
    <x v="1"/>
    <s v="&gt;=1000"/>
    <x v="2"/>
    <s v="skilled"/>
    <s v="Skilled"/>
    <x v="0"/>
    <s v="1&lt;=X&lt;4"/>
    <x v="0"/>
    <s v="existing paid"/>
    <x v="1"/>
    <n v="1"/>
    <n v="1"/>
    <n v="3651"/>
    <s v="No"/>
    <s v="None"/>
    <s v="None"/>
    <x v="3"/>
    <x v="2"/>
    <n v="12"/>
    <x v="1"/>
  </r>
  <r>
    <n v="835"/>
    <n v="20"/>
    <x v="1"/>
    <s v="Female Divorced with Dependents"/>
    <x v="0"/>
    <x v="0"/>
    <n v="1"/>
    <x v="1"/>
    <s v="Unknown"/>
    <x v="1"/>
    <n v="4"/>
    <x v="1"/>
    <s v="No"/>
    <s v="no checking"/>
    <x v="2"/>
    <s v="no known savings"/>
    <x v="1"/>
    <s v="skilled"/>
    <s v="Skilled"/>
    <x v="0"/>
    <s v="&lt;1"/>
    <x v="1"/>
    <s v="existing paid"/>
    <x v="1"/>
    <n v="1"/>
    <n v="1"/>
    <n v="4675"/>
    <s v="No"/>
    <s v="None"/>
    <s v="None"/>
    <x v="2"/>
    <x v="2"/>
    <n v="12"/>
    <x v="1"/>
  </r>
  <r>
    <n v="836"/>
    <n v="43"/>
    <x v="2"/>
    <s v="Male single"/>
    <x v="1"/>
    <x v="1"/>
    <n v="1"/>
    <x v="1"/>
    <s v="Unknown"/>
    <x v="1"/>
    <n v="4"/>
    <x v="0"/>
    <s v="Yes"/>
    <s v="&lt;0"/>
    <x v="1"/>
    <s v="&lt;100"/>
    <x v="0"/>
    <s v="skilled"/>
    <s v="Skilled"/>
    <x v="0"/>
    <s v="&gt;=7"/>
    <x v="3"/>
    <s v="critical/Others existing credit"/>
    <x v="3"/>
    <n v="3"/>
    <n v="2"/>
    <n v="4843"/>
    <s v="co applicant"/>
    <s v="Co-applicant"/>
    <s v="None"/>
    <x v="3"/>
    <x v="2"/>
    <n v="12"/>
    <x v="0"/>
  </r>
  <r>
    <n v="837"/>
    <n v="49"/>
    <x v="3"/>
    <s v="Male single"/>
    <x v="1"/>
    <x v="1"/>
    <n v="1"/>
    <x v="1"/>
    <s v="Unknown"/>
    <x v="1"/>
    <n v="4"/>
    <x v="0"/>
    <s v="Yes"/>
    <s v="no checking"/>
    <x v="2"/>
    <s v="no known savings"/>
    <x v="1"/>
    <s v="skilled"/>
    <s v="Skilled"/>
    <x v="0"/>
    <s v="&gt;=7"/>
    <x v="3"/>
    <s v="critical/Others existing credit"/>
    <x v="3"/>
    <n v="2"/>
    <n v="1"/>
    <n v="5801"/>
    <s v="No"/>
    <s v="None"/>
    <s v="None"/>
    <x v="1"/>
    <x v="2"/>
    <n v="12"/>
    <x v="1"/>
  </r>
  <r>
    <n v="838"/>
    <n v="32"/>
    <x v="0"/>
    <s v="Male single"/>
    <x v="1"/>
    <x v="1"/>
    <n v="1"/>
    <x v="1"/>
    <s v="Unknown"/>
    <x v="0"/>
    <n v="2"/>
    <x v="1"/>
    <s v="No"/>
    <s v="0&lt;=X&lt;200"/>
    <x v="0"/>
    <s v="&lt;100"/>
    <x v="0"/>
    <s v="skilled"/>
    <s v="Skilled"/>
    <x v="0"/>
    <s v="4&lt;=X&lt;7"/>
    <x v="2"/>
    <s v="existing paid"/>
    <x v="1"/>
    <n v="2"/>
    <n v="1"/>
    <n v="6078"/>
    <s v="No"/>
    <s v="None"/>
    <s v="None"/>
    <x v="3"/>
    <x v="2"/>
    <n v="12"/>
    <x v="1"/>
  </r>
  <r>
    <n v="839"/>
    <n v="28"/>
    <x v="1"/>
    <s v="Male single"/>
    <x v="1"/>
    <x v="1"/>
    <n v="1"/>
    <x v="1"/>
    <s v="Unknown"/>
    <x v="1"/>
    <n v="2"/>
    <x v="0"/>
    <s v="Yes"/>
    <s v="&lt;0"/>
    <x v="1"/>
    <s v="&lt;100"/>
    <x v="0"/>
    <s v="skilled"/>
    <s v="Skilled"/>
    <x v="0"/>
    <s v="1&lt;=X&lt;4"/>
    <x v="0"/>
    <s v="no credits/all paid"/>
    <x v="0"/>
    <n v="4"/>
    <n v="2"/>
    <n v="6199"/>
    <s v="No"/>
    <s v="None"/>
    <s v="None"/>
    <x v="4"/>
    <x v="2"/>
    <n v="12"/>
    <x v="0"/>
  </r>
  <r>
    <n v="840"/>
    <n v="52"/>
    <x v="3"/>
    <s v="Male single"/>
    <x v="1"/>
    <x v="1"/>
    <n v="1"/>
    <x v="1"/>
    <s v="Unknown"/>
    <x v="0"/>
    <n v="1"/>
    <x v="3"/>
    <s v="Yes"/>
    <s v="0&lt;=X&lt;200"/>
    <x v="0"/>
    <s v="no known savings"/>
    <x v="1"/>
    <s v="high qualif/self emp/mgmt"/>
    <s v="Skilled"/>
    <x v="0"/>
    <s v="unemployed"/>
    <x v="4"/>
    <s v="existing paid"/>
    <x v="1"/>
    <n v="2"/>
    <n v="1"/>
    <n v="6468"/>
    <s v="No"/>
    <s v="None"/>
    <s v="None"/>
    <x v="4"/>
    <x v="2"/>
    <n v="12"/>
    <x v="0"/>
  </r>
  <r>
    <n v="841"/>
    <n v="24"/>
    <x v="1"/>
    <s v="Female Divorced with Dependents"/>
    <x v="0"/>
    <x v="0"/>
    <n v="1"/>
    <x v="1"/>
    <s v="Non-resident"/>
    <x v="1"/>
    <n v="2"/>
    <x v="2"/>
    <s v="No"/>
    <s v="0&lt;=X&lt;200"/>
    <x v="0"/>
    <s v="no known savings"/>
    <x v="1"/>
    <s v="unemp/unskilled non res"/>
    <s v="Unskilled"/>
    <x v="1"/>
    <s v="unemployed"/>
    <x v="4"/>
    <s v="existing paid"/>
    <x v="1"/>
    <n v="1"/>
    <n v="1"/>
    <n v="7472"/>
    <s v="No"/>
    <s v="None"/>
    <s v="None"/>
    <x v="3"/>
    <x v="2"/>
    <n v="12"/>
    <x v="1"/>
  </r>
  <r>
    <n v="842"/>
    <n v="53"/>
    <x v="3"/>
    <s v="Male single"/>
    <x v="1"/>
    <x v="1"/>
    <n v="1"/>
    <x v="1"/>
    <s v="Unknown"/>
    <x v="2"/>
    <n v="4"/>
    <x v="3"/>
    <s v="Yes"/>
    <s v="&lt;0"/>
    <x v="1"/>
    <s v="&lt;100"/>
    <x v="0"/>
    <s v="high qualif/self emp/mgmt"/>
    <s v="Skilled"/>
    <x v="0"/>
    <s v="&gt;=7"/>
    <x v="3"/>
    <s v="existing paid"/>
    <x v="1"/>
    <n v="4"/>
    <n v="1"/>
    <n v="7865"/>
    <s v="No"/>
    <s v="None"/>
    <s v="None"/>
    <x v="1"/>
    <x v="2"/>
    <n v="12"/>
    <x v="0"/>
  </r>
  <r>
    <n v="843"/>
    <n v="57"/>
    <x v="3"/>
    <s v="Female Divorced with Dependents"/>
    <x v="0"/>
    <x v="0"/>
    <n v="1"/>
    <x v="1"/>
    <s v="Resident"/>
    <x v="0"/>
    <n v="4"/>
    <x v="2"/>
    <s v="No"/>
    <s v="no checking"/>
    <x v="2"/>
    <s v="100&lt;=X&lt;500"/>
    <x v="3"/>
    <s v="unskilled resident"/>
    <s v="Unskilled"/>
    <x v="0"/>
    <s v="unemployed"/>
    <x v="4"/>
    <s v="critical/Others existing credit"/>
    <x v="3"/>
    <n v="4"/>
    <n v="3"/>
    <n v="1154"/>
    <s v="No"/>
    <s v="None"/>
    <s v="None"/>
    <x v="4"/>
    <x v="2"/>
    <n v="11"/>
    <x v="1"/>
  </r>
  <r>
    <n v="844"/>
    <n v="40"/>
    <x v="2"/>
    <s v="Female Divorced with Dependents"/>
    <x v="0"/>
    <x v="0"/>
    <n v="1"/>
    <x v="1"/>
    <s v="Unknown"/>
    <x v="0"/>
    <n v="4"/>
    <x v="1"/>
    <s v="No"/>
    <s v="0&lt;=X&lt;200"/>
    <x v="0"/>
    <s v="&gt;=1000"/>
    <x v="2"/>
    <s v="skilled"/>
    <s v="Skilled"/>
    <x v="0"/>
    <s v="1&lt;=X&lt;4"/>
    <x v="0"/>
    <s v="critical/Others existing credit"/>
    <x v="3"/>
    <n v="4"/>
    <n v="2"/>
    <n v="1322"/>
    <s v="No"/>
    <s v="None"/>
    <s v="None"/>
    <x v="3"/>
    <x v="2"/>
    <n v="11"/>
    <x v="1"/>
  </r>
  <r>
    <n v="845"/>
    <n v="35"/>
    <x v="0"/>
    <s v="Female Divorced with Dependents"/>
    <x v="0"/>
    <x v="0"/>
    <n v="1"/>
    <x v="1"/>
    <s v="Unknown"/>
    <x v="0"/>
    <n v="4"/>
    <x v="1"/>
    <s v="No"/>
    <s v="no checking"/>
    <x v="2"/>
    <s v="&lt;100"/>
    <x v="0"/>
    <s v="high qualif/self emp/mgmt"/>
    <s v="Skilled"/>
    <x v="0"/>
    <s v="&lt;1"/>
    <x v="1"/>
    <s v="critical/Others existing credit"/>
    <x v="3"/>
    <n v="4"/>
    <n v="2"/>
    <n v="1393"/>
    <s v="No"/>
    <s v="None"/>
    <s v="None"/>
    <x v="3"/>
    <x v="2"/>
    <n v="11"/>
    <x v="1"/>
  </r>
  <r>
    <n v="846"/>
    <n v="20"/>
    <x v="1"/>
    <s v="Female Divorced with Dependents"/>
    <x v="0"/>
    <x v="0"/>
    <n v="1"/>
    <x v="1"/>
    <s v="Unknown"/>
    <x v="0"/>
    <n v="1"/>
    <x v="2"/>
    <s v="No"/>
    <s v="0&lt;=X&lt;200"/>
    <x v="0"/>
    <s v="&gt;=1000"/>
    <x v="2"/>
    <s v="skilled"/>
    <s v="Skilled"/>
    <x v="0"/>
    <s v="&lt;1"/>
    <x v="1"/>
    <s v="existing paid"/>
    <x v="1"/>
    <n v="4"/>
    <n v="1"/>
    <n v="1577"/>
    <s v="No"/>
    <s v="None"/>
    <s v="None"/>
    <x v="1"/>
    <x v="2"/>
    <n v="11"/>
    <x v="1"/>
  </r>
  <r>
    <n v="847"/>
    <n v="28"/>
    <x v="1"/>
    <s v="Male Divorced/Seperated"/>
    <x v="1"/>
    <x v="3"/>
    <n v="1"/>
    <x v="1"/>
    <s v="Unknown"/>
    <x v="0"/>
    <n v="2"/>
    <x v="2"/>
    <s v="Yes"/>
    <s v="no checking"/>
    <x v="2"/>
    <s v="&gt;=1000"/>
    <x v="2"/>
    <s v="skilled"/>
    <s v="Skilled"/>
    <x v="0"/>
    <s v="&gt;=7"/>
    <x v="3"/>
    <s v="existing paid"/>
    <x v="1"/>
    <n v="1"/>
    <n v="1"/>
    <n v="2142"/>
    <s v="No"/>
    <s v="None"/>
    <s v="None"/>
    <x v="5"/>
    <x v="2"/>
    <n v="11"/>
    <x v="1"/>
  </r>
  <r>
    <n v="848"/>
    <n v="36"/>
    <x v="0"/>
    <s v="Male single"/>
    <x v="1"/>
    <x v="1"/>
    <n v="2"/>
    <x v="1"/>
    <s v="Unknown"/>
    <x v="1"/>
    <n v="2"/>
    <x v="2"/>
    <s v="No"/>
    <s v="&lt;0"/>
    <x v="1"/>
    <s v="&lt;100"/>
    <x v="0"/>
    <s v="skilled"/>
    <s v="Skilled"/>
    <x v="0"/>
    <s v="1&lt;=X&lt;4"/>
    <x v="0"/>
    <s v="critical/Others existing credit"/>
    <x v="3"/>
    <n v="2"/>
    <n v="2"/>
    <n v="3905"/>
    <s v="No"/>
    <s v="None"/>
    <s v="None"/>
    <x v="3"/>
    <x v="2"/>
    <n v="11"/>
    <x v="1"/>
  </r>
  <r>
    <n v="849"/>
    <n v="40"/>
    <x v="2"/>
    <s v="Male single"/>
    <x v="1"/>
    <x v="1"/>
    <n v="2"/>
    <x v="1"/>
    <s v="Resident"/>
    <x v="0"/>
    <n v="2"/>
    <x v="2"/>
    <s v="No"/>
    <s v="&lt;0"/>
    <x v="1"/>
    <s v="&lt;100"/>
    <x v="0"/>
    <s v="unskilled resident"/>
    <s v="Unskilled"/>
    <x v="0"/>
    <s v="1&lt;=X&lt;4"/>
    <x v="0"/>
    <s v="critical/Others existing credit"/>
    <x v="3"/>
    <n v="1"/>
    <n v="2"/>
    <n v="3939"/>
    <s v="No"/>
    <s v="None"/>
    <s v="None"/>
    <x v="3"/>
    <x v="2"/>
    <n v="11"/>
    <x v="1"/>
  </r>
  <r>
    <n v="850"/>
    <n v="51"/>
    <x v="3"/>
    <s v="Male single"/>
    <x v="1"/>
    <x v="1"/>
    <n v="1"/>
    <x v="1"/>
    <s v="Unknown"/>
    <x v="0"/>
    <n v="4"/>
    <x v="0"/>
    <s v="No"/>
    <s v="0&lt;=X&lt;200"/>
    <x v="0"/>
    <s v="&lt;100"/>
    <x v="0"/>
    <s v="skilled"/>
    <s v="Skilled"/>
    <x v="0"/>
    <s v="4&lt;=X&lt;7"/>
    <x v="2"/>
    <s v="delayed previously"/>
    <x v="4"/>
    <n v="2"/>
    <n v="1"/>
    <n v="4771"/>
    <s v="No"/>
    <s v="None"/>
    <s v="None"/>
    <x v="4"/>
    <x v="2"/>
    <n v="11"/>
    <x v="1"/>
  </r>
  <r>
    <n v="851"/>
    <n v="39"/>
    <x v="2"/>
    <s v="Male single"/>
    <x v="1"/>
    <x v="1"/>
    <n v="1"/>
    <x v="1"/>
    <s v="Resident"/>
    <x v="0"/>
    <n v="4"/>
    <x v="0"/>
    <s v="No"/>
    <s v="no checking"/>
    <x v="2"/>
    <s v="&lt;100"/>
    <x v="0"/>
    <s v="unskilled resident"/>
    <s v="Unskilled"/>
    <x v="0"/>
    <s v="1&lt;=X&lt;4"/>
    <x v="0"/>
    <s v="critical/Others existing credit"/>
    <x v="3"/>
    <n v="1"/>
    <n v="2"/>
    <n v="7228"/>
    <s v="No"/>
    <s v="None"/>
    <s v="None"/>
    <x v="3"/>
    <x v="2"/>
    <n v="11"/>
    <x v="1"/>
  </r>
  <r>
    <n v="852"/>
    <n v="46"/>
    <x v="2"/>
    <s v="Male single"/>
    <x v="1"/>
    <x v="1"/>
    <n v="1"/>
    <x v="1"/>
    <s v="Unknown"/>
    <x v="2"/>
    <n v="4"/>
    <x v="3"/>
    <s v="Yes"/>
    <s v="no checking"/>
    <x v="2"/>
    <s v="500&lt;=X&lt;1000"/>
    <x v="4"/>
    <s v="skilled"/>
    <s v="Skilled"/>
    <x v="0"/>
    <s v="&gt;=7"/>
    <x v="3"/>
    <s v="existing paid"/>
    <x v="1"/>
    <n v="4"/>
    <n v="1"/>
    <n v="727"/>
    <s v="No"/>
    <s v="None"/>
    <s v="None"/>
    <x v="7"/>
    <x v="2"/>
    <n v="10"/>
    <x v="1"/>
  </r>
  <r>
    <n v="853"/>
    <n v="63"/>
    <x v="5"/>
    <s v="Male single"/>
    <x v="1"/>
    <x v="1"/>
    <n v="1"/>
    <x v="1"/>
    <s v="Unknown"/>
    <x v="2"/>
    <n v="4"/>
    <x v="3"/>
    <s v="Yes"/>
    <s v="&gt;=200"/>
    <x v="3"/>
    <s v="&lt;100"/>
    <x v="0"/>
    <s v="skilled"/>
    <s v="Skilled"/>
    <x v="0"/>
    <s v="&gt;=7"/>
    <x v="3"/>
    <s v="critical/Others existing credit"/>
    <x v="3"/>
    <n v="4"/>
    <n v="2"/>
    <n v="781"/>
    <s v="No"/>
    <s v="None"/>
    <s v="None"/>
    <x v="3"/>
    <x v="2"/>
    <n v="10"/>
    <x v="1"/>
  </r>
  <r>
    <n v="854"/>
    <n v="40"/>
    <x v="2"/>
    <s v="Female Divorced with Dependents"/>
    <x v="0"/>
    <x v="0"/>
    <n v="1"/>
    <x v="1"/>
    <s v="Unknown"/>
    <x v="0"/>
    <n v="3"/>
    <x v="0"/>
    <s v="Yes"/>
    <s v="no checking"/>
    <x v="2"/>
    <s v="no known savings"/>
    <x v="1"/>
    <s v="skilled"/>
    <s v="Skilled"/>
    <x v="0"/>
    <s v="4&lt;=X&lt;7"/>
    <x v="2"/>
    <s v="existing paid"/>
    <x v="1"/>
    <n v="4"/>
    <n v="1"/>
    <n v="894"/>
    <s v="No"/>
    <s v="None"/>
    <s v="None"/>
    <x v="9"/>
    <x v="2"/>
    <n v="10"/>
    <x v="1"/>
  </r>
  <r>
    <n v="855"/>
    <n v="49"/>
    <x v="3"/>
    <s v="Male single"/>
    <x v="1"/>
    <x v="1"/>
    <n v="1"/>
    <x v="1"/>
    <s v="Unknown"/>
    <x v="0"/>
    <n v="3"/>
    <x v="0"/>
    <s v="Yes"/>
    <s v="&lt;0"/>
    <x v="1"/>
    <s v="&lt;100"/>
    <x v="0"/>
    <s v="skilled"/>
    <s v="Skilled"/>
    <x v="0"/>
    <s v="4&lt;=X&lt;7"/>
    <x v="2"/>
    <s v="critical/Others existing credit"/>
    <x v="3"/>
    <n v="4"/>
    <n v="2"/>
    <n v="1038"/>
    <s v="co applicant"/>
    <s v="Co-applicant"/>
    <s v="None"/>
    <x v="3"/>
    <x v="2"/>
    <n v="10"/>
    <x v="1"/>
  </r>
  <r>
    <n v="856"/>
    <n v="23"/>
    <x v="1"/>
    <s v="Male single"/>
    <x v="1"/>
    <x v="1"/>
    <n v="1"/>
    <x v="1"/>
    <s v="Resident"/>
    <x v="0"/>
    <n v="4"/>
    <x v="2"/>
    <s v="No"/>
    <s v="0&lt;=X&lt;200"/>
    <x v="0"/>
    <s v="&lt;100"/>
    <x v="0"/>
    <s v="unskilled resident"/>
    <s v="Unskilled"/>
    <x v="0"/>
    <s v="1&lt;=X&lt;4"/>
    <x v="0"/>
    <s v="all paid"/>
    <x v="2"/>
    <n v="4"/>
    <n v="1"/>
    <n v="1048"/>
    <s v="No"/>
    <s v="None"/>
    <s v="Store"/>
    <x v="4"/>
    <x v="2"/>
    <n v="10"/>
    <x v="1"/>
  </r>
  <r>
    <n v="857"/>
    <n v="37"/>
    <x v="0"/>
    <s v="Male single"/>
    <x v="1"/>
    <x v="1"/>
    <n v="1"/>
    <x v="1"/>
    <s v="Unknown"/>
    <x v="0"/>
    <n v="2"/>
    <x v="1"/>
    <s v="Yes"/>
    <s v="&gt;=200"/>
    <x v="3"/>
    <s v="&lt;100"/>
    <x v="0"/>
    <s v="skilled"/>
    <s v="Skilled"/>
    <x v="0"/>
    <s v="1&lt;=X&lt;4"/>
    <x v="0"/>
    <s v="existing paid"/>
    <x v="1"/>
    <n v="2"/>
    <n v="1"/>
    <n v="1225"/>
    <s v="No"/>
    <s v="None"/>
    <s v="None"/>
    <x v="8"/>
    <x v="2"/>
    <n v="10"/>
    <x v="1"/>
  </r>
  <r>
    <n v="858"/>
    <n v="48"/>
    <x v="2"/>
    <s v="Female Divorced with Dependents"/>
    <x v="0"/>
    <x v="0"/>
    <n v="2"/>
    <x v="1"/>
    <s v="Resident"/>
    <x v="2"/>
    <n v="4"/>
    <x v="3"/>
    <s v="No"/>
    <s v="&gt;=200"/>
    <x v="3"/>
    <s v="100&lt;=X&lt;500"/>
    <x v="3"/>
    <s v="unskilled resident"/>
    <s v="Unskilled"/>
    <x v="0"/>
    <s v="&gt;=7"/>
    <x v="3"/>
    <s v="existing paid"/>
    <x v="1"/>
    <n v="1"/>
    <n v="1"/>
    <n v="1240"/>
    <s v="No"/>
    <s v="None"/>
    <s v="None"/>
    <x v="3"/>
    <x v="2"/>
    <n v="10"/>
    <x v="0"/>
  </r>
  <r>
    <n v="859"/>
    <n v="23"/>
    <x v="1"/>
    <s v="Female Divorced with Dependents"/>
    <x v="0"/>
    <x v="0"/>
    <n v="1"/>
    <x v="1"/>
    <s v="Unknown"/>
    <x v="0"/>
    <n v="2"/>
    <x v="0"/>
    <s v="No"/>
    <s v="&gt;=200"/>
    <x v="3"/>
    <s v="&lt;100"/>
    <x v="0"/>
    <s v="skilled"/>
    <s v="Skilled"/>
    <x v="0"/>
    <s v="&lt;1"/>
    <x v="1"/>
    <s v="existing paid"/>
    <x v="1"/>
    <n v="4"/>
    <n v="1"/>
    <n v="1275"/>
    <s v="No"/>
    <s v="None"/>
    <s v="None"/>
    <x v="1"/>
    <x v="2"/>
    <n v="10"/>
    <x v="1"/>
  </r>
  <r>
    <n v="860"/>
    <n v="27"/>
    <x v="1"/>
    <s v="Male single"/>
    <x v="1"/>
    <x v="1"/>
    <n v="1"/>
    <x v="1"/>
    <s v="Resident"/>
    <x v="0"/>
    <n v="4"/>
    <x v="0"/>
    <s v="No"/>
    <s v="no checking"/>
    <x v="2"/>
    <s v="no known savings"/>
    <x v="1"/>
    <s v="unskilled resident"/>
    <s v="Unskilled"/>
    <x v="0"/>
    <s v="1&lt;=X&lt;4"/>
    <x v="0"/>
    <s v="existing paid"/>
    <x v="1"/>
    <n v="4"/>
    <n v="1"/>
    <n v="1309"/>
    <s v="guarantor"/>
    <s v="Guarantor"/>
    <s v="None"/>
    <x v="3"/>
    <x v="2"/>
    <n v="10"/>
    <x v="0"/>
  </r>
  <r>
    <n v="861"/>
    <n v="27"/>
    <x v="1"/>
    <s v="Male single"/>
    <x v="1"/>
    <x v="1"/>
    <n v="1"/>
    <x v="1"/>
    <s v="Unknown"/>
    <x v="0"/>
    <n v="2"/>
    <x v="0"/>
    <s v="Yes"/>
    <s v="&gt;=200"/>
    <x v="3"/>
    <s v="no known savings"/>
    <x v="1"/>
    <s v="skilled"/>
    <s v="Skilled"/>
    <x v="0"/>
    <s v="4&lt;=X&lt;7"/>
    <x v="2"/>
    <s v="critical/Others existing credit"/>
    <x v="3"/>
    <n v="4"/>
    <n v="2"/>
    <n v="1347"/>
    <s v="No"/>
    <s v="None"/>
    <s v="None"/>
    <x v="4"/>
    <x v="2"/>
    <n v="10"/>
    <x v="1"/>
  </r>
  <r>
    <n v="862"/>
    <n v="64"/>
    <x v="5"/>
    <s v="Female Divorced with Dependents"/>
    <x v="0"/>
    <x v="0"/>
    <n v="1"/>
    <x v="1"/>
    <s v="Unknown"/>
    <x v="0"/>
    <n v="4"/>
    <x v="1"/>
    <s v="Yes"/>
    <s v="no checking"/>
    <x v="2"/>
    <s v="&lt;100"/>
    <x v="0"/>
    <s v="skilled"/>
    <s v="Skilled"/>
    <x v="0"/>
    <s v="1&lt;=X&lt;4"/>
    <x v="0"/>
    <s v="existing paid"/>
    <x v="1"/>
    <n v="2"/>
    <n v="1"/>
    <n v="1364"/>
    <s v="No"/>
    <s v="None"/>
    <s v="None"/>
    <x v="3"/>
    <x v="2"/>
    <n v="10"/>
    <x v="1"/>
  </r>
  <r>
    <n v="863"/>
    <n v="31"/>
    <x v="0"/>
    <s v="Male Divorced/Seperated"/>
    <x v="1"/>
    <x v="3"/>
    <n v="1"/>
    <x v="1"/>
    <s v="Resident"/>
    <x v="0"/>
    <n v="2"/>
    <x v="1"/>
    <s v="No"/>
    <s v="0&lt;=X&lt;200"/>
    <x v="0"/>
    <s v="&lt;100"/>
    <x v="0"/>
    <s v="unskilled resident"/>
    <s v="Unskilled"/>
    <x v="0"/>
    <s v="1&lt;=X&lt;4"/>
    <x v="0"/>
    <s v="existing paid"/>
    <x v="1"/>
    <n v="4"/>
    <n v="1"/>
    <n v="1521"/>
    <s v="No"/>
    <s v="None"/>
    <s v="None"/>
    <x v="1"/>
    <x v="2"/>
    <n v="10"/>
    <x v="1"/>
  </r>
  <r>
    <n v="864"/>
    <n v="23"/>
    <x v="1"/>
    <s v="Female Divorced with Dependents"/>
    <x v="0"/>
    <x v="0"/>
    <n v="1"/>
    <x v="1"/>
    <s v="Unknown"/>
    <x v="1"/>
    <n v="3"/>
    <x v="2"/>
    <s v="No"/>
    <s v="no checking"/>
    <x v="2"/>
    <s v="&lt;100"/>
    <x v="0"/>
    <s v="skilled"/>
    <s v="Skilled"/>
    <x v="0"/>
    <s v="&lt;1"/>
    <x v="1"/>
    <s v="critical/Others existing credit"/>
    <x v="3"/>
    <n v="1"/>
    <n v="2"/>
    <n v="2146"/>
    <s v="No"/>
    <s v="None"/>
    <s v="None"/>
    <x v="1"/>
    <x v="2"/>
    <n v="10"/>
    <x v="1"/>
  </r>
  <r>
    <n v="865"/>
    <n v="25"/>
    <x v="1"/>
    <s v="Male single"/>
    <x v="1"/>
    <x v="1"/>
    <n v="1"/>
    <x v="1"/>
    <s v="Resident"/>
    <x v="1"/>
    <n v="2"/>
    <x v="2"/>
    <s v="No"/>
    <s v="no checking"/>
    <x v="2"/>
    <s v="&lt;100"/>
    <x v="0"/>
    <s v="unskilled resident"/>
    <s v="Unskilled"/>
    <x v="0"/>
    <s v="1&lt;=X&lt;4"/>
    <x v="0"/>
    <s v="existing paid"/>
    <x v="1"/>
    <n v="2"/>
    <n v="1"/>
    <n v="2210"/>
    <s v="No"/>
    <s v="None"/>
    <s v="Bank"/>
    <x v="1"/>
    <x v="2"/>
    <n v="10"/>
    <x v="0"/>
  </r>
  <r>
    <n v="866"/>
    <n v="52"/>
    <x v="3"/>
    <s v="Male single"/>
    <x v="1"/>
    <x v="1"/>
    <n v="1"/>
    <x v="1"/>
    <s v="Resident"/>
    <x v="0"/>
    <n v="4"/>
    <x v="2"/>
    <s v="No"/>
    <s v="&lt;0"/>
    <x v="1"/>
    <s v="&lt;100"/>
    <x v="0"/>
    <s v="unskilled resident"/>
    <s v="Unskilled"/>
    <x v="0"/>
    <s v="&gt;=7"/>
    <x v="3"/>
    <s v="existing paid"/>
    <x v="1"/>
    <n v="3"/>
    <n v="1"/>
    <n v="2315"/>
    <s v="No"/>
    <s v="None"/>
    <s v="None"/>
    <x v="4"/>
    <x v="2"/>
    <n v="10"/>
    <x v="1"/>
  </r>
  <r>
    <n v="867"/>
    <n v="32"/>
    <x v="0"/>
    <s v="Male single"/>
    <x v="1"/>
    <x v="1"/>
    <n v="2"/>
    <x v="1"/>
    <s v="Unknown"/>
    <x v="0"/>
    <n v="2"/>
    <x v="2"/>
    <s v="No"/>
    <s v="no checking"/>
    <x v="2"/>
    <s v="100&lt;=X&lt;500"/>
    <x v="3"/>
    <s v="skilled"/>
    <s v="Skilled"/>
    <x v="0"/>
    <s v="1&lt;=X&lt;4"/>
    <x v="0"/>
    <s v="existing paid"/>
    <x v="1"/>
    <n v="1"/>
    <n v="1"/>
    <n v="2848"/>
    <s v="co applicant"/>
    <s v="Co-applicant"/>
    <s v="None"/>
    <x v="2"/>
    <x v="2"/>
    <n v="10"/>
    <x v="1"/>
  </r>
  <r>
    <n v="868"/>
    <n v="31"/>
    <x v="0"/>
    <s v="Female Divorced with Dependents"/>
    <x v="0"/>
    <x v="0"/>
    <n v="1"/>
    <x v="1"/>
    <s v="Unknown"/>
    <x v="1"/>
    <n v="4"/>
    <x v="2"/>
    <s v="No"/>
    <s v="no checking"/>
    <x v="2"/>
    <s v="no known savings"/>
    <x v="1"/>
    <s v="skilled"/>
    <s v="Skilled"/>
    <x v="0"/>
    <s v="&lt;1"/>
    <x v="1"/>
    <s v="existing paid"/>
    <x v="1"/>
    <n v="1"/>
    <n v="1"/>
    <n v="2901"/>
    <s v="No"/>
    <s v="None"/>
    <s v="None"/>
    <x v="2"/>
    <x v="2"/>
    <n v="10"/>
    <x v="1"/>
  </r>
  <r>
    <n v="869"/>
    <n v="37"/>
    <x v="0"/>
    <s v="Male single"/>
    <x v="1"/>
    <x v="1"/>
    <n v="2"/>
    <x v="1"/>
    <s v="Resident"/>
    <x v="0"/>
    <n v="1"/>
    <x v="0"/>
    <s v="No"/>
    <s v="&gt;=200"/>
    <x v="3"/>
    <s v="&lt;100"/>
    <x v="0"/>
    <s v="unskilled resident"/>
    <s v="Unskilled"/>
    <x v="0"/>
    <s v="&lt;1"/>
    <x v="1"/>
    <s v="existing paid"/>
    <x v="1"/>
    <n v="1"/>
    <n v="1"/>
    <n v="3949"/>
    <s v="guarantor"/>
    <s v="Guarantor"/>
    <s v="None"/>
    <x v="3"/>
    <x v="2"/>
    <n v="10"/>
    <x v="1"/>
  </r>
  <r>
    <n v="870"/>
    <n v="70"/>
    <x v="4"/>
    <s v="Male single"/>
    <x v="1"/>
    <x v="1"/>
    <n v="1"/>
    <x v="1"/>
    <s v="Unknown"/>
    <x v="2"/>
    <n v="4"/>
    <x v="3"/>
    <s v="Yes"/>
    <s v="0&lt;=X&lt;200"/>
    <x v="0"/>
    <s v="&lt;100"/>
    <x v="0"/>
    <s v="high qualif/self emp/mgmt"/>
    <s v="Skilled"/>
    <x v="0"/>
    <s v="unemployed"/>
    <x v="4"/>
    <s v="existing paid"/>
    <x v="1"/>
    <n v="2"/>
    <n v="1"/>
    <n v="7308"/>
    <s v="No"/>
    <s v="None"/>
    <s v="Bank"/>
    <x v="3"/>
    <x v="2"/>
    <n v="10"/>
    <x v="1"/>
  </r>
  <r>
    <n v="871"/>
    <n v="22"/>
    <x v="1"/>
    <s v="Male Married/Widowed"/>
    <x v="1"/>
    <x v="2"/>
    <n v="1"/>
    <x v="1"/>
    <s v="Resident"/>
    <x v="1"/>
    <n v="4"/>
    <x v="2"/>
    <s v="No"/>
    <s v="0&lt;=X&lt;200"/>
    <x v="0"/>
    <s v="&lt;100"/>
    <x v="0"/>
    <s v="unskilled resident"/>
    <s v="Unskilled"/>
    <x v="0"/>
    <s v="1&lt;=X&lt;4"/>
    <x v="0"/>
    <s v="existing paid"/>
    <x v="1"/>
    <n v="4"/>
    <n v="1"/>
    <n v="276"/>
    <s v="No"/>
    <s v="None"/>
    <s v="None"/>
    <x v="3"/>
    <x v="2"/>
    <n v="9"/>
    <x v="1"/>
  </r>
  <r>
    <n v="872"/>
    <n v="24"/>
    <x v="1"/>
    <s v="Male single"/>
    <x v="1"/>
    <x v="1"/>
    <n v="1"/>
    <x v="1"/>
    <s v="Unknown"/>
    <x v="0"/>
    <n v="3"/>
    <x v="2"/>
    <s v="No"/>
    <s v="0&lt;=X&lt;200"/>
    <x v="0"/>
    <s v="&lt;100"/>
    <x v="0"/>
    <s v="skilled"/>
    <s v="Skilled"/>
    <x v="0"/>
    <s v="1&lt;=X&lt;4"/>
    <x v="0"/>
    <s v="existing paid"/>
    <x v="1"/>
    <n v="4"/>
    <n v="1"/>
    <n v="458"/>
    <s v="No"/>
    <s v="None"/>
    <s v="None"/>
    <x v="4"/>
    <x v="2"/>
    <n v="9"/>
    <x v="1"/>
  </r>
  <r>
    <n v="873"/>
    <n v="28"/>
    <x v="1"/>
    <s v="Male single"/>
    <x v="1"/>
    <x v="1"/>
    <n v="1"/>
    <x v="1"/>
    <s v="Resident"/>
    <x v="0"/>
    <n v="3"/>
    <x v="1"/>
    <s v="No"/>
    <s v="&lt;0"/>
    <x v="1"/>
    <s v="&lt;100"/>
    <x v="0"/>
    <s v="unskilled resident"/>
    <s v="Unskilled"/>
    <x v="0"/>
    <s v="1&lt;=X&lt;4"/>
    <x v="0"/>
    <s v="existing paid"/>
    <x v="1"/>
    <n v="4"/>
    <n v="1"/>
    <n v="654"/>
    <s v="No"/>
    <s v="None"/>
    <s v="None"/>
    <x v="3"/>
    <x v="2"/>
    <n v="9"/>
    <x v="0"/>
  </r>
  <r>
    <n v="874"/>
    <n v="28"/>
    <x v="1"/>
    <s v="Female Divorced with Dependents"/>
    <x v="0"/>
    <x v="0"/>
    <n v="1"/>
    <x v="1"/>
    <s v="Resident"/>
    <x v="0"/>
    <n v="2"/>
    <x v="2"/>
    <s v="No"/>
    <s v="&gt;=200"/>
    <x v="3"/>
    <s v="&lt;100"/>
    <x v="0"/>
    <s v="unskilled resident"/>
    <s v="Unskilled"/>
    <x v="0"/>
    <s v="1&lt;=X&lt;4"/>
    <x v="0"/>
    <s v="existing paid"/>
    <x v="1"/>
    <n v="3"/>
    <n v="1"/>
    <n v="745"/>
    <s v="No"/>
    <s v="None"/>
    <s v="None"/>
    <x v="4"/>
    <x v="2"/>
    <n v="9"/>
    <x v="0"/>
  </r>
  <r>
    <n v="875"/>
    <n v="66"/>
    <x v="5"/>
    <s v="Female Divorced with Dependents"/>
    <x v="0"/>
    <x v="0"/>
    <n v="1"/>
    <x v="1"/>
    <s v="Resident"/>
    <x v="0"/>
    <n v="3"/>
    <x v="2"/>
    <s v="No"/>
    <s v="0&lt;=X&lt;200"/>
    <x v="0"/>
    <s v="500&lt;=X&lt;1000"/>
    <x v="4"/>
    <s v="unskilled resident"/>
    <s v="Unskilled"/>
    <x v="0"/>
    <s v="1&lt;=X&lt;4"/>
    <x v="0"/>
    <s v="existing paid"/>
    <x v="1"/>
    <n v="4"/>
    <n v="1"/>
    <n v="790"/>
    <s v="No"/>
    <s v="None"/>
    <s v="None"/>
    <x v="4"/>
    <x v="2"/>
    <n v="9"/>
    <x v="1"/>
  </r>
  <r>
    <n v="876"/>
    <n v="30"/>
    <x v="0"/>
    <s v="Female Divorced with Dependents"/>
    <x v="0"/>
    <x v="0"/>
    <n v="1"/>
    <x v="1"/>
    <s v="Unknown"/>
    <x v="0"/>
    <n v="1"/>
    <x v="0"/>
    <s v="No"/>
    <s v="0&lt;=X&lt;200"/>
    <x v="0"/>
    <s v="&lt;100"/>
    <x v="0"/>
    <s v="skilled"/>
    <s v="Skilled"/>
    <x v="0"/>
    <s v="1&lt;=X&lt;4"/>
    <x v="0"/>
    <s v="existing paid"/>
    <x v="1"/>
    <n v="4"/>
    <n v="1"/>
    <n v="918"/>
    <s v="No"/>
    <s v="None"/>
    <s v="None"/>
    <x v="1"/>
    <x v="2"/>
    <n v="9"/>
    <x v="0"/>
  </r>
  <r>
    <n v="877"/>
    <n v="52"/>
    <x v="3"/>
    <s v="Male single"/>
    <x v="1"/>
    <x v="1"/>
    <n v="1"/>
    <x v="1"/>
    <s v="Unknown"/>
    <x v="0"/>
    <n v="2"/>
    <x v="1"/>
    <s v="Yes"/>
    <s v="no checking"/>
    <x v="2"/>
    <s v="500&lt;=X&lt;1000"/>
    <x v="4"/>
    <s v="skilled"/>
    <s v="Skilled"/>
    <x v="0"/>
    <s v="&gt;=7"/>
    <x v="3"/>
    <s v="critical/Others existing credit"/>
    <x v="3"/>
    <n v="4"/>
    <n v="2"/>
    <n v="936"/>
    <s v="No"/>
    <s v="None"/>
    <s v="None"/>
    <x v="7"/>
    <x v="2"/>
    <n v="9"/>
    <x v="1"/>
  </r>
  <r>
    <n v="878"/>
    <n v="27"/>
    <x v="1"/>
    <s v="Male single"/>
    <x v="1"/>
    <x v="1"/>
    <n v="1"/>
    <x v="1"/>
    <s v="Resident"/>
    <x v="0"/>
    <n v="4"/>
    <x v="1"/>
    <s v="No"/>
    <s v="0&lt;=X&lt;200"/>
    <x v="0"/>
    <s v="&lt;100"/>
    <x v="0"/>
    <s v="unskilled resident"/>
    <s v="Unskilled"/>
    <x v="0"/>
    <s v="&gt;=7"/>
    <x v="3"/>
    <s v="existing paid"/>
    <x v="1"/>
    <n v="4"/>
    <n v="2"/>
    <n v="1082"/>
    <s v="No"/>
    <s v="None"/>
    <s v="None"/>
    <x v="4"/>
    <x v="2"/>
    <n v="9"/>
    <x v="1"/>
  </r>
  <r>
    <n v="879"/>
    <n v="49"/>
    <x v="3"/>
    <s v="Male Divorced/Seperated"/>
    <x v="1"/>
    <x v="3"/>
    <n v="1"/>
    <x v="1"/>
    <s v="Unknown"/>
    <x v="0"/>
    <n v="4"/>
    <x v="2"/>
    <s v="No"/>
    <s v="&gt;=200"/>
    <x v="3"/>
    <s v="100&lt;=X&lt;500"/>
    <x v="3"/>
    <s v="skilled"/>
    <s v="Skilled"/>
    <x v="0"/>
    <s v="&gt;=7"/>
    <x v="3"/>
    <s v="existing paid"/>
    <x v="1"/>
    <n v="2"/>
    <n v="1"/>
    <n v="1126"/>
    <s v="No"/>
    <s v="None"/>
    <s v="None"/>
    <x v="4"/>
    <x v="2"/>
    <n v="9"/>
    <x v="1"/>
  </r>
  <r>
    <n v="880"/>
    <n v="32"/>
    <x v="0"/>
    <s v="Male single"/>
    <x v="1"/>
    <x v="1"/>
    <n v="2"/>
    <x v="1"/>
    <s v="Unknown"/>
    <x v="2"/>
    <n v="3"/>
    <x v="3"/>
    <s v="No"/>
    <s v="0&lt;=X&lt;200"/>
    <x v="0"/>
    <s v="&gt;=1000"/>
    <x v="2"/>
    <s v="skilled"/>
    <s v="Skilled"/>
    <x v="0"/>
    <s v="&gt;=7"/>
    <x v="3"/>
    <s v="critical/Others existing credit"/>
    <x v="3"/>
    <n v="4"/>
    <n v="2"/>
    <n v="1136"/>
    <s v="No"/>
    <s v="None"/>
    <s v="None"/>
    <x v="7"/>
    <x v="2"/>
    <n v="9"/>
    <x v="0"/>
  </r>
  <r>
    <n v="881"/>
    <n v="25"/>
    <x v="1"/>
    <s v="Male single"/>
    <x v="1"/>
    <x v="1"/>
    <n v="1"/>
    <x v="1"/>
    <s v="Resident"/>
    <x v="0"/>
    <n v="4"/>
    <x v="2"/>
    <s v="No"/>
    <s v="&lt;0"/>
    <x v="1"/>
    <s v="&lt;100"/>
    <x v="0"/>
    <s v="unskilled resident"/>
    <s v="Unskilled"/>
    <x v="0"/>
    <s v="1&lt;=X&lt;4"/>
    <x v="0"/>
    <s v="critical/Others existing credit"/>
    <x v="3"/>
    <n v="4"/>
    <n v="2"/>
    <n v="1138"/>
    <s v="No"/>
    <s v="None"/>
    <s v="None"/>
    <x v="4"/>
    <x v="2"/>
    <n v="9"/>
    <x v="1"/>
  </r>
  <r>
    <n v="882"/>
    <n v="37"/>
    <x v="0"/>
    <s v="Male single"/>
    <x v="1"/>
    <x v="1"/>
    <n v="1"/>
    <x v="1"/>
    <s v="Resident"/>
    <x v="0"/>
    <n v="4"/>
    <x v="2"/>
    <s v="No"/>
    <s v="0&lt;=X&lt;200"/>
    <x v="0"/>
    <s v="&lt;100"/>
    <x v="0"/>
    <s v="unskilled resident"/>
    <s v="Unskilled"/>
    <x v="0"/>
    <s v="&gt;=7"/>
    <x v="3"/>
    <s v="critical/Others existing credit"/>
    <x v="3"/>
    <n v="2"/>
    <n v="3"/>
    <n v="1154"/>
    <s v="No"/>
    <s v="None"/>
    <s v="None"/>
    <x v="4"/>
    <x v="2"/>
    <n v="9"/>
    <x v="1"/>
  </r>
  <r>
    <n v="883"/>
    <n v="67"/>
    <x v="5"/>
    <s v="Female Divorced with Dependents"/>
    <x v="0"/>
    <x v="0"/>
    <n v="1"/>
    <x v="1"/>
    <s v="Unknown"/>
    <x v="0"/>
    <n v="4"/>
    <x v="0"/>
    <s v="Yes"/>
    <s v="0&lt;=X&lt;200"/>
    <x v="0"/>
    <s v="&lt;100"/>
    <x v="0"/>
    <s v="high qualif/self emp/mgmt"/>
    <s v="Skilled"/>
    <x v="0"/>
    <s v="4&lt;=X&lt;7"/>
    <x v="2"/>
    <s v="existing paid"/>
    <x v="1"/>
    <n v="4"/>
    <n v="2"/>
    <n v="1199"/>
    <s v="No"/>
    <s v="None"/>
    <s v="None"/>
    <x v="7"/>
    <x v="2"/>
    <n v="9"/>
    <x v="1"/>
  </r>
  <r>
    <n v="884"/>
    <n v="25"/>
    <x v="1"/>
    <s v="Female Divorced with Dependents"/>
    <x v="0"/>
    <x v="0"/>
    <n v="1"/>
    <x v="1"/>
    <s v="Unknown"/>
    <x v="0"/>
    <n v="4"/>
    <x v="2"/>
    <s v="No"/>
    <s v="0&lt;=X&lt;200"/>
    <x v="0"/>
    <s v="&lt;100"/>
    <x v="0"/>
    <s v="skilled"/>
    <s v="Skilled"/>
    <x v="0"/>
    <s v="&gt;=7"/>
    <x v="3"/>
    <s v="existing paid"/>
    <x v="1"/>
    <n v="4"/>
    <n v="1"/>
    <n v="1206"/>
    <s v="No"/>
    <s v="None"/>
    <s v="None"/>
    <x v="4"/>
    <x v="2"/>
    <n v="9"/>
    <x v="1"/>
  </r>
  <r>
    <n v="885"/>
    <n v="30"/>
    <x v="0"/>
    <s v="Male single"/>
    <x v="1"/>
    <x v="1"/>
    <n v="1"/>
    <x v="1"/>
    <s v="Unknown"/>
    <x v="0"/>
    <n v="1"/>
    <x v="2"/>
    <s v="No"/>
    <s v="no checking"/>
    <x v="2"/>
    <s v="&lt;100"/>
    <x v="0"/>
    <s v="skilled"/>
    <s v="Skilled"/>
    <x v="0"/>
    <s v="1&lt;=X&lt;4"/>
    <x v="0"/>
    <s v="critical/Others existing credit"/>
    <x v="3"/>
    <n v="3"/>
    <n v="2"/>
    <n v="1224"/>
    <s v="No"/>
    <s v="None"/>
    <s v="None"/>
    <x v="3"/>
    <x v="2"/>
    <n v="9"/>
    <x v="1"/>
  </r>
  <r>
    <n v="886"/>
    <n v="23"/>
    <x v="1"/>
    <s v="Female Divorced with Dependents"/>
    <x v="0"/>
    <x v="0"/>
    <n v="1"/>
    <x v="1"/>
    <s v="Unknown"/>
    <x v="1"/>
    <n v="4"/>
    <x v="2"/>
    <s v="Yes"/>
    <s v="no checking"/>
    <x v="2"/>
    <s v="&lt;100"/>
    <x v="0"/>
    <s v="skilled"/>
    <s v="Skilled"/>
    <x v="0"/>
    <s v="&lt;1"/>
    <x v="1"/>
    <s v="existing paid"/>
    <x v="1"/>
    <n v="1"/>
    <n v="1"/>
    <n v="1236"/>
    <s v="No"/>
    <s v="None"/>
    <s v="None"/>
    <x v="8"/>
    <x v="2"/>
    <n v="9"/>
    <x v="1"/>
  </r>
  <r>
    <n v="887"/>
    <n v="41"/>
    <x v="2"/>
    <s v="Female Divorced with Dependents"/>
    <x v="0"/>
    <x v="0"/>
    <n v="1"/>
    <x v="1"/>
    <s v="Resident"/>
    <x v="1"/>
    <n v="4"/>
    <x v="0"/>
    <s v="No"/>
    <s v="no checking"/>
    <x v="2"/>
    <s v="no known savings"/>
    <x v="1"/>
    <s v="unskilled resident"/>
    <s v="Unskilled"/>
    <x v="0"/>
    <s v="&gt;=7"/>
    <x v="3"/>
    <s v="critical/Others existing credit"/>
    <x v="3"/>
    <n v="4"/>
    <n v="2"/>
    <n v="1244"/>
    <s v="No"/>
    <s v="None"/>
    <s v="None"/>
    <x v="7"/>
    <x v="2"/>
    <n v="9"/>
    <x v="1"/>
  </r>
  <r>
    <n v="888"/>
    <n v="20"/>
    <x v="1"/>
    <s v="Male single"/>
    <x v="1"/>
    <x v="1"/>
    <n v="1"/>
    <x v="1"/>
    <s v="Unknown"/>
    <x v="0"/>
    <n v="4"/>
    <x v="1"/>
    <s v="No"/>
    <s v="no checking"/>
    <x v="2"/>
    <s v="&lt;100"/>
    <x v="0"/>
    <s v="skilled"/>
    <s v="Skilled"/>
    <x v="0"/>
    <s v="&gt;=7"/>
    <x v="3"/>
    <s v="existing paid"/>
    <x v="1"/>
    <n v="1"/>
    <n v="1"/>
    <n v="1313"/>
    <s v="No"/>
    <s v="None"/>
    <s v="None"/>
    <x v="1"/>
    <x v="2"/>
    <n v="9"/>
    <x v="1"/>
  </r>
  <r>
    <n v="889"/>
    <n v="34"/>
    <x v="0"/>
    <s v="Male single"/>
    <x v="1"/>
    <x v="1"/>
    <n v="1"/>
    <x v="1"/>
    <s v="Unknown"/>
    <x v="0"/>
    <n v="2"/>
    <x v="1"/>
    <s v="Yes"/>
    <s v="&gt;=200"/>
    <x v="3"/>
    <s v="&lt;100"/>
    <x v="0"/>
    <s v="high qualif/self emp/mgmt"/>
    <s v="Skilled"/>
    <x v="0"/>
    <s v="&lt;1"/>
    <x v="1"/>
    <s v="no credits/all paid"/>
    <x v="0"/>
    <n v="4"/>
    <n v="2"/>
    <n v="1337"/>
    <s v="No"/>
    <s v="None"/>
    <s v="None"/>
    <x v="4"/>
    <x v="2"/>
    <n v="9"/>
    <x v="0"/>
  </r>
  <r>
    <n v="890"/>
    <n v="59"/>
    <x v="5"/>
    <s v="Male single"/>
    <x v="1"/>
    <x v="1"/>
    <n v="1"/>
    <x v="1"/>
    <s v="Unknown"/>
    <x v="0"/>
    <n v="4"/>
    <x v="2"/>
    <s v="No"/>
    <s v="&lt;0"/>
    <x v="1"/>
    <s v="&lt;100"/>
    <x v="0"/>
    <s v="skilled"/>
    <s v="Skilled"/>
    <x v="0"/>
    <s v="4&lt;=X&lt;7"/>
    <x v="2"/>
    <s v="existing paid"/>
    <x v="1"/>
    <n v="3"/>
    <n v="1"/>
    <n v="1364"/>
    <s v="No"/>
    <s v="None"/>
    <s v="None"/>
    <x v="4"/>
    <x v="2"/>
    <n v="9"/>
    <x v="1"/>
  </r>
  <r>
    <n v="891"/>
    <n v="22"/>
    <x v="1"/>
    <s v="Female Divorced with Dependents"/>
    <x v="0"/>
    <x v="0"/>
    <n v="1"/>
    <x v="1"/>
    <s v="Unknown"/>
    <x v="1"/>
    <n v="4"/>
    <x v="0"/>
    <s v="No"/>
    <s v="&lt;0"/>
    <x v="1"/>
    <s v="&lt;100"/>
    <x v="0"/>
    <s v="skilled"/>
    <s v="Skilled"/>
    <x v="0"/>
    <s v="&lt;1"/>
    <x v="1"/>
    <s v="existing paid"/>
    <x v="1"/>
    <n v="3"/>
    <n v="1"/>
    <n v="1366"/>
    <s v="No"/>
    <s v="None"/>
    <s v="None"/>
    <x v="4"/>
    <x v="2"/>
    <n v="9"/>
    <x v="0"/>
  </r>
  <r>
    <n v="892"/>
    <n v="26"/>
    <x v="1"/>
    <s v="Female Divorced with Dependents"/>
    <x v="0"/>
    <x v="0"/>
    <n v="1"/>
    <x v="1"/>
    <s v="Unknown"/>
    <x v="1"/>
    <n v="2"/>
    <x v="2"/>
    <s v="No"/>
    <s v="no checking"/>
    <x v="2"/>
    <s v="&lt;100"/>
    <x v="0"/>
    <s v="skilled"/>
    <s v="Skilled"/>
    <x v="0"/>
    <s v="1&lt;=X&lt;4"/>
    <x v="0"/>
    <s v="existing paid"/>
    <x v="1"/>
    <n v="4"/>
    <n v="1"/>
    <n v="1388"/>
    <s v="No"/>
    <s v="None"/>
    <s v="None"/>
    <x v="1"/>
    <x v="2"/>
    <n v="9"/>
    <x v="1"/>
  </r>
  <r>
    <n v="893"/>
    <n v="27"/>
    <x v="1"/>
    <s v="Male Married/Widowed"/>
    <x v="1"/>
    <x v="2"/>
    <n v="1"/>
    <x v="1"/>
    <s v="Unknown"/>
    <x v="0"/>
    <n v="1"/>
    <x v="2"/>
    <s v="Yes"/>
    <s v="0&lt;=X&lt;200"/>
    <x v="0"/>
    <s v="&lt;100"/>
    <x v="0"/>
    <s v="skilled"/>
    <s v="Skilled"/>
    <x v="0"/>
    <s v="1&lt;=X&lt;4"/>
    <x v="0"/>
    <s v="existing paid"/>
    <x v="1"/>
    <n v="2"/>
    <n v="1"/>
    <n v="1391"/>
    <s v="No"/>
    <s v="None"/>
    <s v="Bank"/>
    <x v="5"/>
    <x v="2"/>
    <n v="9"/>
    <x v="1"/>
  </r>
  <r>
    <n v="894"/>
    <n v="27"/>
    <x v="1"/>
    <s v="Male single"/>
    <x v="1"/>
    <x v="1"/>
    <n v="1"/>
    <x v="1"/>
    <s v="Unknown"/>
    <x v="2"/>
    <n v="2"/>
    <x v="3"/>
    <s v="Yes"/>
    <s v="&lt;0"/>
    <x v="1"/>
    <s v="&lt;100"/>
    <x v="0"/>
    <s v="high qualif/self emp/mgmt"/>
    <s v="Skilled"/>
    <x v="0"/>
    <s v="&lt;1"/>
    <x v="1"/>
    <s v="existing paid"/>
    <x v="1"/>
    <n v="3"/>
    <n v="1"/>
    <n v="1422"/>
    <s v="No"/>
    <s v="None"/>
    <s v="None"/>
    <x v="3"/>
    <x v="2"/>
    <n v="9"/>
    <x v="0"/>
  </r>
  <r>
    <n v="895"/>
    <n v="29"/>
    <x v="0"/>
    <s v="Male single"/>
    <x v="1"/>
    <x v="1"/>
    <n v="1"/>
    <x v="1"/>
    <s v="Unknown"/>
    <x v="0"/>
    <n v="3"/>
    <x v="3"/>
    <s v="No"/>
    <s v="0&lt;=X&lt;200"/>
    <x v="0"/>
    <s v="100&lt;=X&lt;500"/>
    <x v="3"/>
    <s v="skilled"/>
    <s v="Skilled"/>
    <x v="0"/>
    <s v="4&lt;=X&lt;7"/>
    <x v="2"/>
    <s v="all paid"/>
    <x v="2"/>
    <n v="2"/>
    <n v="1"/>
    <n v="1437"/>
    <s v="No"/>
    <s v="None"/>
    <s v="None"/>
    <x v="3"/>
    <x v="2"/>
    <n v="9"/>
    <x v="0"/>
  </r>
  <r>
    <n v="896"/>
    <n v="27"/>
    <x v="1"/>
    <s v="Female Divorced with Dependents"/>
    <x v="0"/>
    <x v="0"/>
    <n v="1"/>
    <x v="1"/>
    <s v="Unknown"/>
    <x v="0"/>
    <n v="2"/>
    <x v="1"/>
    <s v="No"/>
    <s v="no checking"/>
    <x v="2"/>
    <s v="&lt;100"/>
    <x v="0"/>
    <s v="skilled"/>
    <s v="Skilled"/>
    <x v="0"/>
    <s v="4&lt;=X&lt;7"/>
    <x v="2"/>
    <s v="existing paid"/>
    <x v="1"/>
    <n v="3"/>
    <n v="2"/>
    <n v="1449"/>
    <s v="No"/>
    <s v="None"/>
    <s v="None"/>
    <x v="5"/>
    <x v="2"/>
    <n v="9"/>
    <x v="1"/>
  </r>
  <r>
    <n v="897"/>
    <n v="22"/>
    <x v="1"/>
    <s v="Male single"/>
    <x v="1"/>
    <x v="1"/>
    <n v="1"/>
    <x v="1"/>
    <s v="Unknown"/>
    <x v="0"/>
    <n v="2"/>
    <x v="1"/>
    <s v="No"/>
    <s v="no checking"/>
    <x v="2"/>
    <s v="&lt;100"/>
    <x v="0"/>
    <s v="skilled"/>
    <s v="Skilled"/>
    <x v="0"/>
    <s v="4&lt;=X&lt;7"/>
    <x v="2"/>
    <s v="existing paid"/>
    <x v="1"/>
    <n v="4"/>
    <n v="1"/>
    <n v="1478"/>
    <s v="No"/>
    <s v="None"/>
    <s v="None"/>
    <x v="4"/>
    <x v="2"/>
    <n v="9"/>
    <x v="0"/>
  </r>
  <r>
    <n v="898"/>
    <n v="34"/>
    <x v="0"/>
    <s v="Female Divorced with Dependents"/>
    <x v="0"/>
    <x v="0"/>
    <n v="1"/>
    <x v="1"/>
    <s v="Unknown"/>
    <x v="0"/>
    <n v="3"/>
    <x v="1"/>
    <s v="Yes"/>
    <s v="0&lt;=X&lt;200"/>
    <x v="0"/>
    <s v="&lt;100"/>
    <x v="0"/>
    <s v="high qualif/self emp/mgmt"/>
    <s v="Skilled"/>
    <x v="0"/>
    <s v="&gt;=7"/>
    <x v="3"/>
    <s v="critical/Others existing credit"/>
    <x v="3"/>
    <n v="2"/>
    <n v="2"/>
    <n v="1501"/>
    <s v="No"/>
    <s v="None"/>
    <s v="None"/>
    <x v="7"/>
    <x v="2"/>
    <n v="9"/>
    <x v="0"/>
  </r>
  <r>
    <n v="899"/>
    <n v="35"/>
    <x v="0"/>
    <s v="Male single"/>
    <x v="1"/>
    <x v="1"/>
    <n v="1"/>
    <x v="1"/>
    <s v="Non-resident"/>
    <x v="0"/>
    <n v="2"/>
    <x v="2"/>
    <s v="No"/>
    <s v="0&lt;=X&lt;200"/>
    <x v="0"/>
    <s v="no known savings"/>
    <x v="1"/>
    <s v="unemp/unskilled non res"/>
    <s v="Unskilled"/>
    <x v="1"/>
    <s v="&lt;1"/>
    <x v="1"/>
    <s v="existing paid"/>
    <x v="1"/>
    <n v="4"/>
    <n v="1"/>
    <n v="1549"/>
    <s v="No"/>
    <s v="None"/>
    <s v="None"/>
    <x v="3"/>
    <x v="2"/>
    <n v="9"/>
    <x v="1"/>
  </r>
  <r>
    <n v="900"/>
    <n v="22"/>
    <x v="1"/>
    <s v="Female Divorced with Dependents"/>
    <x v="0"/>
    <x v="0"/>
    <n v="1"/>
    <x v="1"/>
    <s v="Unknown"/>
    <x v="0"/>
    <n v="2"/>
    <x v="1"/>
    <s v="Yes"/>
    <s v="0&lt;=X&lt;200"/>
    <x v="0"/>
    <s v="&lt;100"/>
    <x v="0"/>
    <s v="skilled"/>
    <s v="Skilled"/>
    <x v="0"/>
    <s v="&lt;1"/>
    <x v="1"/>
    <s v="existing paid"/>
    <x v="1"/>
    <n v="4"/>
    <n v="1"/>
    <n v="1670"/>
    <s v="No"/>
    <s v="None"/>
    <s v="None"/>
    <x v="4"/>
    <x v="2"/>
    <n v="9"/>
    <x v="0"/>
  </r>
  <r>
    <n v="901"/>
    <n v="35"/>
    <x v="0"/>
    <s v="Male single"/>
    <x v="1"/>
    <x v="1"/>
    <n v="1"/>
    <x v="1"/>
    <s v="Unknown"/>
    <x v="1"/>
    <n v="3"/>
    <x v="1"/>
    <s v="Yes"/>
    <s v="0&lt;=X&lt;200"/>
    <x v="0"/>
    <s v="&lt;100"/>
    <x v="0"/>
    <s v="skilled"/>
    <s v="Skilled"/>
    <x v="0"/>
    <s v="4&lt;=X&lt;7"/>
    <x v="2"/>
    <s v="critical/Others existing credit"/>
    <x v="3"/>
    <n v="4"/>
    <n v="1"/>
    <n v="1919"/>
    <s v="No"/>
    <s v="None"/>
    <s v="None"/>
    <x v="1"/>
    <x v="2"/>
    <n v="9"/>
    <x v="1"/>
  </r>
  <r>
    <n v="902"/>
    <n v="19"/>
    <x v="1"/>
    <s v="Female Divorced with Dependents"/>
    <x v="0"/>
    <x v="0"/>
    <n v="1"/>
    <x v="1"/>
    <s v="Unknown"/>
    <x v="1"/>
    <n v="2"/>
    <x v="1"/>
    <s v="No"/>
    <s v="no checking"/>
    <x v="2"/>
    <s v="&lt;100"/>
    <x v="0"/>
    <s v="skilled"/>
    <s v="Skilled"/>
    <x v="0"/>
    <s v="&lt;1"/>
    <x v="1"/>
    <s v="existing paid"/>
    <x v="1"/>
    <n v="2"/>
    <n v="2"/>
    <n v="1980"/>
    <s v="co applicant"/>
    <s v="Co-applicant"/>
    <s v="None"/>
    <x v="1"/>
    <x v="2"/>
    <n v="9"/>
    <x v="0"/>
  </r>
  <r>
    <n v="903"/>
    <n v="24"/>
    <x v="1"/>
    <s v="Male single"/>
    <x v="1"/>
    <x v="1"/>
    <n v="1"/>
    <x v="1"/>
    <s v="Unknown"/>
    <x v="0"/>
    <n v="1"/>
    <x v="1"/>
    <s v="Yes"/>
    <s v="0&lt;=X&lt;200"/>
    <x v="0"/>
    <s v="no known savings"/>
    <x v="1"/>
    <s v="skilled"/>
    <s v="Skilled"/>
    <x v="0"/>
    <s v="4&lt;=X&lt;7"/>
    <x v="2"/>
    <s v="existing paid"/>
    <x v="1"/>
    <n v="2"/>
    <n v="1"/>
    <n v="2030"/>
    <s v="No"/>
    <s v="None"/>
    <s v="None"/>
    <x v="1"/>
    <x v="2"/>
    <n v="9"/>
    <x v="1"/>
  </r>
  <r>
    <n v="904"/>
    <n v="37"/>
    <x v="0"/>
    <s v="Male single"/>
    <x v="1"/>
    <x v="1"/>
    <n v="2"/>
    <x v="1"/>
    <s v="Resident"/>
    <x v="0"/>
    <n v="2"/>
    <x v="2"/>
    <s v="No"/>
    <s v="0&lt;=X&lt;200"/>
    <x v="0"/>
    <s v="&lt;100"/>
    <x v="0"/>
    <s v="unskilled resident"/>
    <s v="Unskilled"/>
    <x v="0"/>
    <s v="1&lt;=X&lt;4"/>
    <x v="0"/>
    <s v="existing paid"/>
    <x v="1"/>
    <n v="2"/>
    <n v="1"/>
    <n v="2118"/>
    <s v="No"/>
    <s v="None"/>
    <s v="None"/>
    <x v="4"/>
    <x v="2"/>
    <n v="9"/>
    <x v="1"/>
  </r>
  <r>
    <n v="905"/>
    <n v="48"/>
    <x v="2"/>
    <s v="Male single"/>
    <x v="1"/>
    <x v="1"/>
    <n v="1"/>
    <x v="1"/>
    <s v="Unknown"/>
    <x v="0"/>
    <n v="4"/>
    <x v="1"/>
    <s v="Yes"/>
    <s v="no checking"/>
    <x v="2"/>
    <s v="&lt;100"/>
    <x v="0"/>
    <s v="skilled"/>
    <s v="Skilled"/>
    <x v="0"/>
    <s v="1&lt;=X&lt;4"/>
    <x v="0"/>
    <s v="critical/Others existing credit"/>
    <x v="3"/>
    <n v="4"/>
    <n v="3"/>
    <n v="2134"/>
    <s v="No"/>
    <s v="None"/>
    <s v="None"/>
    <x v="3"/>
    <x v="2"/>
    <n v="9"/>
    <x v="1"/>
  </r>
  <r>
    <n v="906"/>
    <n v="25"/>
    <x v="1"/>
    <s v="Male single"/>
    <x v="1"/>
    <x v="1"/>
    <n v="1"/>
    <x v="1"/>
    <s v="Unknown"/>
    <x v="0"/>
    <n v="2"/>
    <x v="2"/>
    <s v="No"/>
    <s v="&lt;0"/>
    <x v="1"/>
    <s v="&lt;100"/>
    <x v="0"/>
    <s v="skilled"/>
    <s v="Skilled"/>
    <x v="0"/>
    <s v="1&lt;=X&lt;4"/>
    <x v="0"/>
    <s v="existing paid"/>
    <x v="1"/>
    <n v="3"/>
    <n v="1"/>
    <n v="2136"/>
    <s v="No"/>
    <s v="None"/>
    <s v="None"/>
    <x v="1"/>
    <x v="2"/>
    <n v="9"/>
    <x v="1"/>
  </r>
  <r>
    <n v="907"/>
    <n v="22"/>
    <x v="1"/>
    <s v="Female Divorced with Dependents"/>
    <x v="0"/>
    <x v="0"/>
    <n v="1"/>
    <x v="1"/>
    <s v="Unknown"/>
    <x v="1"/>
    <n v="4"/>
    <x v="0"/>
    <s v="No"/>
    <s v="no checking"/>
    <x v="2"/>
    <s v="100&lt;=X&lt;500"/>
    <x v="3"/>
    <s v="skilled"/>
    <s v="Skilled"/>
    <x v="0"/>
    <s v="&lt;1"/>
    <x v="1"/>
    <s v="existing paid"/>
    <x v="1"/>
    <n v="2"/>
    <n v="1"/>
    <n v="2301"/>
    <s v="No"/>
    <s v="None"/>
    <s v="None"/>
    <x v="1"/>
    <x v="2"/>
    <n v="9"/>
    <x v="1"/>
  </r>
  <r>
    <n v="908"/>
    <n v="31"/>
    <x v="0"/>
    <s v="Male single"/>
    <x v="1"/>
    <x v="1"/>
    <n v="1"/>
    <x v="1"/>
    <s v="Unknown"/>
    <x v="0"/>
    <n v="3"/>
    <x v="1"/>
    <s v="No"/>
    <s v="no checking"/>
    <x v="2"/>
    <s v="&lt;100"/>
    <x v="0"/>
    <s v="high qualif/self emp/mgmt"/>
    <s v="Skilled"/>
    <x v="0"/>
    <s v="unemployed"/>
    <x v="4"/>
    <s v="critical/Others existing credit"/>
    <x v="3"/>
    <n v="2"/>
    <n v="1"/>
    <n v="2406"/>
    <s v="No"/>
    <s v="None"/>
    <s v="None"/>
    <x v="1"/>
    <x v="2"/>
    <n v="9"/>
    <x v="1"/>
  </r>
  <r>
    <n v="909"/>
    <n v="51"/>
    <x v="3"/>
    <s v="Male single"/>
    <x v="1"/>
    <x v="1"/>
    <n v="1"/>
    <x v="1"/>
    <s v="Resident"/>
    <x v="2"/>
    <n v="4"/>
    <x v="3"/>
    <s v="No"/>
    <s v="no checking"/>
    <x v="2"/>
    <s v="500&lt;=X&lt;1000"/>
    <x v="4"/>
    <s v="unskilled resident"/>
    <s v="Unskilled"/>
    <x v="0"/>
    <s v="&gt;=7"/>
    <x v="3"/>
    <s v="existing paid"/>
    <x v="1"/>
    <n v="2"/>
    <n v="1"/>
    <n v="2507"/>
    <s v="No"/>
    <s v="None"/>
    <s v="None"/>
    <x v="3"/>
    <x v="2"/>
    <n v="9"/>
    <x v="1"/>
  </r>
  <r>
    <n v="910"/>
    <n v="32"/>
    <x v="0"/>
    <s v="Male single"/>
    <x v="1"/>
    <x v="1"/>
    <n v="2"/>
    <x v="1"/>
    <s v="Unknown"/>
    <x v="0"/>
    <n v="2"/>
    <x v="2"/>
    <s v="No"/>
    <s v="no checking"/>
    <x v="2"/>
    <s v="&lt;100"/>
    <x v="0"/>
    <s v="skilled"/>
    <s v="Skilled"/>
    <x v="0"/>
    <s v="1&lt;=X&lt;4"/>
    <x v="0"/>
    <s v="existing paid"/>
    <x v="1"/>
    <n v="1"/>
    <n v="1"/>
    <n v="2697"/>
    <s v="No"/>
    <s v="None"/>
    <s v="None"/>
    <x v="4"/>
    <x v="2"/>
    <n v="9"/>
    <x v="1"/>
  </r>
  <r>
    <n v="911"/>
    <n v="35"/>
    <x v="0"/>
    <s v="Male single"/>
    <x v="1"/>
    <x v="1"/>
    <n v="1"/>
    <x v="1"/>
    <s v="Unknown"/>
    <x v="0"/>
    <n v="4"/>
    <x v="1"/>
    <s v="Yes"/>
    <s v="no checking"/>
    <x v="2"/>
    <s v="100&lt;=X&lt;500"/>
    <x v="3"/>
    <s v="skilled"/>
    <s v="Skilled"/>
    <x v="0"/>
    <s v="&gt;=7"/>
    <x v="3"/>
    <s v="existing paid"/>
    <x v="1"/>
    <n v="3"/>
    <n v="1"/>
    <n v="2753"/>
    <s v="co applicant"/>
    <s v="Co-applicant"/>
    <s v="None"/>
    <x v="4"/>
    <x v="2"/>
    <n v="9"/>
    <x v="1"/>
  </r>
  <r>
    <n v="912"/>
    <n v="36"/>
    <x v="0"/>
    <s v="Male single"/>
    <x v="1"/>
    <x v="1"/>
    <n v="2"/>
    <x v="1"/>
    <s v="Unknown"/>
    <x v="1"/>
    <n v="2"/>
    <x v="2"/>
    <s v="No"/>
    <s v="&lt;0"/>
    <x v="1"/>
    <s v="&lt;100"/>
    <x v="0"/>
    <s v="skilled"/>
    <s v="Skilled"/>
    <x v="0"/>
    <s v="1&lt;=X&lt;4"/>
    <x v="0"/>
    <s v="critical/Others existing credit"/>
    <x v="3"/>
    <n v="2"/>
    <n v="2"/>
    <n v="2799"/>
    <s v="No"/>
    <s v="None"/>
    <s v="None"/>
    <x v="3"/>
    <x v="2"/>
    <n v="9"/>
    <x v="1"/>
  </r>
  <r>
    <n v="913"/>
    <n v="33"/>
    <x v="0"/>
    <s v="Male single"/>
    <x v="1"/>
    <x v="1"/>
    <n v="2"/>
    <x v="1"/>
    <s v="Unknown"/>
    <x v="0"/>
    <n v="2"/>
    <x v="2"/>
    <s v="No"/>
    <s v="no checking"/>
    <x v="2"/>
    <s v="no known savings"/>
    <x v="1"/>
    <s v="skilled"/>
    <s v="Skilled"/>
    <x v="0"/>
    <s v="1&lt;=X&lt;4"/>
    <x v="0"/>
    <s v="critical/Others existing credit"/>
    <x v="3"/>
    <n v="1"/>
    <n v="2"/>
    <n v="3074"/>
    <s v="No"/>
    <s v="None"/>
    <s v="None"/>
    <x v="4"/>
    <x v="2"/>
    <n v="9"/>
    <x v="1"/>
  </r>
  <r>
    <n v="914"/>
    <n v="33"/>
    <x v="0"/>
    <s v="Female Divorced with Dependents"/>
    <x v="0"/>
    <x v="0"/>
    <n v="1"/>
    <x v="1"/>
    <s v="Resident"/>
    <x v="0"/>
    <n v="2"/>
    <x v="2"/>
    <s v="No"/>
    <s v="0&lt;=X&lt;200"/>
    <x v="0"/>
    <s v="no known savings"/>
    <x v="1"/>
    <s v="unskilled resident"/>
    <s v="Unskilled"/>
    <x v="0"/>
    <s v="1&lt;=X&lt;4"/>
    <x v="0"/>
    <s v="existing paid"/>
    <x v="1"/>
    <n v="1"/>
    <n v="1"/>
    <n v="3195"/>
    <s v="No"/>
    <s v="None"/>
    <s v="None"/>
    <x v="3"/>
    <x v="2"/>
    <n v="9"/>
    <x v="1"/>
  </r>
  <r>
    <n v="915"/>
    <n v="64"/>
    <x v="5"/>
    <s v="Male single"/>
    <x v="1"/>
    <x v="1"/>
    <n v="1"/>
    <x v="1"/>
    <s v="Resident"/>
    <x v="0"/>
    <n v="4"/>
    <x v="2"/>
    <s v="No"/>
    <s v="no checking"/>
    <x v="2"/>
    <s v="no known savings"/>
    <x v="1"/>
    <s v="unskilled resident"/>
    <s v="Unskilled"/>
    <x v="0"/>
    <s v="&gt;=7"/>
    <x v="3"/>
    <s v="existing paid"/>
    <x v="1"/>
    <n v="1"/>
    <n v="1"/>
    <n v="3832"/>
    <s v="No"/>
    <s v="None"/>
    <s v="None"/>
    <x v="7"/>
    <x v="2"/>
    <n v="9"/>
    <x v="1"/>
  </r>
  <r>
    <n v="916"/>
    <n v="74"/>
    <x v="4"/>
    <s v="Female Divorced with Dependents"/>
    <x v="0"/>
    <x v="0"/>
    <n v="2"/>
    <x v="1"/>
    <s v="Unknown"/>
    <x v="2"/>
    <n v="4"/>
    <x v="3"/>
    <s v="Yes"/>
    <s v="0&lt;=X&lt;200"/>
    <x v="0"/>
    <s v="&lt;100"/>
    <x v="0"/>
    <s v="high qualif/self emp/mgmt"/>
    <s v="Skilled"/>
    <x v="0"/>
    <s v="&gt;=7"/>
    <x v="3"/>
    <s v="all paid"/>
    <x v="2"/>
    <n v="2"/>
    <n v="1"/>
    <n v="5129"/>
    <s v="No"/>
    <s v="None"/>
    <s v="Bank"/>
    <x v="2"/>
    <x v="2"/>
    <n v="9"/>
    <x v="0"/>
  </r>
  <r>
    <n v="917"/>
    <n v="47"/>
    <x v="2"/>
    <s v="Male single"/>
    <x v="1"/>
    <x v="1"/>
    <n v="1"/>
    <x v="1"/>
    <s v="Resident"/>
    <x v="0"/>
    <n v="4"/>
    <x v="2"/>
    <s v="No"/>
    <s v="&lt;0"/>
    <x v="1"/>
    <s v="&lt;100"/>
    <x v="0"/>
    <s v="unskilled resident"/>
    <s v="Unskilled"/>
    <x v="0"/>
    <s v="&gt;=7"/>
    <x v="3"/>
    <s v="critical/Others existing credit"/>
    <x v="3"/>
    <n v="4"/>
    <n v="2"/>
    <n v="731"/>
    <s v="No"/>
    <s v="None"/>
    <s v="None"/>
    <x v="3"/>
    <x v="2"/>
    <n v="8"/>
    <x v="1"/>
  </r>
  <r>
    <n v="918"/>
    <n v="44"/>
    <x v="2"/>
    <s v="Female Divorced with Dependents"/>
    <x v="0"/>
    <x v="0"/>
    <n v="1"/>
    <x v="1"/>
    <s v="Resident"/>
    <x v="0"/>
    <n v="2"/>
    <x v="2"/>
    <s v="No"/>
    <s v="0&lt;=X&lt;200"/>
    <x v="0"/>
    <s v="&lt;100"/>
    <x v="0"/>
    <s v="unskilled resident"/>
    <s v="Unskilled"/>
    <x v="0"/>
    <s v="4&lt;=X&lt;7"/>
    <x v="2"/>
    <s v="existing paid"/>
    <x v="1"/>
    <n v="4"/>
    <n v="1"/>
    <n v="760"/>
    <s v="guarantor"/>
    <s v="Guarantor"/>
    <s v="None"/>
    <x v="4"/>
    <x v="2"/>
    <n v="8"/>
    <x v="1"/>
  </r>
  <r>
    <n v="919"/>
    <n v="26"/>
    <x v="1"/>
    <s v="Male Married/Widowed"/>
    <x v="1"/>
    <x v="2"/>
    <n v="1"/>
    <x v="1"/>
    <s v="Unknown"/>
    <x v="0"/>
    <n v="2"/>
    <x v="2"/>
    <s v="Yes"/>
    <s v="0&lt;=X&lt;200"/>
    <x v="0"/>
    <s v="&lt;100"/>
    <x v="0"/>
    <s v="skilled"/>
    <s v="Skilled"/>
    <x v="0"/>
    <s v="&lt;1"/>
    <x v="1"/>
    <s v="existing paid"/>
    <x v="1"/>
    <n v="3"/>
    <n v="1"/>
    <n v="907"/>
    <s v="No"/>
    <s v="None"/>
    <s v="None"/>
    <x v="5"/>
    <x v="2"/>
    <n v="8"/>
    <x v="1"/>
  </r>
  <r>
    <n v="920"/>
    <n v="51"/>
    <x v="3"/>
    <s v="Male single"/>
    <x v="1"/>
    <x v="1"/>
    <n v="2"/>
    <x v="1"/>
    <s v="Unknown"/>
    <x v="2"/>
    <n v="4"/>
    <x v="3"/>
    <s v="Yes"/>
    <s v="&lt;0"/>
    <x v="1"/>
    <s v="&lt;100"/>
    <x v="0"/>
    <s v="high qualif/self emp/mgmt"/>
    <s v="Skilled"/>
    <x v="0"/>
    <s v="&gt;=7"/>
    <x v="3"/>
    <s v="critical/Others existing credit"/>
    <x v="3"/>
    <n v="3"/>
    <n v="2"/>
    <n v="1164"/>
    <s v="No"/>
    <s v="None"/>
    <s v="Bank"/>
    <x v="0"/>
    <x v="2"/>
    <n v="8"/>
    <x v="1"/>
  </r>
  <r>
    <n v="921"/>
    <n v="24"/>
    <x v="1"/>
    <s v="Female Divorced with Dependents"/>
    <x v="0"/>
    <x v="0"/>
    <n v="1"/>
    <x v="1"/>
    <s v="Unknown"/>
    <x v="0"/>
    <n v="4"/>
    <x v="2"/>
    <s v="No"/>
    <s v="0&lt;=X&lt;200"/>
    <x v="0"/>
    <s v="&lt;100"/>
    <x v="0"/>
    <s v="skilled"/>
    <s v="Skilled"/>
    <x v="0"/>
    <s v="1&lt;=X&lt;4"/>
    <x v="0"/>
    <s v="existing paid"/>
    <x v="1"/>
    <n v="3"/>
    <n v="1"/>
    <n v="1237"/>
    <s v="No"/>
    <s v="None"/>
    <s v="None"/>
    <x v="1"/>
    <x v="2"/>
    <n v="8"/>
    <x v="0"/>
  </r>
  <r>
    <n v="922"/>
    <n v="46"/>
    <x v="2"/>
    <s v="Male single"/>
    <x v="1"/>
    <x v="1"/>
    <n v="1"/>
    <x v="1"/>
    <s v="Resident"/>
    <x v="1"/>
    <n v="2"/>
    <x v="0"/>
    <s v="Yes"/>
    <s v="no checking"/>
    <x v="2"/>
    <s v="no known savings"/>
    <x v="1"/>
    <s v="unskilled resident"/>
    <s v="Unskilled"/>
    <x v="0"/>
    <s v="&gt;=7"/>
    <x v="3"/>
    <s v="critical/Others existing credit"/>
    <x v="3"/>
    <n v="4"/>
    <n v="2"/>
    <n v="730"/>
    <s v="No"/>
    <s v="None"/>
    <s v="None"/>
    <x v="4"/>
    <x v="2"/>
    <n v="7"/>
    <x v="1"/>
  </r>
  <r>
    <n v="923"/>
    <n v="36"/>
    <x v="0"/>
    <s v="Male single"/>
    <x v="1"/>
    <x v="1"/>
    <n v="1"/>
    <x v="1"/>
    <s v="Unknown"/>
    <x v="2"/>
    <n v="4"/>
    <x v="3"/>
    <s v="No"/>
    <s v="no checking"/>
    <x v="2"/>
    <s v="no known savings"/>
    <x v="1"/>
    <s v="skilled"/>
    <s v="Skilled"/>
    <x v="0"/>
    <s v="&gt;=7"/>
    <x v="3"/>
    <s v="delayed previously"/>
    <x v="4"/>
    <n v="3"/>
    <n v="1"/>
    <n v="846"/>
    <s v="No"/>
    <s v="None"/>
    <s v="None"/>
    <x v="4"/>
    <x v="2"/>
    <n v="7"/>
    <x v="1"/>
  </r>
  <r>
    <n v="924"/>
    <n v="45"/>
    <x v="2"/>
    <s v="Female Divorced with Dependents"/>
    <x v="0"/>
    <x v="0"/>
    <n v="1"/>
    <x v="1"/>
    <s v="Unknown"/>
    <x v="0"/>
    <n v="1"/>
    <x v="2"/>
    <s v="No"/>
    <s v="0&lt;=X&lt;200"/>
    <x v="0"/>
    <s v="&lt;100"/>
    <x v="0"/>
    <s v="skilled"/>
    <s v="Skilled"/>
    <x v="0"/>
    <s v="&lt;1"/>
    <x v="1"/>
    <s v="existing paid"/>
    <x v="1"/>
    <n v="1"/>
    <n v="1"/>
    <n v="2329"/>
    <s v="guarantor"/>
    <s v="Guarantor"/>
    <s v="None"/>
    <x v="4"/>
    <x v="2"/>
    <n v="7"/>
    <x v="1"/>
  </r>
  <r>
    <n v="925"/>
    <n v="34"/>
    <x v="0"/>
    <s v="Male single"/>
    <x v="1"/>
    <x v="1"/>
    <n v="1"/>
    <x v="1"/>
    <s v="Unknown"/>
    <x v="0"/>
    <n v="2"/>
    <x v="2"/>
    <s v="No"/>
    <s v="0&lt;=X&lt;200"/>
    <x v="0"/>
    <s v="&lt;100"/>
    <x v="0"/>
    <s v="skilled"/>
    <s v="Skilled"/>
    <x v="0"/>
    <s v="1&lt;=X&lt;4"/>
    <x v="0"/>
    <s v="existing paid"/>
    <x v="1"/>
    <n v="3"/>
    <n v="1"/>
    <n v="2415"/>
    <s v="guarantor"/>
    <s v="Guarantor"/>
    <s v="None"/>
    <x v="4"/>
    <x v="2"/>
    <n v="7"/>
    <x v="1"/>
  </r>
  <r>
    <n v="926"/>
    <n v="35"/>
    <x v="0"/>
    <s v="Male single"/>
    <x v="1"/>
    <x v="1"/>
    <n v="1"/>
    <x v="1"/>
    <s v="Unknown"/>
    <x v="0"/>
    <n v="2"/>
    <x v="2"/>
    <s v="No"/>
    <s v="0&lt;=X&lt;200"/>
    <x v="0"/>
    <s v="&lt;100"/>
    <x v="0"/>
    <s v="skilled"/>
    <s v="Skilled"/>
    <x v="0"/>
    <s v="1&lt;=X&lt;4"/>
    <x v="0"/>
    <s v="existing paid"/>
    <x v="1"/>
    <n v="2"/>
    <n v="1"/>
    <n v="2576"/>
    <s v="guarantor"/>
    <s v="Guarantor"/>
    <s v="None"/>
    <x v="4"/>
    <x v="2"/>
    <n v="7"/>
    <x v="1"/>
  </r>
  <r>
    <n v="927"/>
    <n v="41"/>
    <x v="2"/>
    <s v="Female Divorced with Dependents"/>
    <x v="0"/>
    <x v="0"/>
    <n v="1"/>
    <x v="1"/>
    <s v="Resident"/>
    <x v="0"/>
    <n v="2"/>
    <x v="2"/>
    <s v="No"/>
    <s v="no checking"/>
    <x v="2"/>
    <s v="&gt;=1000"/>
    <x v="2"/>
    <s v="unskilled resident"/>
    <s v="Unskilled"/>
    <x v="0"/>
    <s v="1&lt;=X&lt;4"/>
    <x v="0"/>
    <s v="critical/Others existing credit"/>
    <x v="3"/>
    <n v="2"/>
    <n v="2"/>
    <n v="250"/>
    <s v="No"/>
    <s v="None"/>
    <s v="Bank"/>
    <x v="3"/>
    <x v="2"/>
    <n v="6"/>
    <x v="1"/>
  </r>
  <r>
    <n v="928"/>
    <n v="52"/>
    <x v="3"/>
    <s v="Male single"/>
    <x v="1"/>
    <x v="1"/>
    <n v="1"/>
    <x v="1"/>
    <s v="Unknown"/>
    <x v="0"/>
    <n v="4"/>
    <x v="1"/>
    <s v="No"/>
    <s v="&lt;0"/>
    <x v="1"/>
    <s v="500&lt;=X&lt;1000"/>
    <x v="4"/>
    <s v="skilled"/>
    <s v="Skilled"/>
    <x v="0"/>
    <s v="&gt;=7"/>
    <x v="3"/>
    <s v="critical/Others existing credit"/>
    <x v="3"/>
    <n v="4"/>
    <n v="2"/>
    <n v="338"/>
    <s v="No"/>
    <s v="None"/>
    <s v="None"/>
    <x v="4"/>
    <x v="2"/>
    <n v="6"/>
    <x v="1"/>
  </r>
  <r>
    <n v="929"/>
    <n v="27"/>
    <x v="1"/>
    <s v="Female Divorced with Dependents"/>
    <x v="0"/>
    <x v="0"/>
    <n v="1"/>
    <x v="1"/>
    <s v="Unknown"/>
    <x v="0"/>
    <n v="1"/>
    <x v="2"/>
    <s v="No"/>
    <s v="&lt;0"/>
    <x v="1"/>
    <s v="&lt;100"/>
    <x v="0"/>
    <s v="skilled"/>
    <s v="Skilled"/>
    <x v="0"/>
    <s v="&lt;1"/>
    <x v="1"/>
    <s v="existing paid"/>
    <x v="1"/>
    <n v="4"/>
    <n v="1"/>
    <n v="343"/>
    <s v="No"/>
    <s v="None"/>
    <s v="None"/>
    <x v="8"/>
    <x v="2"/>
    <n v="6"/>
    <x v="1"/>
  </r>
  <r>
    <n v="930"/>
    <n v="52"/>
    <x v="3"/>
    <s v="Female Divorced with Dependents"/>
    <x v="0"/>
    <x v="0"/>
    <n v="1"/>
    <x v="1"/>
    <s v="Resident"/>
    <x v="0"/>
    <n v="4"/>
    <x v="1"/>
    <s v="No"/>
    <s v="no checking"/>
    <x v="2"/>
    <s v="100&lt;=X&lt;500"/>
    <x v="3"/>
    <s v="unskilled resident"/>
    <s v="Unskilled"/>
    <x v="0"/>
    <s v="1&lt;=X&lt;4"/>
    <x v="0"/>
    <s v="critical/Others existing credit"/>
    <x v="3"/>
    <n v="4"/>
    <n v="2"/>
    <n v="362"/>
    <s v="No"/>
    <s v="None"/>
    <s v="None"/>
    <x v="3"/>
    <x v="2"/>
    <n v="6"/>
    <x v="1"/>
  </r>
  <r>
    <n v="931"/>
    <n v="38"/>
    <x v="0"/>
    <s v="Male single"/>
    <x v="1"/>
    <x v="1"/>
    <n v="1"/>
    <x v="1"/>
    <s v="Unknown"/>
    <x v="0"/>
    <n v="4"/>
    <x v="0"/>
    <s v="No"/>
    <s v="0&lt;=X&lt;200"/>
    <x v="0"/>
    <s v="no known savings"/>
    <x v="1"/>
    <s v="skilled"/>
    <s v="Skilled"/>
    <x v="0"/>
    <s v="&gt;=7"/>
    <x v="3"/>
    <s v="existing paid"/>
    <x v="1"/>
    <n v="4"/>
    <n v="1"/>
    <n v="368"/>
    <s v="No"/>
    <s v="None"/>
    <s v="None"/>
    <x v="4"/>
    <x v="2"/>
    <n v="6"/>
    <x v="1"/>
  </r>
  <r>
    <n v="932"/>
    <n v="39"/>
    <x v="2"/>
    <s v="Male Married/Widowed"/>
    <x v="1"/>
    <x v="2"/>
    <n v="1"/>
    <x v="1"/>
    <s v="Resident"/>
    <x v="0"/>
    <n v="4"/>
    <x v="1"/>
    <s v="No"/>
    <s v="no checking"/>
    <x v="2"/>
    <s v="&lt;100"/>
    <x v="0"/>
    <s v="unskilled resident"/>
    <s v="Unskilled"/>
    <x v="0"/>
    <s v="&gt;=7"/>
    <x v="3"/>
    <s v="no credits/all paid"/>
    <x v="0"/>
    <n v="4"/>
    <n v="1"/>
    <n v="426"/>
    <s v="No"/>
    <s v="None"/>
    <s v="None"/>
    <x v="4"/>
    <x v="2"/>
    <n v="6"/>
    <x v="1"/>
  </r>
  <r>
    <n v="933"/>
    <n v="49"/>
    <x v="3"/>
    <s v="Female Divorced with Dependents"/>
    <x v="0"/>
    <x v="0"/>
    <n v="1"/>
    <x v="1"/>
    <s v="Unknown"/>
    <x v="0"/>
    <n v="1"/>
    <x v="0"/>
    <s v="Yes"/>
    <s v="&lt;0"/>
    <x v="1"/>
    <s v="&lt;100"/>
    <x v="0"/>
    <s v="skilled"/>
    <s v="Skilled"/>
    <x v="0"/>
    <s v="&gt;=7"/>
    <x v="3"/>
    <s v="existing paid"/>
    <x v="1"/>
    <n v="2"/>
    <n v="1"/>
    <n v="428"/>
    <s v="No"/>
    <s v="None"/>
    <s v="Bank"/>
    <x v="1"/>
    <x v="2"/>
    <n v="6"/>
    <x v="1"/>
  </r>
  <r>
    <n v="934"/>
    <n v="24"/>
    <x v="1"/>
    <s v="Female Divorced with Dependents"/>
    <x v="0"/>
    <x v="0"/>
    <n v="2"/>
    <x v="1"/>
    <s v="Unknown"/>
    <x v="1"/>
    <n v="2"/>
    <x v="0"/>
    <s v="No"/>
    <s v="0&lt;=X&lt;200"/>
    <x v="0"/>
    <s v="&gt;=1000"/>
    <x v="2"/>
    <s v="skilled"/>
    <s v="Skilled"/>
    <x v="0"/>
    <s v="&lt;1"/>
    <x v="1"/>
    <s v="all paid"/>
    <x v="2"/>
    <n v="4"/>
    <n v="1"/>
    <n v="433"/>
    <s v="No"/>
    <s v="None"/>
    <s v="Bank"/>
    <x v="7"/>
    <x v="2"/>
    <n v="6"/>
    <x v="0"/>
  </r>
  <r>
    <n v="935"/>
    <n v="23"/>
    <x v="1"/>
    <s v="Female Divorced with Dependents"/>
    <x v="0"/>
    <x v="0"/>
    <n v="1"/>
    <x v="1"/>
    <s v="Unknown"/>
    <x v="0"/>
    <n v="4"/>
    <x v="0"/>
    <s v="No"/>
    <s v="&lt;0"/>
    <x v="1"/>
    <s v="&lt;100"/>
    <x v="0"/>
    <s v="skilled"/>
    <s v="Skilled"/>
    <x v="0"/>
    <s v="&lt;1"/>
    <x v="1"/>
    <s v="existing paid"/>
    <x v="1"/>
    <n v="4"/>
    <n v="1"/>
    <n v="448"/>
    <s v="No"/>
    <s v="None"/>
    <s v="None"/>
    <x v="7"/>
    <x v="2"/>
    <n v="6"/>
    <x v="0"/>
  </r>
  <r>
    <n v="936"/>
    <n v="22"/>
    <x v="1"/>
    <s v="Male Married/Widowed"/>
    <x v="1"/>
    <x v="2"/>
    <n v="1"/>
    <x v="1"/>
    <s v="Resident"/>
    <x v="0"/>
    <n v="1"/>
    <x v="0"/>
    <s v="No"/>
    <s v="0&lt;=X&lt;200"/>
    <x v="0"/>
    <s v="&lt;100"/>
    <x v="0"/>
    <s v="unskilled resident"/>
    <s v="Unskilled"/>
    <x v="0"/>
    <s v="&lt;1"/>
    <x v="1"/>
    <s v="existing paid"/>
    <x v="1"/>
    <n v="3"/>
    <n v="1"/>
    <n v="454"/>
    <s v="No"/>
    <s v="None"/>
    <s v="None"/>
    <x v="6"/>
    <x v="2"/>
    <n v="6"/>
    <x v="1"/>
  </r>
  <r>
    <n v="937"/>
    <n v="28"/>
    <x v="1"/>
    <s v="Male Married/Widowed"/>
    <x v="1"/>
    <x v="2"/>
    <n v="1"/>
    <x v="1"/>
    <s v="Resident"/>
    <x v="0"/>
    <n v="3"/>
    <x v="2"/>
    <s v="No"/>
    <s v="0&lt;=X&lt;200"/>
    <x v="0"/>
    <s v="&lt;100"/>
    <x v="0"/>
    <s v="unskilled resident"/>
    <s v="Unskilled"/>
    <x v="0"/>
    <s v="4&lt;=X&lt;7"/>
    <x v="2"/>
    <s v="existing paid"/>
    <x v="1"/>
    <n v="3"/>
    <n v="1"/>
    <n v="484"/>
    <s v="guarantor"/>
    <s v="Guarantor"/>
    <s v="Bank"/>
    <x v="4"/>
    <x v="2"/>
    <n v="6"/>
    <x v="1"/>
  </r>
  <r>
    <n v="938"/>
    <n v="29"/>
    <x v="0"/>
    <s v="Female Divorced with Dependents"/>
    <x v="0"/>
    <x v="0"/>
    <n v="1"/>
    <x v="1"/>
    <s v="Unknown"/>
    <x v="0"/>
    <n v="1"/>
    <x v="2"/>
    <s v="No"/>
    <s v="no checking"/>
    <x v="2"/>
    <s v="&lt;100"/>
    <x v="0"/>
    <s v="skilled"/>
    <s v="Skilled"/>
    <x v="0"/>
    <s v="1&lt;=X&lt;4"/>
    <x v="0"/>
    <s v="existing paid"/>
    <x v="1"/>
    <n v="3"/>
    <n v="1"/>
    <n v="518"/>
    <s v="No"/>
    <s v="None"/>
    <s v="None"/>
    <x v="4"/>
    <x v="2"/>
    <n v="6"/>
    <x v="1"/>
  </r>
  <r>
    <n v="939"/>
    <n v="23"/>
    <x v="1"/>
    <s v="Male Married/Widowed"/>
    <x v="1"/>
    <x v="2"/>
    <n v="1"/>
    <x v="1"/>
    <s v="Resident"/>
    <x v="1"/>
    <n v="4"/>
    <x v="2"/>
    <s v="No"/>
    <s v="no checking"/>
    <x v="2"/>
    <s v="500&lt;=X&lt;1000"/>
    <x v="4"/>
    <s v="unskilled resident"/>
    <s v="Unskilled"/>
    <x v="0"/>
    <s v="4&lt;=X&lt;7"/>
    <x v="2"/>
    <s v="existing paid"/>
    <x v="1"/>
    <n v="2"/>
    <n v="1"/>
    <n v="660"/>
    <s v="No"/>
    <s v="None"/>
    <s v="None"/>
    <x v="6"/>
    <x v="2"/>
    <n v="6"/>
    <x v="1"/>
  </r>
  <r>
    <n v="940"/>
    <n v="41"/>
    <x v="2"/>
    <s v="Male single"/>
    <x v="1"/>
    <x v="1"/>
    <n v="2"/>
    <x v="1"/>
    <s v="Resident"/>
    <x v="0"/>
    <n v="4"/>
    <x v="2"/>
    <s v="Yes"/>
    <s v="&lt;0"/>
    <x v="1"/>
    <s v="&lt;100"/>
    <x v="0"/>
    <s v="unskilled resident"/>
    <s v="Unskilled"/>
    <x v="0"/>
    <s v="&lt;1"/>
    <x v="1"/>
    <s v="existing paid"/>
    <x v="1"/>
    <n v="3"/>
    <n v="1"/>
    <n v="662"/>
    <s v="No"/>
    <s v="None"/>
    <s v="None"/>
    <x v="3"/>
    <x v="2"/>
    <n v="6"/>
    <x v="1"/>
  </r>
  <r>
    <n v="941"/>
    <n v="39"/>
    <x v="2"/>
    <s v="Female Divorced with Dependents"/>
    <x v="0"/>
    <x v="0"/>
    <n v="1"/>
    <x v="1"/>
    <s v="Resident"/>
    <x v="0"/>
    <n v="4"/>
    <x v="2"/>
    <s v="Yes"/>
    <s v="&lt;0"/>
    <x v="1"/>
    <s v="&gt;=1000"/>
    <x v="2"/>
    <s v="unskilled resident"/>
    <s v="Unskilled"/>
    <x v="0"/>
    <s v="4&lt;=X&lt;7"/>
    <x v="2"/>
    <s v="critical/Others existing credit"/>
    <x v="3"/>
    <n v="3"/>
    <n v="2"/>
    <n v="666"/>
    <s v="No"/>
    <s v="None"/>
    <s v="None"/>
    <x v="3"/>
    <x v="2"/>
    <n v="6"/>
    <x v="1"/>
  </r>
  <r>
    <n v="942"/>
    <n v="54"/>
    <x v="3"/>
    <s v="Female Divorced with Dependents"/>
    <x v="0"/>
    <x v="0"/>
    <n v="1"/>
    <x v="1"/>
    <s v="Non-resident"/>
    <x v="0"/>
    <n v="4"/>
    <x v="2"/>
    <s v="Yes"/>
    <s v="no checking"/>
    <x v="2"/>
    <s v="&lt;100"/>
    <x v="0"/>
    <s v="unemp/unskilled non res"/>
    <s v="Unskilled"/>
    <x v="1"/>
    <s v="unemployed"/>
    <x v="4"/>
    <s v="existing paid"/>
    <x v="1"/>
    <n v="1"/>
    <n v="1"/>
    <n v="672"/>
    <s v="No"/>
    <s v="None"/>
    <s v="None"/>
    <x v="3"/>
    <x v="2"/>
    <n v="6"/>
    <x v="1"/>
  </r>
  <r>
    <n v="943"/>
    <n v="29"/>
    <x v="0"/>
    <s v="Female Divorced with Dependents"/>
    <x v="0"/>
    <x v="0"/>
    <n v="1"/>
    <x v="1"/>
    <s v="Unknown"/>
    <x v="0"/>
    <n v="1"/>
    <x v="0"/>
    <s v="No"/>
    <s v="&gt;=200"/>
    <x v="3"/>
    <s v="&lt;100"/>
    <x v="0"/>
    <s v="skilled"/>
    <s v="Skilled"/>
    <x v="0"/>
    <s v="&lt;1"/>
    <x v="1"/>
    <s v="delayed previously"/>
    <x v="4"/>
    <n v="2"/>
    <n v="1"/>
    <n v="683"/>
    <s v="No"/>
    <s v="None"/>
    <s v="Bank"/>
    <x v="4"/>
    <x v="2"/>
    <n v="6"/>
    <x v="1"/>
  </r>
  <r>
    <n v="944"/>
    <n v="36"/>
    <x v="0"/>
    <s v="Male single"/>
    <x v="1"/>
    <x v="1"/>
    <n v="1"/>
    <x v="1"/>
    <s v="Unknown"/>
    <x v="2"/>
    <n v="4"/>
    <x v="3"/>
    <s v="No"/>
    <s v="no checking"/>
    <x v="2"/>
    <s v="no known savings"/>
    <x v="1"/>
    <s v="skilled"/>
    <s v="Skilled"/>
    <x v="0"/>
    <s v="&gt;=7"/>
    <x v="3"/>
    <s v="critical/Others existing credit"/>
    <x v="3"/>
    <n v="4"/>
    <n v="2"/>
    <n v="700"/>
    <s v="No"/>
    <s v="None"/>
    <s v="None"/>
    <x v="4"/>
    <x v="2"/>
    <n v="6"/>
    <x v="1"/>
  </r>
  <r>
    <n v="945"/>
    <n v="64"/>
    <x v="5"/>
    <s v="Female Divorced with Dependents"/>
    <x v="0"/>
    <x v="0"/>
    <n v="1"/>
    <x v="1"/>
    <s v="Unknown"/>
    <x v="0"/>
    <n v="3"/>
    <x v="2"/>
    <s v="No"/>
    <s v="0&lt;=X&lt;200"/>
    <x v="0"/>
    <s v="&lt;100"/>
    <x v="0"/>
    <s v="skilled"/>
    <s v="Skilled"/>
    <x v="0"/>
    <s v="1&lt;=X&lt;4"/>
    <x v="0"/>
    <s v="existing paid"/>
    <x v="1"/>
    <n v="2"/>
    <n v="1"/>
    <n v="753"/>
    <s v="guarantor"/>
    <s v="Guarantor"/>
    <s v="None"/>
    <x v="4"/>
    <x v="2"/>
    <n v="6"/>
    <x v="1"/>
  </r>
  <r>
    <n v="946"/>
    <n v="26"/>
    <x v="1"/>
    <s v="Male single"/>
    <x v="1"/>
    <x v="1"/>
    <n v="2"/>
    <x v="1"/>
    <s v="Resident"/>
    <x v="0"/>
    <n v="2"/>
    <x v="2"/>
    <s v="No"/>
    <s v="no checking"/>
    <x v="2"/>
    <s v="no known savings"/>
    <x v="1"/>
    <s v="unskilled resident"/>
    <s v="Unskilled"/>
    <x v="0"/>
    <s v="1&lt;=X&lt;4"/>
    <x v="0"/>
    <s v="all paid"/>
    <x v="2"/>
    <n v="1"/>
    <n v="1"/>
    <n v="783"/>
    <s v="guarantor"/>
    <s v="Guarantor"/>
    <s v="Store"/>
    <x v="3"/>
    <x v="2"/>
    <n v="6"/>
    <x v="1"/>
  </r>
  <r>
    <n v="947"/>
    <n v="39"/>
    <x v="2"/>
    <s v="Female Divorced with Dependents"/>
    <x v="0"/>
    <x v="0"/>
    <n v="1"/>
    <x v="1"/>
    <s v="Unknown"/>
    <x v="0"/>
    <n v="4"/>
    <x v="3"/>
    <s v="Yes"/>
    <s v="&lt;0"/>
    <x v="1"/>
    <s v="&lt;100"/>
    <x v="0"/>
    <s v="skilled"/>
    <s v="Skilled"/>
    <x v="0"/>
    <s v="&gt;=7"/>
    <x v="3"/>
    <s v="critical/Others existing credit"/>
    <x v="3"/>
    <n v="1"/>
    <n v="2"/>
    <n v="860"/>
    <s v="No"/>
    <s v="None"/>
    <s v="None"/>
    <x v="3"/>
    <x v="2"/>
    <n v="6"/>
    <x v="1"/>
  </r>
  <r>
    <n v="948"/>
    <n v="32"/>
    <x v="0"/>
    <s v="Female Divorced with Dependents"/>
    <x v="0"/>
    <x v="0"/>
    <n v="1"/>
    <x v="1"/>
    <s v="Resident"/>
    <x v="0"/>
    <n v="1"/>
    <x v="0"/>
    <s v="No"/>
    <s v="0&lt;=X&lt;200"/>
    <x v="0"/>
    <s v="100&lt;=X&lt;500"/>
    <x v="3"/>
    <s v="unskilled resident"/>
    <s v="Unskilled"/>
    <x v="0"/>
    <s v="&lt;1"/>
    <x v="1"/>
    <s v="all paid"/>
    <x v="2"/>
    <n v="1"/>
    <n v="1"/>
    <n v="931"/>
    <s v="No"/>
    <s v="None"/>
    <s v="Store"/>
    <x v="3"/>
    <x v="2"/>
    <n v="6"/>
    <x v="0"/>
  </r>
  <r>
    <n v="949"/>
    <n v="24"/>
    <x v="1"/>
    <s v="Female Divorced with Dependents"/>
    <x v="0"/>
    <x v="0"/>
    <n v="1"/>
    <x v="1"/>
    <s v="Unknown"/>
    <x v="0"/>
    <n v="2"/>
    <x v="2"/>
    <s v="No"/>
    <s v="no checking"/>
    <x v="2"/>
    <s v="&lt;100"/>
    <x v="0"/>
    <s v="skilled"/>
    <s v="Skilled"/>
    <x v="0"/>
    <s v="1&lt;=X&lt;4"/>
    <x v="0"/>
    <s v="delayed previously"/>
    <x v="4"/>
    <n v="3"/>
    <n v="1"/>
    <n v="932"/>
    <s v="No"/>
    <s v="None"/>
    <s v="None"/>
    <x v="4"/>
    <x v="2"/>
    <n v="6"/>
    <x v="1"/>
  </r>
  <r>
    <n v="950"/>
    <n v="39"/>
    <x v="2"/>
    <s v="Female Divorced with Dependents"/>
    <x v="0"/>
    <x v="0"/>
    <n v="1"/>
    <x v="1"/>
    <s v="Resident"/>
    <x v="0"/>
    <n v="3"/>
    <x v="0"/>
    <s v="No"/>
    <s v="0&lt;=X&lt;200"/>
    <x v="0"/>
    <s v="no known savings"/>
    <x v="1"/>
    <s v="unskilled resident"/>
    <s v="Unskilled"/>
    <x v="0"/>
    <s v="4&lt;=X&lt;7"/>
    <x v="2"/>
    <s v="critical/Others existing credit"/>
    <x v="3"/>
    <n v="1"/>
    <n v="2"/>
    <n v="932"/>
    <s v="No"/>
    <s v="None"/>
    <s v="None"/>
    <x v="9"/>
    <x v="2"/>
    <n v="6"/>
    <x v="1"/>
  </r>
  <r>
    <n v="951"/>
    <n v="50"/>
    <x v="3"/>
    <s v="Female Divorced with Dependents"/>
    <x v="0"/>
    <x v="0"/>
    <n v="1"/>
    <x v="1"/>
    <s v="Resident"/>
    <x v="0"/>
    <n v="4"/>
    <x v="0"/>
    <s v="No"/>
    <s v="&gt;=200"/>
    <x v="3"/>
    <s v="&lt;100"/>
    <x v="0"/>
    <s v="unskilled resident"/>
    <s v="Unskilled"/>
    <x v="0"/>
    <s v="1&lt;=X&lt;4"/>
    <x v="0"/>
    <s v="critical/Others existing credit"/>
    <x v="3"/>
    <n v="2"/>
    <n v="1"/>
    <n v="1047"/>
    <s v="No"/>
    <s v="None"/>
    <s v="None"/>
    <x v="7"/>
    <x v="2"/>
    <n v="6"/>
    <x v="1"/>
  </r>
  <r>
    <n v="952"/>
    <n v="35"/>
    <x v="0"/>
    <s v="Male single"/>
    <x v="1"/>
    <x v="1"/>
    <n v="1"/>
    <x v="1"/>
    <s v="Unknown"/>
    <x v="0"/>
    <n v="1"/>
    <x v="0"/>
    <s v="Yes"/>
    <s v="0&lt;=X&lt;200"/>
    <x v="0"/>
    <s v="&lt;100"/>
    <x v="0"/>
    <s v="high qualif/self emp/mgmt"/>
    <s v="Skilled"/>
    <x v="0"/>
    <s v="unemployed"/>
    <x v="4"/>
    <s v="delayed previously"/>
    <x v="4"/>
    <n v="4"/>
    <n v="2"/>
    <n v="1050"/>
    <s v="No"/>
    <s v="None"/>
    <s v="Store"/>
    <x v="1"/>
    <x v="2"/>
    <n v="6"/>
    <x v="1"/>
  </r>
  <r>
    <n v="953"/>
    <n v="28"/>
    <x v="1"/>
    <s v="Male single"/>
    <x v="1"/>
    <x v="1"/>
    <n v="2"/>
    <x v="1"/>
    <s v="Unknown"/>
    <x v="0"/>
    <n v="4"/>
    <x v="1"/>
    <s v="No"/>
    <s v="0&lt;=X&lt;200"/>
    <x v="0"/>
    <s v="&lt;100"/>
    <x v="0"/>
    <s v="skilled"/>
    <s v="Skilled"/>
    <x v="0"/>
    <s v="&gt;=7"/>
    <x v="3"/>
    <s v="existing paid"/>
    <x v="1"/>
    <n v="4"/>
    <n v="1"/>
    <n v="1068"/>
    <s v="No"/>
    <s v="None"/>
    <s v="None"/>
    <x v="4"/>
    <x v="2"/>
    <n v="6"/>
    <x v="1"/>
  </r>
  <r>
    <n v="954"/>
    <n v="67"/>
    <x v="5"/>
    <s v="Male single"/>
    <x v="1"/>
    <x v="1"/>
    <n v="1"/>
    <x v="1"/>
    <s v="Unknown"/>
    <x v="0"/>
    <n v="4"/>
    <x v="2"/>
    <s v="Yes"/>
    <s v="&lt;0"/>
    <x v="1"/>
    <s v="no known savings"/>
    <x v="1"/>
    <s v="skilled"/>
    <s v="Skilled"/>
    <x v="0"/>
    <s v="&gt;=7"/>
    <x v="3"/>
    <s v="critical/Others existing credit"/>
    <x v="3"/>
    <n v="4"/>
    <n v="2"/>
    <n v="1169"/>
    <s v="No"/>
    <s v="None"/>
    <s v="None"/>
    <x v="4"/>
    <x v="2"/>
    <n v="6"/>
    <x v="1"/>
  </r>
  <r>
    <n v="955"/>
    <n v="35"/>
    <x v="0"/>
    <s v="Female Divorced with Dependents"/>
    <x v="0"/>
    <x v="0"/>
    <n v="1"/>
    <x v="1"/>
    <s v="Unknown"/>
    <x v="2"/>
    <n v="4"/>
    <x v="3"/>
    <s v="No"/>
    <s v="&lt;0"/>
    <x v="1"/>
    <s v="&lt;100"/>
    <x v="0"/>
    <s v="skilled"/>
    <s v="Skilled"/>
    <x v="0"/>
    <s v="&gt;=7"/>
    <x v="3"/>
    <s v="all paid"/>
    <x v="2"/>
    <n v="4"/>
    <n v="1"/>
    <n v="1198"/>
    <s v="No"/>
    <s v="None"/>
    <s v="None"/>
    <x v="7"/>
    <x v="2"/>
    <n v="6"/>
    <x v="0"/>
  </r>
  <r>
    <n v="956"/>
    <n v="43"/>
    <x v="2"/>
    <s v="Male single"/>
    <x v="1"/>
    <x v="1"/>
    <n v="1"/>
    <x v="1"/>
    <s v="Unknown"/>
    <x v="0"/>
    <n v="2"/>
    <x v="0"/>
    <s v="Yes"/>
    <s v="&lt;0"/>
    <x v="1"/>
    <s v="100&lt;=X&lt;500"/>
    <x v="3"/>
    <s v="skilled"/>
    <s v="Skilled"/>
    <x v="0"/>
    <s v="&gt;=7"/>
    <x v="3"/>
    <s v="existing paid"/>
    <x v="1"/>
    <n v="3"/>
    <n v="1"/>
    <n v="1203"/>
    <s v="No"/>
    <s v="None"/>
    <s v="None"/>
    <x v="3"/>
    <x v="2"/>
    <n v="6"/>
    <x v="1"/>
  </r>
  <r>
    <n v="957"/>
    <n v="47"/>
    <x v="2"/>
    <s v="Male single"/>
    <x v="1"/>
    <x v="1"/>
    <n v="1"/>
    <x v="1"/>
    <s v="Unknown"/>
    <x v="0"/>
    <n v="4"/>
    <x v="0"/>
    <s v="Yes"/>
    <s v="0&lt;=X&lt;200"/>
    <x v="0"/>
    <s v="&lt;100"/>
    <x v="0"/>
    <s v="high qualif/self emp/mgmt"/>
    <s v="Skilled"/>
    <x v="0"/>
    <s v="unemployed"/>
    <x v="4"/>
    <s v="delayed previously"/>
    <x v="4"/>
    <n v="4"/>
    <n v="1"/>
    <n v="1209"/>
    <s v="No"/>
    <s v="None"/>
    <s v="None"/>
    <x v="3"/>
    <x v="2"/>
    <n v="6"/>
    <x v="0"/>
  </r>
  <r>
    <n v="958"/>
    <n v="27"/>
    <x v="1"/>
    <s v="Male Married/Widowed"/>
    <x v="1"/>
    <x v="2"/>
    <n v="1"/>
    <x v="1"/>
    <s v="Unknown"/>
    <x v="0"/>
    <n v="2"/>
    <x v="0"/>
    <s v="No"/>
    <s v="no checking"/>
    <x v="2"/>
    <s v="no known savings"/>
    <x v="1"/>
    <s v="skilled"/>
    <s v="Skilled"/>
    <x v="0"/>
    <s v="1&lt;=X&lt;4"/>
    <x v="0"/>
    <s v="critical/Others existing credit"/>
    <x v="3"/>
    <n v="1"/>
    <n v="2"/>
    <n v="1221"/>
    <s v="No"/>
    <s v="None"/>
    <s v="None"/>
    <x v="1"/>
    <x v="2"/>
    <n v="6"/>
    <x v="1"/>
  </r>
  <r>
    <n v="959"/>
    <n v="50"/>
    <x v="3"/>
    <s v="Male single"/>
    <x v="1"/>
    <x v="1"/>
    <n v="1"/>
    <x v="1"/>
    <s v="Unknown"/>
    <x v="1"/>
    <n v="4"/>
    <x v="0"/>
    <s v="No"/>
    <s v="no checking"/>
    <x v="2"/>
    <s v="500&lt;=X&lt;1000"/>
    <x v="4"/>
    <s v="skilled"/>
    <s v="Skilled"/>
    <x v="0"/>
    <s v="1&lt;=X&lt;4"/>
    <x v="0"/>
    <s v="existing paid"/>
    <x v="1"/>
    <n v="2"/>
    <n v="1"/>
    <n v="1236"/>
    <s v="No"/>
    <s v="None"/>
    <s v="None"/>
    <x v="2"/>
    <x v="2"/>
    <n v="6"/>
    <x v="1"/>
  </r>
  <r>
    <n v="960"/>
    <n v="27"/>
    <x v="1"/>
    <s v="Female Divorced with Dependents"/>
    <x v="0"/>
    <x v="0"/>
    <n v="1"/>
    <x v="1"/>
    <s v="Unknown"/>
    <x v="0"/>
    <n v="1"/>
    <x v="0"/>
    <s v="No"/>
    <s v="no checking"/>
    <x v="2"/>
    <s v="100&lt;=X&lt;500"/>
    <x v="3"/>
    <s v="skilled"/>
    <s v="Skilled"/>
    <x v="0"/>
    <s v="1&lt;=X&lt;4"/>
    <x v="0"/>
    <s v="critical/Others existing credit"/>
    <x v="3"/>
    <n v="1"/>
    <n v="2"/>
    <n v="1237"/>
    <s v="No"/>
    <s v="None"/>
    <s v="None"/>
    <x v="4"/>
    <x v="2"/>
    <n v="6"/>
    <x v="1"/>
  </r>
  <r>
    <n v="961"/>
    <n v="36"/>
    <x v="0"/>
    <s v="Male single"/>
    <x v="1"/>
    <x v="1"/>
    <n v="2"/>
    <x v="1"/>
    <s v="Unknown"/>
    <x v="0"/>
    <n v="4"/>
    <x v="0"/>
    <s v="Yes"/>
    <s v="no checking"/>
    <x v="2"/>
    <s v="no known savings"/>
    <x v="1"/>
    <s v="high qualif/self emp/mgmt"/>
    <s v="Skilled"/>
    <x v="0"/>
    <s v="unemployed"/>
    <x v="4"/>
    <s v="existing paid"/>
    <x v="1"/>
    <n v="4"/>
    <n v="1"/>
    <n v="1238"/>
    <s v="No"/>
    <s v="None"/>
    <s v="None"/>
    <x v="9"/>
    <x v="2"/>
    <n v="6"/>
    <x v="1"/>
  </r>
  <r>
    <n v="962"/>
    <n v="28"/>
    <x v="1"/>
    <s v="Male Divorced/Seperated"/>
    <x v="1"/>
    <x v="3"/>
    <n v="2"/>
    <x v="1"/>
    <s v="Unknown"/>
    <x v="0"/>
    <n v="4"/>
    <x v="1"/>
    <s v="Yes"/>
    <s v="&gt;=200"/>
    <x v="3"/>
    <s v="100&lt;=X&lt;500"/>
    <x v="3"/>
    <s v="skilled"/>
    <s v="Skilled"/>
    <x v="0"/>
    <s v="&gt;=7"/>
    <x v="3"/>
    <s v="critical/Others existing credit"/>
    <x v="3"/>
    <n v="2"/>
    <n v="2"/>
    <n v="1323"/>
    <s v="No"/>
    <s v="None"/>
    <s v="None"/>
    <x v="3"/>
    <x v="2"/>
    <n v="6"/>
    <x v="1"/>
  </r>
  <r>
    <n v="963"/>
    <n v="62"/>
    <x v="5"/>
    <s v="Male Divorced/Seperated"/>
    <x v="1"/>
    <x v="3"/>
    <n v="1"/>
    <x v="1"/>
    <s v="Unknown"/>
    <x v="0"/>
    <n v="4"/>
    <x v="2"/>
    <s v="No"/>
    <s v="no checking"/>
    <x v="2"/>
    <s v="500&lt;=X&lt;1000"/>
    <x v="4"/>
    <s v="skilled"/>
    <s v="Skilled"/>
    <x v="0"/>
    <s v="1&lt;=X&lt;4"/>
    <x v="0"/>
    <s v="existing paid"/>
    <x v="1"/>
    <n v="1"/>
    <n v="1"/>
    <n v="1338"/>
    <s v="No"/>
    <s v="None"/>
    <s v="None"/>
    <x v="8"/>
    <x v="2"/>
    <n v="6"/>
    <x v="1"/>
  </r>
  <r>
    <n v="964"/>
    <n v="42"/>
    <x v="2"/>
    <s v="Male single"/>
    <x v="1"/>
    <x v="1"/>
    <n v="2"/>
    <x v="1"/>
    <s v="Unknown"/>
    <x v="2"/>
    <n v="4"/>
    <x v="3"/>
    <s v="Yes"/>
    <s v="no checking"/>
    <x v="2"/>
    <s v="100&lt;=X&lt;500"/>
    <x v="3"/>
    <s v="skilled"/>
    <s v="Skilled"/>
    <x v="0"/>
    <s v="&gt;=7"/>
    <x v="3"/>
    <s v="existing paid"/>
    <x v="1"/>
    <n v="2"/>
    <n v="1"/>
    <n v="1346"/>
    <s v="No"/>
    <s v="None"/>
    <s v="Bank"/>
    <x v="4"/>
    <x v="2"/>
    <n v="6"/>
    <x v="1"/>
  </r>
  <r>
    <n v="965"/>
    <n v="23"/>
    <x v="1"/>
    <s v="Female Divorced with Dependents"/>
    <x v="0"/>
    <x v="0"/>
    <n v="1"/>
    <x v="1"/>
    <s v="Non-resident"/>
    <x v="1"/>
    <n v="2"/>
    <x v="0"/>
    <s v="Yes"/>
    <s v="&lt;0"/>
    <x v="1"/>
    <s v="500&lt;=X&lt;1000"/>
    <x v="4"/>
    <s v="unemp/unskilled non res"/>
    <s v="Unskilled"/>
    <x v="1"/>
    <s v="unemployed"/>
    <x v="4"/>
    <s v="existing paid"/>
    <x v="1"/>
    <n v="1"/>
    <n v="1"/>
    <n v="1352"/>
    <s v="No"/>
    <s v="None"/>
    <s v="None"/>
    <x v="2"/>
    <x v="2"/>
    <n v="6"/>
    <x v="1"/>
  </r>
  <r>
    <n v="966"/>
    <n v="36"/>
    <x v="0"/>
    <s v="Male single"/>
    <x v="1"/>
    <x v="1"/>
    <n v="1"/>
    <x v="1"/>
    <s v="Resident"/>
    <x v="0"/>
    <n v="2"/>
    <x v="2"/>
    <s v="Yes"/>
    <s v="&lt;0"/>
    <x v="1"/>
    <s v="&lt;100"/>
    <x v="0"/>
    <s v="unskilled resident"/>
    <s v="Unskilled"/>
    <x v="0"/>
    <s v="1&lt;=X&lt;4"/>
    <x v="0"/>
    <s v="existing paid"/>
    <x v="1"/>
    <n v="1"/>
    <n v="1"/>
    <n v="1374"/>
    <s v="No"/>
    <s v="None"/>
    <s v="Bank"/>
    <x v="1"/>
    <x v="2"/>
    <n v="6"/>
    <x v="1"/>
  </r>
  <r>
    <n v="967"/>
    <n v="75"/>
    <x v="4"/>
    <s v="Female Divorced with Dependents"/>
    <x v="0"/>
    <x v="0"/>
    <n v="1"/>
    <x v="1"/>
    <s v="Unknown"/>
    <x v="0"/>
    <n v="3"/>
    <x v="0"/>
    <s v="Yes"/>
    <s v="&lt;0"/>
    <x v="1"/>
    <s v="no known savings"/>
    <x v="1"/>
    <s v="high qualif/self emp/mgmt"/>
    <s v="Skilled"/>
    <x v="0"/>
    <s v="unemployed"/>
    <x v="4"/>
    <s v="existing paid"/>
    <x v="1"/>
    <n v="4"/>
    <n v="1"/>
    <n v="1374"/>
    <s v="No"/>
    <s v="None"/>
    <s v="None"/>
    <x v="3"/>
    <x v="2"/>
    <n v="6"/>
    <x v="1"/>
  </r>
  <r>
    <n v="968"/>
    <n v="28"/>
    <x v="1"/>
    <s v="Female Divorced with Dependents"/>
    <x v="0"/>
    <x v="0"/>
    <n v="1"/>
    <x v="1"/>
    <s v="Unknown"/>
    <x v="0"/>
    <n v="1"/>
    <x v="1"/>
    <s v="Yes"/>
    <s v="no checking"/>
    <x v="2"/>
    <s v="&lt;100"/>
    <x v="0"/>
    <s v="skilled"/>
    <s v="Skilled"/>
    <x v="0"/>
    <s v="1&lt;=X&lt;4"/>
    <x v="0"/>
    <s v="critical/Others existing credit"/>
    <x v="3"/>
    <n v="1"/>
    <n v="2"/>
    <n v="1382"/>
    <s v="No"/>
    <s v="None"/>
    <s v="None"/>
    <x v="4"/>
    <x v="2"/>
    <n v="6"/>
    <x v="1"/>
  </r>
  <r>
    <n v="969"/>
    <n v="31"/>
    <x v="0"/>
    <s v="Male Divorced/Seperated"/>
    <x v="1"/>
    <x v="3"/>
    <n v="2"/>
    <x v="1"/>
    <s v="Unknown"/>
    <x v="0"/>
    <n v="2"/>
    <x v="1"/>
    <s v="No"/>
    <s v="0&lt;=X&lt;200"/>
    <x v="0"/>
    <s v="100&lt;=X&lt;500"/>
    <x v="3"/>
    <s v="skilled"/>
    <s v="Skilled"/>
    <x v="0"/>
    <s v="&gt;=7"/>
    <x v="3"/>
    <s v="delayed previously"/>
    <x v="4"/>
    <n v="1"/>
    <n v="2"/>
    <n v="1449"/>
    <s v="No"/>
    <s v="None"/>
    <s v="Bank"/>
    <x v="5"/>
    <x v="2"/>
    <n v="6"/>
    <x v="1"/>
  </r>
  <r>
    <n v="970"/>
    <n v="56"/>
    <x v="3"/>
    <s v="Female Divorced with Dependents"/>
    <x v="0"/>
    <x v="0"/>
    <n v="1"/>
    <x v="1"/>
    <s v="Unknown"/>
    <x v="0"/>
    <n v="2"/>
    <x v="3"/>
    <s v="No"/>
    <s v="no checking"/>
    <x v="2"/>
    <s v="&lt;100"/>
    <x v="0"/>
    <s v="skilled"/>
    <s v="Skilled"/>
    <x v="0"/>
    <s v="&lt;1"/>
    <x v="1"/>
    <s v="existing paid"/>
    <x v="1"/>
    <n v="1"/>
    <n v="1"/>
    <n v="1538"/>
    <s v="No"/>
    <s v="None"/>
    <s v="None"/>
    <x v="7"/>
    <x v="2"/>
    <n v="6"/>
    <x v="1"/>
  </r>
  <r>
    <n v="971"/>
    <n v="33"/>
    <x v="0"/>
    <s v="Male Divorced/Seperated"/>
    <x v="1"/>
    <x v="3"/>
    <n v="1"/>
    <x v="1"/>
    <s v="Unknown"/>
    <x v="0"/>
    <n v="2"/>
    <x v="2"/>
    <s v="No"/>
    <s v="no checking"/>
    <x v="2"/>
    <s v="&gt;=1000"/>
    <x v="2"/>
    <s v="skilled"/>
    <s v="Skilled"/>
    <x v="0"/>
    <s v="1&lt;=X&lt;4"/>
    <x v="0"/>
    <s v="existing paid"/>
    <x v="1"/>
    <n v="4"/>
    <n v="1"/>
    <n v="1543"/>
    <s v="No"/>
    <s v="None"/>
    <s v="None"/>
    <x v="1"/>
    <x v="2"/>
    <n v="6"/>
    <x v="1"/>
  </r>
  <r>
    <n v="972"/>
    <n v="24"/>
    <x v="1"/>
    <s v="Female Divorced with Dependents"/>
    <x v="0"/>
    <x v="0"/>
    <n v="1"/>
    <x v="1"/>
    <s v="Unknown"/>
    <x v="1"/>
    <n v="2"/>
    <x v="1"/>
    <s v="Yes"/>
    <s v="no checking"/>
    <x v="2"/>
    <s v="&lt;100"/>
    <x v="0"/>
    <s v="skilled"/>
    <s v="Skilled"/>
    <x v="0"/>
    <s v="4&lt;=X&lt;7"/>
    <x v="2"/>
    <s v="critical/Others existing credit"/>
    <x v="3"/>
    <n v="1"/>
    <n v="2"/>
    <n v="1554"/>
    <s v="No"/>
    <s v="None"/>
    <s v="None"/>
    <x v="4"/>
    <x v="2"/>
    <n v="6"/>
    <x v="1"/>
  </r>
  <r>
    <n v="973"/>
    <n v="51"/>
    <x v="3"/>
    <s v="Male single"/>
    <x v="1"/>
    <x v="1"/>
    <n v="2"/>
    <x v="1"/>
    <s v="Unknown"/>
    <x v="0"/>
    <n v="2"/>
    <x v="0"/>
    <s v="No"/>
    <s v="no checking"/>
    <x v="2"/>
    <s v="&lt;100"/>
    <x v="0"/>
    <s v="skilled"/>
    <s v="Skilled"/>
    <x v="0"/>
    <s v="4&lt;=X&lt;7"/>
    <x v="2"/>
    <s v="existing paid"/>
    <x v="1"/>
    <n v="3"/>
    <n v="1"/>
    <n v="1595"/>
    <s v="No"/>
    <s v="None"/>
    <s v="None"/>
    <x v="4"/>
    <x v="2"/>
    <n v="6"/>
    <x v="1"/>
  </r>
  <r>
    <n v="974"/>
    <n v="30"/>
    <x v="0"/>
    <s v="Male Married/Widowed"/>
    <x v="1"/>
    <x v="2"/>
    <n v="1"/>
    <x v="1"/>
    <s v="Unknown"/>
    <x v="1"/>
    <n v="2"/>
    <x v="2"/>
    <s v="No"/>
    <s v="no checking"/>
    <x v="2"/>
    <s v="&lt;100"/>
    <x v="0"/>
    <s v="skilled"/>
    <s v="Skilled"/>
    <x v="0"/>
    <s v="&gt;=7"/>
    <x v="3"/>
    <s v="critical/Others existing credit"/>
    <x v="3"/>
    <n v="2"/>
    <n v="2"/>
    <n v="1740"/>
    <s v="No"/>
    <s v="None"/>
    <s v="None"/>
    <x v="4"/>
    <x v="2"/>
    <n v="6"/>
    <x v="1"/>
  </r>
  <r>
    <n v="975"/>
    <n v="34"/>
    <x v="0"/>
    <s v="Male single"/>
    <x v="1"/>
    <x v="1"/>
    <n v="1"/>
    <x v="1"/>
    <s v="Resident"/>
    <x v="0"/>
    <n v="2"/>
    <x v="2"/>
    <s v="No"/>
    <s v="no checking"/>
    <x v="2"/>
    <s v="100&lt;=X&lt;500"/>
    <x v="3"/>
    <s v="unskilled resident"/>
    <s v="Unskilled"/>
    <x v="0"/>
    <s v="1&lt;=X&lt;4"/>
    <x v="0"/>
    <s v="delayed previously"/>
    <x v="4"/>
    <n v="1"/>
    <n v="2"/>
    <n v="1743"/>
    <s v="No"/>
    <s v="None"/>
    <s v="None"/>
    <x v="5"/>
    <x v="2"/>
    <n v="6"/>
    <x v="1"/>
  </r>
  <r>
    <n v="976"/>
    <n v="45"/>
    <x v="2"/>
    <s v="Male single"/>
    <x v="1"/>
    <x v="1"/>
    <n v="2"/>
    <x v="1"/>
    <s v="Resident"/>
    <x v="0"/>
    <n v="4"/>
    <x v="0"/>
    <s v="No"/>
    <s v="no checking"/>
    <x v="2"/>
    <s v="500&lt;=X&lt;1000"/>
    <x v="4"/>
    <s v="unskilled resident"/>
    <s v="Unskilled"/>
    <x v="0"/>
    <s v="&gt;=7"/>
    <x v="3"/>
    <s v="all paid"/>
    <x v="2"/>
    <n v="2"/>
    <n v="1"/>
    <n v="1750"/>
    <s v="No"/>
    <s v="None"/>
    <s v="Bank"/>
    <x v="4"/>
    <x v="2"/>
    <n v="6"/>
    <x v="1"/>
  </r>
  <r>
    <n v="977"/>
    <n v="21"/>
    <x v="1"/>
    <s v="Male Married/Widowed"/>
    <x v="1"/>
    <x v="2"/>
    <n v="1"/>
    <x v="1"/>
    <s v="Unknown"/>
    <x v="1"/>
    <n v="2"/>
    <x v="0"/>
    <s v="No"/>
    <s v="no checking"/>
    <x v="2"/>
    <s v="&lt;100"/>
    <x v="0"/>
    <s v="skilled"/>
    <s v="Skilled"/>
    <x v="0"/>
    <s v="1&lt;=X&lt;4"/>
    <x v="0"/>
    <s v="existing paid"/>
    <x v="1"/>
    <n v="1"/>
    <n v="1"/>
    <n v="1766"/>
    <s v="No"/>
    <s v="None"/>
    <s v="None"/>
    <x v="1"/>
    <x v="2"/>
    <n v="6"/>
    <x v="1"/>
  </r>
  <r>
    <n v="978"/>
    <n v="36"/>
    <x v="0"/>
    <s v="Male single"/>
    <x v="1"/>
    <x v="1"/>
    <n v="1"/>
    <x v="1"/>
    <s v="Unknown"/>
    <x v="2"/>
    <n v="4"/>
    <x v="3"/>
    <s v="Yes"/>
    <s v="&lt;0"/>
    <x v="1"/>
    <s v="&lt;100"/>
    <x v="0"/>
    <s v="high qualif/self emp/mgmt"/>
    <s v="Skilled"/>
    <x v="0"/>
    <s v="unemployed"/>
    <x v="4"/>
    <s v="critical/Others existing credit"/>
    <x v="3"/>
    <n v="4"/>
    <n v="3"/>
    <n v="1872"/>
    <s v="No"/>
    <s v="None"/>
    <s v="None"/>
    <x v="1"/>
    <x v="2"/>
    <n v="6"/>
    <x v="1"/>
  </r>
  <r>
    <n v="979"/>
    <n v="34"/>
    <x v="0"/>
    <s v="Male single"/>
    <x v="1"/>
    <x v="1"/>
    <n v="2"/>
    <x v="1"/>
    <s v="Resident"/>
    <x v="0"/>
    <n v="2"/>
    <x v="2"/>
    <s v="No"/>
    <s v="no checking"/>
    <x v="2"/>
    <s v="no known savings"/>
    <x v="1"/>
    <s v="unskilled resident"/>
    <s v="Unskilled"/>
    <x v="0"/>
    <s v="1&lt;=X&lt;4"/>
    <x v="0"/>
    <s v="critical/Others existing credit"/>
    <x v="3"/>
    <n v="1"/>
    <n v="2"/>
    <n v="1898"/>
    <s v="No"/>
    <s v="None"/>
    <s v="None"/>
    <x v="4"/>
    <x v="2"/>
    <n v="6"/>
    <x v="1"/>
  </r>
  <r>
    <n v="980"/>
    <n v="31"/>
    <x v="0"/>
    <s v="Female Divorced with Dependents"/>
    <x v="0"/>
    <x v="0"/>
    <n v="1"/>
    <x v="1"/>
    <s v="Unknown"/>
    <x v="0"/>
    <n v="4"/>
    <x v="1"/>
    <s v="No"/>
    <s v="&lt;0"/>
    <x v="1"/>
    <s v="&lt;100"/>
    <x v="0"/>
    <s v="skilled"/>
    <s v="Skilled"/>
    <x v="0"/>
    <s v="4&lt;=X&lt;7"/>
    <x v="2"/>
    <s v="critical/Others existing credit"/>
    <x v="3"/>
    <n v="1"/>
    <n v="1"/>
    <n v="1957"/>
    <s v="No"/>
    <s v="None"/>
    <s v="None"/>
    <x v="4"/>
    <x v="2"/>
    <n v="6"/>
    <x v="1"/>
  </r>
  <r>
    <n v="981"/>
    <n v="30"/>
    <x v="0"/>
    <s v="Male Married/Widowed"/>
    <x v="1"/>
    <x v="2"/>
    <n v="1"/>
    <x v="1"/>
    <s v="Unknown"/>
    <x v="1"/>
    <n v="3"/>
    <x v="1"/>
    <s v="Yes"/>
    <s v="0&lt;=X&lt;200"/>
    <x v="0"/>
    <s v="&lt;100"/>
    <x v="0"/>
    <s v="high qualif/self emp/mgmt"/>
    <s v="Skilled"/>
    <x v="0"/>
    <s v="&lt;1"/>
    <x v="1"/>
    <s v="existing paid"/>
    <x v="1"/>
    <n v="4"/>
    <n v="1"/>
    <n v="2063"/>
    <s v="No"/>
    <s v="None"/>
    <s v="None"/>
    <x v="4"/>
    <x v="2"/>
    <n v="6"/>
    <x v="1"/>
  </r>
  <r>
    <n v="982"/>
    <n v="24"/>
    <x v="1"/>
    <s v="Male Married/Widowed"/>
    <x v="1"/>
    <x v="2"/>
    <n v="1"/>
    <x v="1"/>
    <s v="Unknown"/>
    <x v="0"/>
    <n v="2"/>
    <x v="1"/>
    <s v="No"/>
    <s v="no checking"/>
    <x v="2"/>
    <s v="500&lt;=X&lt;1000"/>
    <x v="4"/>
    <s v="skilled"/>
    <s v="Skilled"/>
    <x v="0"/>
    <s v="1&lt;=X&lt;4"/>
    <x v="0"/>
    <s v="critical/Others existing credit"/>
    <x v="3"/>
    <n v="1"/>
    <n v="1"/>
    <n v="2080"/>
    <s v="No"/>
    <s v="None"/>
    <s v="None"/>
    <x v="3"/>
    <x v="2"/>
    <n v="6"/>
    <x v="1"/>
  </r>
  <r>
    <n v="983"/>
    <n v="29"/>
    <x v="0"/>
    <s v="Male Married/Widowed"/>
    <x v="1"/>
    <x v="2"/>
    <n v="1"/>
    <x v="1"/>
    <s v="Unknown"/>
    <x v="1"/>
    <n v="2"/>
    <x v="2"/>
    <s v="No"/>
    <s v="no checking"/>
    <x v="2"/>
    <s v="&lt;100"/>
    <x v="0"/>
    <s v="skilled"/>
    <s v="Skilled"/>
    <x v="0"/>
    <s v="4&lt;=X&lt;7"/>
    <x v="2"/>
    <s v="existing paid"/>
    <x v="1"/>
    <n v="2"/>
    <n v="1"/>
    <n v="2108"/>
    <s v="No"/>
    <s v="None"/>
    <s v="None"/>
    <x v="4"/>
    <x v="2"/>
    <n v="6"/>
    <x v="1"/>
  </r>
  <r>
    <n v="984"/>
    <n v="41"/>
    <x v="2"/>
    <s v="Male single"/>
    <x v="1"/>
    <x v="1"/>
    <n v="1"/>
    <x v="1"/>
    <s v="Unknown"/>
    <x v="0"/>
    <n v="2"/>
    <x v="2"/>
    <s v="Yes"/>
    <s v="&gt;=200"/>
    <x v="3"/>
    <s v="&lt;100"/>
    <x v="0"/>
    <s v="skilled"/>
    <s v="Skilled"/>
    <x v="0"/>
    <s v="1&lt;=X&lt;4"/>
    <x v="0"/>
    <s v="existing paid"/>
    <x v="1"/>
    <n v="2"/>
    <n v="1"/>
    <n v="2116"/>
    <s v="No"/>
    <s v="None"/>
    <s v="None"/>
    <x v="1"/>
    <x v="2"/>
    <n v="6"/>
    <x v="1"/>
  </r>
  <r>
    <n v="985"/>
    <n v="44"/>
    <x v="2"/>
    <s v="Male single"/>
    <x v="1"/>
    <x v="1"/>
    <n v="2"/>
    <x v="1"/>
    <s v="Unknown"/>
    <x v="1"/>
    <n v="3"/>
    <x v="2"/>
    <s v="No"/>
    <s v="&lt;0"/>
    <x v="1"/>
    <s v="500&lt;=X&lt;1000"/>
    <x v="4"/>
    <s v="skilled"/>
    <s v="Skilled"/>
    <x v="0"/>
    <s v="1&lt;=X&lt;4"/>
    <x v="0"/>
    <s v="existing paid"/>
    <x v="1"/>
    <n v="2"/>
    <n v="1"/>
    <n v="2647"/>
    <s v="No"/>
    <s v="None"/>
    <s v="None"/>
    <x v="4"/>
    <x v="2"/>
    <n v="6"/>
    <x v="1"/>
  </r>
  <r>
    <n v="986"/>
    <n v="32"/>
    <x v="0"/>
    <s v="Male single"/>
    <x v="1"/>
    <x v="1"/>
    <n v="1"/>
    <x v="1"/>
    <s v="Unknown"/>
    <x v="0"/>
    <n v="2"/>
    <x v="1"/>
    <s v="Yes"/>
    <s v="no checking"/>
    <x v="2"/>
    <s v="500&lt;=X&lt;1000"/>
    <x v="4"/>
    <s v="skilled"/>
    <s v="Skilled"/>
    <x v="0"/>
    <s v="1&lt;=X&lt;4"/>
    <x v="0"/>
    <s v="existing paid"/>
    <x v="1"/>
    <n v="1"/>
    <n v="1"/>
    <n v="2978"/>
    <s v="No"/>
    <s v="None"/>
    <s v="None"/>
    <x v="1"/>
    <x v="2"/>
    <n v="6"/>
    <x v="1"/>
  </r>
  <r>
    <n v="987"/>
    <n v="44"/>
    <x v="2"/>
    <s v="Male Divorced/Seperated"/>
    <x v="1"/>
    <x v="3"/>
    <n v="1"/>
    <x v="1"/>
    <s v="Unknown"/>
    <x v="1"/>
    <n v="4"/>
    <x v="2"/>
    <s v="Yes"/>
    <s v="&lt;0"/>
    <x v="1"/>
    <s v="&lt;100"/>
    <x v="0"/>
    <s v="high qualif/self emp/mgmt"/>
    <s v="Skilled"/>
    <x v="0"/>
    <s v="1&lt;=X&lt;4"/>
    <x v="0"/>
    <s v="critical/Others existing credit"/>
    <x v="3"/>
    <n v="1"/>
    <n v="1"/>
    <n v="3384"/>
    <s v="No"/>
    <s v="None"/>
    <s v="None"/>
    <x v="1"/>
    <x v="2"/>
    <n v="6"/>
    <x v="0"/>
  </r>
  <r>
    <n v="988"/>
    <n v="26"/>
    <x v="1"/>
    <s v="Male single"/>
    <x v="1"/>
    <x v="1"/>
    <n v="1"/>
    <x v="1"/>
    <s v="Unknown"/>
    <x v="1"/>
    <n v="3"/>
    <x v="0"/>
    <s v="No"/>
    <s v="no checking"/>
    <x v="2"/>
    <s v="&lt;100"/>
    <x v="0"/>
    <s v="skilled"/>
    <s v="Skilled"/>
    <x v="0"/>
    <s v="1&lt;=X&lt;4"/>
    <x v="0"/>
    <s v="existing paid"/>
    <x v="1"/>
    <n v="2"/>
    <n v="1"/>
    <n v="3518"/>
    <s v="guarantor"/>
    <s v="Guarantor"/>
    <s v="None"/>
    <x v="3"/>
    <x v="2"/>
    <n v="6"/>
    <x v="1"/>
  </r>
  <r>
    <n v="989"/>
    <n v="37"/>
    <x v="0"/>
    <s v="Male single"/>
    <x v="1"/>
    <x v="1"/>
    <n v="2"/>
    <x v="1"/>
    <s v="Unknown"/>
    <x v="1"/>
    <n v="3"/>
    <x v="2"/>
    <s v="No"/>
    <s v="&lt;0"/>
    <x v="1"/>
    <s v="&lt;100"/>
    <x v="0"/>
    <s v="skilled"/>
    <s v="Skilled"/>
    <x v="0"/>
    <s v="1&lt;=X&lt;4"/>
    <x v="0"/>
    <s v="critical/Others existing credit"/>
    <x v="3"/>
    <n v="1"/>
    <n v="3"/>
    <n v="3676"/>
    <s v="No"/>
    <s v="None"/>
    <s v="None"/>
    <x v="3"/>
    <x v="2"/>
    <n v="6"/>
    <x v="1"/>
  </r>
  <r>
    <n v="990"/>
    <n v="32"/>
    <x v="0"/>
    <s v="Female Divorced with Dependents"/>
    <x v="0"/>
    <x v="0"/>
    <n v="1"/>
    <x v="1"/>
    <s v="Unknown"/>
    <x v="0"/>
    <n v="4"/>
    <x v="0"/>
    <s v="No"/>
    <s v="no checking"/>
    <x v="2"/>
    <s v="&lt;100"/>
    <x v="0"/>
    <s v="skilled"/>
    <s v="Skilled"/>
    <x v="0"/>
    <s v="&lt;1"/>
    <x v="1"/>
    <s v="existing paid"/>
    <x v="1"/>
    <n v="1"/>
    <n v="1"/>
    <n v="4611"/>
    <s v="No"/>
    <s v="None"/>
    <s v="None"/>
    <x v="1"/>
    <x v="2"/>
    <n v="6"/>
    <x v="0"/>
  </r>
  <r>
    <n v="991"/>
    <n v="44"/>
    <x v="2"/>
    <s v="Male single"/>
    <x v="1"/>
    <x v="1"/>
    <n v="2"/>
    <x v="1"/>
    <s v="Resident"/>
    <x v="0"/>
    <n v="3"/>
    <x v="2"/>
    <s v="No"/>
    <s v="&lt;0"/>
    <x v="1"/>
    <s v="no known savings"/>
    <x v="1"/>
    <s v="unskilled resident"/>
    <s v="Unskilled"/>
    <x v="0"/>
    <s v="&lt;1"/>
    <x v="1"/>
    <s v="critical/Others existing credit"/>
    <x v="3"/>
    <n v="1"/>
    <n v="2"/>
    <n v="4716"/>
    <s v="No"/>
    <s v="None"/>
    <s v="None"/>
    <x v="3"/>
    <x v="2"/>
    <n v="6"/>
    <x v="1"/>
  </r>
  <r>
    <n v="992"/>
    <n v="45"/>
    <x v="2"/>
    <s v="Male single"/>
    <x v="1"/>
    <x v="1"/>
    <n v="2"/>
    <x v="1"/>
    <s v="Unknown"/>
    <x v="0"/>
    <n v="3"/>
    <x v="3"/>
    <s v="Yes"/>
    <s v="no checking"/>
    <x v="2"/>
    <s v="&lt;100"/>
    <x v="0"/>
    <s v="high qualif/self emp/mgmt"/>
    <s v="Skilled"/>
    <x v="0"/>
    <s v="4&lt;=X&lt;7"/>
    <x v="2"/>
    <s v="critical/Others existing credit"/>
    <x v="3"/>
    <n v="1"/>
    <n v="2"/>
    <n v="6761"/>
    <s v="No"/>
    <s v="None"/>
    <s v="None"/>
    <x v="3"/>
    <x v="2"/>
    <n v="6"/>
    <x v="1"/>
  </r>
  <r>
    <n v="993"/>
    <n v="23"/>
    <x v="1"/>
    <s v="Male single"/>
    <x v="1"/>
    <x v="1"/>
    <n v="1"/>
    <x v="1"/>
    <s v="Non-resident"/>
    <x v="0"/>
    <n v="2"/>
    <x v="0"/>
    <s v="Yes"/>
    <s v="0&lt;=X&lt;200"/>
    <x v="0"/>
    <s v="no known savings"/>
    <x v="1"/>
    <s v="unemp/unskilled non res"/>
    <s v="Unskilled"/>
    <x v="1"/>
    <s v="unemployed"/>
    <x v="4"/>
    <s v="existing paid"/>
    <x v="1"/>
    <n v="1"/>
    <n v="1"/>
    <n v="14555"/>
    <s v="No"/>
    <s v="None"/>
    <s v="None"/>
    <x v="3"/>
    <x v="2"/>
    <n v="6"/>
    <x v="0"/>
  </r>
  <r>
    <n v="994"/>
    <n v="68"/>
    <x v="5"/>
    <s v="Male single"/>
    <x v="1"/>
    <x v="1"/>
    <n v="1"/>
    <x v="1"/>
    <s v="Unknown"/>
    <x v="0"/>
    <n v="4"/>
    <x v="3"/>
    <s v="Yes"/>
    <s v="&lt;0"/>
    <x v="1"/>
    <s v="&lt;100"/>
    <x v="0"/>
    <s v="high qualif/self emp/mgmt"/>
    <s v="Skilled"/>
    <x v="0"/>
    <s v="&gt;=7"/>
    <x v="3"/>
    <s v="existing paid"/>
    <x v="1"/>
    <n v="1"/>
    <n v="1"/>
    <n v="14896"/>
    <s v="No"/>
    <s v="None"/>
    <s v="Bank"/>
    <x v="3"/>
    <x v="2"/>
    <n v="6"/>
    <x v="0"/>
  </r>
  <r>
    <n v="995"/>
    <n v="74"/>
    <x v="4"/>
    <s v="Male single"/>
    <x v="1"/>
    <x v="1"/>
    <n v="1"/>
    <x v="1"/>
    <s v="Resident"/>
    <x v="0"/>
    <n v="4"/>
    <x v="2"/>
    <s v="No"/>
    <s v="no checking"/>
    <x v="2"/>
    <s v="&lt;100"/>
    <x v="0"/>
    <s v="unskilled resident"/>
    <s v="Unskilled"/>
    <x v="0"/>
    <s v="4&lt;=X&lt;7"/>
    <x v="2"/>
    <s v="existing paid"/>
    <x v="1"/>
    <n v="1"/>
    <n v="1"/>
    <n v="3448"/>
    <s v="No"/>
    <s v="None"/>
    <s v="None"/>
    <x v="5"/>
    <x v="2"/>
    <n v="5"/>
    <x v="1"/>
  </r>
  <r>
    <n v="996"/>
    <n v="23"/>
    <x v="1"/>
    <s v="Female Divorced with Dependents"/>
    <x v="0"/>
    <x v="0"/>
    <n v="2"/>
    <x v="1"/>
    <s v="Resident"/>
    <x v="1"/>
    <n v="3"/>
    <x v="2"/>
    <s v="No"/>
    <s v="no checking"/>
    <x v="2"/>
    <s v="&lt;100"/>
    <x v="0"/>
    <s v="unskilled resident"/>
    <s v="Unskilled"/>
    <x v="0"/>
    <s v="&lt;1"/>
    <x v="1"/>
    <s v="existing paid"/>
    <x v="1"/>
    <n v="1"/>
    <n v="1"/>
    <n v="601"/>
    <s v="No"/>
    <s v="None"/>
    <s v="None"/>
    <x v="1"/>
    <x v="2"/>
    <n v="4"/>
    <x v="1"/>
  </r>
  <r>
    <n v="997"/>
    <n v="42"/>
    <x v="2"/>
    <s v="Male single"/>
    <x v="1"/>
    <x v="1"/>
    <n v="2"/>
    <x v="1"/>
    <s v="Resident"/>
    <x v="0"/>
    <n v="1"/>
    <x v="2"/>
    <s v="No"/>
    <s v="no checking"/>
    <x v="2"/>
    <s v="&lt;100"/>
    <x v="0"/>
    <s v="unskilled resident"/>
    <s v="Unskilled"/>
    <x v="0"/>
    <s v="4&lt;=X&lt;7"/>
    <x v="2"/>
    <s v="critical/Others existing credit"/>
    <x v="3"/>
    <n v="2"/>
    <n v="3"/>
    <n v="1455"/>
    <s v="No"/>
    <s v="None"/>
    <s v="None"/>
    <x v="3"/>
    <x v="2"/>
    <n v="4"/>
    <x v="1"/>
  </r>
  <r>
    <n v="998"/>
    <n v="42"/>
    <x v="2"/>
    <s v="Male single"/>
    <x v="1"/>
    <x v="1"/>
    <n v="2"/>
    <x v="1"/>
    <s v="Resident"/>
    <x v="0"/>
    <n v="1"/>
    <x v="2"/>
    <s v="No"/>
    <s v="no checking"/>
    <x v="2"/>
    <s v="&lt;100"/>
    <x v="0"/>
    <s v="unskilled resident"/>
    <s v="Unskilled"/>
    <x v="0"/>
    <s v="4&lt;=X&lt;7"/>
    <x v="2"/>
    <s v="critical/Others existing credit"/>
    <x v="3"/>
    <n v="2"/>
    <n v="2"/>
    <n v="1503"/>
    <s v="No"/>
    <s v="None"/>
    <s v="None"/>
    <x v="4"/>
    <x v="2"/>
    <n v="4"/>
    <x v="1"/>
  </r>
  <r>
    <n v="999"/>
    <n v="42"/>
    <x v="2"/>
    <s v="Male single"/>
    <x v="1"/>
    <x v="1"/>
    <n v="2"/>
    <x v="1"/>
    <s v="Resident"/>
    <x v="0"/>
    <n v="1"/>
    <x v="2"/>
    <s v="No"/>
    <s v="no checking"/>
    <x v="2"/>
    <s v="&lt;100"/>
    <x v="0"/>
    <s v="unskilled resident"/>
    <s v="Unskilled"/>
    <x v="0"/>
    <s v="4&lt;=X&lt;7"/>
    <x v="2"/>
    <s v="critical/Others existing credit"/>
    <x v="3"/>
    <n v="2"/>
    <n v="3"/>
    <n v="1544"/>
    <s v="No"/>
    <s v="None"/>
    <s v="None"/>
    <x v="4"/>
    <x v="2"/>
    <n v="4"/>
    <x v="1"/>
  </r>
  <r>
    <n v="1000"/>
    <n v="37"/>
    <x v="0"/>
    <s v="Female Divorced with Dependents"/>
    <x v="0"/>
    <x v="0"/>
    <n v="2"/>
    <x v="1"/>
    <s v="Unknown"/>
    <x v="0"/>
    <n v="1"/>
    <x v="2"/>
    <s v="No"/>
    <s v="no checking"/>
    <x v="2"/>
    <s v="&lt;100"/>
    <x v="0"/>
    <s v="skilled"/>
    <s v="Skilled"/>
    <x v="0"/>
    <s v="4&lt;=X&lt;7"/>
    <x v="2"/>
    <s v="critical/Others existing credit"/>
    <x v="3"/>
    <n v="1"/>
    <n v="1"/>
    <n v="3380"/>
    <s v="No"/>
    <s v="None"/>
    <s v="None"/>
    <x v="3"/>
    <x v="2"/>
    <n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C2E258-85BA-43CD-AFAD-431ED1BF223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Age Range" colHeaderCaption="Gender">
  <location ref="T36:V43" firstHeaderRow="1" firstDataRow="2" firstDataCol="1"/>
  <pivotFields count="34">
    <pivotField dataField="1" showAll="0"/>
    <pivotField numFmtId="1" showAll="0"/>
    <pivotField axis="axisRow" showAll="0">
      <items count="7">
        <item x="1"/>
        <item x="0"/>
        <item x="2"/>
        <item x="3"/>
        <item x="5"/>
        <item x="4"/>
        <item t="default"/>
      </items>
    </pivotField>
    <pivotField showAll="0"/>
    <pivotField axis="axisCol" showAll="0">
      <items count="3">
        <item x="0"/>
        <item x="1"/>
        <item t="default"/>
      </items>
    </pivotField>
    <pivotField showAll="0"/>
    <pivotField numFmtId="1" showAll="0"/>
    <pivotField showAll="0"/>
    <pivotField showAll="0"/>
    <pivotField showAll="0"/>
    <pivotField numFmtId="1" showAll="0"/>
    <pivotField showAll="0"/>
    <pivotField showAll="0"/>
    <pivotField showAll="0"/>
    <pivotField showAll="0">
      <items count="5">
        <item x="3"/>
        <item x="0"/>
        <item x="1"/>
        <item x="2"/>
        <item t="default"/>
      </items>
    </pivotField>
    <pivotField showAll="0"/>
    <pivotField showAll="0">
      <items count="6">
        <item x="4"/>
        <item x="0"/>
        <item x="3"/>
        <item x="1"/>
        <item x="2"/>
        <item t="default"/>
      </items>
    </pivotField>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showAll="0"/>
  </pivotFields>
  <rowFields count="1">
    <field x="2"/>
  </rowFields>
  <rowItems count="6">
    <i>
      <x/>
    </i>
    <i>
      <x v="1"/>
    </i>
    <i>
      <x v="2"/>
    </i>
    <i>
      <x v="3"/>
    </i>
    <i>
      <x v="4"/>
    </i>
    <i>
      <x v="5"/>
    </i>
  </rowItems>
  <colFields count="1">
    <field x="4"/>
  </colFields>
  <colItems count="2">
    <i>
      <x/>
    </i>
    <i>
      <x v="1"/>
    </i>
  </colItems>
  <dataFields count="1">
    <dataField name="Age Range &amp; Gender Count" fld="0" subtotal="count" baseField="2" baseItem="0"/>
  </dataFields>
  <conditionalFormats count="2">
    <conditionalFormat priority="1">
      <pivotAreas count="1">
        <pivotArea type="data" outline="0" collapsedLevelsAreSubtotals="1" fieldPosition="0">
          <references count="2">
            <reference field="4294967294" count="1" selected="0">
              <x v="0"/>
            </reference>
            <reference field="4" count="1" selected="0">
              <x v="0"/>
            </reference>
          </references>
        </pivotArea>
      </pivotAreas>
    </conditionalFormat>
    <conditionalFormat priority="15">
      <pivotAreas count="1">
        <pivotArea type="data" outline="0" collapsedLevelsAreSubtotals="1" fieldPosition="0">
          <references count="2">
            <reference field="4294967294" count="1" selected="0">
              <x v="0"/>
            </reference>
            <reference field="4" count="1" selected="0">
              <x v="1"/>
            </reference>
          </references>
        </pivotArea>
      </pivotAreas>
    </conditionalFormat>
  </conditionalFormats>
  <chartFormats count="4">
    <chartFormat chart="14" format="0" series="1">
      <pivotArea type="data" outline="0" fieldPosition="0">
        <references count="2">
          <reference field="4294967294" count="1" selected="0">
            <x v="0"/>
          </reference>
          <reference field="4" count="1" selected="0">
            <x v="0"/>
          </reference>
        </references>
      </pivotArea>
    </chartFormat>
    <chartFormat chart="14" format="1" series="1">
      <pivotArea type="data" outline="0" fieldPosition="0">
        <references count="2">
          <reference field="4294967294" count="1" selected="0">
            <x v="0"/>
          </reference>
          <reference field="4" count="1" selected="0">
            <x v="1"/>
          </reference>
        </references>
      </pivotArea>
    </chartFormat>
    <chartFormat chart="14" format="2">
      <pivotArea type="data" outline="0" fieldPosition="0">
        <references count="3">
          <reference field="4294967294" count="1" selected="0">
            <x v="0"/>
          </reference>
          <reference field="2" count="1" selected="0">
            <x v="0"/>
          </reference>
          <reference field="4" count="1" selected="0">
            <x v="0"/>
          </reference>
        </references>
      </pivotArea>
    </chartFormat>
    <chartFormat chart="14" format="3">
      <pivotArea type="data" outline="0" fieldPosition="0">
        <references count="3">
          <reference field="4294967294" count="1" selected="0">
            <x v="0"/>
          </reference>
          <reference field="2"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6C0069-0DBA-415E-B7B4-BB72551D076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Foreign Workers" colHeaderCaption="Credit Risk">
  <location ref="P36:R39" firstHeaderRow="1" firstDataRow="2" firstDataCol="1"/>
  <pivotFields count="34">
    <pivotField dataField="1" showAll="0"/>
    <pivotField numFmtId="1" showAll="0"/>
    <pivotField showAll="0"/>
    <pivotField showAll="0"/>
    <pivotField showAll="0"/>
    <pivotField showAll="0"/>
    <pivotField numFmtId="1" showAll="0"/>
    <pivotField axis="axisRow" showAll="0">
      <items count="3">
        <item x="0"/>
        <item x="1"/>
        <item t="defaul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Col" showAll="0">
      <items count="3">
        <item x="0"/>
        <item x="1"/>
        <item t="default"/>
      </items>
    </pivotField>
  </pivotFields>
  <rowFields count="1">
    <field x="7"/>
  </rowFields>
  <rowItems count="2">
    <i>
      <x/>
    </i>
    <i>
      <x v="1"/>
    </i>
  </rowItems>
  <colFields count="1">
    <field x="33"/>
  </colFields>
  <colItems count="2">
    <i>
      <x/>
    </i>
    <i>
      <x v="1"/>
    </i>
  </colItems>
  <dataFields count="1">
    <dataField name="Credit Risk Count of Foreign Workers " fld="0" subtotal="count" baseField="4" baseItem="0"/>
  </dataFields>
  <formats count="2">
    <format dxfId="19">
      <pivotArea collapsedLevelsAreSubtotals="1" fieldPosition="0">
        <references count="2">
          <reference field="7" count="1">
            <x v="0"/>
          </reference>
          <reference field="33" count="1" selected="0">
            <x v="0"/>
          </reference>
        </references>
      </pivotArea>
    </format>
    <format dxfId="18">
      <pivotArea outline="0" collapsedLevelsAreSubtotals="1" fieldPosition="0">
        <references count="1">
          <reference field="33" count="1" selected="0">
            <x v="0"/>
          </reference>
        </references>
      </pivotArea>
    </format>
  </formats>
  <conditionalFormats count="2">
    <conditionalFormat priority="5">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 priority="6">
      <pivotAreas count="1">
        <pivotArea type="data" outline="0" collapsedLevelsAreSubtotals="1" fieldPosition="0">
          <references count="2">
            <reference field="4294967294" count="1" selected="0">
              <x v="0"/>
            </reference>
            <reference field="33" count="1" selected="0">
              <x v="0"/>
            </reference>
          </references>
        </pivotArea>
      </pivotAreas>
    </conditionalFormat>
  </conditionalFormats>
  <chartFormats count="4">
    <chartFormat chart="6" format="0" series="1">
      <pivotArea type="data" outline="0" fieldPosition="0">
        <references count="2">
          <reference field="4294967294" count="1" selected="0">
            <x v="0"/>
          </reference>
          <reference field="33" count="1" selected="0">
            <x v="0"/>
          </reference>
        </references>
      </pivotArea>
    </chartFormat>
    <chartFormat chart="6" format="1" series="1">
      <pivotArea type="data" outline="0" fieldPosition="0">
        <references count="2">
          <reference field="4294967294" count="1" selected="0">
            <x v="0"/>
          </reference>
          <reference field="33" count="1" selected="0">
            <x v="1"/>
          </reference>
        </references>
      </pivotArea>
    </chartFormat>
    <chartFormat chart="6" format="2">
      <pivotArea type="data" outline="0" fieldPosition="0">
        <references count="3">
          <reference field="4294967294" count="1" selected="0">
            <x v="0"/>
          </reference>
          <reference field="7" count="1" selected="0">
            <x v="1"/>
          </reference>
          <reference field="33" count="1" selected="0">
            <x v="1"/>
          </reference>
        </references>
      </pivotArea>
    </chartFormat>
    <chartFormat chart="6" format="3">
      <pivotArea type="data" outline="0" fieldPosition="0">
        <references count="3">
          <reference field="4294967294" count="1" selected="0">
            <x v="0"/>
          </reference>
          <reference field="7" count="1" selected="0">
            <x v="1"/>
          </reference>
          <reference field="3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D76EFE-D028-4F25-881D-393F8B1EE89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Marital Status" colHeaderCaption="Credit Risk">
  <location ref="T26:V31" firstHeaderRow="1" firstDataRow="2" firstDataCol="1"/>
  <pivotFields count="34">
    <pivotField dataField="1" showAll="0"/>
    <pivotField numFmtId="1" showAll="0"/>
    <pivotField showAll="0">
      <items count="7">
        <item x="1"/>
        <item x="0"/>
        <item x="2"/>
        <item x="3"/>
        <item x="5"/>
        <item x="4"/>
        <item t="default"/>
      </items>
    </pivotField>
    <pivotField showAll="0"/>
    <pivotField showAll="0">
      <items count="3">
        <item x="0"/>
        <item x="1"/>
        <item t="default"/>
      </items>
    </pivotField>
    <pivotField axis="axisRow" showAll="0">
      <items count="5">
        <item x="0"/>
        <item x="3"/>
        <item x="2"/>
        <item x="1"/>
        <item t="default"/>
      </items>
    </pivotField>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Col" showAll="0">
      <items count="3">
        <item x="0"/>
        <item x="1"/>
        <item t="default"/>
      </items>
    </pivotField>
  </pivotFields>
  <rowFields count="1">
    <field x="5"/>
  </rowFields>
  <rowItems count="4">
    <i>
      <x/>
    </i>
    <i>
      <x v="1"/>
    </i>
    <i>
      <x v="2"/>
    </i>
    <i>
      <x v="3"/>
    </i>
  </rowItems>
  <colFields count="1">
    <field x="33"/>
  </colFields>
  <colItems count="2">
    <i>
      <x/>
    </i>
    <i>
      <x v="1"/>
    </i>
  </colItems>
  <dataFields count="1">
    <dataField name="Marital Status with Highest Credit Risk (%)" fld="0" subtotal="count" showDataAs="percentOfRow" baseField="5" baseItem="1" numFmtId="165"/>
  </dataFields>
  <formats count="3">
    <format dxfId="22">
      <pivotArea outline="0" fieldPosition="0">
        <references count="1">
          <reference field="4294967294" count="1">
            <x v="0"/>
          </reference>
        </references>
      </pivotArea>
    </format>
    <format dxfId="21">
      <pivotArea collapsedLevelsAreSubtotals="1" fieldPosition="0">
        <references count="2">
          <reference field="5" count="1">
            <x v="1"/>
          </reference>
          <reference field="33" count="1" selected="0">
            <x v="0"/>
          </reference>
        </references>
      </pivotArea>
    </format>
    <format dxfId="20">
      <pivotArea outline="0" collapsedLevelsAreSubtotals="1" fieldPosition="0"/>
    </format>
  </formats>
  <conditionalFormats count="2">
    <conditionalFormat priority="2">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 priority="3">
      <pivotAreas count="1">
        <pivotArea type="data" outline="0" collapsedLevelsAreSubtotals="1" fieldPosition="0">
          <references count="2">
            <reference field="4294967294" count="1" selected="0">
              <x v="0"/>
            </reference>
            <reference field="33" count="1" selected="0">
              <x v="0"/>
            </reference>
          </references>
        </pivotArea>
      </pivotAreas>
    </conditionalFormat>
  </conditionalFormats>
  <chartFormats count="4">
    <chartFormat chart="1" format="0" series="1">
      <pivotArea type="data" outline="0" fieldPosition="0">
        <references count="2">
          <reference field="4294967294" count="1" selected="0">
            <x v="0"/>
          </reference>
          <reference field="33" count="1" selected="0">
            <x v="0"/>
          </reference>
        </references>
      </pivotArea>
    </chartFormat>
    <chartFormat chart="1" format="1" series="1">
      <pivotArea type="data" outline="0" fieldPosition="0">
        <references count="2">
          <reference field="4294967294" count="1" selected="0">
            <x v="0"/>
          </reference>
          <reference field="33" count="1" selected="0">
            <x v="1"/>
          </reference>
        </references>
      </pivotArea>
    </chartFormat>
    <chartFormat chart="1" format="2">
      <pivotArea type="data" outline="0" fieldPosition="0">
        <references count="3">
          <reference field="4294967294" count="1" selected="0">
            <x v="0"/>
          </reference>
          <reference field="5" count="1" selected="0">
            <x v="1"/>
          </reference>
          <reference field="33" count="1" selected="0">
            <x v="0"/>
          </reference>
        </references>
      </pivotArea>
    </chartFormat>
    <chartFormat chart="1" format="3">
      <pivotArea type="data" outline="0" fieldPosition="0">
        <references count="3">
          <reference field="4294967294" count="1" selected="0">
            <x v="0"/>
          </reference>
          <reference field="5" count="1" selected="0">
            <x v="3"/>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5D485D-EF4E-4D04-9C52-0E8AF7B71550}" name="Customer Distribution by Gen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Gender" colHeaderCaption="Gender">
  <location ref="P27:Q29" firstHeaderRow="1" firstDataRow="1" firstDataCol="1"/>
  <pivotFields count="34">
    <pivotField dataField="1" showAll="0"/>
    <pivotField numFmtId="1" showAll="0"/>
    <pivotField showAll="0"/>
    <pivotField showAll="0"/>
    <pivotField axis="axisRow" showAll="0">
      <items count="3">
        <item x="0"/>
        <item x="1"/>
        <item t="default"/>
      </items>
    </pivotField>
    <pivotField showAll="0"/>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showAll="0"/>
  </pivotFields>
  <rowFields count="1">
    <field x="4"/>
  </rowFields>
  <rowItems count="2">
    <i>
      <x/>
    </i>
    <i>
      <x v="1"/>
    </i>
  </rowItems>
  <colItems count="1">
    <i/>
  </colItems>
  <dataFields count="1">
    <dataField name="% of Total" fld="0" showDataAs="percentOfCol" baseField="4" baseItem="0" numFmtId="165"/>
  </dataFields>
  <formats count="3">
    <format dxfId="25">
      <pivotArea outline="0" collapsedLevelsAreSubtotals="1" fieldPosition="0">
        <references count="1">
          <reference field="4294967294" count="1" selected="0">
            <x v="0"/>
          </reference>
        </references>
      </pivotArea>
    </format>
    <format dxfId="24">
      <pivotArea outline="0" collapsedLevelsAreSubtotals="1" fieldPosition="0"/>
    </format>
    <format dxfId="23">
      <pivotArea collapsedLevelsAreSubtotals="1" fieldPosition="0">
        <references count="1">
          <reference field="4" count="1">
            <x v="0"/>
          </reference>
        </references>
      </pivotArea>
    </format>
  </formats>
  <conditionalFormats count="1">
    <conditionalFormat priority="7">
      <pivotAreas count="1">
        <pivotArea type="data" outline="0" collapsedLevelsAreSubtotals="1" fieldPosition="0">
          <references count="1">
            <reference field="4294967294" count="1" selected="0">
              <x v="0"/>
            </reference>
          </references>
        </pivotArea>
      </pivotAreas>
    </conditionalFormat>
  </conditionalFormats>
  <chartFormats count="3">
    <chartFormat chart="7" format="0"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4" count="1" selected="0">
            <x v="0"/>
          </reference>
        </references>
      </pivotArea>
    </chartFormat>
    <chartFormat chart="7"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1744FE-BC19-471C-A54D-29C691A5CA88}" name="PivotTable2" cacheId="0" applyNumberFormats="0" applyBorderFormats="0" applyFontFormats="0" applyPatternFormats="0" applyAlignmentFormats="0" applyWidthHeightFormats="1" dataCaption="Values" grandTotalCaption="Total Customers" updatedVersion="8" minRefreshableVersion="3" useAutoFormatting="1" rowGrandTotals="0" colGrandTotals="0" itemPrintTitles="1" createdVersion="8" indent="0" outline="1" outlineData="1" multipleFieldFilters="0" chartFormat="11" rowHeaderCaption="Age Range" colHeaderCaption="Credit Risk">
  <location ref="T14:V21" firstHeaderRow="1" firstDataRow="2" firstDataCol="1"/>
  <pivotFields count="34">
    <pivotField dataField="1" showAll="0"/>
    <pivotField numFmtId="1" showAll="0"/>
    <pivotField axis="axisRow" showAll="0">
      <items count="7">
        <item x="1"/>
        <item x="0"/>
        <item x="2"/>
        <item x="3"/>
        <item x="5"/>
        <item x="4"/>
        <item t="default"/>
      </items>
    </pivotField>
    <pivotField showAll="0"/>
    <pivotField showAll="0">
      <items count="3">
        <item x="0"/>
        <item x="1"/>
        <item t="default"/>
      </items>
    </pivotField>
    <pivotField showAll="0"/>
    <pivotField numFmtId="1" showAll="0"/>
    <pivotField showAll="0"/>
    <pivotField showAll="0"/>
    <pivotField showAll="0"/>
    <pivotField numFmtId="1" showAll="0"/>
    <pivotField showAll="0"/>
    <pivotField showAll="0"/>
    <pivotField showAll="0"/>
    <pivotField showAll="0">
      <items count="5">
        <item x="3"/>
        <item x="0"/>
        <item x="1"/>
        <item x="2"/>
        <item t="default"/>
      </items>
    </pivotField>
    <pivotField showAll="0"/>
    <pivotField showAll="0">
      <items count="6">
        <item x="4"/>
        <item x="0"/>
        <item x="3"/>
        <item x="1"/>
        <item x="2"/>
        <item t="default"/>
      </items>
    </pivotField>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Col" showAll="0">
      <items count="3">
        <item x="0"/>
        <item x="1"/>
        <item t="default"/>
      </items>
    </pivotField>
  </pivotFields>
  <rowFields count="1">
    <field x="2"/>
  </rowFields>
  <rowItems count="6">
    <i>
      <x/>
    </i>
    <i>
      <x v="1"/>
    </i>
    <i>
      <x v="2"/>
    </i>
    <i>
      <x v="3"/>
    </i>
    <i>
      <x v="4"/>
    </i>
    <i>
      <x v="5"/>
    </i>
  </rowItems>
  <colFields count="1">
    <field x="33"/>
  </colFields>
  <colItems count="2">
    <i>
      <x/>
    </i>
    <i>
      <x v="1"/>
    </i>
  </colItems>
  <dataFields count="1">
    <dataField name="Customer Distribution by Age Range &amp; Risk" fld="0" subtotal="count" showDataAs="percentOfRow" baseField="32" baseItem="15" numFmtId="165"/>
  </dataFields>
  <conditionalFormats count="2">
    <conditionalFormat priority="4">
      <pivotAreas count="1">
        <pivotArea type="data" outline="0" collapsedLevelsAreSubtotals="1" fieldPosition="0">
          <references count="2">
            <reference field="4294967294" count="1" selected="0">
              <x v="0"/>
            </reference>
            <reference field="33" count="1" selected="0">
              <x v="0"/>
            </reference>
          </references>
        </pivotArea>
      </pivotAreas>
    </conditionalFormat>
    <conditionalFormat priority="17">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s>
  <chartFormats count="4">
    <chartFormat chart="9" format="4" series="1">
      <pivotArea type="data" outline="0" fieldPosition="0">
        <references count="2">
          <reference field="4294967294" count="1" selected="0">
            <x v="0"/>
          </reference>
          <reference field="33" count="1" selected="0">
            <x v="0"/>
          </reference>
        </references>
      </pivotArea>
    </chartFormat>
    <chartFormat chart="9" format="5" series="1">
      <pivotArea type="data" outline="0" fieldPosition="0">
        <references count="2">
          <reference field="4294967294" count="1" selected="0">
            <x v="0"/>
          </reference>
          <reference field="33" count="1" selected="0">
            <x v="1"/>
          </reference>
        </references>
      </pivotArea>
    </chartFormat>
    <chartFormat chart="9" format="6">
      <pivotArea type="data" outline="0" fieldPosition="0">
        <references count="3">
          <reference field="4294967294" count="1" selected="0">
            <x v="0"/>
          </reference>
          <reference field="2" count="1" selected="0">
            <x v="0"/>
          </reference>
          <reference field="33" count="1" selected="0">
            <x v="0"/>
          </reference>
        </references>
      </pivotArea>
    </chartFormat>
    <chartFormat chart="9" format="7">
      <pivotArea type="data" outline="0" fieldPosition="0">
        <references count="3">
          <reference field="4294967294" count="1" selected="0">
            <x v="0"/>
          </reference>
          <reference field="2" count="1" selected="0">
            <x v="5"/>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2922AE-9011-42D0-986F-7C58D4E5CE46}" name="PivotTable1" cacheId="0" applyNumberFormats="0" applyBorderFormats="0" applyFontFormats="0" applyPatternFormats="0" applyAlignmentFormats="0" applyWidthHeightFormats="1" dataCaption="Values" grandTotalCaption="Total Customers" updatedVersion="8" minRefreshableVersion="3" useAutoFormatting="1" rowGrandTotals="0" colGrandTotals="0" itemPrintTitles="1" createdVersion="8" indent="0" outline="1" outlineData="1" multipleFieldFilters="0" chartFormat="15" rowHeaderCaption="Credit Risk" colHeaderCaption="Credit Risk">
  <location ref="P15:Q17" firstHeaderRow="1" firstDataRow="1" firstDataCol="1"/>
  <pivotFields count="34">
    <pivotField dataField="1" showAll="0"/>
    <pivotField numFmtId="1" showAll="0"/>
    <pivotField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Row" showAll="0">
      <items count="3">
        <item x="0"/>
        <item x="1"/>
        <item t="default"/>
      </items>
    </pivotField>
  </pivotFields>
  <rowFields count="1">
    <field x="33"/>
  </rowFields>
  <rowItems count="2">
    <i>
      <x/>
    </i>
    <i>
      <x v="1"/>
    </i>
  </rowItems>
  <colItems count="1">
    <i/>
  </colItems>
  <dataFields count="1">
    <dataField name="%" fld="0" subtotal="count" showDataAs="percentOfCol" baseField="32" baseItem="0" numFmtId="9"/>
  </dataFields>
  <formats count="8">
    <format dxfId="33">
      <pivotArea type="origin" dataOnly="0" labelOnly="1" outline="0" offset="A1" fieldPosition="0"/>
    </format>
    <format dxfId="32">
      <pivotArea dataOnly="0" labelOnly="1" outline="0" axis="axisValues" fieldPosition="0"/>
    </format>
    <format dxfId="31">
      <pivotArea type="origin" dataOnly="0" labelOnly="1" outline="0" offset="A2" fieldPosition="0"/>
    </format>
    <format dxfId="30">
      <pivotArea outline="0" fieldPosition="0">
        <references count="1">
          <reference field="4294967294" count="1">
            <x v="0"/>
          </reference>
        </references>
      </pivotArea>
    </format>
    <format dxfId="29">
      <pivotArea collapsedLevelsAreSubtotals="1" fieldPosition="0">
        <references count="1">
          <reference field="33" count="1">
            <x v="1"/>
          </reference>
        </references>
      </pivotArea>
    </format>
    <format dxfId="28">
      <pivotArea dataOnly="0" labelOnly="1" outline="0" axis="axisValues" fieldPosition="0"/>
    </format>
    <format dxfId="27">
      <pivotArea collapsedLevelsAreSubtotals="1" fieldPosition="0">
        <references count="1">
          <reference field="33" count="1">
            <x v="0"/>
          </reference>
        </references>
      </pivotArea>
    </format>
    <format dxfId="26">
      <pivotArea outline="0" collapsedLevelsAreSubtotals="1" fieldPosition="0"/>
    </format>
  </formats>
  <conditionalFormats count="1">
    <conditionalFormat priority="11">
      <pivotAreas count="1">
        <pivotArea type="data" outline="0" collapsedLevelsAreSubtotals="1" fieldPosition="0">
          <references count="1">
            <reference field="4294967294" count="1" selected="0">
              <x v="0"/>
            </reference>
          </references>
        </pivotArea>
      </pivotAreas>
    </conditionalFormat>
  </conditionalFormat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3" count="1" selected="0">
            <x v="0"/>
          </reference>
        </references>
      </pivotArea>
    </chartFormat>
    <chartFormat chart="3" format="2">
      <pivotArea type="data" outline="0" fieldPosition="0">
        <references count="2">
          <reference field="4294967294" count="1" selected="0">
            <x v="0"/>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C16EB5-2257-4550-BD54-607423AA586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Owned Assets" colHeaderCaption="Credit Risk">
  <location ref="P22:Q26" firstHeaderRow="1" firstDataRow="2" firstDataCol="1"/>
  <pivotFields count="34">
    <pivotField dataField="1" showAll="0"/>
    <pivotField numFmtId="1" showAll="0"/>
    <pivotField showAll="0"/>
    <pivotField showAll="0"/>
    <pivotField showAll="0"/>
    <pivotField showAll="0"/>
    <pivotField numFmtId="1" showAll="0"/>
    <pivotField showAll="0"/>
    <pivotField showAll="0"/>
    <pivotField showAll="0"/>
    <pivotField numFmtId="1" showAll="0"/>
    <pivotField axis="axisRow" showAll="0" measureFilter="1">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Col" showAll="0">
      <items count="3">
        <item x="0"/>
        <item h="1" x="1"/>
        <item t="default"/>
      </items>
    </pivotField>
  </pivotFields>
  <rowFields count="1">
    <field x="11"/>
  </rowFields>
  <rowItems count="3">
    <i>
      <x/>
    </i>
    <i>
      <x v="1"/>
    </i>
    <i>
      <x v="2"/>
    </i>
  </rowItems>
  <colFields count="1">
    <field x="33"/>
  </colFields>
  <colItems count="1">
    <i>
      <x/>
    </i>
  </colItems>
  <dataFields count="1">
    <dataField name="Bad Credit Risk by Assets" fld="0" subtotal="count" baseField="11" baseItem="0"/>
  </dataFields>
  <conditionalFormats count="2">
    <conditionalFormat priority="17">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 priority="18">
      <pivotAreas count="1">
        <pivotArea type="data" outline="0" collapsedLevelsAreSubtotals="1" fieldPosition="0">
          <references count="1">
            <reference field="4294967294" count="1" selected="0">
              <x v="0"/>
            </reference>
          </references>
        </pivotArea>
      </pivotAreas>
    </conditionalFormat>
  </conditionalFormats>
  <chartFormats count="5">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1" count="1" selected="0">
            <x v="0"/>
          </reference>
        </references>
      </pivotArea>
    </chartFormat>
    <chartFormat chart="9" format="2">
      <pivotArea type="data" outline="0" fieldPosition="0">
        <references count="2">
          <reference field="4294967294" count="1" selected="0">
            <x v="0"/>
          </reference>
          <reference field="11" count="1" selected="0">
            <x v="1"/>
          </reference>
        </references>
      </pivotArea>
    </chartFormat>
    <chartFormat chart="9" format="3">
      <pivotArea type="data" outline="0" fieldPosition="0">
        <references count="2">
          <reference field="4294967294" count="1" selected="0">
            <x v="0"/>
          </reference>
          <reference field="11" count="1" selected="0">
            <x v="2"/>
          </reference>
        </references>
      </pivotArea>
    </chartFormat>
    <chartFormat chart="9"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1C16D9-35A1-43E2-9237-F2158ED282C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hecking Acct. Balance" colHeaderCaption="Credit Risk">
  <location ref="P12:R17" firstHeaderRow="1" firstDataRow="2" firstDataCol="1"/>
  <pivotFields count="34">
    <pivotField dataField="1" showAll="0"/>
    <pivotField numFmtId="1" showAll="0"/>
    <pivotField showAll="0"/>
    <pivotField showAll="0"/>
    <pivotField showAll="0"/>
    <pivotField showAll="0"/>
    <pivotField numFmtId="1" showAll="0"/>
    <pivotField showAll="0"/>
    <pivotField showAll="0"/>
    <pivotField showAll="0"/>
    <pivotField numFmtId="1"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Col" showAll="0">
      <items count="3">
        <item x="0"/>
        <item x="1"/>
        <item t="default"/>
      </items>
    </pivotField>
  </pivotFields>
  <rowFields count="1">
    <field x="14"/>
  </rowFields>
  <rowItems count="4">
    <i>
      <x/>
    </i>
    <i>
      <x v="1"/>
    </i>
    <i>
      <x v="2"/>
    </i>
    <i>
      <x v="3"/>
    </i>
  </rowItems>
  <colFields count="1">
    <field x="33"/>
  </colFields>
  <colItems count="2">
    <i>
      <x/>
    </i>
    <i>
      <x v="1"/>
    </i>
  </colItems>
  <dataFields count="1">
    <dataField name="Checking Acct. Balance Credit Risk % " fld="0" subtotal="count" showDataAs="percentOfRow" baseField="14" baseItem="1" numFmtId="165"/>
  </dataFields>
  <formats count="3">
    <format dxfId="13">
      <pivotArea collapsedLevelsAreSubtotals="1" fieldPosition="0">
        <references count="2">
          <reference field="14" count="1">
            <x v="1"/>
          </reference>
          <reference field="33" count="1" selected="0">
            <x v="0"/>
          </reference>
        </references>
      </pivotArea>
    </format>
    <format dxfId="12">
      <pivotArea outline="0" fieldPosition="0">
        <references count="1">
          <reference field="4294967294" count="1">
            <x v="0"/>
          </reference>
        </references>
      </pivotArea>
    </format>
    <format dxfId="11">
      <pivotArea dataOnly="0" labelOnly="1" fieldPosition="0">
        <references count="1">
          <reference field="14" count="0"/>
        </references>
      </pivotArea>
    </format>
  </formats>
  <conditionalFormats count="2">
    <conditionalFormat priority="13">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 priority="24">
      <pivotAreas count="1">
        <pivotArea type="data" outline="0" collapsedLevelsAreSubtotals="1" fieldPosition="0">
          <references count="2">
            <reference field="4294967294" count="1" selected="0">
              <x v="0"/>
            </reference>
            <reference field="33" count="1" selected="0">
              <x v="0"/>
            </reference>
          </references>
        </pivotArea>
      </pivotAreas>
    </conditionalFormat>
  </conditionalFormats>
  <chartFormats count="5">
    <chartFormat chart="1" format="0" series="1">
      <pivotArea type="data" outline="0" fieldPosition="0">
        <references count="2">
          <reference field="4294967294" count="1" selected="0">
            <x v="0"/>
          </reference>
          <reference field="33" count="1" selected="0">
            <x v="0"/>
          </reference>
        </references>
      </pivotArea>
    </chartFormat>
    <chartFormat chart="1" format="1" series="1">
      <pivotArea type="data" outline="0" fieldPosition="0">
        <references count="2">
          <reference field="4294967294" count="1" selected="0">
            <x v="0"/>
          </reference>
          <reference field="33" count="1" selected="0">
            <x v="1"/>
          </reference>
        </references>
      </pivotArea>
    </chartFormat>
    <chartFormat chart="1" format="2">
      <pivotArea type="data" outline="0" fieldPosition="0">
        <references count="3">
          <reference field="4294967294" count="1" selected="0">
            <x v="0"/>
          </reference>
          <reference field="14" count="1" selected="0">
            <x v="2"/>
          </reference>
          <reference field="33" count="1" selected="0">
            <x v="0"/>
          </reference>
        </references>
      </pivotArea>
    </chartFormat>
    <chartFormat chart="1" format="3">
      <pivotArea type="data" outline="0" fieldPosition="0">
        <references count="3">
          <reference field="4294967294" count="1" selected="0">
            <x v="0"/>
          </reference>
          <reference field="14" count="1" selected="0">
            <x v="2"/>
          </reference>
          <reference field="33" count="1" selected="0">
            <x v="1"/>
          </reference>
        </references>
      </pivotArea>
    </chartFormat>
    <chartFormat chart="1" format="4">
      <pivotArea type="data" outline="0" fieldPosition="0">
        <references count="3">
          <reference field="4294967294" count="1" selected="0">
            <x v="0"/>
          </reference>
          <reference field="14" count="1" selected="0">
            <x v="3"/>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72364C-13E6-421A-B6D6-114F2C2053B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hecking Acct. Balance" colHeaderCaption="Credit Risk">
  <location ref="U12:W18" firstHeaderRow="1" firstDataRow="2" firstDataCol="1"/>
  <pivotFields count="34">
    <pivotField showAll="0"/>
    <pivotField numFmtId="1" showAll="0"/>
    <pivotField showAll="0"/>
    <pivotField showAll="0"/>
    <pivotField showAll="0">
      <items count="3">
        <item x="0"/>
        <item x="1"/>
        <item t="default"/>
      </items>
    </pivotField>
    <pivotField showAll="0">
      <items count="5">
        <item x="0"/>
        <item x="3"/>
        <item x="2"/>
        <item x="1"/>
        <item t="default"/>
      </items>
    </pivotField>
    <pivotField numFmtId="1" showAll="0"/>
    <pivotField showAll="0"/>
    <pivotField showAll="0"/>
    <pivotField showAll="0"/>
    <pivotField numFmtId="1" showAll="0"/>
    <pivotField showAll="0"/>
    <pivotField showAll="0"/>
    <pivotField showAll="0"/>
    <pivotField showAll="0"/>
    <pivotField showAll="0"/>
    <pivotField axis="axisRow" dataField="1" showAll="0">
      <items count="6">
        <item x="4"/>
        <item x="0"/>
        <item x="3"/>
        <item x="1"/>
        <item x="2"/>
        <item t="default"/>
      </items>
    </pivotField>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Col" showAll="0">
      <items count="3">
        <item x="0"/>
        <item x="1"/>
        <item t="default"/>
      </items>
    </pivotField>
  </pivotFields>
  <rowFields count="1">
    <field x="16"/>
  </rowFields>
  <rowItems count="5">
    <i>
      <x/>
    </i>
    <i>
      <x v="1"/>
    </i>
    <i>
      <x v="2"/>
    </i>
    <i>
      <x v="3"/>
    </i>
    <i>
      <x v="4"/>
    </i>
  </rowItems>
  <colFields count="1">
    <field x="33"/>
  </colFields>
  <colItems count="2">
    <i>
      <x/>
    </i>
    <i>
      <x v="1"/>
    </i>
  </colItems>
  <dataFields count="1">
    <dataField name="Saving Acct. Balance Credit Risk %" fld="16" subtotal="count" showDataAs="percentOfRow" baseField="16" baseItem="0" numFmtId="165"/>
  </dataFields>
  <conditionalFormats count="2">
    <conditionalFormat priority="14">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 priority="20">
      <pivotAreas count="1">
        <pivotArea type="data" outline="0" collapsedLevelsAreSubtotals="1" fieldPosition="0">
          <references count="2">
            <reference field="4294967294" count="1" selected="0">
              <x v="0"/>
            </reference>
            <reference field="33" count="1" selected="0">
              <x v="0"/>
            </reference>
          </references>
        </pivotArea>
      </pivotAreas>
    </conditionalFormat>
  </conditionalFormats>
  <chartFormats count="4">
    <chartFormat chart="1" format="0" series="1">
      <pivotArea type="data" outline="0" fieldPosition="0">
        <references count="2">
          <reference field="4294967294" count="1" selected="0">
            <x v="0"/>
          </reference>
          <reference field="33" count="1" selected="0">
            <x v="0"/>
          </reference>
        </references>
      </pivotArea>
    </chartFormat>
    <chartFormat chart="1" format="1" series="1">
      <pivotArea type="data" outline="0" fieldPosition="0">
        <references count="2">
          <reference field="4294967294" count="1" selected="0">
            <x v="0"/>
          </reference>
          <reference field="33" count="1" selected="0">
            <x v="1"/>
          </reference>
        </references>
      </pivotArea>
    </chartFormat>
    <chartFormat chart="1" format="2">
      <pivotArea type="data" outline="0" fieldPosition="0">
        <references count="3">
          <reference field="4294967294" count="1" selected="0">
            <x v="0"/>
          </reference>
          <reference field="16" count="1" selected="0">
            <x v="1"/>
          </reference>
          <reference field="33" count="1" selected="0">
            <x v="0"/>
          </reference>
        </references>
      </pivotArea>
    </chartFormat>
    <chartFormat chart="1" format="3">
      <pivotArea type="data" outline="0" fieldPosition="0">
        <references count="3">
          <reference field="4294967294" count="1" selected="0">
            <x v="0"/>
          </reference>
          <reference field="16" count="1" selected="0">
            <x v="4"/>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AB1801-A104-488C-A01B-CAA89950263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Checking Acct. Balance" colHeaderCaption="Saving Acct. Balance">
  <location ref="P32:U37" firstHeaderRow="1" firstDataRow="2" firstDataCol="1" rowPageCount="1" colPageCount="1"/>
  <pivotFields count="34">
    <pivotField dataField="1" showAll="0"/>
    <pivotField numFmtId="1" showAll="0"/>
    <pivotField showAll="0"/>
    <pivotField showAll="0"/>
    <pivotField showAll="0"/>
    <pivotField showAll="0"/>
    <pivotField numFmtId="1" showAll="0"/>
    <pivotField showAll="0"/>
    <pivotField showAll="0"/>
    <pivotField showAll="0"/>
    <pivotField numFmtId="1" showAll="0"/>
    <pivotField showAll="0"/>
    <pivotField showAll="0"/>
    <pivotField showAll="0"/>
    <pivotField axis="axisRow" showAll="0">
      <items count="5">
        <item x="3"/>
        <item x="0"/>
        <item x="1"/>
        <item x="2"/>
        <item t="default"/>
      </items>
    </pivotField>
    <pivotField showAll="0"/>
    <pivotField axis="axisCol" showAll="0">
      <items count="6">
        <item x="4"/>
        <item x="0"/>
        <item x="3"/>
        <item x="1"/>
        <item x="2"/>
        <item t="default"/>
      </items>
    </pivotField>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Page" showAll="0">
      <items count="3">
        <item x="0"/>
        <item x="1"/>
        <item t="default"/>
      </items>
    </pivotField>
  </pivotFields>
  <rowFields count="1">
    <field x="14"/>
  </rowFields>
  <rowItems count="4">
    <i>
      <x/>
    </i>
    <i>
      <x v="1"/>
    </i>
    <i>
      <x v="2"/>
    </i>
    <i>
      <x v="3"/>
    </i>
  </rowItems>
  <colFields count="1">
    <field x="16"/>
  </colFields>
  <colItems count="5">
    <i>
      <x/>
    </i>
    <i>
      <x v="1"/>
    </i>
    <i>
      <x v="2"/>
    </i>
    <i>
      <x v="3"/>
    </i>
    <i>
      <x v="4"/>
    </i>
  </colItems>
  <pageFields count="1">
    <pageField fld="33" item="0" hier="-1"/>
  </pageFields>
  <dataFields count="1">
    <dataField name="Bad Risk (Count) Distribution among Acct. Balances" fld="0" subtotal="count" baseField="14" baseItem="2"/>
  </dataFields>
  <conditionalFormats count="5">
    <conditionalFormat priority="1">
      <pivotAreas count="1">
        <pivotArea type="data" outline="0" collapsedLevelsAreSubtotals="1" fieldPosition="0">
          <references count="2">
            <reference field="4294967294" count="1" selected="0">
              <x v="0"/>
            </reference>
            <reference field="16" count="1" selected="0">
              <x v="4"/>
            </reference>
          </references>
        </pivotArea>
      </pivotAreas>
    </conditionalFormat>
    <conditionalFormat priority="2">
      <pivotAreas count="1">
        <pivotArea type="data" outline="0" collapsedLevelsAreSubtotals="1" fieldPosition="0">
          <references count="2">
            <reference field="4294967294" count="1" selected="0">
              <x v="0"/>
            </reference>
            <reference field="16" count="1" selected="0">
              <x v="3"/>
            </reference>
          </references>
        </pivotArea>
      </pivotAreas>
    </conditionalFormat>
    <conditionalFormat priority="3">
      <pivotAreas count="1">
        <pivotArea type="data" outline="0" collapsedLevelsAreSubtotals="1" fieldPosition="0">
          <references count="2">
            <reference field="4294967294" count="1" selected="0">
              <x v="0"/>
            </reference>
            <reference field="16" count="1" selected="0">
              <x v="2"/>
            </reference>
          </references>
        </pivotArea>
      </pivotAreas>
    </conditionalFormat>
    <conditionalFormat priority="4">
      <pivotAreas count="1">
        <pivotArea type="data" outline="0" collapsedLevelsAreSubtotals="1" fieldPosition="0">
          <references count="2">
            <reference field="4294967294" count="1" selected="0">
              <x v="0"/>
            </reference>
            <reference field="16" count="1" selected="0">
              <x v="1"/>
            </reference>
          </references>
        </pivotArea>
      </pivotAreas>
    </conditionalFormat>
    <conditionalFormat priority="5">
      <pivotAreas count="1">
        <pivotArea type="data" outline="0" collapsedLevelsAreSubtotals="1" fieldPosition="0">
          <references count="2">
            <reference field="4294967294" count="1" selected="0">
              <x v="0"/>
            </reference>
            <reference field="16" count="1" selected="0">
              <x v="0"/>
            </reference>
          </references>
        </pivotArea>
      </pivotAreas>
    </conditionalFormat>
  </conditionalFormats>
  <chartFormats count="12">
    <chartFormat chart="9" format="0" series="1">
      <pivotArea type="data" outline="0" fieldPosition="0">
        <references count="2">
          <reference field="4294967294" count="1" selected="0">
            <x v="0"/>
          </reference>
          <reference field="16" count="1" selected="0">
            <x v="0"/>
          </reference>
        </references>
      </pivotArea>
    </chartFormat>
    <chartFormat chart="9" format="1" series="1">
      <pivotArea type="data" outline="0" fieldPosition="0">
        <references count="2">
          <reference field="4294967294" count="1" selected="0">
            <x v="0"/>
          </reference>
          <reference field="16" count="1" selected="0">
            <x v="1"/>
          </reference>
        </references>
      </pivotArea>
    </chartFormat>
    <chartFormat chart="9" format="2" series="1">
      <pivotArea type="data" outline="0" fieldPosition="0">
        <references count="2">
          <reference field="4294967294" count="1" selected="0">
            <x v="0"/>
          </reference>
          <reference field="16" count="1" selected="0">
            <x v="2"/>
          </reference>
        </references>
      </pivotArea>
    </chartFormat>
    <chartFormat chart="9" format="3" series="1">
      <pivotArea type="data" outline="0" fieldPosition="0">
        <references count="2">
          <reference field="4294967294" count="1" selected="0">
            <x v="0"/>
          </reference>
          <reference field="16" count="1" selected="0">
            <x v="3"/>
          </reference>
        </references>
      </pivotArea>
    </chartFormat>
    <chartFormat chart="9" format="4" series="1">
      <pivotArea type="data" outline="0" fieldPosition="0">
        <references count="2">
          <reference field="4294967294" count="1" selected="0">
            <x v="0"/>
          </reference>
          <reference field="16" count="1" selected="0">
            <x v="4"/>
          </reference>
        </references>
      </pivotArea>
    </chartFormat>
    <chartFormat chart="26" format="0" series="1">
      <pivotArea type="data" outline="0" fieldPosition="0">
        <references count="2">
          <reference field="4294967294" count="1" selected="0">
            <x v="0"/>
          </reference>
          <reference field="16" count="1" selected="0">
            <x v="0"/>
          </reference>
        </references>
      </pivotArea>
    </chartFormat>
    <chartFormat chart="26" format="1" series="1">
      <pivotArea type="data" outline="0" fieldPosition="0">
        <references count="2">
          <reference field="4294967294" count="1" selected="0">
            <x v="0"/>
          </reference>
          <reference field="16" count="1" selected="0">
            <x v="1"/>
          </reference>
        </references>
      </pivotArea>
    </chartFormat>
    <chartFormat chart="26" format="2" series="1">
      <pivotArea type="data" outline="0" fieldPosition="0">
        <references count="2">
          <reference field="4294967294" count="1" selected="0">
            <x v="0"/>
          </reference>
          <reference field="16" count="1" selected="0">
            <x v="2"/>
          </reference>
        </references>
      </pivotArea>
    </chartFormat>
    <chartFormat chart="26" format="3" series="1">
      <pivotArea type="data" outline="0" fieldPosition="0">
        <references count="2">
          <reference field="4294967294" count="1" selected="0">
            <x v="0"/>
          </reference>
          <reference field="16" count="1" selected="0">
            <x v="3"/>
          </reference>
        </references>
      </pivotArea>
    </chartFormat>
    <chartFormat chart="26" format="4" series="1">
      <pivotArea type="data" outline="0" fieldPosition="0">
        <references count="2">
          <reference field="4294967294" count="1" selected="0">
            <x v="0"/>
          </reference>
          <reference field="16" count="1" selected="0">
            <x v="4"/>
          </reference>
        </references>
      </pivotArea>
    </chartFormat>
    <chartFormat chart="26" format="5">
      <pivotArea type="data" outline="0" fieldPosition="0">
        <references count="3">
          <reference field="4294967294" count="1" selected="0">
            <x v="0"/>
          </reference>
          <reference field="14" count="1" selected="0">
            <x v="2"/>
          </reference>
          <reference field="16" count="1" selected="0">
            <x v="1"/>
          </reference>
        </references>
      </pivotArea>
    </chartFormat>
    <chartFormat chart="26" format="6">
      <pivotArea type="data" outline="0" fieldPosition="0">
        <references count="3">
          <reference field="4294967294" count="1" selected="0">
            <x v="0"/>
          </reference>
          <reference field="14" count="1" selected="0">
            <x v="1"/>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5224E4-15B7-475E-A6F2-E6A430ABFDB1}" name="PivotTable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8" rowHeaderCaption="Housing Status" colHeaderCaption="Credit Risk">
  <location ref="U22:V25" firstHeaderRow="1" firstDataRow="1" firstDataCol="1" rowPageCount="1" colPageCount="1"/>
  <pivotFields count="34">
    <pivotField showAll="0"/>
    <pivotField numFmtId="1" showAll="0"/>
    <pivotField showAll="0"/>
    <pivotField showAll="0"/>
    <pivotField showAll="0"/>
    <pivotField showAll="0"/>
    <pivotField numFmtId="1" showAll="0"/>
    <pivotField showAll="0"/>
    <pivotField showAll="0"/>
    <pivotField axis="axisRow" showAll="0">
      <items count="4">
        <item x="0"/>
        <item x="2"/>
        <item x="1"/>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Page" dataField="1" multipleItemSelectionAllowed="1" showAll="0">
      <items count="3">
        <item x="0"/>
        <item h="1" x="1"/>
        <item t="default"/>
      </items>
    </pivotField>
  </pivotFields>
  <rowFields count="1">
    <field x="9"/>
  </rowFields>
  <rowItems count="3">
    <i>
      <x/>
    </i>
    <i>
      <x v="1"/>
    </i>
    <i>
      <x v="2"/>
    </i>
  </rowItems>
  <colItems count="1">
    <i/>
  </colItems>
  <pageFields count="1">
    <pageField fld="33" hier="-1"/>
  </pageFields>
  <dataFields count="1">
    <dataField name="Housing Status Credit Risk" fld="33" subtotal="count" baseField="9" baseItem="0"/>
  </dataFields>
  <conditionalFormats count="3">
    <conditionalFormat priority="6">
      <pivotAreas count="1">
        <pivotArea type="data" outline="0" collapsedLevelsAreSubtotals="1" fieldPosition="0">
          <references count="1">
            <reference field="4294967294" count="1" selected="0">
              <x v="0"/>
            </reference>
          </references>
        </pivotArea>
      </pivotAreas>
    </conditionalFormat>
    <conditionalFormat priority="15">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 priority="16">
      <pivotAreas count="1">
        <pivotArea type="data" outline="0" collapsedLevelsAreSubtotals="1" fieldPosition="0">
          <references count="2">
            <reference field="4294967294" count="1" selected="0">
              <x v="0"/>
            </reference>
            <reference field="33" count="1" selected="0">
              <x v="0"/>
            </reference>
          </references>
        </pivotArea>
      </pivotAreas>
    </conditionalFormat>
  </conditionalFormats>
  <chartFormats count="5">
    <chartFormat chart="7" format="0" series="1">
      <pivotArea type="data" outline="0" fieldPosition="0">
        <references count="2">
          <reference field="4294967294" count="1" selected="0">
            <x v="0"/>
          </reference>
          <reference field="33" count="1" selected="0">
            <x v="0"/>
          </reference>
        </references>
      </pivotArea>
    </chartFormat>
    <chartFormat chart="7" format="1" series="1">
      <pivotArea type="data" outline="0" fieldPosition="0">
        <references count="2">
          <reference field="4294967294" count="1" selected="0">
            <x v="0"/>
          </reference>
          <reference field="33"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9" count="1" selected="0">
            <x v="1"/>
          </reference>
        </references>
      </pivotArea>
    </chartFormat>
    <chartFormat chart="7" format="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BD454D-585C-43FC-80E0-6BF38417F04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Credit History" colHeaderCaption="Credit Risk Count">
  <location ref="Q31:R33" firstHeaderRow="1" firstDataRow="1" firstDataCol="1" rowPageCount="1" colPageCount="1"/>
  <pivotFields count="34">
    <pivotField dataField="1" showAll="0"/>
    <pivotField numFmtId="1" showAll="0"/>
    <pivotField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6">
        <item x="2"/>
        <item x="3"/>
        <item x="1"/>
        <item x="0"/>
        <item x="4"/>
        <item t="default"/>
      </items>
    </pivotField>
    <pivotField numFmtId="1" showAll="0"/>
    <pivotField numFmtId="1" showAll="0"/>
    <pivotField numFmtId="164" showAll="0"/>
    <pivotField showAll="0"/>
    <pivotField showAll="0"/>
    <pivotField showAll="0"/>
    <pivotField showAll="0"/>
    <pivotField showAll="0"/>
    <pivotField numFmtId="1" showAll="0"/>
    <pivotField axis="axisPage" showAll="0">
      <items count="3">
        <item x="0"/>
        <item x="1"/>
        <item t="default"/>
      </items>
    </pivotField>
  </pivotFields>
  <rowFields count="1">
    <field x="23"/>
  </rowFields>
  <rowItems count="2">
    <i>
      <x v="1"/>
    </i>
    <i>
      <x v="2"/>
    </i>
  </rowItems>
  <colItems count="1">
    <i/>
  </colItems>
  <pageFields count="1">
    <pageField fld="33" item="0" hier="-1"/>
  </pageFields>
  <dataFields count="1">
    <dataField name="Risk by Credit History" fld="0" subtotal="count" baseField="23" baseItem="0"/>
  </dataFields>
  <conditionalFormats count="2">
    <conditionalFormat priority="10">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 priority="11">
      <pivotAreas count="1">
        <pivotArea type="data" outline="0" collapsedLevelsAreSubtotals="1" fieldPosition="0">
          <references count="1">
            <reference field="4294967294" count="1" selected="0">
              <x v="0"/>
            </reference>
          </references>
        </pivotArea>
      </pivotAreas>
    </conditionalFormat>
  </conditionalFormats>
  <chartFormats count="6">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23" count="1" selected="0">
            <x v="2"/>
          </reference>
        </references>
      </pivotArea>
    </chartFormat>
    <chartFormat chart="17" format="2">
      <pivotArea type="data" outline="0" fieldPosition="0">
        <references count="2">
          <reference field="4294967294" count="1" selected="0">
            <x v="0"/>
          </reference>
          <reference field="23" count="1" selected="0">
            <x v="1"/>
          </reference>
        </references>
      </pivotArea>
    </chartFormat>
    <chartFormat chart="17" format="3">
      <pivotArea type="data" outline="0" fieldPosition="0">
        <references count="2">
          <reference field="4294967294" count="1" selected="0">
            <x v="0"/>
          </reference>
          <reference field="23" count="1" selected="0">
            <x v="3"/>
          </reference>
        </references>
      </pivotArea>
    </chartFormat>
    <chartFormat chart="17" format="4">
      <pivotArea type="data" outline="0" fieldPosition="0">
        <references count="2">
          <reference field="4294967294" count="1" selected="0">
            <x v="0"/>
          </reference>
          <reference field="23" count="1" selected="0">
            <x v="0"/>
          </reference>
        </references>
      </pivotArea>
    </chartFormat>
    <chartFormat chart="17" format="5">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filters count="1">
    <filter fld="23" type="count" evalOrder="-1" id="6"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4119868-9519-4F65-A357-6670B086145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Loan Purpose">
  <location ref="W14:X24" firstHeaderRow="1" firstDataRow="1" firstDataCol="1"/>
  <pivotFields count="34">
    <pivotField showAll="0"/>
    <pivotField numFmtId="1" showAll="0"/>
    <pivotField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dataField="1" numFmtId="164" showAll="0"/>
    <pivotField showAll="0"/>
    <pivotField showAll="0"/>
    <pivotField showAll="0"/>
    <pivotField axis="axisRow" showAll="0">
      <items count="11">
        <item x="5"/>
        <item x="8"/>
        <item x="7"/>
        <item x="1"/>
        <item x="3"/>
        <item x="0"/>
        <item x="4"/>
        <item x="6"/>
        <item x="9"/>
        <item x="2"/>
        <item t="default"/>
      </items>
    </pivotField>
    <pivotField showAll="0"/>
    <pivotField numFmtId="1" showAll="0"/>
    <pivotField showAll="0"/>
  </pivotFields>
  <rowFields count="1">
    <field x="30"/>
  </rowFields>
  <rowItems count="10">
    <i>
      <x/>
    </i>
    <i>
      <x v="1"/>
    </i>
    <i>
      <x v="2"/>
    </i>
    <i>
      <x v="3"/>
    </i>
    <i>
      <x v="4"/>
    </i>
    <i>
      <x v="5"/>
    </i>
    <i>
      <x v="6"/>
    </i>
    <i>
      <x v="7"/>
    </i>
    <i>
      <x v="8"/>
    </i>
    <i>
      <x v="9"/>
    </i>
  </rowItems>
  <colItems count="1">
    <i/>
  </colItems>
  <dataFields count="1">
    <dataField name="Avg. Credit Amount" fld="26" subtotal="average" baseField="30" baseItem="0" numFmtId="166"/>
  </dataFields>
  <formats count="1">
    <format dxfId="5">
      <pivotArea outline="0" collapsedLevelsAreSubtotals="1" fieldPosition="0"/>
    </format>
  </formats>
  <conditionalFormats count="1">
    <conditionalFormat priority="1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1C559A-6AB9-4EBE-A922-DB88D188532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Loan Purpose" colHeaderCaption="Credit Risk Count">
  <location ref="Q16:S22" firstHeaderRow="1" firstDataRow="2" firstDataCol="1"/>
  <pivotFields count="34">
    <pivotField dataField="1" showAll="0"/>
    <pivotField numFmtId="1" showAll="0"/>
    <pivotField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axis="axisRow" showAll="0" measureFilter="1">
      <items count="11">
        <item x="5"/>
        <item x="8"/>
        <item x="7"/>
        <item x="1"/>
        <item x="3"/>
        <item x="0"/>
        <item x="4"/>
        <item x="6"/>
        <item x="9"/>
        <item x="2"/>
        <item t="default"/>
      </items>
    </pivotField>
    <pivotField showAll="0"/>
    <pivotField numFmtId="1" showAll="0"/>
    <pivotField axis="axisCol" showAll="0">
      <items count="3">
        <item x="0"/>
        <item x="1"/>
        <item t="default"/>
      </items>
    </pivotField>
  </pivotFields>
  <rowFields count="1">
    <field x="30"/>
  </rowFields>
  <rowItems count="5">
    <i>
      <x/>
    </i>
    <i>
      <x v="3"/>
    </i>
    <i>
      <x v="4"/>
    </i>
    <i>
      <x v="6"/>
    </i>
    <i>
      <x v="9"/>
    </i>
  </rowItems>
  <colFields count="1">
    <field x="33"/>
  </colFields>
  <colItems count="2">
    <i>
      <x/>
    </i>
    <i>
      <x v="1"/>
    </i>
  </colItems>
  <dataFields count="1">
    <dataField name="Loan Purpose Credit Risk %" fld="0" subtotal="count" showDataAs="percentOfRow" baseField="30" baseItem="9" numFmtId="10"/>
  </dataFields>
  <formats count="2">
    <format dxfId="7">
      <pivotArea dataOnly="0" labelOnly="1" fieldPosition="0">
        <references count="1">
          <reference field="30" count="1">
            <x v="0"/>
          </reference>
        </references>
      </pivotArea>
    </format>
    <format dxfId="6">
      <pivotArea outline="0" fieldPosition="0">
        <references count="1">
          <reference field="4294967294" count="1">
            <x v="0"/>
          </reference>
        </references>
      </pivotArea>
    </format>
  </formats>
  <conditionalFormats count="2">
    <conditionalFormat priority="15">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 priority="16">
      <pivotAreas count="1">
        <pivotArea type="data" outline="0" collapsedLevelsAreSubtotals="1" fieldPosition="0">
          <references count="2">
            <reference field="4294967294" count="1" selected="0">
              <x v="0"/>
            </reference>
            <reference field="33" count="1" selected="0">
              <x v="0"/>
            </reference>
          </references>
        </pivotArea>
      </pivotAreas>
    </conditionalFormat>
  </conditionalFormats>
  <chartFormats count="6">
    <chartFormat chart="7" format="0" series="1">
      <pivotArea type="data" outline="0" fieldPosition="0">
        <references count="2">
          <reference field="4294967294" count="1" selected="0">
            <x v="0"/>
          </reference>
          <reference field="33" count="1" selected="0">
            <x v="0"/>
          </reference>
        </references>
      </pivotArea>
    </chartFormat>
    <chartFormat chart="7" format="1" series="1">
      <pivotArea type="data" outline="0" fieldPosition="0">
        <references count="2">
          <reference field="4294967294" count="1" selected="0">
            <x v="0"/>
          </reference>
          <reference field="33" count="1" selected="0">
            <x v="1"/>
          </reference>
        </references>
      </pivotArea>
    </chartFormat>
    <chartFormat chart="9" format="0" series="1">
      <pivotArea type="data" outline="0" fieldPosition="0">
        <references count="2">
          <reference field="4294967294" count="1" selected="0">
            <x v="0"/>
          </reference>
          <reference field="33" count="1" selected="0">
            <x v="0"/>
          </reference>
        </references>
      </pivotArea>
    </chartFormat>
    <chartFormat chart="9" format="1" series="1">
      <pivotArea type="data" outline="0" fieldPosition="0">
        <references count="2">
          <reference field="4294967294" count="1" selected="0">
            <x v="0"/>
          </reference>
          <reference field="33" count="1" selected="0">
            <x v="1"/>
          </reference>
        </references>
      </pivotArea>
    </chartFormat>
    <chartFormat chart="9" format="2">
      <pivotArea type="data" outline="0" fieldPosition="0">
        <references count="3">
          <reference field="4294967294" count="1" selected="0">
            <x v="0"/>
          </reference>
          <reference field="30" count="1" selected="0">
            <x v="9"/>
          </reference>
          <reference field="33" count="1" selected="0">
            <x v="1"/>
          </reference>
        </references>
      </pivotArea>
    </chartFormat>
    <chartFormat chart="9" format="3">
      <pivotArea type="data" outline="0" fieldPosition="0">
        <references count="3">
          <reference field="4294967294" count="1" selected="0">
            <x v="0"/>
          </reference>
          <reference field="30" count="1" selected="0">
            <x v="4"/>
          </reference>
          <reference field="33" count="1" selected="0">
            <x v="0"/>
          </reference>
        </references>
      </pivotArea>
    </chartFormat>
  </chartFormats>
  <pivotTableStyleInfo name="PivotStyleLight16" showRowHeaders="1" showColHeaders="1" showRowStripes="0" showColStripes="0" showLastColumn="1"/>
  <filters count="1">
    <filter fld="3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D655FC6-9042-450A-98D8-B9B101332F75}"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Loan Duration Range" colHeaderCaption="Credit Risk Count">
  <location ref="W41:Z48" firstHeaderRow="1" firstDataRow="2" firstDataCol="1"/>
  <pivotFields count="34">
    <pivotField dataField="1" showAll="0"/>
    <pivotField numFmtId="1" showAll="0"/>
    <pivotField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64" showAll="0"/>
    <pivotField showAll="0"/>
    <pivotField showAll="0"/>
    <pivotField showAll="0"/>
    <pivotField showAll="0"/>
    <pivotField axis="axisRow" showAll="0">
      <items count="7">
        <item x="2"/>
        <item x="1"/>
        <item x="5"/>
        <item x="0"/>
        <item x="4"/>
        <item x="3"/>
        <item t="default"/>
      </items>
    </pivotField>
    <pivotField numFmtId="1" showAll="0"/>
    <pivotField axis="axisCol" showAll="0">
      <items count="3">
        <item x="0"/>
        <item x="1"/>
        <item t="default"/>
      </items>
    </pivotField>
  </pivotFields>
  <rowFields count="1">
    <field x="31"/>
  </rowFields>
  <rowItems count="6">
    <i>
      <x/>
    </i>
    <i>
      <x v="1"/>
    </i>
    <i>
      <x v="2"/>
    </i>
    <i>
      <x v="3"/>
    </i>
    <i>
      <x v="4"/>
    </i>
    <i>
      <x v="5"/>
    </i>
  </rowItems>
  <colFields count="1">
    <field x="33"/>
  </colFields>
  <colItems count="3">
    <i>
      <x/>
    </i>
    <i>
      <x v="1"/>
    </i>
    <i t="grand">
      <x/>
    </i>
  </colItems>
  <dataFields count="1">
    <dataField name="Risk Count by Loan Duration" fld="0" subtotal="count" baseField="31" baseItem="0"/>
  </dataFields>
  <conditionalFormats count="2">
    <conditionalFormat priority="6">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 priority="7">
      <pivotAreas count="1">
        <pivotArea type="data" outline="0" collapsedLevelsAreSubtotals="1" fieldPosition="0">
          <references count="2">
            <reference field="4294967294" count="1" selected="0">
              <x v="0"/>
            </reference>
            <reference field="33" count="1" selected="0">
              <x v="0"/>
            </reference>
          </references>
        </pivotArea>
      </pivotAreas>
    </conditionalFormat>
  </conditionalFormats>
  <chartFormats count="4">
    <chartFormat chart="0" format="0" series="1">
      <pivotArea type="data" outline="0" fieldPosition="0">
        <references count="2">
          <reference field="4294967294" count="1" selected="0">
            <x v="0"/>
          </reference>
          <reference field="33" count="1" selected="0">
            <x v="0"/>
          </reference>
        </references>
      </pivotArea>
    </chartFormat>
    <chartFormat chart="0" format="1" series="1">
      <pivotArea type="data" outline="0" fieldPosition="0">
        <references count="2">
          <reference field="4294967294" count="1" selected="0">
            <x v="0"/>
          </reference>
          <reference field="33" count="1" selected="0">
            <x v="1"/>
          </reference>
        </references>
      </pivotArea>
    </chartFormat>
    <chartFormat chart="0" format="2">
      <pivotArea type="data" outline="0" fieldPosition="0">
        <references count="3">
          <reference field="4294967294" count="1" selected="0">
            <x v="0"/>
          </reference>
          <reference field="31" count="1" selected="0">
            <x v="1"/>
          </reference>
          <reference field="33" count="1" selected="0">
            <x v="1"/>
          </reference>
        </references>
      </pivotArea>
    </chartFormat>
    <chartFormat chart="0" format="3">
      <pivotArea type="data" outline="0" fieldPosition="0">
        <references count="3">
          <reference field="4294967294" count="1" selected="0">
            <x v="0"/>
          </reference>
          <reference field="31" count="1" selected="0">
            <x v="1"/>
          </reference>
          <reference field="3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07170E8-9B99-448C-9C1D-44960E42120F}"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Employment years" colHeaderCaption="Credit Risk">
  <location ref="Q41:R46" firstHeaderRow="1" firstDataRow="1" firstDataCol="1" rowPageCount="1" colPageCount="1"/>
  <pivotFields count="34">
    <pivotField dataField="1" showAll="0"/>
    <pivotField numFmtId="1" showAll="0"/>
    <pivotField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axis="axisRow" showAll="0">
      <items count="6">
        <item x="0"/>
        <item x="2"/>
        <item x="3"/>
        <item x="1"/>
        <item x="4"/>
        <item t="default"/>
      </items>
    </pivotField>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Page" showAll="0">
      <items count="3">
        <item x="0"/>
        <item x="1"/>
        <item t="default"/>
      </items>
    </pivotField>
  </pivotFields>
  <rowFields count="1">
    <field x="21"/>
  </rowFields>
  <rowItems count="5">
    <i>
      <x/>
    </i>
    <i>
      <x v="1"/>
    </i>
    <i>
      <x v="2"/>
    </i>
    <i>
      <x v="3"/>
    </i>
    <i>
      <x v="4"/>
    </i>
  </rowItems>
  <colItems count="1">
    <i/>
  </colItems>
  <pageFields count="1">
    <pageField fld="33" hier="-1"/>
  </pageFields>
  <dataFields count="1">
    <dataField name="Count" fld="0" subtotal="count" baseField="21" baseItem="0"/>
  </dataFields>
  <conditionalFormats count="2">
    <conditionalFormat priority="4">
      <pivotAreas count="1">
        <pivotArea type="data" outline="0" collapsedLevelsAreSubtotals="1" fieldPosition="0">
          <references count="2">
            <reference field="4294967294" count="1" selected="0">
              <x v="0"/>
            </reference>
            <reference field="33" count="1" selected="0">
              <x v="1"/>
            </reference>
          </references>
        </pivotArea>
      </pivotAreas>
    </conditionalFormat>
    <conditionalFormat priority="5">
      <pivotAreas count="1">
        <pivotArea type="data" outline="0" collapsedLevelsAreSubtotals="1" fieldPosition="0">
          <references count="2">
            <reference field="4294967294" count="1" selected="0">
              <x v="0"/>
            </reference>
            <reference field="33" count="1" selected="0">
              <x v="0"/>
            </reference>
          </references>
        </pivotArea>
      </pivotAreas>
    </conditionalFormat>
  </conditionalFormats>
  <chartFormats count="4">
    <chartFormat chart="21" format="0" series="1">
      <pivotArea type="data" outline="0" fieldPosition="0">
        <references count="2">
          <reference field="4294967294" count="1" selected="0">
            <x v="0"/>
          </reference>
          <reference field="33" count="1" selected="0">
            <x v="0"/>
          </reference>
        </references>
      </pivotArea>
    </chartFormat>
    <chartFormat chart="21" format="1" series="1">
      <pivotArea type="data" outline="0" fieldPosition="0">
        <references count="2">
          <reference field="4294967294" count="1" selected="0">
            <x v="0"/>
          </reference>
          <reference field="33" count="1" selected="0">
            <x v="1"/>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ECAA1A0-F0B5-4E90-8239-13C5A333F058}"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Employment Type" colHeaderCaption="Credit Risk">
  <location ref="W31:X33" firstHeaderRow="1" firstDataRow="1" firstDataCol="1" rowPageCount="1" colPageCount="1"/>
  <pivotFields count="34">
    <pivotField dataField="1" showAll="0"/>
    <pivotField numFmtId="1" showAll="0"/>
    <pivotField showAll="0"/>
    <pivotField showAll="0"/>
    <pivotField showAll="0"/>
    <pivotField showAll="0"/>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numFmtId="1" showAll="0"/>
    <pivotField numFmtId="1" showAll="0"/>
    <pivotField numFmtId="164" showAll="0"/>
    <pivotField showAll="0"/>
    <pivotField showAll="0"/>
    <pivotField showAll="0"/>
    <pivotField showAll="0"/>
    <pivotField showAll="0"/>
    <pivotField numFmtId="1" showAll="0"/>
    <pivotField axis="axisPage" showAll="0">
      <items count="3">
        <item x="0"/>
        <item x="1"/>
        <item t="default"/>
      </items>
    </pivotField>
  </pivotFields>
  <rowFields count="1">
    <field x="19"/>
  </rowFields>
  <rowItems count="2">
    <i>
      <x/>
    </i>
    <i>
      <x v="1"/>
    </i>
  </rowItems>
  <colItems count="1">
    <i/>
  </colItems>
  <pageFields count="1">
    <pageField fld="33" item="0" hier="-1"/>
  </pageFields>
  <dataFields count="1">
    <dataField name="Count" fld="0" subtotal="count" baseField="19" baseItem="0" numFmtId="1"/>
  </dataFields>
  <formats count="2">
    <format dxfId="9">
      <pivotArea collapsedLevelsAreSubtotals="1" fieldPosition="0">
        <references count="1">
          <reference field="19" count="1">
            <x v="0"/>
          </reference>
        </references>
      </pivotArea>
    </format>
    <format dxfId="8">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3">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9" count="1" selected="0">
            <x v="1"/>
          </reference>
        </references>
      </pivotArea>
    </chartFormat>
    <chartFormat chart="7" format="2">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22">
    <queryTableFields count="21">
      <queryTableField id="1" name="checking_status" tableColumnId="1"/>
      <queryTableField id="2" name="duration" tableColumnId="2"/>
      <queryTableField id="3" name="credit_history" tableColumnId="3"/>
      <queryTableField id="4" name="purpose" tableColumnId="4"/>
      <queryTableField id="5" name="credit_amount" tableColumnId="5"/>
      <queryTableField id="6" name="savings_status" tableColumnId="6"/>
      <queryTableField id="7" name="employment" tableColumnId="7"/>
      <queryTableField id="8" name="installment_commitment" tableColumnId="8"/>
      <queryTableField id="9" name="personal_status" tableColumnId="9"/>
      <queryTableField id="10" name="other_parties" tableColumnId="10"/>
      <queryTableField id="11" name="residence_since" tableColumnId="11"/>
      <queryTableField id="12" name="property_magnitude" tableColumnId="12"/>
      <queryTableField id="13" name="age" tableColumnId="13"/>
      <queryTableField id="14" name="other_payment_plans" tableColumnId="14"/>
      <queryTableField id="15" name="housing" tableColumnId="15"/>
      <queryTableField id="16" name="existing_credits" tableColumnId="16"/>
      <queryTableField id="17" name="job" tableColumnId="17"/>
      <queryTableField id="18" name="num_dependents" tableColumnId="18"/>
      <queryTableField id="19" name="own_telephone" tableColumnId="19"/>
      <queryTableField id="20" name="foreign_worker" tableColumnId="20"/>
      <queryTableField id="21" name="class"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_Acct_Balance" xr10:uid="{E25112C9-1571-4635-996F-923F804E975E}" sourceName="Check_Acct_Balance">
  <pivotTables>
    <pivotTable tabId="4" name="PivotTable2"/>
  </pivotTables>
  <data>
    <tabular pivotCacheId="194175465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ving_Acct_Balance" xr10:uid="{6F006D1D-B54F-4F60-BD17-C22E9A58690C}" sourceName="Saving_Acct_Balance">
  <pivotTables>
    <pivotTable tabId="4" name="PivotTable2"/>
  </pivotTables>
  <data>
    <tabular pivotCacheId="1941754653">
      <items count="5">
        <i x="4" s="1"/>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_Acct_Balance1" xr10:uid="{8AE98B67-FF02-4CC0-80B5-FEAB7E680781}" sourceName="Check_Acct_Balance">
  <pivotTables>
    <pivotTable tabId="4" name="PivotTable7"/>
  </pivotTables>
  <data>
    <tabular pivotCacheId="1941754653">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ving_Acct_Balance1" xr10:uid="{6A69C21D-02E6-4DE1-87E4-E1697553164C}" sourceName="Saving_Acct_Balance">
  <pivotTables>
    <pivotTable tabId="4" name="PivotTable7"/>
  </pivotTables>
  <data>
    <tabular pivotCacheId="1941754653">
      <items count="5">
        <i x="4" s="1"/>
        <i x="0"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9D6606F-4066-47C7-AA11-3AC785069AF5}" sourceName="Gender">
  <pivotTables>
    <pivotTable tabId="12" name="PivotTable2"/>
  </pivotTables>
  <data>
    <tabular pivotCacheId="1941754653">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153BCDA-8B37-4BEF-AA75-8C7C74A6CC81}" sourceName="Marital Status">
  <pivotTables>
    <pivotTable tabId="12" name="PivotTable2"/>
  </pivotTables>
  <data>
    <tabular pivotCacheId="1941754653">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eck_Acct_Balance" xr10:uid="{00178E41-5490-4462-B4F5-0D9E4D76EF1A}" cache="Slicer_Check_Acct_Balance" caption="Check_Acct_Balance" rowHeight="234950"/>
  <slicer name="Saving_Acct_Balance" xr10:uid="{FE170755-80A1-4B15-9A20-43F2E4A3A11F}" cache="Slicer_Saving_Acct_Balance" caption="Saving_Acct_Balance" rowHeight="234950"/>
  <slicer name="Check_Acct_Balance 1" xr10:uid="{299EB580-76F1-4D19-8138-178460292940}" cache="Slicer_Check_Acct_Balance1" caption="Check_Acct_Balance" rowHeight="234950"/>
  <slicer name="Saving_Acct_Balance 1" xr10:uid="{2F0E7A40-9326-4A5B-B5DA-E67BD13F40A6}" cache="Slicer_Saving_Acct_Balance1" caption="Saving_Acct_Balan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95387C5-D091-40D3-92A3-EC0A0A229400}" cache="Slicer_Gender" caption="Gender" rowHeight="234950"/>
  <slicer name="Marital Status" xr10:uid="{C04F7D5C-09A5-4B79-97E0-D99CC7F74543}" cache="Slicer_Marital_Status" caption="Marital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redit_customers" displayName="credit_customers" ref="A1:U1001" tableType="queryTable" totalsRowShown="0">
  <autoFilter ref="A1:U1001" xr:uid="{00000000-0009-0000-0100-000002000000}"/>
  <tableColumns count="21">
    <tableColumn id="1" xr3:uid="{00000000-0010-0000-0000-000001000000}" uniqueName="1" name="checking_status" queryTableFieldId="1" dataDxfId="79"/>
    <tableColumn id="2" xr3:uid="{00000000-0010-0000-0000-000002000000}" uniqueName="2" name="duration" queryTableFieldId="2"/>
    <tableColumn id="3" xr3:uid="{00000000-0010-0000-0000-000003000000}" uniqueName="3" name="credit_history" queryTableFieldId="3" dataDxfId="78"/>
    <tableColumn id="4" xr3:uid="{00000000-0010-0000-0000-000004000000}" uniqueName="4" name="purpose" queryTableFieldId="4" dataDxfId="77"/>
    <tableColumn id="5" xr3:uid="{00000000-0010-0000-0000-000005000000}" uniqueName="5" name="credit_amount" queryTableFieldId="5"/>
    <tableColumn id="6" xr3:uid="{00000000-0010-0000-0000-000006000000}" uniqueName="6" name="savings_status" queryTableFieldId="6" dataDxfId="76"/>
    <tableColumn id="7" xr3:uid="{00000000-0010-0000-0000-000007000000}" uniqueName="7" name="employment" queryTableFieldId="7" dataDxfId="75"/>
    <tableColumn id="8" xr3:uid="{00000000-0010-0000-0000-000008000000}" uniqueName="8" name="installment_commitment" queryTableFieldId="8"/>
    <tableColumn id="9" xr3:uid="{00000000-0010-0000-0000-000009000000}" uniqueName="9" name="personal_status" queryTableFieldId="9" dataDxfId="74"/>
    <tableColumn id="10" xr3:uid="{00000000-0010-0000-0000-00000A000000}" uniqueName="10" name="other_parties" queryTableFieldId="10" dataDxfId="73"/>
    <tableColumn id="11" xr3:uid="{00000000-0010-0000-0000-00000B000000}" uniqueName="11" name="residence_since" queryTableFieldId="11"/>
    <tableColumn id="12" xr3:uid="{00000000-0010-0000-0000-00000C000000}" uniqueName="12" name="property_magnitude" queryTableFieldId="12" dataDxfId="72"/>
    <tableColumn id="13" xr3:uid="{00000000-0010-0000-0000-00000D000000}" uniqueName="13" name="age" queryTableFieldId="13"/>
    <tableColumn id="14" xr3:uid="{00000000-0010-0000-0000-00000E000000}" uniqueName="14" name="other_payment_plans" queryTableFieldId="14" dataDxfId="71"/>
    <tableColumn id="15" xr3:uid="{00000000-0010-0000-0000-00000F000000}" uniqueName="15" name="housing" queryTableFieldId="15" dataDxfId="70"/>
    <tableColumn id="16" xr3:uid="{00000000-0010-0000-0000-000010000000}" uniqueName="16" name="existing_credits" queryTableFieldId="16"/>
    <tableColumn id="17" xr3:uid="{00000000-0010-0000-0000-000011000000}" uniqueName="17" name="job" queryTableFieldId="17" dataDxfId="69"/>
    <tableColumn id="18" xr3:uid="{00000000-0010-0000-0000-000012000000}" uniqueName="18" name="num_dependents" queryTableFieldId="18"/>
    <tableColumn id="19" xr3:uid="{00000000-0010-0000-0000-000013000000}" uniqueName="19" name="own_telephone" queryTableFieldId="19" dataDxfId="68"/>
    <tableColumn id="20" xr3:uid="{00000000-0010-0000-0000-000014000000}" uniqueName="20" name="foreign_worker" queryTableFieldId="20" dataDxfId="67"/>
    <tableColumn id="21" xr3:uid="{00000000-0010-0000-0000-000015000000}" uniqueName="21" name="class" queryTableFieldId="21" dataDxfId="6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AH1002" totalsRowShown="0">
  <autoFilter ref="A2:AH1002" xr:uid="{00000000-0009-0000-0100-000001000000}"/>
  <tableColumns count="34">
    <tableColumn id="33" xr3:uid="{BB10EA84-1666-4B89-8ECB-6DC8174EF147}" name="ID" dataDxfId="65"/>
    <tableColumn id="13" xr3:uid="{00000000-0010-0000-0100-00000D000000}" name="Age" dataDxfId="64"/>
    <tableColumn id="25" xr3:uid="{AF3BC8C0-6758-4610-9BDF-3D62EB19594F}" name="Age_Range" dataDxfId="63">
      <calculatedColumnFormula>_xlfn.XLOOKUP(Table1[[#This Row],[Age]],Table7[Start_Age],Table7[Age_Range],,-1)</calculatedColumnFormula>
    </tableColumn>
    <tableColumn id="9" xr3:uid="{00000000-0010-0000-0100-000009000000}" name="Personal_Status" dataDxfId="62"/>
    <tableColumn id="28" xr3:uid="{077376D8-BFD8-41E7-8C5E-6217D22F0903}" name="Gender" dataDxfId="61"/>
    <tableColumn id="27" xr3:uid="{1DFDF1FB-59ED-46D2-8122-7D4987831C89}" name="Marital Status" dataDxfId="60"/>
    <tableColumn id="18" xr3:uid="{00000000-0010-0000-0100-000012000000}" name="Num_of_Dependents" dataDxfId="59"/>
    <tableColumn id="20" xr3:uid="{00000000-0010-0000-0100-000014000000}" name="Foreign_Worker" dataDxfId="58"/>
    <tableColumn id="31" xr3:uid="{0F1F7AD4-2F9D-491E-ADC1-93AB9FEA83EE}" name="Residential_Status" dataDxfId="57">
      <calculatedColumnFormula array="1">_xlfn.IFS(Table1[[#This Row],[Job_Type]] = "unskilled resident", "Resident",
Table1[[#This Row],[Job_Type]] = "unemp/unskilled non res", "Non-resident",
TRUE, "Unknown")</calculatedColumnFormula>
    </tableColumn>
    <tableColumn id="15" xr3:uid="{00000000-0010-0000-0100-00000F000000}" name="Housing_Status" dataDxfId="56"/>
    <tableColumn id="11" xr3:uid="{00000000-0010-0000-0100-00000B000000}" name="Residence_Duration" dataDxfId="55"/>
    <tableColumn id="12" xr3:uid="{00000000-0010-0000-0100-00000C000000}" name="Owned Assets" dataDxfId="54"/>
    <tableColumn id="19" xr3:uid="{00000000-0010-0000-0100-000013000000}" name="Own_Telephone" dataDxfId="53"/>
    <tableColumn id="1" xr3:uid="{00000000-0010-0000-0100-000001000000}" name="Checking_Acct_Status"/>
    <tableColumn id="22" xr3:uid="{00000000-0010-0000-0100-000016000000}" name="Check_Acct_Balance" dataDxfId="52">
      <calculatedColumnFormula>_xlfn.XLOOKUP(Table1[[#This Row],[Checking_Acct_Status]],Table3[Checking_Acct_Original],Table3[Category])</calculatedColumnFormula>
    </tableColumn>
    <tableColumn id="6" xr3:uid="{00000000-0010-0000-0100-000006000000}" name="Saving_Acct_Status" dataDxfId="51"/>
    <tableColumn id="24" xr3:uid="{00000000-0010-0000-0100-000018000000}" name="Saving_Acct_Balance" dataDxfId="50">
      <calculatedColumnFormula>_xlfn.XLOOKUP(Table1[[#This Row],[Saving_Acct_Status]],Table5[Saving_Acct_Original],Table5[Category])</calculatedColumnFormula>
    </tableColumn>
    <tableColumn id="17" xr3:uid="{00000000-0010-0000-0100-000011000000}" name="Job_Type" dataDxfId="49"/>
    <tableColumn id="30" xr3:uid="{2168F928-62AB-4174-9727-A887EDCB65A2}" name="Skill Type" dataDxfId="48">
      <calculatedColumnFormula>IF(
      OR(Table1[[#This Row],[Job_Type]] = "high qualif/self emp/mgmt", Table1[[#This Row],[Job_Type]] = "skilled"),
      "Skilled", "Unskilled")</calculatedColumnFormula>
    </tableColumn>
    <tableColumn id="29" xr3:uid="{439313D8-3750-4861-A632-EED72947D7BA}" name="Employment_Type" dataDxfId="47">
      <calculatedColumnFormula>IF(Table1[[#This Row],[Job_Type]] = "unemp/unskilled non res", "Unemployed", "Employed")</calculatedColumnFormula>
    </tableColumn>
    <tableColumn id="7" xr3:uid="{00000000-0010-0000-0100-000007000000}" name="Employement_Duration"/>
    <tableColumn id="26" xr3:uid="{9EF8E1FD-2A8D-4D94-899F-8DC01F0CE82F}" name="Years of Employment" dataDxfId="46">
      <calculatedColumnFormula array="1">_xlfn.IFS(Table1[[#This Row],[Employement_Duration]] = "1&lt;=X&lt;4","1-4",
Table1[[#This Row],[Employement_Duration]] = "4&lt;=X&lt;7", "4-7",
Table1[[#This Row],[Employement_Duration]] = "&lt;1", "Less than 1",
Table1[[#This Row],[Employement_Duration]] = "&gt;=7", "Greater than 7",
Table1[[#This Row],[Employement_Duration]] = "unemployed", "Unemployed"
)</calculatedColumnFormula>
    </tableColumn>
    <tableColumn id="3" xr3:uid="{00000000-0010-0000-0100-000003000000}" name="Loan_Credit_History" dataDxfId="45"/>
    <tableColumn id="23" xr3:uid="{00000000-0010-0000-0100-000017000000}" name="Credit_History_Updated" dataDxfId="44">
      <calculatedColumnFormula>_xlfn.XLOOKUP(Table1[[#This Row],[Loan_Credit_History]],Table4[Credit History],Table4[[ Category]])</calculatedColumnFormula>
    </tableColumn>
    <tableColumn id="8" xr3:uid="{00000000-0010-0000-0100-000008000000}" name="Installment_Burden" dataDxfId="43"/>
    <tableColumn id="16" xr3:uid="{00000000-0010-0000-0100-000010000000}" name="Existing_Credits" dataDxfId="42"/>
    <tableColumn id="5" xr3:uid="{00000000-0010-0000-0100-000005000000}" name="Credit_Amount" dataDxfId="41" dataCellStyle="Comma"/>
    <tableColumn id="10" xr3:uid="{00000000-0010-0000-0100-00000A000000}" name="Others_Parties" dataDxfId="40"/>
    <tableColumn id="32" xr3:uid="{C8E0FA04-FE96-4EF5-8254-70C8A5FA4221}" name="Other_Parties_Updated" dataDxfId="39">
      <calculatedColumnFormula array="1">_xlfn.IFS(Table1[[#This Row],[Others_Parties]] = "No", "None",
Table1[[#This Row],[Others_Parties]] = "co applicant", "Co-applicant",
Table1[[#This Row],[Others_Parties]] = "guarantor", "Guarantor")</calculatedColumnFormula>
    </tableColumn>
    <tableColumn id="14" xr3:uid="{00000000-0010-0000-0100-00000E000000}" name="Others_Payment_Plans" dataDxfId="38"/>
    <tableColumn id="4" xr3:uid="{00000000-0010-0000-0100-000004000000}" name="Loan_Purpose " dataDxfId="37"/>
    <tableColumn id="34" xr3:uid="{2AFB641F-3EDC-48E4-A524-9D9270B609F5}" name="Loan_Duration_Range" dataDxfId="36">
      <calculatedColumnFormula array="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calculatedColumnFormula>
    </tableColumn>
    <tableColumn id="2" xr3:uid="{00000000-0010-0000-0100-000002000000}" name="Loan_Duration_Months" dataDxfId="35"/>
    <tableColumn id="21" xr3:uid="{00000000-0010-0000-0100-000015000000}" name="Credit_Risk" dataDxfId="3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3BFB8D0-2D23-4870-B5BF-B150D23B188A}" name="Table9" displayName="Table9" ref="P3:Q9" totalsRowShown="0" headerRowDxfId="17" dataDxfId="16">
  <autoFilter ref="P3:Q9" xr:uid="{B3BFB8D0-2D23-4870-B5BF-B150D23B188A}"/>
  <tableColumns count="2">
    <tableColumn id="1" xr3:uid="{26FAB502-AD01-41AA-9EAD-AF63DCFD76D9}" name="KPI" dataDxfId="15"/>
    <tableColumn id="2" xr3:uid="{0A9AAE97-203C-4F4E-B1B4-33A4C7578069}" name="Value"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027BB6D-9E9F-4D96-BE2F-9C357623B56F}" name="Table11" displayName="Table11" ref="P3:R8" totalsRowShown="0">
  <autoFilter ref="P3:R8" xr:uid="{C027BB6D-9E9F-4D96-BE2F-9C357623B56F}"/>
  <tableColumns count="3">
    <tableColumn id="1" xr3:uid="{6EF430C1-5918-4294-A45C-F85409B07D0B}" name="KPIs"/>
    <tableColumn id="3" xr3:uid="{A39895BE-B526-4F17-9FE6-AD8CB54C22CA}" name="Value"/>
    <tableColumn id="2" xr3:uid="{2FBF647C-A910-4F77-B64F-CF0311D6C621}" name="Category" dataDxfId="10">
      <calculatedColumnFormula>U22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396F13D-091B-4C73-9A63-C4519D07FE08}" name="Table8" displayName="Table8" ref="Q3:S10" totalsRowShown="0">
  <autoFilter ref="Q3:S10" xr:uid="{D396F13D-091B-4C73-9A63-C4519D07FE08}"/>
  <tableColumns count="3">
    <tableColumn id="1" xr3:uid="{77AAAE55-D8EB-4C52-AA82-11646FF1FB5A}" name="KPI"/>
    <tableColumn id="2" xr3:uid="{FEEE6ACB-A9A5-4E7F-898C-27C54156661E}" name="Value" dataDxfId="4">
      <calculatedColumnFormula>GETPIVOTDATA("ID",$Q$16,"Loan_Purpose ","Education","Credit_Risk","Bad")</calculatedColumnFormula>
    </tableColumn>
    <tableColumn id="3" xr3:uid="{84686D6F-DF31-4848-A5AA-A525CE97B30A}" name="Category" dataDxfId="3">
      <calculatedColumnFormula>Q20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B5" totalsRowShown="0">
  <autoFilter ref="A1:B5" xr:uid="{00000000-0009-0000-0100-000003000000}"/>
  <tableColumns count="2">
    <tableColumn id="1" xr3:uid="{00000000-0010-0000-0200-000001000000}" name="Checking_Acct_Original"/>
    <tableColumn id="2" xr3:uid="{00000000-0010-0000-0200-000002000000}" name="Categor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E1:F6" totalsRowShown="0">
  <autoFilter ref="E1:F6" xr:uid="{00000000-0009-0000-0100-000004000000}"/>
  <tableColumns count="2">
    <tableColumn id="1" xr3:uid="{00000000-0010-0000-0300-000001000000}" name="Credit History"/>
    <tableColumn id="2" xr3:uid="{00000000-0010-0000-0300-000002000000}" name=" Categor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0:B15" totalsRowShown="0">
  <autoFilter ref="A10:B15" xr:uid="{00000000-0009-0000-0100-000005000000}"/>
  <tableColumns count="2">
    <tableColumn id="1" xr3:uid="{00000000-0010-0000-0400-000001000000}" name="Saving_Acct_Original"/>
    <tableColumn id="2" xr3:uid="{00000000-0010-0000-0400-000002000000}" name="Categor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449F85-CAB6-4EB2-8786-681B666557AD}" name="Table6" displayName="Table6" ref="E10:F15" totalsRowShown="0">
  <autoFilter ref="E10:F15" xr:uid="{B1449F85-CAB6-4EB2-8786-681B666557AD}"/>
  <tableColumns count="2">
    <tableColumn id="1" xr3:uid="{521A0BC1-7FFE-4899-8ECB-B736AAD1E49B}" name="Years of Experience"/>
    <tableColumn id="2" xr3:uid="{D96D5AE7-F23C-40FD-82AD-178EEB912C2C}" name="Categor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B131C5-9952-45EC-92FA-EF626CD3F369}" name="Table7" displayName="Table7" ref="I1:J7" totalsRowShown="0">
  <autoFilter ref="I1:J7" xr:uid="{E8B131C5-9952-45EC-92FA-EF626CD3F369}"/>
  <tableColumns count="2">
    <tableColumn id="1" xr3:uid="{07D7129A-134B-410B-B8EC-990A277B64F9}" name="Start_Age" dataDxfId="2"/>
    <tableColumn id="2" xr3:uid="{71D262DB-979C-4BD2-9CC7-B6C4B89B7825}" name="Age_Rang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F3B06F6-279C-4B67-A168-01CB785317A8}" name="Table10" displayName="Table10" ref="A1:D27" totalsRowShown="0" headerRowDxfId="1">
  <autoFilter ref="A1:D27" xr:uid="{AF3B06F6-279C-4B67-A168-01CB785317A8}"/>
  <tableColumns count="4">
    <tableColumn id="1" xr3:uid="{72A87CEA-05F8-4897-8056-49A80B0D015D}" name="#" dataDxfId="0"/>
    <tableColumn id="2" xr3:uid="{CCC8BC63-6938-4AD0-8549-344140C738C6}" name="Column Name"/>
    <tableColumn id="3" xr3:uid="{09468FEC-FC93-418F-B7DF-1B253475FD38}" name="Data Type"/>
    <tableColumn id="4" xr3:uid="{9C1DFF61-D2B0-41E8-8A98-45672A3429E0}" name="Purpo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9.xml"/><Relationship Id="rId7" Type="http://schemas.openxmlformats.org/officeDocument/2006/relationships/table" Target="../tables/table4.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pivotTable" Target="../pivotTables/pivotTable14.xml"/><Relationship Id="rId7"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5" Type="http://schemas.openxmlformats.org/officeDocument/2006/relationships/table" Target="../tables/table10.xml"/><Relationship Id="rId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workbookViewId="0"/>
  </sheetViews>
  <sheetFormatPr defaultRowHeight="14.4" x14ac:dyDescent="0.3"/>
  <cols>
    <col min="1" max="1" width="16.77734375" bestFit="1" customWidth="1"/>
    <col min="2" max="2" width="10.44140625" bestFit="1" customWidth="1"/>
    <col min="3" max="3" width="23.6640625" bestFit="1" customWidth="1"/>
    <col min="4" max="4" width="17.77734375" bestFit="1" customWidth="1"/>
    <col min="5" max="5" width="15.77734375" bestFit="1" customWidth="1"/>
    <col min="6" max="6" width="15.44140625" bestFit="1" customWidth="1"/>
    <col min="7" max="7" width="14" bestFit="1" customWidth="1"/>
    <col min="8" max="8" width="24.77734375" bestFit="1" customWidth="1"/>
    <col min="9" max="9" width="17.44140625" bestFit="1" customWidth="1"/>
    <col min="10" max="10" width="14.44140625" bestFit="1" customWidth="1"/>
    <col min="11" max="11" width="16.5546875" bestFit="1" customWidth="1"/>
    <col min="12" max="12" width="20.88671875" bestFit="1" customWidth="1"/>
    <col min="13" max="13" width="6.21875" bestFit="1" customWidth="1"/>
    <col min="14" max="14" width="22" bestFit="1" customWidth="1"/>
    <col min="15" max="15" width="9.88671875" bestFit="1" customWidth="1"/>
    <col min="16" max="16" width="16.21875" bestFit="1" customWidth="1"/>
    <col min="17" max="17" width="22.77734375" bestFit="1" customWidth="1"/>
    <col min="18" max="18" width="18.21875" bestFit="1" customWidth="1"/>
    <col min="19" max="19" width="16.5546875" bestFit="1" customWidth="1"/>
    <col min="20" max="20" width="16.21875" bestFit="1" customWidth="1"/>
    <col min="21" max="21" width="7.109375" bestFit="1" customWidth="1"/>
  </cols>
  <sheetData>
    <row r="1" spans="1:21" x14ac:dyDescent="0.3">
      <c r="A1" t="s">
        <v>70</v>
      </c>
      <c r="B1" t="s">
        <v>71</v>
      </c>
      <c r="C1" t="s">
        <v>72</v>
      </c>
      <c r="D1" t="s">
        <v>73</v>
      </c>
      <c r="E1" t="s">
        <v>74</v>
      </c>
      <c r="F1" t="s">
        <v>75</v>
      </c>
      <c r="G1" t="s">
        <v>76</v>
      </c>
      <c r="H1" t="s">
        <v>77</v>
      </c>
      <c r="I1" t="s">
        <v>78</v>
      </c>
      <c r="J1" t="s">
        <v>79</v>
      </c>
      <c r="K1" t="s">
        <v>80</v>
      </c>
      <c r="L1" t="s">
        <v>81</v>
      </c>
      <c r="M1" t="s">
        <v>82</v>
      </c>
      <c r="N1" t="s">
        <v>83</v>
      </c>
      <c r="O1" t="s">
        <v>84</v>
      </c>
      <c r="P1" t="s">
        <v>85</v>
      </c>
      <c r="Q1" t="s">
        <v>86</v>
      </c>
      <c r="R1" t="s">
        <v>87</v>
      </c>
      <c r="S1" t="s">
        <v>88</v>
      </c>
      <c r="T1" t="s">
        <v>89</v>
      </c>
      <c r="U1" t="s">
        <v>90</v>
      </c>
    </row>
    <row r="2" spans="1:21" x14ac:dyDescent="0.3">
      <c r="A2" s="1" t="s">
        <v>35</v>
      </c>
      <c r="B2">
        <v>6</v>
      </c>
      <c r="C2" s="1" t="s">
        <v>18</v>
      </c>
      <c r="D2" s="1" t="s">
        <v>36</v>
      </c>
      <c r="E2">
        <v>1169</v>
      </c>
      <c r="F2" s="1" t="s">
        <v>47</v>
      </c>
      <c r="G2" s="1" t="s">
        <v>38</v>
      </c>
      <c r="H2">
        <v>4</v>
      </c>
      <c r="I2" s="1" t="s">
        <v>39</v>
      </c>
      <c r="J2" s="1" t="s">
        <v>23</v>
      </c>
      <c r="K2">
        <v>4</v>
      </c>
      <c r="L2" s="1" t="s">
        <v>24</v>
      </c>
      <c r="M2">
        <v>67</v>
      </c>
      <c r="N2" s="1" t="s">
        <v>23</v>
      </c>
      <c r="O2" s="1" t="s">
        <v>26</v>
      </c>
      <c r="P2">
        <v>2</v>
      </c>
      <c r="Q2" s="1" t="s">
        <v>41</v>
      </c>
      <c r="R2">
        <v>1</v>
      </c>
      <c r="S2" s="1" t="s">
        <v>28</v>
      </c>
      <c r="T2" s="1" t="s">
        <v>28</v>
      </c>
      <c r="U2" s="1" t="s">
        <v>29</v>
      </c>
    </row>
    <row r="3" spans="1:21" x14ac:dyDescent="0.3">
      <c r="A3" s="1" t="s">
        <v>30</v>
      </c>
      <c r="B3">
        <v>48</v>
      </c>
      <c r="C3" s="1" t="s">
        <v>31</v>
      </c>
      <c r="D3" s="1" t="s">
        <v>36</v>
      </c>
      <c r="E3">
        <v>5951</v>
      </c>
      <c r="F3" s="1" t="s">
        <v>32</v>
      </c>
      <c r="G3" s="1" t="s">
        <v>21</v>
      </c>
      <c r="H3">
        <v>2</v>
      </c>
      <c r="I3" s="1" t="s">
        <v>22</v>
      </c>
      <c r="J3" s="1" t="s">
        <v>23</v>
      </c>
      <c r="K3">
        <v>2</v>
      </c>
      <c r="L3" s="1" t="s">
        <v>24</v>
      </c>
      <c r="M3">
        <v>22</v>
      </c>
      <c r="N3" s="1" t="s">
        <v>23</v>
      </c>
      <c r="O3" s="1" t="s">
        <v>26</v>
      </c>
      <c r="P3">
        <v>1</v>
      </c>
      <c r="Q3" s="1" t="s">
        <v>41</v>
      </c>
      <c r="R3">
        <v>1</v>
      </c>
      <c r="S3" s="1" t="s">
        <v>23</v>
      </c>
      <c r="T3" s="1" t="s">
        <v>28</v>
      </c>
      <c r="U3" s="1" t="s">
        <v>56</v>
      </c>
    </row>
    <row r="4" spans="1:21" x14ac:dyDescent="0.3">
      <c r="A4" s="1" t="s">
        <v>17</v>
      </c>
      <c r="B4">
        <v>12</v>
      </c>
      <c r="C4" s="1" t="s">
        <v>18</v>
      </c>
      <c r="D4" s="1" t="s">
        <v>51</v>
      </c>
      <c r="E4">
        <v>2096</v>
      </c>
      <c r="F4" s="1" t="s">
        <v>32</v>
      </c>
      <c r="G4" s="1" t="s">
        <v>49</v>
      </c>
      <c r="H4">
        <v>2</v>
      </c>
      <c r="I4" s="1" t="s">
        <v>39</v>
      </c>
      <c r="J4" s="1" t="s">
        <v>23</v>
      </c>
      <c r="K4">
        <v>3</v>
      </c>
      <c r="L4" s="1" t="s">
        <v>24</v>
      </c>
      <c r="M4">
        <v>49</v>
      </c>
      <c r="N4" s="1" t="s">
        <v>23</v>
      </c>
      <c r="O4" s="1" t="s">
        <v>26</v>
      </c>
      <c r="P4">
        <v>1</v>
      </c>
      <c r="Q4" s="1" t="s">
        <v>27</v>
      </c>
      <c r="R4">
        <v>2</v>
      </c>
      <c r="S4" s="1" t="s">
        <v>23</v>
      </c>
      <c r="T4" s="1" t="s">
        <v>28</v>
      </c>
      <c r="U4" s="1" t="s">
        <v>29</v>
      </c>
    </row>
    <row r="5" spans="1:21" x14ac:dyDescent="0.3">
      <c r="A5" s="1" t="s">
        <v>35</v>
      </c>
      <c r="B5">
        <v>42</v>
      </c>
      <c r="C5" s="1" t="s">
        <v>31</v>
      </c>
      <c r="D5" s="1" t="s">
        <v>53</v>
      </c>
      <c r="E5">
        <v>7882</v>
      </c>
      <c r="F5" s="1" t="s">
        <v>32</v>
      </c>
      <c r="G5" s="1" t="s">
        <v>49</v>
      </c>
      <c r="H5">
        <v>2</v>
      </c>
      <c r="I5" s="1" t="s">
        <v>39</v>
      </c>
      <c r="J5" s="1" t="s">
        <v>58</v>
      </c>
      <c r="K5">
        <v>4</v>
      </c>
      <c r="L5" s="1" t="s">
        <v>48</v>
      </c>
      <c r="M5">
        <v>45</v>
      </c>
      <c r="N5" s="1" t="s">
        <v>23</v>
      </c>
      <c r="O5" s="1" t="s">
        <v>66</v>
      </c>
      <c r="P5">
        <v>1</v>
      </c>
      <c r="Q5" s="1" t="s">
        <v>41</v>
      </c>
      <c r="R5">
        <v>2</v>
      </c>
      <c r="S5" s="1" t="s">
        <v>23</v>
      </c>
      <c r="T5" s="1" t="s">
        <v>28</v>
      </c>
      <c r="U5" s="1" t="s">
        <v>29</v>
      </c>
    </row>
    <row r="6" spans="1:21" x14ac:dyDescent="0.3">
      <c r="A6" s="1" t="s">
        <v>35</v>
      </c>
      <c r="B6">
        <v>24</v>
      </c>
      <c r="C6" s="1" t="s">
        <v>59</v>
      </c>
      <c r="D6" s="1" t="s">
        <v>19</v>
      </c>
      <c r="E6">
        <v>4870</v>
      </c>
      <c r="F6" s="1" t="s">
        <v>32</v>
      </c>
      <c r="G6" s="1" t="s">
        <v>21</v>
      </c>
      <c r="H6">
        <v>3</v>
      </c>
      <c r="I6" s="1" t="s">
        <v>39</v>
      </c>
      <c r="J6" s="1" t="s">
        <v>23</v>
      </c>
      <c r="K6">
        <v>4</v>
      </c>
      <c r="L6" s="1" t="s">
        <v>65</v>
      </c>
      <c r="M6">
        <v>53</v>
      </c>
      <c r="N6" s="1" t="s">
        <v>23</v>
      </c>
      <c r="O6" s="1" t="s">
        <v>66</v>
      </c>
      <c r="P6">
        <v>2</v>
      </c>
      <c r="Q6" s="1" t="s">
        <v>41</v>
      </c>
      <c r="R6">
        <v>2</v>
      </c>
      <c r="S6" s="1" t="s">
        <v>23</v>
      </c>
      <c r="T6" s="1" t="s">
        <v>28</v>
      </c>
      <c r="U6" s="1" t="s">
        <v>56</v>
      </c>
    </row>
    <row r="7" spans="1:21" x14ac:dyDescent="0.3">
      <c r="A7" s="1" t="s">
        <v>17</v>
      </c>
      <c r="B7">
        <v>36</v>
      </c>
      <c r="C7" s="1" t="s">
        <v>31</v>
      </c>
      <c r="D7" s="1" t="s">
        <v>51</v>
      </c>
      <c r="E7">
        <v>9055</v>
      </c>
      <c r="F7" s="1" t="s">
        <v>47</v>
      </c>
      <c r="G7" s="1" t="s">
        <v>21</v>
      </c>
      <c r="H7">
        <v>2</v>
      </c>
      <c r="I7" s="1" t="s">
        <v>39</v>
      </c>
      <c r="J7" s="1" t="s">
        <v>23</v>
      </c>
      <c r="K7">
        <v>4</v>
      </c>
      <c r="L7" s="1" t="s">
        <v>65</v>
      </c>
      <c r="M7">
        <v>35</v>
      </c>
      <c r="N7" s="1" t="s">
        <v>23</v>
      </c>
      <c r="O7" s="1" t="s">
        <v>66</v>
      </c>
      <c r="P7">
        <v>1</v>
      </c>
      <c r="Q7" s="1" t="s">
        <v>27</v>
      </c>
      <c r="R7">
        <v>2</v>
      </c>
      <c r="S7" s="1" t="s">
        <v>28</v>
      </c>
      <c r="T7" s="1" t="s">
        <v>28</v>
      </c>
      <c r="U7" s="1" t="s">
        <v>29</v>
      </c>
    </row>
    <row r="8" spans="1:21" x14ac:dyDescent="0.3">
      <c r="A8" s="1" t="s">
        <v>17</v>
      </c>
      <c r="B8">
        <v>24</v>
      </c>
      <c r="C8" s="1" t="s">
        <v>31</v>
      </c>
      <c r="D8" s="1" t="s">
        <v>53</v>
      </c>
      <c r="E8">
        <v>2835</v>
      </c>
      <c r="F8" s="1" t="s">
        <v>37</v>
      </c>
      <c r="G8" s="1" t="s">
        <v>38</v>
      </c>
      <c r="H8">
        <v>3</v>
      </c>
      <c r="I8" s="1" t="s">
        <v>39</v>
      </c>
      <c r="J8" s="1" t="s">
        <v>23</v>
      </c>
      <c r="K8">
        <v>4</v>
      </c>
      <c r="L8" s="1" t="s">
        <v>48</v>
      </c>
      <c r="M8">
        <v>53</v>
      </c>
      <c r="N8" s="1" t="s">
        <v>23</v>
      </c>
      <c r="O8" s="1" t="s">
        <v>26</v>
      </c>
      <c r="P8">
        <v>1</v>
      </c>
      <c r="Q8" s="1" t="s">
        <v>41</v>
      </c>
      <c r="R8">
        <v>1</v>
      </c>
      <c r="S8" s="1" t="s">
        <v>23</v>
      </c>
      <c r="T8" s="1" t="s">
        <v>28</v>
      </c>
      <c r="U8" s="1" t="s">
        <v>29</v>
      </c>
    </row>
    <row r="9" spans="1:21" x14ac:dyDescent="0.3">
      <c r="A9" s="1" t="s">
        <v>30</v>
      </c>
      <c r="B9">
        <v>36</v>
      </c>
      <c r="C9" s="1" t="s">
        <v>31</v>
      </c>
      <c r="D9" s="1" t="s">
        <v>69</v>
      </c>
      <c r="E9">
        <v>6948</v>
      </c>
      <c r="F9" s="1" t="s">
        <v>32</v>
      </c>
      <c r="G9" s="1" t="s">
        <v>21</v>
      </c>
      <c r="H9">
        <v>2</v>
      </c>
      <c r="I9" s="1" t="s">
        <v>39</v>
      </c>
      <c r="J9" s="1" t="s">
        <v>23</v>
      </c>
      <c r="K9">
        <v>2</v>
      </c>
      <c r="L9" s="1" t="s">
        <v>40</v>
      </c>
      <c r="M9">
        <v>35</v>
      </c>
      <c r="N9" s="1" t="s">
        <v>23</v>
      </c>
      <c r="O9" s="1" t="s">
        <v>34</v>
      </c>
      <c r="P9">
        <v>1</v>
      </c>
      <c r="Q9" s="1" t="s">
        <v>63</v>
      </c>
      <c r="R9">
        <v>1</v>
      </c>
      <c r="S9" s="1" t="s">
        <v>28</v>
      </c>
      <c r="T9" s="1" t="s">
        <v>28</v>
      </c>
      <c r="U9" s="1" t="s">
        <v>29</v>
      </c>
    </row>
    <row r="10" spans="1:21" x14ac:dyDescent="0.3">
      <c r="A10" s="1" t="s">
        <v>17</v>
      </c>
      <c r="B10">
        <v>12</v>
      </c>
      <c r="C10" s="1" t="s">
        <v>31</v>
      </c>
      <c r="D10" s="1" t="s">
        <v>36</v>
      </c>
      <c r="E10">
        <v>3059</v>
      </c>
      <c r="F10" s="1" t="s">
        <v>20</v>
      </c>
      <c r="G10" s="1" t="s">
        <v>49</v>
      </c>
      <c r="H10">
        <v>2</v>
      </c>
      <c r="I10" s="1" t="s">
        <v>64</v>
      </c>
      <c r="J10" s="1" t="s">
        <v>23</v>
      </c>
      <c r="K10">
        <v>4</v>
      </c>
      <c r="L10" s="1" t="s">
        <v>24</v>
      </c>
      <c r="M10">
        <v>61</v>
      </c>
      <c r="N10" s="1" t="s">
        <v>23</v>
      </c>
      <c r="O10" s="1" t="s">
        <v>26</v>
      </c>
      <c r="P10">
        <v>1</v>
      </c>
      <c r="Q10" s="1" t="s">
        <v>27</v>
      </c>
      <c r="R10">
        <v>1</v>
      </c>
      <c r="S10" s="1" t="s">
        <v>23</v>
      </c>
      <c r="T10" s="1" t="s">
        <v>28</v>
      </c>
      <c r="U10" s="1" t="s">
        <v>29</v>
      </c>
    </row>
    <row r="11" spans="1:21" x14ac:dyDescent="0.3">
      <c r="A11" s="1" t="s">
        <v>30</v>
      </c>
      <c r="B11">
        <v>30</v>
      </c>
      <c r="C11" s="1" t="s">
        <v>18</v>
      </c>
      <c r="D11" s="1" t="s">
        <v>19</v>
      </c>
      <c r="E11">
        <v>5234</v>
      </c>
      <c r="F11" s="1" t="s">
        <v>32</v>
      </c>
      <c r="G11" s="1" t="s">
        <v>54</v>
      </c>
      <c r="H11">
        <v>4</v>
      </c>
      <c r="I11" s="1" t="s">
        <v>33</v>
      </c>
      <c r="J11" s="1" t="s">
        <v>23</v>
      </c>
      <c r="K11">
        <v>2</v>
      </c>
      <c r="L11" s="1" t="s">
        <v>40</v>
      </c>
      <c r="M11">
        <v>28</v>
      </c>
      <c r="N11" s="1" t="s">
        <v>23</v>
      </c>
      <c r="O11" s="1" t="s">
        <v>26</v>
      </c>
      <c r="P11">
        <v>2</v>
      </c>
      <c r="Q11" s="1" t="s">
        <v>63</v>
      </c>
      <c r="R11">
        <v>1</v>
      </c>
      <c r="S11" s="1" t="s">
        <v>23</v>
      </c>
      <c r="T11" s="1" t="s">
        <v>28</v>
      </c>
      <c r="U11" s="1" t="s">
        <v>56</v>
      </c>
    </row>
    <row r="12" spans="1:21" x14ac:dyDescent="0.3">
      <c r="A12" s="1" t="s">
        <v>30</v>
      </c>
      <c r="B12">
        <v>12</v>
      </c>
      <c r="C12" s="1" t="s">
        <v>31</v>
      </c>
      <c r="D12" s="1" t="s">
        <v>19</v>
      </c>
      <c r="E12">
        <v>1295</v>
      </c>
      <c r="F12" s="1" t="s">
        <v>32</v>
      </c>
      <c r="G12" s="1" t="s">
        <v>45</v>
      </c>
      <c r="H12">
        <v>3</v>
      </c>
      <c r="I12" s="1" t="s">
        <v>22</v>
      </c>
      <c r="J12" s="1" t="s">
        <v>23</v>
      </c>
      <c r="K12">
        <v>1</v>
      </c>
      <c r="L12" s="1" t="s">
        <v>40</v>
      </c>
      <c r="M12">
        <v>25</v>
      </c>
      <c r="N12" s="1" t="s">
        <v>23</v>
      </c>
      <c r="O12" s="1" t="s">
        <v>34</v>
      </c>
      <c r="P12">
        <v>1</v>
      </c>
      <c r="Q12" s="1" t="s">
        <v>41</v>
      </c>
      <c r="R12">
        <v>1</v>
      </c>
      <c r="S12" s="1" t="s">
        <v>23</v>
      </c>
      <c r="T12" s="1" t="s">
        <v>28</v>
      </c>
      <c r="U12" s="1" t="s">
        <v>56</v>
      </c>
    </row>
    <row r="13" spans="1:21" x14ac:dyDescent="0.3">
      <c r="A13" s="1" t="s">
        <v>35</v>
      </c>
      <c r="B13">
        <v>48</v>
      </c>
      <c r="C13" s="1" t="s">
        <v>31</v>
      </c>
      <c r="D13" s="1" t="s">
        <v>61</v>
      </c>
      <c r="E13">
        <v>4308</v>
      </c>
      <c r="F13" s="1" t="s">
        <v>32</v>
      </c>
      <c r="G13" s="1" t="s">
        <v>45</v>
      </c>
      <c r="H13">
        <v>3</v>
      </c>
      <c r="I13" s="1" t="s">
        <v>22</v>
      </c>
      <c r="J13" s="1" t="s">
        <v>23</v>
      </c>
      <c r="K13">
        <v>4</v>
      </c>
      <c r="L13" s="1" t="s">
        <v>48</v>
      </c>
      <c r="M13">
        <v>24</v>
      </c>
      <c r="N13" s="1" t="s">
        <v>23</v>
      </c>
      <c r="O13" s="1" t="s">
        <v>34</v>
      </c>
      <c r="P13">
        <v>1</v>
      </c>
      <c r="Q13" s="1" t="s">
        <v>41</v>
      </c>
      <c r="R13">
        <v>1</v>
      </c>
      <c r="S13" s="1" t="s">
        <v>23</v>
      </c>
      <c r="T13" s="1" t="s">
        <v>28</v>
      </c>
      <c r="U13" s="1" t="s">
        <v>56</v>
      </c>
    </row>
    <row r="14" spans="1:21" x14ac:dyDescent="0.3">
      <c r="A14" s="1" t="s">
        <v>30</v>
      </c>
      <c r="B14">
        <v>12</v>
      </c>
      <c r="C14" s="1" t="s">
        <v>31</v>
      </c>
      <c r="D14" s="1" t="s">
        <v>36</v>
      </c>
      <c r="E14">
        <v>1567</v>
      </c>
      <c r="F14" s="1" t="s">
        <v>32</v>
      </c>
      <c r="G14" s="1" t="s">
        <v>21</v>
      </c>
      <c r="H14">
        <v>1</v>
      </c>
      <c r="I14" s="1" t="s">
        <v>22</v>
      </c>
      <c r="J14" s="1" t="s">
        <v>23</v>
      </c>
      <c r="K14">
        <v>1</v>
      </c>
      <c r="L14" s="1" t="s">
        <v>40</v>
      </c>
      <c r="M14">
        <v>22</v>
      </c>
      <c r="N14" s="1" t="s">
        <v>23</v>
      </c>
      <c r="O14" s="1" t="s">
        <v>26</v>
      </c>
      <c r="P14">
        <v>1</v>
      </c>
      <c r="Q14" s="1" t="s">
        <v>41</v>
      </c>
      <c r="R14">
        <v>1</v>
      </c>
      <c r="S14" s="1" t="s">
        <v>28</v>
      </c>
      <c r="T14" s="1" t="s">
        <v>28</v>
      </c>
      <c r="U14" s="1" t="s">
        <v>29</v>
      </c>
    </row>
    <row r="15" spans="1:21" x14ac:dyDescent="0.3">
      <c r="A15" s="1" t="s">
        <v>35</v>
      </c>
      <c r="B15">
        <v>24</v>
      </c>
      <c r="C15" s="1" t="s">
        <v>18</v>
      </c>
      <c r="D15" s="1" t="s">
        <v>19</v>
      </c>
      <c r="E15">
        <v>1199</v>
      </c>
      <c r="F15" s="1" t="s">
        <v>32</v>
      </c>
      <c r="G15" s="1" t="s">
        <v>38</v>
      </c>
      <c r="H15">
        <v>4</v>
      </c>
      <c r="I15" s="1" t="s">
        <v>39</v>
      </c>
      <c r="J15" s="1" t="s">
        <v>23</v>
      </c>
      <c r="K15">
        <v>4</v>
      </c>
      <c r="L15" s="1" t="s">
        <v>40</v>
      </c>
      <c r="M15">
        <v>60</v>
      </c>
      <c r="N15" s="1" t="s">
        <v>23</v>
      </c>
      <c r="O15" s="1" t="s">
        <v>26</v>
      </c>
      <c r="P15">
        <v>2</v>
      </c>
      <c r="Q15" s="1" t="s">
        <v>27</v>
      </c>
      <c r="R15">
        <v>1</v>
      </c>
      <c r="S15" s="1" t="s">
        <v>23</v>
      </c>
      <c r="T15" s="1" t="s">
        <v>28</v>
      </c>
      <c r="U15" s="1" t="s">
        <v>56</v>
      </c>
    </row>
    <row r="16" spans="1:21" x14ac:dyDescent="0.3">
      <c r="A16" s="1" t="s">
        <v>35</v>
      </c>
      <c r="B16">
        <v>15</v>
      </c>
      <c r="C16" s="1" t="s">
        <v>31</v>
      </c>
      <c r="D16" s="1" t="s">
        <v>19</v>
      </c>
      <c r="E16">
        <v>1403</v>
      </c>
      <c r="F16" s="1" t="s">
        <v>32</v>
      </c>
      <c r="G16" s="1" t="s">
        <v>21</v>
      </c>
      <c r="H16">
        <v>2</v>
      </c>
      <c r="I16" s="1" t="s">
        <v>22</v>
      </c>
      <c r="J16" s="1" t="s">
        <v>23</v>
      </c>
      <c r="K16">
        <v>4</v>
      </c>
      <c r="L16" s="1" t="s">
        <v>40</v>
      </c>
      <c r="M16">
        <v>28</v>
      </c>
      <c r="N16" s="1" t="s">
        <v>23</v>
      </c>
      <c r="O16" s="1" t="s">
        <v>34</v>
      </c>
      <c r="P16">
        <v>1</v>
      </c>
      <c r="Q16" s="1" t="s">
        <v>41</v>
      </c>
      <c r="R16">
        <v>1</v>
      </c>
      <c r="S16" s="1" t="s">
        <v>23</v>
      </c>
      <c r="T16" s="1" t="s">
        <v>28</v>
      </c>
      <c r="U16" s="1" t="s">
        <v>29</v>
      </c>
    </row>
    <row r="17" spans="1:21" x14ac:dyDescent="0.3">
      <c r="A17" s="1" t="s">
        <v>35</v>
      </c>
      <c r="B17">
        <v>24</v>
      </c>
      <c r="C17" s="1" t="s">
        <v>31</v>
      </c>
      <c r="D17" s="1" t="s">
        <v>36</v>
      </c>
      <c r="E17">
        <v>1282</v>
      </c>
      <c r="F17" s="1" t="s">
        <v>46</v>
      </c>
      <c r="G17" s="1" t="s">
        <v>21</v>
      </c>
      <c r="H17">
        <v>4</v>
      </c>
      <c r="I17" s="1" t="s">
        <v>22</v>
      </c>
      <c r="J17" s="1" t="s">
        <v>23</v>
      </c>
      <c r="K17">
        <v>2</v>
      </c>
      <c r="L17" s="1" t="s">
        <v>40</v>
      </c>
      <c r="M17">
        <v>32</v>
      </c>
      <c r="N17" s="1" t="s">
        <v>23</v>
      </c>
      <c r="O17" s="1" t="s">
        <v>26</v>
      </c>
      <c r="P17">
        <v>1</v>
      </c>
      <c r="Q17" s="1" t="s">
        <v>27</v>
      </c>
      <c r="R17">
        <v>1</v>
      </c>
      <c r="S17" s="1" t="s">
        <v>23</v>
      </c>
      <c r="T17" s="1" t="s">
        <v>28</v>
      </c>
      <c r="U17" s="1" t="s">
        <v>56</v>
      </c>
    </row>
    <row r="18" spans="1:21" x14ac:dyDescent="0.3">
      <c r="A18" s="1" t="s">
        <v>17</v>
      </c>
      <c r="B18">
        <v>24</v>
      </c>
      <c r="C18" s="1" t="s">
        <v>18</v>
      </c>
      <c r="D18" s="1" t="s">
        <v>36</v>
      </c>
      <c r="E18">
        <v>2424</v>
      </c>
      <c r="F18" s="1" t="s">
        <v>47</v>
      </c>
      <c r="G18" s="1" t="s">
        <v>38</v>
      </c>
      <c r="H18">
        <v>4</v>
      </c>
      <c r="I18" s="1" t="s">
        <v>39</v>
      </c>
      <c r="J18" s="1" t="s">
        <v>23</v>
      </c>
      <c r="K18">
        <v>4</v>
      </c>
      <c r="L18" s="1" t="s">
        <v>48</v>
      </c>
      <c r="M18">
        <v>53</v>
      </c>
      <c r="N18" s="1" t="s">
        <v>23</v>
      </c>
      <c r="O18" s="1" t="s">
        <v>26</v>
      </c>
      <c r="P18">
        <v>2</v>
      </c>
      <c r="Q18" s="1" t="s">
        <v>41</v>
      </c>
      <c r="R18">
        <v>1</v>
      </c>
      <c r="S18" s="1" t="s">
        <v>23</v>
      </c>
      <c r="T18" s="1" t="s">
        <v>28</v>
      </c>
      <c r="U18" s="1" t="s">
        <v>29</v>
      </c>
    </row>
    <row r="19" spans="1:21" x14ac:dyDescent="0.3">
      <c r="A19" s="1" t="s">
        <v>35</v>
      </c>
      <c r="B19">
        <v>30</v>
      </c>
      <c r="C19" s="1" t="s">
        <v>52</v>
      </c>
      <c r="D19" s="1" t="s">
        <v>61</v>
      </c>
      <c r="E19">
        <v>8072</v>
      </c>
      <c r="F19" s="1" t="s">
        <v>47</v>
      </c>
      <c r="G19" s="1" t="s">
        <v>45</v>
      </c>
      <c r="H19">
        <v>2</v>
      </c>
      <c r="I19" s="1" t="s">
        <v>39</v>
      </c>
      <c r="J19" s="1" t="s">
        <v>23</v>
      </c>
      <c r="K19">
        <v>3</v>
      </c>
      <c r="L19" s="1" t="s">
        <v>40</v>
      </c>
      <c r="M19">
        <v>25</v>
      </c>
      <c r="N19" s="1" t="s">
        <v>25</v>
      </c>
      <c r="O19" s="1" t="s">
        <v>26</v>
      </c>
      <c r="P19">
        <v>3</v>
      </c>
      <c r="Q19" s="1" t="s">
        <v>41</v>
      </c>
      <c r="R19">
        <v>1</v>
      </c>
      <c r="S19" s="1" t="s">
        <v>23</v>
      </c>
      <c r="T19" s="1" t="s">
        <v>28</v>
      </c>
      <c r="U19" s="1" t="s">
        <v>29</v>
      </c>
    </row>
    <row r="20" spans="1:21" x14ac:dyDescent="0.3">
      <c r="A20" s="1" t="s">
        <v>30</v>
      </c>
      <c r="B20">
        <v>24</v>
      </c>
      <c r="C20" s="1" t="s">
        <v>31</v>
      </c>
      <c r="D20" s="1" t="s">
        <v>69</v>
      </c>
      <c r="E20">
        <v>12579</v>
      </c>
      <c r="F20" s="1" t="s">
        <v>32</v>
      </c>
      <c r="G20" s="1" t="s">
        <v>38</v>
      </c>
      <c r="H20">
        <v>4</v>
      </c>
      <c r="I20" s="1" t="s">
        <v>22</v>
      </c>
      <c r="J20" s="1" t="s">
        <v>23</v>
      </c>
      <c r="K20">
        <v>2</v>
      </c>
      <c r="L20" s="1" t="s">
        <v>65</v>
      </c>
      <c r="M20">
        <v>44</v>
      </c>
      <c r="N20" s="1" t="s">
        <v>23</v>
      </c>
      <c r="O20" s="1" t="s">
        <v>66</v>
      </c>
      <c r="P20">
        <v>1</v>
      </c>
      <c r="Q20" s="1" t="s">
        <v>63</v>
      </c>
      <c r="R20">
        <v>1</v>
      </c>
      <c r="S20" s="1" t="s">
        <v>28</v>
      </c>
      <c r="T20" s="1" t="s">
        <v>28</v>
      </c>
      <c r="U20" s="1" t="s">
        <v>56</v>
      </c>
    </row>
    <row r="21" spans="1:21" x14ac:dyDescent="0.3">
      <c r="A21" s="1" t="s">
        <v>17</v>
      </c>
      <c r="B21">
        <v>24</v>
      </c>
      <c r="C21" s="1" t="s">
        <v>31</v>
      </c>
      <c r="D21" s="1" t="s">
        <v>36</v>
      </c>
      <c r="E21">
        <v>3430</v>
      </c>
      <c r="F21" s="1" t="s">
        <v>37</v>
      </c>
      <c r="G21" s="1" t="s">
        <v>38</v>
      </c>
      <c r="H21">
        <v>3</v>
      </c>
      <c r="I21" s="1" t="s">
        <v>39</v>
      </c>
      <c r="J21" s="1" t="s">
        <v>23</v>
      </c>
      <c r="K21">
        <v>2</v>
      </c>
      <c r="L21" s="1" t="s">
        <v>40</v>
      </c>
      <c r="M21">
        <v>31</v>
      </c>
      <c r="N21" s="1" t="s">
        <v>23</v>
      </c>
      <c r="O21" s="1" t="s">
        <v>26</v>
      </c>
      <c r="P21">
        <v>1</v>
      </c>
      <c r="Q21" s="1" t="s">
        <v>41</v>
      </c>
      <c r="R21">
        <v>2</v>
      </c>
      <c r="S21" s="1" t="s">
        <v>28</v>
      </c>
      <c r="T21" s="1" t="s">
        <v>28</v>
      </c>
      <c r="U21" s="1" t="s">
        <v>29</v>
      </c>
    </row>
    <row r="22" spans="1:21" x14ac:dyDescent="0.3">
      <c r="A22" s="1" t="s">
        <v>17</v>
      </c>
      <c r="B22">
        <v>9</v>
      </c>
      <c r="C22" s="1" t="s">
        <v>18</v>
      </c>
      <c r="D22" s="1" t="s">
        <v>19</v>
      </c>
      <c r="E22">
        <v>2134</v>
      </c>
      <c r="F22" s="1" t="s">
        <v>32</v>
      </c>
      <c r="G22" s="1" t="s">
        <v>21</v>
      </c>
      <c r="H22">
        <v>4</v>
      </c>
      <c r="I22" s="1" t="s">
        <v>39</v>
      </c>
      <c r="J22" s="1" t="s">
        <v>23</v>
      </c>
      <c r="K22">
        <v>4</v>
      </c>
      <c r="L22" s="1" t="s">
        <v>40</v>
      </c>
      <c r="M22">
        <v>48</v>
      </c>
      <c r="N22" s="1" t="s">
        <v>23</v>
      </c>
      <c r="O22" s="1" t="s">
        <v>26</v>
      </c>
      <c r="P22">
        <v>3</v>
      </c>
      <c r="Q22" s="1" t="s">
        <v>41</v>
      </c>
      <c r="R22">
        <v>1</v>
      </c>
      <c r="S22" s="1" t="s">
        <v>28</v>
      </c>
      <c r="T22" s="1" t="s">
        <v>28</v>
      </c>
      <c r="U22" s="1" t="s">
        <v>29</v>
      </c>
    </row>
    <row r="23" spans="1:21" x14ac:dyDescent="0.3">
      <c r="A23" s="1" t="s">
        <v>35</v>
      </c>
      <c r="B23">
        <v>6</v>
      </c>
      <c r="C23" s="1" t="s">
        <v>31</v>
      </c>
      <c r="D23" s="1" t="s">
        <v>36</v>
      </c>
      <c r="E23">
        <v>2647</v>
      </c>
      <c r="F23" s="1" t="s">
        <v>37</v>
      </c>
      <c r="G23" s="1" t="s">
        <v>21</v>
      </c>
      <c r="H23">
        <v>2</v>
      </c>
      <c r="I23" s="1" t="s">
        <v>39</v>
      </c>
      <c r="J23" s="1" t="s">
        <v>23</v>
      </c>
      <c r="K23">
        <v>3</v>
      </c>
      <c r="L23" s="1" t="s">
        <v>24</v>
      </c>
      <c r="M23">
        <v>44</v>
      </c>
      <c r="N23" s="1" t="s">
        <v>23</v>
      </c>
      <c r="O23" s="1" t="s">
        <v>34</v>
      </c>
      <c r="P23">
        <v>1</v>
      </c>
      <c r="Q23" s="1" t="s">
        <v>41</v>
      </c>
      <c r="R23">
        <v>2</v>
      </c>
      <c r="S23" s="1" t="s">
        <v>23</v>
      </c>
      <c r="T23" s="1" t="s">
        <v>28</v>
      </c>
      <c r="U23" s="1" t="s">
        <v>29</v>
      </c>
    </row>
    <row r="24" spans="1:21" x14ac:dyDescent="0.3">
      <c r="A24" s="1" t="s">
        <v>35</v>
      </c>
      <c r="B24">
        <v>10</v>
      </c>
      <c r="C24" s="1" t="s">
        <v>18</v>
      </c>
      <c r="D24" s="1" t="s">
        <v>19</v>
      </c>
      <c r="E24">
        <v>2241</v>
      </c>
      <c r="F24" s="1" t="s">
        <v>32</v>
      </c>
      <c r="G24" s="1" t="s">
        <v>45</v>
      </c>
      <c r="H24">
        <v>1</v>
      </c>
      <c r="I24" s="1" t="s">
        <v>39</v>
      </c>
      <c r="J24" s="1" t="s">
        <v>23</v>
      </c>
      <c r="K24">
        <v>3</v>
      </c>
      <c r="L24" s="1" t="s">
        <v>24</v>
      </c>
      <c r="M24">
        <v>48</v>
      </c>
      <c r="N24" s="1" t="s">
        <v>23</v>
      </c>
      <c r="O24" s="1" t="s">
        <v>34</v>
      </c>
      <c r="P24">
        <v>2</v>
      </c>
      <c r="Q24" s="1" t="s">
        <v>27</v>
      </c>
      <c r="R24">
        <v>2</v>
      </c>
      <c r="S24" s="1" t="s">
        <v>23</v>
      </c>
      <c r="T24" s="1" t="s">
        <v>60</v>
      </c>
      <c r="U24" s="1" t="s">
        <v>29</v>
      </c>
    </row>
    <row r="25" spans="1:21" x14ac:dyDescent="0.3">
      <c r="A25" s="1" t="s">
        <v>30</v>
      </c>
      <c r="B25">
        <v>12</v>
      </c>
      <c r="C25" s="1" t="s">
        <v>18</v>
      </c>
      <c r="D25" s="1" t="s">
        <v>69</v>
      </c>
      <c r="E25">
        <v>1804</v>
      </c>
      <c r="F25" s="1" t="s">
        <v>46</v>
      </c>
      <c r="G25" s="1" t="s">
        <v>45</v>
      </c>
      <c r="H25">
        <v>3</v>
      </c>
      <c r="I25" s="1" t="s">
        <v>39</v>
      </c>
      <c r="J25" s="1" t="s">
        <v>23</v>
      </c>
      <c r="K25">
        <v>4</v>
      </c>
      <c r="L25" s="1" t="s">
        <v>48</v>
      </c>
      <c r="M25">
        <v>44</v>
      </c>
      <c r="N25" s="1" t="s">
        <v>23</v>
      </c>
      <c r="O25" s="1" t="s">
        <v>26</v>
      </c>
      <c r="P25">
        <v>1</v>
      </c>
      <c r="Q25" s="1" t="s">
        <v>41</v>
      </c>
      <c r="R25">
        <v>1</v>
      </c>
      <c r="S25" s="1" t="s">
        <v>23</v>
      </c>
      <c r="T25" s="1" t="s">
        <v>28</v>
      </c>
      <c r="U25" s="1" t="s">
        <v>29</v>
      </c>
    </row>
    <row r="26" spans="1:21" x14ac:dyDescent="0.3">
      <c r="A26" s="1" t="s">
        <v>17</v>
      </c>
      <c r="B26">
        <v>10</v>
      </c>
      <c r="C26" s="1" t="s">
        <v>18</v>
      </c>
      <c r="D26" s="1" t="s">
        <v>53</v>
      </c>
      <c r="E26">
        <v>2069</v>
      </c>
      <c r="F26" s="1" t="s">
        <v>47</v>
      </c>
      <c r="G26" s="1" t="s">
        <v>21</v>
      </c>
      <c r="H26">
        <v>2</v>
      </c>
      <c r="I26" s="1" t="s">
        <v>33</v>
      </c>
      <c r="J26" s="1" t="s">
        <v>23</v>
      </c>
      <c r="K26">
        <v>1</v>
      </c>
      <c r="L26" s="1" t="s">
        <v>40</v>
      </c>
      <c r="M26">
        <v>26</v>
      </c>
      <c r="N26" s="1" t="s">
        <v>23</v>
      </c>
      <c r="O26" s="1" t="s">
        <v>26</v>
      </c>
      <c r="P26">
        <v>2</v>
      </c>
      <c r="Q26" s="1" t="s">
        <v>41</v>
      </c>
      <c r="R26">
        <v>1</v>
      </c>
      <c r="S26" s="1" t="s">
        <v>23</v>
      </c>
      <c r="T26" s="1" t="s">
        <v>60</v>
      </c>
      <c r="U26" s="1" t="s">
        <v>29</v>
      </c>
    </row>
    <row r="27" spans="1:21" x14ac:dyDescent="0.3">
      <c r="A27" s="1" t="s">
        <v>35</v>
      </c>
      <c r="B27">
        <v>6</v>
      </c>
      <c r="C27" s="1" t="s">
        <v>31</v>
      </c>
      <c r="D27" s="1" t="s">
        <v>53</v>
      </c>
      <c r="E27">
        <v>1374</v>
      </c>
      <c r="F27" s="1" t="s">
        <v>32</v>
      </c>
      <c r="G27" s="1" t="s">
        <v>21</v>
      </c>
      <c r="H27">
        <v>1</v>
      </c>
      <c r="I27" s="1" t="s">
        <v>39</v>
      </c>
      <c r="J27" s="1" t="s">
        <v>23</v>
      </c>
      <c r="K27">
        <v>2</v>
      </c>
      <c r="L27" s="1" t="s">
        <v>24</v>
      </c>
      <c r="M27">
        <v>36</v>
      </c>
      <c r="N27" s="1" t="s">
        <v>25</v>
      </c>
      <c r="O27" s="1" t="s">
        <v>26</v>
      </c>
      <c r="P27">
        <v>1</v>
      </c>
      <c r="Q27" s="1" t="s">
        <v>27</v>
      </c>
      <c r="R27">
        <v>1</v>
      </c>
      <c r="S27" s="1" t="s">
        <v>28</v>
      </c>
      <c r="T27" s="1" t="s">
        <v>28</v>
      </c>
      <c r="U27" s="1" t="s">
        <v>29</v>
      </c>
    </row>
    <row r="28" spans="1:21" x14ac:dyDescent="0.3">
      <c r="A28" s="1" t="s">
        <v>17</v>
      </c>
      <c r="B28">
        <v>6</v>
      </c>
      <c r="C28" s="1" t="s">
        <v>52</v>
      </c>
      <c r="D28" s="1" t="s">
        <v>36</v>
      </c>
      <c r="E28">
        <v>426</v>
      </c>
      <c r="F28" s="1" t="s">
        <v>32</v>
      </c>
      <c r="G28" s="1" t="s">
        <v>38</v>
      </c>
      <c r="H28">
        <v>4</v>
      </c>
      <c r="I28" s="1" t="s">
        <v>33</v>
      </c>
      <c r="J28" s="1" t="s">
        <v>23</v>
      </c>
      <c r="K28">
        <v>4</v>
      </c>
      <c r="L28" s="1" t="s">
        <v>40</v>
      </c>
      <c r="M28">
        <v>39</v>
      </c>
      <c r="N28" s="1" t="s">
        <v>23</v>
      </c>
      <c r="O28" s="1" t="s">
        <v>26</v>
      </c>
      <c r="P28">
        <v>1</v>
      </c>
      <c r="Q28" s="1" t="s">
        <v>27</v>
      </c>
      <c r="R28">
        <v>1</v>
      </c>
      <c r="S28" s="1" t="s">
        <v>23</v>
      </c>
      <c r="T28" s="1" t="s">
        <v>28</v>
      </c>
      <c r="U28" s="1" t="s">
        <v>29</v>
      </c>
    </row>
    <row r="29" spans="1:21" x14ac:dyDescent="0.3">
      <c r="A29" s="1" t="s">
        <v>50</v>
      </c>
      <c r="B29">
        <v>12</v>
      </c>
      <c r="C29" s="1" t="s">
        <v>42</v>
      </c>
      <c r="D29" s="1" t="s">
        <v>36</v>
      </c>
      <c r="E29">
        <v>409</v>
      </c>
      <c r="F29" s="1" t="s">
        <v>20</v>
      </c>
      <c r="G29" s="1" t="s">
        <v>21</v>
      </c>
      <c r="H29">
        <v>3</v>
      </c>
      <c r="I29" s="1" t="s">
        <v>22</v>
      </c>
      <c r="J29" s="1" t="s">
        <v>23</v>
      </c>
      <c r="K29">
        <v>3</v>
      </c>
      <c r="L29" s="1" t="s">
        <v>24</v>
      </c>
      <c r="M29">
        <v>42</v>
      </c>
      <c r="N29" s="1" t="s">
        <v>23</v>
      </c>
      <c r="O29" s="1" t="s">
        <v>34</v>
      </c>
      <c r="P29">
        <v>2</v>
      </c>
      <c r="Q29" s="1" t="s">
        <v>41</v>
      </c>
      <c r="R29">
        <v>1</v>
      </c>
      <c r="S29" s="1" t="s">
        <v>23</v>
      </c>
      <c r="T29" s="1" t="s">
        <v>28</v>
      </c>
      <c r="U29" s="1" t="s">
        <v>29</v>
      </c>
    </row>
    <row r="30" spans="1:21" x14ac:dyDescent="0.3">
      <c r="A30" s="1" t="s">
        <v>30</v>
      </c>
      <c r="B30">
        <v>7</v>
      </c>
      <c r="C30" s="1" t="s">
        <v>31</v>
      </c>
      <c r="D30" s="1" t="s">
        <v>36</v>
      </c>
      <c r="E30">
        <v>2415</v>
      </c>
      <c r="F30" s="1" t="s">
        <v>32</v>
      </c>
      <c r="G30" s="1" t="s">
        <v>21</v>
      </c>
      <c r="H30">
        <v>3</v>
      </c>
      <c r="I30" s="1" t="s">
        <v>39</v>
      </c>
      <c r="J30" s="1" t="s">
        <v>58</v>
      </c>
      <c r="K30">
        <v>2</v>
      </c>
      <c r="L30" s="1" t="s">
        <v>24</v>
      </c>
      <c r="M30">
        <v>34</v>
      </c>
      <c r="N30" s="1" t="s">
        <v>23</v>
      </c>
      <c r="O30" s="1" t="s">
        <v>26</v>
      </c>
      <c r="P30">
        <v>1</v>
      </c>
      <c r="Q30" s="1" t="s">
        <v>41</v>
      </c>
      <c r="R30">
        <v>1</v>
      </c>
      <c r="S30" s="1" t="s">
        <v>23</v>
      </c>
      <c r="T30" s="1" t="s">
        <v>28</v>
      </c>
      <c r="U30" s="1" t="s">
        <v>29</v>
      </c>
    </row>
    <row r="31" spans="1:21" x14ac:dyDescent="0.3">
      <c r="A31" s="1" t="s">
        <v>35</v>
      </c>
      <c r="B31">
        <v>60</v>
      </c>
      <c r="C31" s="1" t="s">
        <v>59</v>
      </c>
      <c r="D31" s="1" t="s">
        <v>61</v>
      </c>
      <c r="E31">
        <v>6836</v>
      </c>
      <c r="F31" s="1" t="s">
        <v>32</v>
      </c>
      <c r="G31" s="1" t="s">
        <v>38</v>
      </c>
      <c r="H31">
        <v>3</v>
      </c>
      <c r="I31" s="1" t="s">
        <v>39</v>
      </c>
      <c r="J31" s="1" t="s">
        <v>23</v>
      </c>
      <c r="K31">
        <v>4</v>
      </c>
      <c r="L31" s="1" t="s">
        <v>65</v>
      </c>
      <c r="M31">
        <v>63</v>
      </c>
      <c r="N31" s="1" t="s">
        <v>23</v>
      </c>
      <c r="O31" s="1" t="s">
        <v>26</v>
      </c>
      <c r="P31">
        <v>2</v>
      </c>
      <c r="Q31" s="1" t="s">
        <v>41</v>
      </c>
      <c r="R31">
        <v>1</v>
      </c>
      <c r="S31" s="1" t="s">
        <v>28</v>
      </c>
      <c r="T31" s="1" t="s">
        <v>28</v>
      </c>
      <c r="U31" s="1" t="s">
        <v>56</v>
      </c>
    </row>
    <row r="32" spans="1:21" x14ac:dyDescent="0.3">
      <c r="A32" s="1" t="s">
        <v>30</v>
      </c>
      <c r="B32">
        <v>18</v>
      </c>
      <c r="C32" s="1" t="s">
        <v>31</v>
      </c>
      <c r="D32" s="1" t="s">
        <v>61</v>
      </c>
      <c r="E32">
        <v>1913</v>
      </c>
      <c r="F32" s="1" t="s">
        <v>20</v>
      </c>
      <c r="G32" s="1" t="s">
        <v>45</v>
      </c>
      <c r="H32">
        <v>3</v>
      </c>
      <c r="I32" s="1" t="s">
        <v>33</v>
      </c>
      <c r="J32" s="1" t="s">
        <v>23</v>
      </c>
      <c r="K32">
        <v>3</v>
      </c>
      <c r="L32" s="1" t="s">
        <v>24</v>
      </c>
      <c r="M32">
        <v>36</v>
      </c>
      <c r="N32" s="1" t="s">
        <v>25</v>
      </c>
      <c r="O32" s="1" t="s">
        <v>26</v>
      </c>
      <c r="P32">
        <v>1</v>
      </c>
      <c r="Q32" s="1" t="s">
        <v>41</v>
      </c>
      <c r="R32">
        <v>1</v>
      </c>
      <c r="S32" s="1" t="s">
        <v>28</v>
      </c>
      <c r="T32" s="1" t="s">
        <v>28</v>
      </c>
      <c r="U32" s="1" t="s">
        <v>29</v>
      </c>
    </row>
    <row r="33" spans="1:21" x14ac:dyDescent="0.3">
      <c r="A33" s="1" t="s">
        <v>35</v>
      </c>
      <c r="B33">
        <v>24</v>
      </c>
      <c r="C33" s="1" t="s">
        <v>31</v>
      </c>
      <c r="D33" s="1" t="s">
        <v>53</v>
      </c>
      <c r="E33">
        <v>4020</v>
      </c>
      <c r="F33" s="1" t="s">
        <v>32</v>
      </c>
      <c r="G33" s="1" t="s">
        <v>21</v>
      </c>
      <c r="H33">
        <v>2</v>
      </c>
      <c r="I33" s="1" t="s">
        <v>39</v>
      </c>
      <c r="J33" s="1" t="s">
        <v>23</v>
      </c>
      <c r="K33">
        <v>2</v>
      </c>
      <c r="L33" s="1" t="s">
        <v>40</v>
      </c>
      <c r="M33">
        <v>27</v>
      </c>
      <c r="N33" s="1" t="s">
        <v>67</v>
      </c>
      <c r="O33" s="1" t="s">
        <v>26</v>
      </c>
      <c r="P33">
        <v>1</v>
      </c>
      <c r="Q33" s="1" t="s">
        <v>41</v>
      </c>
      <c r="R33">
        <v>1</v>
      </c>
      <c r="S33" s="1" t="s">
        <v>23</v>
      </c>
      <c r="T33" s="1" t="s">
        <v>28</v>
      </c>
      <c r="U33" s="1" t="s">
        <v>29</v>
      </c>
    </row>
    <row r="34" spans="1:21" x14ac:dyDescent="0.3">
      <c r="A34" s="1" t="s">
        <v>30</v>
      </c>
      <c r="B34">
        <v>18</v>
      </c>
      <c r="C34" s="1" t="s">
        <v>31</v>
      </c>
      <c r="D34" s="1" t="s">
        <v>19</v>
      </c>
      <c r="E34">
        <v>5866</v>
      </c>
      <c r="F34" s="1" t="s">
        <v>46</v>
      </c>
      <c r="G34" s="1" t="s">
        <v>21</v>
      </c>
      <c r="H34">
        <v>2</v>
      </c>
      <c r="I34" s="1" t="s">
        <v>39</v>
      </c>
      <c r="J34" s="1" t="s">
        <v>23</v>
      </c>
      <c r="K34">
        <v>2</v>
      </c>
      <c r="L34" s="1" t="s">
        <v>40</v>
      </c>
      <c r="M34">
        <v>30</v>
      </c>
      <c r="N34" s="1" t="s">
        <v>23</v>
      </c>
      <c r="O34" s="1" t="s">
        <v>26</v>
      </c>
      <c r="P34">
        <v>2</v>
      </c>
      <c r="Q34" s="1" t="s">
        <v>41</v>
      </c>
      <c r="R34">
        <v>1</v>
      </c>
      <c r="S34" s="1" t="s">
        <v>28</v>
      </c>
      <c r="T34" s="1" t="s">
        <v>28</v>
      </c>
      <c r="U34" s="1" t="s">
        <v>29</v>
      </c>
    </row>
    <row r="35" spans="1:21" x14ac:dyDescent="0.3">
      <c r="A35" s="1" t="s">
        <v>17</v>
      </c>
      <c r="B35">
        <v>12</v>
      </c>
      <c r="C35" s="1" t="s">
        <v>18</v>
      </c>
      <c r="D35" s="1" t="s">
        <v>61</v>
      </c>
      <c r="E35">
        <v>1264</v>
      </c>
      <c r="F35" s="1" t="s">
        <v>47</v>
      </c>
      <c r="G35" s="1" t="s">
        <v>38</v>
      </c>
      <c r="H35">
        <v>4</v>
      </c>
      <c r="I35" s="1" t="s">
        <v>39</v>
      </c>
      <c r="J35" s="1" t="s">
        <v>23</v>
      </c>
      <c r="K35">
        <v>4</v>
      </c>
      <c r="L35" s="1" t="s">
        <v>65</v>
      </c>
      <c r="M35">
        <v>57</v>
      </c>
      <c r="N35" s="1" t="s">
        <v>23</v>
      </c>
      <c r="O35" s="1" t="s">
        <v>34</v>
      </c>
      <c r="P35">
        <v>1</v>
      </c>
      <c r="Q35" s="1" t="s">
        <v>27</v>
      </c>
      <c r="R35">
        <v>1</v>
      </c>
      <c r="S35" s="1" t="s">
        <v>23</v>
      </c>
      <c r="T35" s="1" t="s">
        <v>28</v>
      </c>
      <c r="U35" s="1" t="s">
        <v>29</v>
      </c>
    </row>
    <row r="36" spans="1:21" x14ac:dyDescent="0.3">
      <c r="A36" s="1" t="s">
        <v>50</v>
      </c>
      <c r="B36">
        <v>12</v>
      </c>
      <c r="C36" s="1" t="s">
        <v>31</v>
      </c>
      <c r="D36" s="1" t="s">
        <v>53</v>
      </c>
      <c r="E36">
        <v>1474</v>
      </c>
      <c r="F36" s="1" t="s">
        <v>32</v>
      </c>
      <c r="G36" s="1" t="s">
        <v>45</v>
      </c>
      <c r="H36">
        <v>4</v>
      </c>
      <c r="I36" s="1" t="s">
        <v>22</v>
      </c>
      <c r="J36" s="1" t="s">
        <v>23</v>
      </c>
      <c r="K36">
        <v>1</v>
      </c>
      <c r="L36" s="1" t="s">
        <v>48</v>
      </c>
      <c r="M36">
        <v>33</v>
      </c>
      <c r="N36" s="1" t="s">
        <v>25</v>
      </c>
      <c r="O36" s="1" t="s">
        <v>26</v>
      </c>
      <c r="P36">
        <v>1</v>
      </c>
      <c r="Q36" s="1" t="s">
        <v>63</v>
      </c>
      <c r="R36">
        <v>1</v>
      </c>
      <c r="S36" s="1" t="s">
        <v>28</v>
      </c>
      <c r="T36" s="1" t="s">
        <v>28</v>
      </c>
      <c r="U36" s="1" t="s">
        <v>29</v>
      </c>
    </row>
    <row r="37" spans="1:21" x14ac:dyDescent="0.3">
      <c r="A37" s="1" t="s">
        <v>30</v>
      </c>
      <c r="B37">
        <v>45</v>
      </c>
      <c r="C37" s="1" t="s">
        <v>18</v>
      </c>
      <c r="D37" s="1" t="s">
        <v>36</v>
      </c>
      <c r="E37">
        <v>4746</v>
      </c>
      <c r="F37" s="1" t="s">
        <v>32</v>
      </c>
      <c r="G37" s="1" t="s">
        <v>45</v>
      </c>
      <c r="H37">
        <v>4</v>
      </c>
      <c r="I37" s="1" t="s">
        <v>39</v>
      </c>
      <c r="J37" s="1" t="s">
        <v>23</v>
      </c>
      <c r="K37">
        <v>2</v>
      </c>
      <c r="L37" s="1" t="s">
        <v>48</v>
      </c>
      <c r="M37">
        <v>25</v>
      </c>
      <c r="N37" s="1" t="s">
        <v>23</v>
      </c>
      <c r="O37" s="1" t="s">
        <v>26</v>
      </c>
      <c r="P37">
        <v>2</v>
      </c>
      <c r="Q37" s="1" t="s">
        <v>27</v>
      </c>
      <c r="R37">
        <v>1</v>
      </c>
      <c r="S37" s="1" t="s">
        <v>23</v>
      </c>
      <c r="T37" s="1" t="s">
        <v>28</v>
      </c>
      <c r="U37" s="1" t="s">
        <v>56</v>
      </c>
    </row>
    <row r="38" spans="1:21" x14ac:dyDescent="0.3">
      <c r="A38" s="1" t="s">
        <v>17</v>
      </c>
      <c r="B38">
        <v>48</v>
      </c>
      <c r="C38" s="1" t="s">
        <v>18</v>
      </c>
      <c r="D38" s="1" t="s">
        <v>51</v>
      </c>
      <c r="E38">
        <v>6110</v>
      </c>
      <c r="F38" s="1" t="s">
        <v>32</v>
      </c>
      <c r="G38" s="1" t="s">
        <v>21</v>
      </c>
      <c r="H38">
        <v>1</v>
      </c>
      <c r="I38" s="1" t="s">
        <v>39</v>
      </c>
      <c r="J38" s="1" t="s">
        <v>23</v>
      </c>
      <c r="K38">
        <v>3</v>
      </c>
      <c r="L38" s="1" t="s">
        <v>65</v>
      </c>
      <c r="M38">
        <v>31</v>
      </c>
      <c r="N38" s="1" t="s">
        <v>25</v>
      </c>
      <c r="O38" s="1" t="s">
        <v>66</v>
      </c>
      <c r="P38">
        <v>1</v>
      </c>
      <c r="Q38" s="1" t="s">
        <v>41</v>
      </c>
      <c r="R38">
        <v>1</v>
      </c>
      <c r="S38" s="1" t="s">
        <v>28</v>
      </c>
      <c r="T38" s="1" t="s">
        <v>28</v>
      </c>
      <c r="U38" s="1" t="s">
        <v>29</v>
      </c>
    </row>
    <row r="39" spans="1:21" x14ac:dyDescent="0.3">
      <c r="A39" s="1" t="s">
        <v>50</v>
      </c>
      <c r="B39">
        <v>18</v>
      </c>
      <c r="C39" s="1" t="s">
        <v>31</v>
      </c>
      <c r="D39" s="1" t="s">
        <v>36</v>
      </c>
      <c r="E39">
        <v>2100</v>
      </c>
      <c r="F39" s="1" t="s">
        <v>32</v>
      </c>
      <c r="G39" s="1" t="s">
        <v>21</v>
      </c>
      <c r="H39">
        <v>4</v>
      </c>
      <c r="I39" s="1" t="s">
        <v>39</v>
      </c>
      <c r="J39" s="1" t="s">
        <v>55</v>
      </c>
      <c r="K39">
        <v>2</v>
      </c>
      <c r="L39" s="1" t="s">
        <v>24</v>
      </c>
      <c r="M39">
        <v>37</v>
      </c>
      <c r="N39" s="1" t="s">
        <v>67</v>
      </c>
      <c r="O39" s="1" t="s">
        <v>26</v>
      </c>
      <c r="P39">
        <v>1</v>
      </c>
      <c r="Q39" s="1" t="s">
        <v>41</v>
      </c>
      <c r="R39">
        <v>1</v>
      </c>
      <c r="S39" s="1" t="s">
        <v>23</v>
      </c>
      <c r="T39" s="1" t="s">
        <v>28</v>
      </c>
      <c r="U39" s="1" t="s">
        <v>56</v>
      </c>
    </row>
    <row r="40" spans="1:21" x14ac:dyDescent="0.3">
      <c r="A40" s="1" t="s">
        <v>50</v>
      </c>
      <c r="B40">
        <v>10</v>
      </c>
      <c r="C40" s="1" t="s">
        <v>31</v>
      </c>
      <c r="D40" s="1" t="s">
        <v>44</v>
      </c>
      <c r="E40">
        <v>1225</v>
      </c>
      <c r="F40" s="1" t="s">
        <v>32</v>
      </c>
      <c r="G40" s="1" t="s">
        <v>21</v>
      </c>
      <c r="H40">
        <v>2</v>
      </c>
      <c r="I40" s="1" t="s">
        <v>39</v>
      </c>
      <c r="J40" s="1" t="s">
        <v>23</v>
      </c>
      <c r="K40">
        <v>2</v>
      </c>
      <c r="L40" s="1" t="s">
        <v>40</v>
      </c>
      <c r="M40">
        <v>37</v>
      </c>
      <c r="N40" s="1" t="s">
        <v>23</v>
      </c>
      <c r="O40" s="1" t="s">
        <v>26</v>
      </c>
      <c r="P40">
        <v>1</v>
      </c>
      <c r="Q40" s="1" t="s">
        <v>41</v>
      </c>
      <c r="R40">
        <v>1</v>
      </c>
      <c r="S40" s="1" t="s">
        <v>28</v>
      </c>
      <c r="T40" s="1" t="s">
        <v>28</v>
      </c>
      <c r="U40" s="1" t="s">
        <v>29</v>
      </c>
    </row>
    <row r="41" spans="1:21" x14ac:dyDescent="0.3">
      <c r="A41" s="1" t="s">
        <v>30</v>
      </c>
      <c r="B41">
        <v>9</v>
      </c>
      <c r="C41" s="1" t="s">
        <v>31</v>
      </c>
      <c r="D41" s="1" t="s">
        <v>36</v>
      </c>
      <c r="E41">
        <v>458</v>
      </c>
      <c r="F41" s="1" t="s">
        <v>32</v>
      </c>
      <c r="G41" s="1" t="s">
        <v>21</v>
      </c>
      <c r="H41">
        <v>4</v>
      </c>
      <c r="I41" s="1" t="s">
        <v>39</v>
      </c>
      <c r="J41" s="1" t="s">
        <v>23</v>
      </c>
      <c r="K41">
        <v>3</v>
      </c>
      <c r="L41" s="1" t="s">
        <v>24</v>
      </c>
      <c r="M41">
        <v>24</v>
      </c>
      <c r="N41" s="1" t="s">
        <v>23</v>
      </c>
      <c r="O41" s="1" t="s">
        <v>26</v>
      </c>
      <c r="P41">
        <v>1</v>
      </c>
      <c r="Q41" s="1" t="s">
        <v>41</v>
      </c>
      <c r="R41">
        <v>1</v>
      </c>
      <c r="S41" s="1" t="s">
        <v>23</v>
      </c>
      <c r="T41" s="1" t="s">
        <v>28</v>
      </c>
      <c r="U41" s="1" t="s">
        <v>29</v>
      </c>
    </row>
    <row r="42" spans="1:21" x14ac:dyDescent="0.3">
      <c r="A42" s="1" t="s">
        <v>17</v>
      </c>
      <c r="B42">
        <v>30</v>
      </c>
      <c r="C42" s="1" t="s">
        <v>31</v>
      </c>
      <c r="D42" s="1" t="s">
        <v>36</v>
      </c>
      <c r="E42">
        <v>2333</v>
      </c>
      <c r="F42" s="1" t="s">
        <v>37</v>
      </c>
      <c r="G42" s="1" t="s">
        <v>38</v>
      </c>
      <c r="H42">
        <v>4</v>
      </c>
      <c r="I42" s="1" t="s">
        <v>39</v>
      </c>
      <c r="J42" s="1" t="s">
        <v>23</v>
      </c>
      <c r="K42">
        <v>2</v>
      </c>
      <c r="L42" s="1" t="s">
        <v>40</v>
      </c>
      <c r="M42">
        <v>30</v>
      </c>
      <c r="N42" s="1" t="s">
        <v>25</v>
      </c>
      <c r="O42" s="1" t="s">
        <v>26</v>
      </c>
      <c r="P42">
        <v>1</v>
      </c>
      <c r="Q42" s="1" t="s">
        <v>63</v>
      </c>
      <c r="R42">
        <v>1</v>
      </c>
      <c r="S42" s="1" t="s">
        <v>23</v>
      </c>
      <c r="T42" s="1" t="s">
        <v>28</v>
      </c>
      <c r="U42" s="1" t="s">
        <v>29</v>
      </c>
    </row>
    <row r="43" spans="1:21" x14ac:dyDescent="0.3">
      <c r="A43" s="1" t="s">
        <v>30</v>
      </c>
      <c r="B43">
        <v>12</v>
      </c>
      <c r="C43" s="1" t="s">
        <v>31</v>
      </c>
      <c r="D43" s="1" t="s">
        <v>36</v>
      </c>
      <c r="E43">
        <v>1158</v>
      </c>
      <c r="F43" s="1" t="s">
        <v>37</v>
      </c>
      <c r="G43" s="1" t="s">
        <v>21</v>
      </c>
      <c r="H43">
        <v>3</v>
      </c>
      <c r="I43" s="1" t="s">
        <v>64</v>
      </c>
      <c r="J43" s="1" t="s">
        <v>23</v>
      </c>
      <c r="K43">
        <v>1</v>
      </c>
      <c r="L43" s="1" t="s">
        <v>40</v>
      </c>
      <c r="M43">
        <v>26</v>
      </c>
      <c r="N43" s="1" t="s">
        <v>23</v>
      </c>
      <c r="O43" s="1" t="s">
        <v>26</v>
      </c>
      <c r="P43">
        <v>1</v>
      </c>
      <c r="Q43" s="1" t="s">
        <v>41</v>
      </c>
      <c r="R43">
        <v>1</v>
      </c>
      <c r="S43" s="1" t="s">
        <v>28</v>
      </c>
      <c r="T43" s="1" t="s">
        <v>28</v>
      </c>
      <c r="U43" s="1" t="s">
        <v>29</v>
      </c>
    </row>
    <row r="44" spans="1:21" x14ac:dyDescent="0.3">
      <c r="A44" s="1" t="s">
        <v>30</v>
      </c>
      <c r="B44">
        <v>18</v>
      </c>
      <c r="C44" s="1" t="s">
        <v>59</v>
      </c>
      <c r="D44" s="1" t="s">
        <v>57</v>
      </c>
      <c r="E44">
        <v>6204</v>
      </c>
      <c r="F44" s="1" t="s">
        <v>32</v>
      </c>
      <c r="G44" s="1" t="s">
        <v>21</v>
      </c>
      <c r="H44">
        <v>2</v>
      </c>
      <c r="I44" s="1" t="s">
        <v>39</v>
      </c>
      <c r="J44" s="1" t="s">
        <v>23</v>
      </c>
      <c r="K44">
        <v>4</v>
      </c>
      <c r="L44" s="1" t="s">
        <v>24</v>
      </c>
      <c r="M44">
        <v>44</v>
      </c>
      <c r="N44" s="1" t="s">
        <v>23</v>
      </c>
      <c r="O44" s="1" t="s">
        <v>26</v>
      </c>
      <c r="P44">
        <v>1</v>
      </c>
      <c r="Q44" s="1" t="s">
        <v>27</v>
      </c>
      <c r="R44">
        <v>2</v>
      </c>
      <c r="S44" s="1" t="s">
        <v>28</v>
      </c>
      <c r="T44" s="1" t="s">
        <v>28</v>
      </c>
      <c r="U44" s="1" t="s">
        <v>29</v>
      </c>
    </row>
    <row r="45" spans="1:21" x14ac:dyDescent="0.3">
      <c r="A45" s="1" t="s">
        <v>35</v>
      </c>
      <c r="B45">
        <v>30</v>
      </c>
      <c r="C45" s="1" t="s">
        <v>18</v>
      </c>
      <c r="D45" s="1" t="s">
        <v>69</v>
      </c>
      <c r="E45">
        <v>6187</v>
      </c>
      <c r="F45" s="1" t="s">
        <v>46</v>
      </c>
      <c r="G45" s="1" t="s">
        <v>49</v>
      </c>
      <c r="H45">
        <v>1</v>
      </c>
      <c r="I45" s="1" t="s">
        <v>33</v>
      </c>
      <c r="J45" s="1" t="s">
        <v>23</v>
      </c>
      <c r="K45">
        <v>4</v>
      </c>
      <c r="L45" s="1" t="s">
        <v>40</v>
      </c>
      <c r="M45">
        <v>24</v>
      </c>
      <c r="N45" s="1" t="s">
        <v>23</v>
      </c>
      <c r="O45" s="1" t="s">
        <v>34</v>
      </c>
      <c r="P45">
        <v>2</v>
      </c>
      <c r="Q45" s="1" t="s">
        <v>41</v>
      </c>
      <c r="R45">
        <v>1</v>
      </c>
      <c r="S45" s="1" t="s">
        <v>23</v>
      </c>
      <c r="T45" s="1" t="s">
        <v>28</v>
      </c>
      <c r="U45" s="1" t="s">
        <v>29</v>
      </c>
    </row>
    <row r="46" spans="1:21" x14ac:dyDescent="0.3">
      <c r="A46" s="1" t="s">
        <v>35</v>
      </c>
      <c r="B46">
        <v>48</v>
      </c>
      <c r="C46" s="1" t="s">
        <v>18</v>
      </c>
      <c r="D46" s="1" t="s">
        <v>69</v>
      </c>
      <c r="E46">
        <v>6143</v>
      </c>
      <c r="F46" s="1" t="s">
        <v>32</v>
      </c>
      <c r="G46" s="1" t="s">
        <v>38</v>
      </c>
      <c r="H46">
        <v>4</v>
      </c>
      <c r="I46" s="1" t="s">
        <v>22</v>
      </c>
      <c r="J46" s="1" t="s">
        <v>23</v>
      </c>
      <c r="K46">
        <v>4</v>
      </c>
      <c r="L46" s="1" t="s">
        <v>65</v>
      </c>
      <c r="M46">
        <v>58</v>
      </c>
      <c r="N46" s="1" t="s">
        <v>67</v>
      </c>
      <c r="O46" s="1" t="s">
        <v>66</v>
      </c>
      <c r="P46">
        <v>2</v>
      </c>
      <c r="Q46" s="1" t="s">
        <v>27</v>
      </c>
      <c r="R46">
        <v>1</v>
      </c>
      <c r="S46" s="1" t="s">
        <v>23</v>
      </c>
      <c r="T46" s="1" t="s">
        <v>28</v>
      </c>
      <c r="U46" s="1" t="s">
        <v>56</v>
      </c>
    </row>
    <row r="47" spans="1:21" x14ac:dyDescent="0.3">
      <c r="A47" s="1" t="s">
        <v>17</v>
      </c>
      <c r="B47">
        <v>11</v>
      </c>
      <c r="C47" s="1" t="s">
        <v>18</v>
      </c>
      <c r="D47" s="1" t="s">
        <v>19</v>
      </c>
      <c r="E47">
        <v>1393</v>
      </c>
      <c r="F47" s="1" t="s">
        <v>32</v>
      </c>
      <c r="G47" s="1" t="s">
        <v>45</v>
      </c>
      <c r="H47">
        <v>4</v>
      </c>
      <c r="I47" s="1" t="s">
        <v>22</v>
      </c>
      <c r="J47" s="1" t="s">
        <v>23</v>
      </c>
      <c r="K47">
        <v>4</v>
      </c>
      <c r="L47" s="1" t="s">
        <v>40</v>
      </c>
      <c r="M47">
        <v>35</v>
      </c>
      <c r="N47" s="1" t="s">
        <v>23</v>
      </c>
      <c r="O47" s="1" t="s">
        <v>26</v>
      </c>
      <c r="P47">
        <v>2</v>
      </c>
      <c r="Q47" s="1" t="s">
        <v>63</v>
      </c>
      <c r="R47">
        <v>1</v>
      </c>
      <c r="S47" s="1" t="s">
        <v>23</v>
      </c>
      <c r="T47" s="1" t="s">
        <v>28</v>
      </c>
      <c r="U47" s="1" t="s">
        <v>29</v>
      </c>
    </row>
    <row r="48" spans="1:21" x14ac:dyDescent="0.3">
      <c r="A48" s="1" t="s">
        <v>17</v>
      </c>
      <c r="B48">
        <v>36</v>
      </c>
      <c r="C48" s="1" t="s">
        <v>31</v>
      </c>
      <c r="D48" s="1" t="s">
        <v>36</v>
      </c>
      <c r="E48">
        <v>2299</v>
      </c>
      <c r="F48" s="1" t="s">
        <v>37</v>
      </c>
      <c r="G48" s="1" t="s">
        <v>38</v>
      </c>
      <c r="H48">
        <v>4</v>
      </c>
      <c r="I48" s="1" t="s">
        <v>39</v>
      </c>
      <c r="J48" s="1" t="s">
        <v>23</v>
      </c>
      <c r="K48">
        <v>4</v>
      </c>
      <c r="L48" s="1" t="s">
        <v>40</v>
      </c>
      <c r="M48">
        <v>39</v>
      </c>
      <c r="N48" s="1" t="s">
        <v>23</v>
      </c>
      <c r="O48" s="1" t="s">
        <v>26</v>
      </c>
      <c r="P48">
        <v>1</v>
      </c>
      <c r="Q48" s="1" t="s">
        <v>41</v>
      </c>
      <c r="R48">
        <v>1</v>
      </c>
      <c r="S48" s="1" t="s">
        <v>23</v>
      </c>
      <c r="T48" s="1" t="s">
        <v>28</v>
      </c>
      <c r="U48" s="1" t="s">
        <v>29</v>
      </c>
    </row>
    <row r="49" spans="1:21" x14ac:dyDescent="0.3">
      <c r="A49" s="1" t="s">
        <v>35</v>
      </c>
      <c r="B49">
        <v>6</v>
      </c>
      <c r="C49" s="1" t="s">
        <v>31</v>
      </c>
      <c r="D49" s="1" t="s">
        <v>69</v>
      </c>
      <c r="E49">
        <v>1352</v>
      </c>
      <c r="F49" s="1" t="s">
        <v>37</v>
      </c>
      <c r="G49" s="1" t="s">
        <v>54</v>
      </c>
      <c r="H49">
        <v>1</v>
      </c>
      <c r="I49" s="1" t="s">
        <v>22</v>
      </c>
      <c r="J49" s="1" t="s">
        <v>23</v>
      </c>
      <c r="K49">
        <v>2</v>
      </c>
      <c r="L49" s="1" t="s">
        <v>48</v>
      </c>
      <c r="M49">
        <v>23</v>
      </c>
      <c r="N49" s="1" t="s">
        <v>23</v>
      </c>
      <c r="O49" s="1" t="s">
        <v>34</v>
      </c>
      <c r="P49">
        <v>1</v>
      </c>
      <c r="Q49" s="1" t="s">
        <v>62</v>
      </c>
      <c r="R49">
        <v>1</v>
      </c>
      <c r="S49" s="1" t="s">
        <v>28</v>
      </c>
      <c r="T49" s="1" t="s">
        <v>28</v>
      </c>
      <c r="U49" s="1" t="s">
        <v>29</v>
      </c>
    </row>
    <row r="50" spans="1:21" x14ac:dyDescent="0.3">
      <c r="A50" s="1" t="s">
        <v>17</v>
      </c>
      <c r="B50">
        <v>11</v>
      </c>
      <c r="C50" s="1" t="s">
        <v>18</v>
      </c>
      <c r="D50" s="1" t="s">
        <v>19</v>
      </c>
      <c r="E50">
        <v>7228</v>
      </c>
      <c r="F50" s="1" t="s">
        <v>32</v>
      </c>
      <c r="G50" s="1" t="s">
        <v>21</v>
      </c>
      <c r="H50">
        <v>1</v>
      </c>
      <c r="I50" s="1" t="s">
        <v>39</v>
      </c>
      <c r="J50" s="1" t="s">
        <v>23</v>
      </c>
      <c r="K50">
        <v>4</v>
      </c>
      <c r="L50" s="1" t="s">
        <v>48</v>
      </c>
      <c r="M50">
        <v>39</v>
      </c>
      <c r="N50" s="1" t="s">
        <v>23</v>
      </c>
      <c r="O50" s="1" t="s">
        <v>26</v>
      </c>
      <c r="P50">
        <v>2</v>
      </c>
      <c r="Q50" s="1" t="s">
        <v>27</v>
      </c>
      <c r="R50">
        <v>1</v>
      </c>
      <c r="S50" s="1" t="s">
        <v>23</v>
      </c>
      <c r="T50" s="1" t="s">
        <v>28</v>
      </c>
      <c r="U50" s="1" t="s">
        <v>29</v>
      </c>
    </row>
    <row r="51" spans="1:21" x14ac:dyDescent="0.3">
      <c r="A51" s="1" t="s">
        <v>17</v>
      </c>
      <c r="B51">
        <v>12</v>
      </c>
      <c r="C51" s="1" t="s">
        <v>31</v>
      </c>
      <c r="D51" s="1" t="s">
        <v>36</v>
      </c>
      <c r="E51">
        <v>2073</v>
      </c>
      <c r="F51" s="1" t="s">
        <v>46</v>
      </c>
      <c r="G51" s="1" t="s">
        <v>21</v>
      </c>
      <c r="H51">
        <v>4</v>
      </c>
      <c r="I51" s="1" t="s">
        <v>22</v>
      </c>
      <c r="J51" s="1" t="s">
        <v>55</v>
      </c>
      <c r="K51">
        <v>2</v>
      </c>
      <c r="L51" s="1" t="s">
        <v>24</v>
      </c>
      <c r="M51">
        <v>28</v>
      </c>
      <c r="N51" s="1" t="s">
        <v>23</v>
      </c>
      <c r="O51" s="1" t="s">
        <v>26</v>
      </c>
      <c r="P51">
        <v>1</v>
      </c>
      <c r="Q51" s="1" t="s">
        <v>41</v>
      </c>
      <c r="R51">
        <v>1</v>
      </c>
      <c r="S51" s="1" t="s">
        <v>23</v>
      </c>
      <c r="T51" s="1" t="s">
        <v>28</v>
      </c>
      <c r="U51" s="1" t="s">
        <v>29</v>
      </c>
    </row>
    <row r="52" spans="1:21" x14ac:dyDescent="0.3">
      <c r="A52" s="1" t="s">
        <v>30</v>
      </c>
      <c r="B52">
        <v>24</v>
      </c>
      <c r="C52" s="1" t="s">
        <v>59</v>
      </c>
      <c r="D52" s="1" t="s">
        <v>53</v>
      </c>
      <c r="E52">
        <v>2333</v>
      </c>
      <c r="F52" s="1" t="s">
        <v>47</v>
      </c>
      <c r="G52" s="1" t="s">
        <v>45</v>
      </c>
      <c r="H52">
        <v>4</v>
      </c>
      <c r="I52" s="1" t="s">
        <v>39</v>
      </c>
      <c r="J52" s="1" t="s">
        <v>23</v>
      </c>
      <c r="K52">
        <v>2</v>
      </c>
      <c r="L52" s="1" t="s">
        <v>48</v>
      </c>
      <c r="M52">
        <v>29</v>
      </c>
      <c r="N52" s="1" t="s">
        <v>25</v>
      </c>
      <c r="O52" s="1" t="s">
        <v>26</v>
      </c>
      <c r="P52">
        <v>1</v>
      </c>
      <c r="Q52" s="1" t="s">
        <v>27</v>
      </c>
      <c r="R52">
        <v>1</v>
      </c>
      <c r="S52" s="1" t="s">
        <v>23</v>
      </c>
      <c r="T52" s="1" t="s">
        <v>28</v>
      </c>
      <c r="U52" s="1" t="s">
        <v>29</v>
      </c>
    </row>
    <row r="53" spans="1:21" x14ac:dyDescent="0.3">
      <c r="A53" s="1" t="s">
        <v>30</v>
      </c>
      <c r="B53">
        <v>27</v>
      </c>
      <c r="C53" s="1" t="s">
        <v>59</v>
      </c>
      <c r="D53" s="1" t="s">
        <v>69</v>
      </c>
      <c r="E53">
        <v>5965</v>
      </c>
      <c r="F53" s="1" t="s">
        <v>32</v>
      </c>
      <c r="G53" s="1" t="s">
        <v>38</v>
      </c>
      <c r="H53">
        <v>1</v>
      </c>
      <c r="I53" s="1" t="s">
        <v>39</v>
      </c>
      <c r="J53" s="1" t="s">
        <v>23</v>
      </c>
      <c r="K53">
        <v>2</v>
      </c>
      <c r="L53" s="1" t="s">
        <v>40</v>
      </c>
      <c r="M53">
        <v>30</v>
      </c>
      <c r="N53" s="1" t="s">
        <v>23</v>
      </c>
      <c r="O53" s="1" t="s">
        <v>26</v>
      </c>
      <c r="P53">
        <v>2</v>
      </c>
      <c r="Q53" s="1" t="s">
        <v>63</v>
      </c>
      <c r="R53">
        <v>1</v>
      </c>
      <c r="S53" s="1" t="s">
        <v>28</v>
      </c>
      <c r="T53" s="1" t="s">
        <v>28</v>
      </c>
      <c r="U53" s="1" t="s">
        <v>29</v>
      </c>
    </row>
    <row r="54" spans="1:21" x14ac:dyDescent="0.3">
      <c r="A54" s="1" t="s">
        <v>17</v>
      </c>
      <c r="B54">
        <v>12</v>
      </c>
      <c r="C54" s="1" t="s">
        <v>31</v>
      </c>
      <c r="D54" s="1" t="s">
        <v>36</v>
      </c>
      <c r="E54">
        <v>1262</v>
      </c>
      <c r="F54" s="1" t="s">
        <v>32</v>
      </c>
      <c r="G54" s="1" t="s">
        <v>21</v>
      </c>
      <c r="H54">
        <v>3</v>
      </c>
      <c r="I54" s="1" t="s">
        <v>39</v>
      </c>
      <c r="J54" s="1" t="s">
        <v>23</v>
      </c>
      <c r="K54">
        <v>2</v>
      </c>
      <c r="L54" s="1" t="s">
        <v>40</v>
      </c>
      <c r="M54">
        <v>25</v>
      </c>
      <c r="N54" s="1" t="s">
        <v>23</v>
      </c>
      <c r="O54" s="1" t="s">
        <v>26</v>
      </c>
      <c r="P54">
        <v>1</v>
      </c>
      <c r="Q54" s="1" t="s">
        <v>41</v>
      </c>
      <c r="R54">
        <v>1</v>
      </c>
      <c r="S54" s="1" t="s">
        <v>23</v>
      </c>
      <c r="T54" s="1" t="s">
        <v>28</v>
      </c>
      <c r="U54" s="1" t="s">
        <v>29</v>
      </c>
    </row>
    <row r="55" spans="1:21" x14ac:dyDescent="0.3">
      <c r="A55" s="1" t="s">
        <v>17</v>
      </c>
      <c r="B55">
        <v>18</v>
      </c>
      <c r="C55" s="1" t="s">
        <v>31</v>
      </c>
      <c r="D55" s="1" t="s">
        <v>69</v>
      </c>
      <c r="E55">
        <v>3378</v>
      </c>
      <c r="F55" s="1" t="s">
        <v>47</v>
      </c>
      <c r="G55" s="1" t="s">
        <v>21</v>
      </c>
      <c r="H55">
        <v>2</v>
      </c>
      <c r="I55" s="1" t="s">
        <v>39</v>
      </c>
      <c r="J55" s="1" t="s">
        <v>23</v>
      </c>
      <c r="K55">
        <v>1</v>
      </c>
      <c r="L55" s="1" t="s">
        <v>48</v>
      </c>
      <c r="M55">
        <v>31</v>
      </c>
      <c r="N55" s="1" t="s">
        <v>23</v>
      </c>
      <c r="O55" s="1" t="s">
        <v>26</v>
      </c>
      <c r="P55">
        <v>1</v>
      </c>
      <c r="Q55" s="1" t="s">
        <v>41</v>
      </c>
      <c r="R55">
        <v>1</v>
      </c>
      <c r="S55" s="1" t="s">
        <v>28</v>
      </c>
      <c r="T55" s="1" t="s">
        <v>28</v>
      </c>
      <c r="U55" s="1" t="s">
        <v>29</v>
      </c>
    </row>
    <row r="56" spans="1:21" x14ac:dyDescent="0.3">
      <c r="A56" s="1" t="s">
        <v>30</v>
      </c>
      <c r="B56">
        <v>36</v>
      </c>
      <c r="C56" s="1" t="s">
        <v>59</v>
      </c>
      <c r="D56" s="1" t="s">
        <v>19</v>
      </c>
      <c r="E56">
        <v>2225</v>
      </c>
      <c r="F56" s="1" t="s">
        <v>32</v>
      </c>
      <c r="G56" s="1" t="s">
        <v>38</v>
      </c>
      <c r="H56">
        <v>4</v>
      </c>
      <c r="I56" s="1" t="s">
        <v>39</v>
      </c>
      <c r="J56" s="1" t="s">
        <v>23</v>
      </c>
      <c r="K56">
        <v>4</v>
      </c>
      <c r="L56" s="1" t="s">
        <v>65</v>
      </c>
      <c r="M56">
        <v>57</v>
      </c>
      <c r="N56" s="1" t="s">
        <v>25</v>
      </c>
      <c r="O56" s="1" t="s">
        <v>66</v>
      </c>
      <c r="P56">
        <v>2</v>
      </c>
      <c r="Q56" s="1" t="s">
        <v>41</v>
      </c>
      <c r="R56">
        <v>1</v>
      </c>
      <c r="S56" s="1" t="s">
        <v>28</v>
      </c>
      <c r="T56" s="1" t="s">
        <v>28</v>
      </c>
      <c r="U56" s="1" t="s">
        <v>56</v>
      </c>
    </row>
    <row r="57" spans="1:21" x14ac:dyDescent="0.3">
      <c r="A57" s="1" t="s">
        <v>17</v>
      </c>
      <c r="B57">
        <v>6</v>
      </c>
      <c r="C57" s="1" t="s">
        <v>42</v>
      </c>
      <c r="D57" s="1" t="s">
        <v>19</v>
      </c>
      <c r="E57">
        <v>783</v>
      </c>
      <c r="F57" s="1" t="s">
        <v>47</v>
      </c>
      <c r="G57" s="1" t="s">
        <v>21</v>
      </c>
      <c r="H57">
        <v>1</v>
      </c>
      <c r="I57" s="1" t="s">
        <v>39</v>
      </c>
      <c r="J57" s="1" t="s">
        <v>58</v>
      </c>
      <c r="K57">
        <v>2</v>
      </c>
      <c r="L57" s="1" t="s">
        <v>24</v>
      </c>
      <c r="M57">
        <v>26</v>
      </c>
      <c r="N57" s="1" t="s">
        <v>67</v>
      </c>
      <c r="O57" s="1" t="s">
        <v>26</v>
      </c>
      <c r="P57">
        <v>1</v>
      </c>
      <c r="Q57" s="1" t="s">
        <v>27</v>
      </c>
      <c r="R57">
        <v>2</v>
      </c>
      <c r="S57" s="1" t="s">
        <v>23</v>
      </c>
      <c r="T57" s="1" t="s">
        <v>28</v>
      </c>
      <c r="U57" s="1" t="s">
        <v>29</v>
      </c>
    </row>
    <row r="58" spans="1:21" x14ac:dyDescent="0.3">
      <c r="A58" s="1" t="s">
        <v>30</v>
      </c>
      <c r="B58">
        <v>12</v>
      </c>
      <c r="C58" s="1" t="s">
        <v>31</v>
      </c>
      <c r="D58" s="1" t="s">
        <v>36</v>
      </c>
      <c r="E58">
        <v>6468</v>
      </c>
      <c r="F58" s="1" t="s">
        <v>47</v>
      </c>
      <c r="G58" s="1" t="s">
        <v>54</v>
      </c>
      <c r="H58">
        <v>2</v>
      </c>
      <c r="I58" s="1" t="s">
        <v>39</v>
      </c>
      <c r="J58" s="1" t="s">
        <v>23</v>
      </c>
      <c r="K58">
        <v>1</v>
      </c>
      <c r="L58" s="1" t="s">
        <v>65</v>
      </c>
      <c r="M58">
        <v>52</v>
      </c>
      <c r="N58" s="1" t="s">
        <v>23</v>
      </c>
      <c r="O58" s="1" t="s">
        <v>26</v>
      </c>
      <c r="P58">
        <v>1</v>
      </c>
      <c r="Q58" s="1" t="s">
        <v>63</v>
      </c>
      <c r="R58">
        <v>1</v>
      </c>
      <c r="S58" s="1" t="s">
        <v>28</v>
      </c>
      <c r="T58" s="1" t="s">
        <v>28</v>
      </c>
      <c r="U58" s="1" t="s">
        <v>56</v>
      </c>
    </row>
    <row r="59" spans="1:21" x14ac:dyDescent="0.3">
      <c r="A59" s="1" t="s">
        <v>17</v>
      </c>
      <c r="B59">
        <v>36</v>
      </c>
      <c r="C59" s="1" t="s">
        <v>18</v>
      </c>
      <c r="D59" s="1" t="s">
        <v>36</v>
      </c>
      <c r="E59">
        <v>9566</v>
      </c>
      <c r="F59" s="1" t="s">
        <v>32</v>
      </c>
      <c r="G59" s="1" t="s">
        <v>21</v>
      </c>
      <c r="H59">
        <v>2</v>
      </c>
      <c r="I59" s="1" t="s">
        <v>22</v>
      </c>
      <c r="J59" s="1" t="s">
        <v>23</v>
      </c>
      <c r="K59">
        <v>2</v>
      </c>
      <c r="L59" s="1" t="s">
        <v>40</v>
      </c>
      <c r="M59">
        <v>31</v>
      </c>
      <c r="N59" s="1" t="s">
        <v>67</v>
      </c>
      <c r="O59" s="1" t="s">
        <v>26</v>
      </c>
      <c r="P59">
        <v>2</v>
      </c>
      <c r="Q59" s="1" t="s">
        <v>41</v>
      </c>
      <c r="R59">
        <v>1</v>
      </c>
      <c r="S59" s="1" t="s">
        <v>23</v>
      </c>
      <c r="T59" s="1" t="s">
        <v>28</v>
      </c>
      <c r="U59" s="1" t="s">
        <v>29</v>
      </c>
    </row>
    <row r="60" spans="1:21" x14ac:dyDescent="0.3">
      <c r="A60" s="1" t="s">
        <v>50</v>
      </c>
      <c r="B60">
        <v>18</v>
      </c>
      <c r="C60" s="1" t="s">
        <v>31</v>
      </c>
      <c r="D60" s="1" t="s">
        <v>19</v>
      </c>
      <c r="E60">
        <v>1961</v>
      </c>
      <c r="F60" s="1" t="s">
        <v>32</v>
      </c>
      <c r="G60" s="1" t="s">
        <v>38</v>
      </c>
      <c r="H60">
        <v>3</v>
      </c>
      <c r="I60" s="1" t="s">
        <v>22</v>
      </c>
      <c r="J60" s="1" t="s">
        <v>23</v>
      </c>
      <c r="K60">
        <v>2</v>
      </c>
      <c r="L60" s="1" t="s">
        <v>40</v>
      </c>
      <c r="M60">
        <v>23</v>
      </c>
      <c r="N60" s="1" t="s">
        <v>23</v>
      </c>
      <c r="O60" s="1" t="s">
        <v>26</v>
      </c>
      <c r="P60">
        <v>1</v>
      </c>
      <c r="Q60" s="1" t="s">
        <v>63</v>
      </c>
      <c r="R60">
        <v>1</v>
      </c>
      <c r="S60" s="1" t="s">
        <v>23</v>
      </c>
      <c r="T60" s="1" t="s">
        <v>28</v>
      </c>
      <c r="U60" s="1" t="s">
        <v>29</v>
      </c>
    </row>
    <row r="61" spans="1:21" x14ac:dyDescent="0.3">
      <c r="A61" s="1" t="s">
        <v>35</v>
      </c>
      <c r="B61">
        <v>36</v>
      </c>
      <c r="C61" s="1" t="s">
        <v>18</v>
      </c>
      <c r="D61" s="1" t="s">
        <v>53</v>
      </c>
      <c r="E61">
        <v>6229</v>
      </c>
      <c r="F61" s="1" t="s">
        <v>32</v>
      </c>
      <c r="G61" s="1" t="s">
        <v>45</v>
      </c>
      <c r="H61">
        <v>4</v>
      </c>
      <c r="I61" s="1" t="s">
        <v>22</v>
      </c>
      <c r="J61" s="1" t="s">
        <v>55</v>
      </c>
      <c r="K61">
        <v>4</v>
      </c>
      <c r="L61" s="1" t="s">
        <v>65</v>
      </c>
      <c r="M61">
        <v>23</v>
      </c>
      <c r="N61" s="1" t="s">
        <v>23</v>
      </c>
      <c r="O61" s="1" t="s">
        <v>34</v>
      </c>
      <c r="P61">
        <v>2</v>
      </c>
      <c r="Q61" s="1" t="s">
        <v>27</v>
      </c>
      <c r="R61">
        <v>1</v>
      </c>
      <c r="S61" s="1" t="s">
        <v>28</v>
      </c>
      <c r="T61" s="1" t="s">
        <v>28</v>
      </c>
      <c r="U61" s="1" t="s">
        <v>56</v>
      </c>
    </row>
    <row r="62" spans="1:21" x14ac:dyDescent="0.3">
      <c r="A62" s="1" t="s">
        <v>30</v>
      </c>
      <c r="B62">
        <v>9</v>
      </c>
      <c r="C62" s="1" t="s">
        <v>31</v>
      </c>
      <c r="D62" s="1" t="s">
        <v>61</v>
      </c>
      <c r="E62">
        <v>1391</v>
      </c>
      <c r="F62" s="1" t="s">
        <v>32</v>
      </c>
      <c r="G62" s="1" t="s">
        <v>21</v>
      </c>
      <c r="H62">
        <v>2</v>
      </c>
      <c r="I62" s="1" t="s">
        <v>33</v>
      </c>
      <c r="J62" s="1" t="s">
        <v>23</v>
      </c>
      <c r="K62">
        <v>1</v>
      </c>
      <c r="L62" s="1" t="s">
        <v>24</v>
      </c>
      <c r="M62">
        <v>27</v>
      </c>
      <c r="N62" s="1" t="s">
        <v>25</v>
      </c>
      <c r="O62" s="1" t="s">
        <v>26</v>
      </c>
      <c r="P62">
        <v>1</v>
      </c>
      <c r="Q62" s="1" t="s">
        <v>41</v>
      </c>
      <c r="R62">
        <v>1</v>
      </c>
      <c r="S62" s="1" t="s">
        <v>28</v>
      </c>
      <c r="T62" s="1" t="s">
        <v>28</v>
      </c>
      <c r="U62" s="1" t="s">
        <v>29</v>
      </c>
    </row>
    <row r="63" spans="1:21" x14ac:dyDescent="0.3">
      <c r="A63" s="1" t="s">
        <v>30</v>
      </c>
      <c r="B63">
        <v>15</v>
      </c>
      <c r="C63" s="1" t="s">
        <v>18</v>
      </c>
      <c r="D63" s="1" t="s">
        <v>36</v>
      </c>
      <c r="E63">
        <v>1537</v>
      </c>
      <c r="F63" s="1" t="s">
        <v>47</v>
      </c>
      <c r="G63" s="1" t="s">
        <v>38</v>
      </c>
      <c r="H63">
        <v>4</v>
      </c>
      <c r="I63" s="1" t="s">
        <v>39</v>
      </c>
      <c r="J63" s="1" t="s">
        <v>58</v>
      </c>
      <c r="K63">
        <v>4</v>
      </c>
      <c r="L63" s="1" t="s">
        <v>24</v>
      </c>
      <c r="M63">
        <v>50</v>
      </c>
      <c r="N63" s="1" t="s">
        <v>23</v>
      </c>
      <c r="O63" s="1" t="s">
        <v>26</v>
      </c>
      <c r="P63">
        <v>2</v>
      </c>
      <c r="Q63" s="1" t="s">
        <v>41</v>
      </c>
      <c r="R63">
        <v>1</v>
      </c>
      <c r="S63" s="1" t="s">
        <v>28</v>
      </c>
      <c r="T63" s="1" t="s">
        <v>28</v>
      </c>
      <c r="U63" s="1" t="s">
        <v>29</v>
      </c>
    </row>
    <row r="64" spans="1:21" x14ac:dyDescent="0.3">
      <c r="A64" s="1" t="s">
        <v>30</v>
      </c>
      <c r="B64">
        <v>36</v>
      </c>
      <c r="C64" s="1" t="s">
        <v>52</v>
      </c>
      <c r="D64" s="1" t="s">
        <v>61</v>
      </c>
      <c r="E64">
        <v>1953</v>
      </c>
      <c r="F64" s="1" t="s">
        <v>32</v>
      </c>
      <c r="G64" s="1" t="s">
        <v>38</v>
      </c>
      <c r="H64">
        <v>4</v>
      </c>
      <c r="I64" s="1" t="s">
        <v>39</v>
      </c>
      <c r="J64" s="1" t="s">
        <v>23</v>
      </c>
      <c r="K64">
        <v>4</v>
      </c>
      <c r="L64" s="1" t="s">
        <v>65</v>
      </c>
      <c r="M64">
        <v>61</v>
      </c>
      <c r="N64" s="1" t="s">
        <v>23</v>
      </c>
      <c r="O64" s="1" t="s">
        <v>66</v>
      </c>
      <c r="P64">
        <v>1</v>
      </c>
      <c r="Q64" s="1" t="s">
        <v>63</v>
      </c>
      <c r="R64">
        <v>1</v>
      </c>
      <c r="S64" s="1" t="s">
        <v>28</v>
      </c>
      <c r="T64" s="1" t="s">
        <v>28</v>
      </c>
      <c r="U64" s="1" t="s">
        <v>56</v>
      </c>
    </row>
    <row r="65" spans="1:21" x14ac:dyDescent="0.3">
      <c r="A65" s="1" t="s">
        <v>30</v>
      </c>
      <c r="B65">
        <v>48</v>
      </c>
      <c r="C65" s="1" t="s">
        <v>52</v>
      </c>
      <c r="D65" s="1" t="s">
        <v>61</v>
      </c>
      <c r="E65">
        <v>14421</v>
      </c>
      <c r="F65" s="1" t="s">
        <v>32</v>
      </c>
      <c r="G65" s="1" t="s">
        <v>21</v>
      </c>
      <c r="H65">
        <v>2</v>
      </c>
      <c r="I65" s="1" t="s">
        <v>39</v>
      </c>
      <c r="J65" s="1" t="s">
        <v>23</v>
      </c>
      <c r="K65">
        <v>2</v>
      </c>
      <c r="L65" s="1" t="s">
        <v>40</v>
      </c>
      <c r="M65">
        <v>25</v>
      </c>
      <c r="N65" s="1" t="s">
        <v>23</v>
      </c>
      <c r="O65" s="1" t="s">
        <v>26</v>
      </c>
      <c r="P65">
        <v>1</v>
      </c>
      <c r="Q65" s="1" t="s">
        <v>41</v>
      </c>
      <c r="R65">
        <v>1</v>
      </c>
      <c r="S65" s="1" t="s">
        <v>28</v>
      </c>
      <c r="T65" s="1" t="s">
        <v>28</v>
      </c>
      <c r="U65" s="1" t="s">
        <v>56</v>
      </c>
    </row>
    <row r="66" spans="1:21" x14ac:dyDescent="0.3">
      <c r="A66" s="1" t="s">
        <v>17</v>
      </c>
      <c r="B66">
        <v>24</v>
      </c>
      <c r="C66" s="1" t="s">
        <v>31</v>
      </c>
      <c r="D66" s="1" t="s">
        <v>36</v>
      </c>
      <c r="E66">
        <v>3181</v>
      </c>
      <c r="F66" s="1" t="s">
        <v>32</v>
      </c>
      <c r="G66" s="1" t="s">
        <v>45</v>
      </c>
      <c r="H66">
        <v>4</v>
      </c>
      <c r="I66" s="1" t="s">
        <v>22</v>
      </c>
      <c r="J66" s="1" t="s">
        <v>23</v>
      </c>
      <c r="K66">
        <v>4</v>
      </c>
      <c r="L66" s="1" t="s">
        <v>48</v>
      </c>
      <c r="M66">
        <v>26</v>
      </c>
      <c r="N66" s="1" t="s">
        <v>23</v>
      </c>
      <c r="O66" s="1" t="s">
        <v>26</v>
      </c>
      <c r="P66">
        <v>1</v>
      </c>
      <c r="Q66" s="1" t="s">
        <v>41</v>
      </c>
      <c r="R66">
        <v>1</v>
      </c>
      <c r="S66" s="1" t="s">
        <v>28</v>
      </c>
      <c r="T66" s="1" t="s">
        <v>28</v>
      </c>
      <c r="U66" s="1" t="s">
        <v>29</v>
      </c>
    </row>
    <row r="67" spans="1:21" x14ac:dyDescent="0.3">
      <c r="A67" s="1" t="s">
        <v>17</v>
      </c>
      <c r="B67">
        <v>27</v>
      </c>
      <c r="C67" s="1" t="s">
        <v>31</v>
      </c>
      <c r="D67" s="1" t="s">
        <v>57</v>
      </c>
      <c r="E67">
        <v>5190</v>
      </c>
      <c r="F67" s="1" t="s">
        <v>47</v>
      </c>
      <c r="G67" s="1" t="s">
        <v>38</v>
      </c>
      <c r="H67">
        <v>4</v>
      </c>
      <c r="I67" s="1" t="s">
        <v>39</v>
      </c>
      <c r="J67" s="1" t="s">
        <v>23</v>
      </c>
      <c r="K67">
        <v>4</v>
      </c>
      <c r="L67" s="1" t="s">
        <v>48</v>
      </c>
      <c r="M67">
        <v>48</v>
      </c>
      <c r="N67" s="1" t="s">
        <v>23</v>
      </c>
      <c r="O67" s="1" t="s">
        <v>26</v>
      </c>
      <c r="P67">
        <v>4</v>
      </c>
      <c r="Q67" s="1" t="s">
        <v>41</v>
      </c>
      <c r="R67">
        <v>2</v>
      </c>
      <c r="S67" s="1" t="s">
        <v>28</v>
      </c>
      <c r="T67" s="1" t="s">
        <v>28</v>
      </c>
      <c r="U67" s="1" t="s">
        <v>29</v>
      </c>
    </row>
    <row r="68" spans="1:21" x14ac:dyDescent="0.3">
      <c r="A68" s="1" t="s">
        <v>17</v>
      </c>
      <c r="B68">
        <v>12</v>
      </c>
      <c r="C68" s="1" t="s">
        <v>31</v>
      </c>
      <c r="D68" s="1" t="s">
        <v>36</v>
      </c>
      <c r="E68">
        <v>2171</v>
      </c>
      <c r="F68" s="1" t="s">
        <v>32</v>
      </c>
      <c r="G68" s="1" t="s">
        <v>45</v>
      </c>
      <c r="H68">
        <v>2</v>
      </c>
      <c r="I68" s="1" t="s">
        <v>22</v>
      </c>
      <c r="J68" s="1" t="s">
        <v>23</v>
      </c>
      <c r="K68">
        <v>2</v>
      </c>
      <c r="L68" s="1" t="s">
        <v>40</v>
      </c>
      <c r="M68">
        <v>29</v>
      </c>
      <c r="N68" s="1" t="s">
        <v>25</v>
      </c>
      <c r="O68" s="1" t="s">
        <v>26</v>
      </c>
      <c r="P68">
        <v>1</v>
      </c>
      <c r="Q68" s="1" t="s">
        <v>41</v>
      </c>
      <c r="R68">
        <v>1</v>
      </c>
      <c r="S68" s="1" t="s">
        <v>23</v>
      </c>
      <c r="T68" s="1" t="s">
        <v>28</v>
      </c>
      <c r="U68" s="1" t="s">
        <v>29</v>
      </c>
    </row>
    <row r="69" spans="1:21" x14ac:dyDescent="0.3">
      <c r="A69" s="1" t="s">
        <v>30</v>
      </c>
      <c r="B69">
        <v>12</v>
      </c>
      <c r="C69" s="1" t="s">
        <v>31</v>
      </c>
      <c r="D69" s="1" t="s">
        <v>19</v>
      </c>
      <c r="E69">
        <v>1007</v>
      </c>
      <c r="F69" s="1" t="s">
        <v>20</v>
      </c>
      <c r="G69" s="1" t="s">
        <v>21</v>
      </c>
      <c r="H69">
        <v>4</v>
      </c>
      <c r="I69" s="1" t="s">
        <v>33</v>
      </c>
      <c r="J69" s="1" t="s">
        <v>23</v>
      </c>
      <c r="K69">
        <v>1</v>
      </c>
      <c r="L69" s="1" t="s">
        <v>24</v>
      </c>
      <c r="M69">
        <v>22</v>
      </c>
      <c r="N69" s="1" t="s">
        <v>23</v>
      </c>
      <c r="O69" s="1" t="s">
        <v>26</v>
      </c>
      <c r="P69">
        <v>1</v>
      </c>
      <c r="Q69" s="1" t="s">
        <v>41</v>
      </c>
      <c r="R69">
        <v>1</v>
      </c>
      <c r="S69" s="1" t="s">
        <v>23</v>
      </c>
      <c r="T69" s="1" t="s">
        <v>28</v>
      </c>
      <c r="U69" s="1" t="s">
        <v>29</v>
      </c>
    </row>
    <row r="70" spans="1:21" x14ac:dyDescent="0.3">
      <c r="A70" s="1" t="s">
        <v>17</v>
      </c>
      <c r="B70">
        <v>36</v>
      </c>
      <c r="C70" s="1" t="s">
        <v>31</v>
      </c>
      <c r="D70" s="1" t="s">
        <v>51</v>
      </c>
      <c r="E70">
        <v>1819</v>
      </c>
      <c r="F70" s="1" t="s">
        <v>32</v>
      </c>
      <c r="G70" s="1" t="s">
        <v>21</v>
      </c>
      <c r="H70">
        <v>4</v>
      </c>
      <c r="I70" s="1" t="s">
        <v>39</v>
      </c>
      <c r="J70" s="1" t="s">
        <v>23</v>
      </c>
      <c r="K70">
        <v>4</v>
      </c>
      <c r="L70" s="1" t="s">
        <v>65</v>
      </c>
      <c r="M70">
        <v>37</v>
      </c>
      <c r="N70" s="1" t="s">
        <v>67</v>
      </c>
      <c r="O70" s="1" t="s">
        <v>66</v>
      </c>
      <c r="P70">
        <v>1</v>
      </c>
      <c r="Q70" s="1" t="s">
        <v>41</v>
      </c>
      <c r="R70">
        <v>1</v>
      </c>
      <c r="S70" s="1" t="s">
        <v>28</v>
      </c>
      <c r="T70" s="1" t="s">
        <v>28</v>
      </c>
      <c r="U70" s="1" t="s">
        <v>56</v>
      </c>
    </row>
    <row r="71" spans="1:21" x14ac:dyDescent="0.3">
      <c r="A71" s="1" t="s">
        <v>17</v>
      </c>
      <c r="B71">
        <v>36</v>
      </c>
      <c r="C71" s="1" t="s">
        <v>31</v>
      </c>
      <c r="D71" s="1" t="s">
        <v>36</v>
      </c>
      <c r="E71">
        <v>2394</v>
      </c>
      <c r="F71" s="1" t="s">
        <v>47</v>
      </c>
      <c r="G71" s="1" t="s">
        <v>21</v>
      </c>
      <c r="H71">
        <v>4</v>
      </c>
      <c r="I71" s="1" t="s">
        <v>22</v>
      </c>
      <c r="J71" s="1" t="s">
        <v>23</v>
      </c>
      <c r="K71">
        <v>4</v>
      </c>
      <c r="L71" s="1" t="s">
        <v>40</v>
      </c>
      <c r="M71">
        <v>25</v>
      </c>
      <c r="N71" s="1" t="s">
        <v>23</v>
      </c>
      <c r="O71" s="1" t="s">
        <v>26</v>
      </c>
      <c r="P71">
        <v>1</v>
      </c>
      <c r="Q71" s="1" t="s">
        <v>41</v>
      </c>
      <c r="R71">
        <v>1</v>
      </c>
      <c r="S71" s="1" t="s">
        <v>23</v>
      </c>
      <c r="T71" s="1" t="s">
        <v>28</v>
      </c>
      <c r="U71" s="1" t="s">
        <v>29</v>
      </c>
    </row>
    <row r="72" spans="1:21" x14ac:dyDescent="0.3">
      <c r="A72" s="1" t="s">
        <v>17</v>
      </c>
      <c r="B72">
        <v>36</v>
      </c>
      <c r="C72" s="1" t="s">
        <v>31</v>
      </c>
      <c r="D72" s="1" t="s">
        <v>69</v>
      </c>
      <c r="E72">
        <v>8133</v>
      </c>
      <c r="F72" s="1" t="s">
        <v>32</v>
      </c>
      <c r="G72" s="1" t="s">
        <v>21</v>
      </c>
      <c r="H72">
        <v>1</v>
      </c>
      <c r="I72" s="1" t="s">
        <v>22</v>
      </c>
      <c r="J72" s="1" t="s">
        <v>23</v>
      </c>
      <c r="K72">
        <v>2</v>
      </c>
      <c r="L72" s="1" t="s">
        <v>48</v>
      </c>
      <c r="M72">
        <v>30</v>
      </c>
      <c r="N72" s="1" t="s">
        <v>25</v>
      </c>
      <c r="O72" s="1" t="s">
        <v>26</v>
      </c>
      <c r="P72">
        <v>1</v>
      </c>
      <c r="Q72" s="1" t="s">
        <v>41</v>
      </c>
      <c r="R72">
        <v>1</v>
      </c>
      <c r="S72" s="1" t="s">
        <v>23</v>
      </c>
      <c r="T72" s="1" t="s">
        <v>28</v>
      </c>
      <c r="U72" s="1" t="s">
        <v>29</v>
      </c>
    </row>
    <row r="73" spans="1:21" x14ac:dyDescent="0.3">
      <c r="A73" s="1" t="s">
        <v>17</v>
      </c>
      <c r="B73">
        <v>7</v>
      </c>
      <c r="C73" s="1" t="s">
        <v>18</v>
      </c>
      <c r="D73" s="1" t="s">
        <v>36</v>
      </c>
      <c r="E73">
        <v>730</v>
      </c>
      <c r="F73" s="1" t="s">
        <v>47</v>
      </c>
      <c r="G73" s="1" t="s">
        <v>38</v>
      </c>
      <c r="H73">
        <v>4</v>
      </c>
      <c r="I73" s="1" t="s">
        <v>39</v>
      </c>
      <c r="J73" s="1" t="s">
        <v>23</v>
      </c>
      <c r="K73">
        <v>2</v>
      </c>
      <c r="L73" s="1" t="s">
        <v>48</v>
      </c>
      <c r="M73">
        <v>46</v>
      </c>
      <c r="N73" s="1" t="s">
        <v>23</v>
      </c>
      <c r="O73" s="1" t="s">
        <v>34</v>
      </c>
      <c r="P73">
        <v>2</v>
      </c>
      <c r="Q73" s="1" t="s">
        <v>27</v>
      </c>
      <c r="R73">
        <v>1</v>
      </c>
      <c r="S73" s="1" t="s">
        <v>28</v>
      </c>
      <c r="T73" s="1" t="s">
        <v>28</v>
      </c>
      <c r="U73" s="1" t="s">
        <v>29</v>
      </c>
    </row>
    <row r="74" spans="1:21" x14ac:dyDescent="0.3">
      <c r="A74" s="1" t="s">
        <v>35</v>
      </c>
      <c r="B74">
        <v>8</v>
      </c>
      <c r="C74" s="1" t="s">
        <v>18</v>
      </c>
      <c r="D74" s="1" t="s">
        <v>68</v>
      </c>
      <c r="E74">
        <v>1164</v>
      </c>
      <c r="F74" s="1" t="s">
        <v>32</v>
      </c>
      <c r="G74" s="1" t="s">
        <v>38</v>
      </c>
      <c r="H74">
        <v>3</v>
      </c>
      <c r="I74" s="1" t="s">
        <v>39</v>
      </c>
      <c r="J74" s="1" t="s">
        <v>23</v>
      </c>
      <c r="K74">
        <v>4</v>
      </c>
      <c r="L74" s="1" t="s">
        <v>65</v>
      </c>
      <c r="M74">
        <v>51</v>
      </c>
      <c r="N74" s="1" t="s">
        <v>25</v>
      </c>
      <c r="O74" s="1" t="s">
        <v>66</v>
      </c>
      <c r="P74">
        <v>2</v>
      </c>
      <c r="Q74" s="1" t="s">
        <v>63</v>
      </c>
      <c r="R74">
        <v>2</v>
      </c>
      <c r="S74" s="1" t="s">
        <v>28</v>
      </c>
      <c r="T74" s="1" t="s">
        <v>28</v>
      </c>
      <c r="U74" s="1" t="s">
        <v>29</v>
      </c>
    </row>
    <row r="75" spans="1:21" x14ac:dyDescent="0.3">
      <c r="A75" s="1" t="s">
        <v>30</v>
      </c>
      <c r="B75">
        <v>42</v>
      </c>
      <c r="C75" s="1" t="s">
        <v>18</v>
      </c>
      <c r="D75" s="1" t="s">
        <v>61</v>
      </c>
      <c r="E75">
        <v>5954</v>
      </c>
      <c r="F75" s="1" t="s">
        <v>32</v>
      </c>
      <c r="G75" s="1" t="s">
        <v>49</v>
      </c>
      <c r="H75">
        <v>2</v>
      </c>
      <c r="I75" s="1" t="s">
        <v>22</v>
      </c>
      <c r="J75" s="1" t="s">
        <v>23</v>
      </c>
      <c r="K75">
        <v>1</v>
      </c>
      <c r="L75" s="1" t="s">
        <v>24</v>
      </c>
      <c r="M75">
        <v>41</v>
      </c>
      <c r="N75" s="1" t="s">
        <v>25</v>
      </c>
      <c r="O75" s="1" t="s">
        <v>26</v>
      </c>
      <c r="P75">
        <v>2</v>
      </c>
      <c r="Q75" s="1" t="s">
        <v>27</v>
      </c>
      <c r="R75">
        <v>1</v>
      </c>
      <c r="S75" s="1" t="s">
        <v>23</v>
      </c>
      <c r="T75" s="1" t="s">
        <v>28</v>
      </c>
      <c r="U75" s="1" t="s">
        <v>29</v>
      </c>
    </row>
    <row r="76" spans="1:21" x14ac:dyDescent="0.3">
      <c r="A76" s="1" t="s">
        <v>35</v>
      </c>
      <c r="B76">
        <v>36</v>
      </c>
      <c r="C76" s="1" t="s">
        <v>31</v>
      </c>
      <c r="D76" s="1" t="s">
        <v>51</v>
      </c>
      <c r="E76">
        <v>1977</v>
      </c>
      <c r="F76" s="1" t="s">
        <v>47</v>
      </c>
      <c r="G76" s="1" t="s">
        <v>38</v>
      </c>
      <c r="H76">
        <v>4</v>
      </c>
      <c r="I76" s="1" t="s">
        <v>39</v>
      </c>
      <c r="J76" s="1" t="s">
        <v>23</v>
      </c>
      <c r="K76">
        <v>4</v>
      </c>
      <c r="L76" s="1" t="s">
        <v>65</v>
      </c>
      <c r="M76">
        <v>40</v>
      </c>
      <c r="N76" s="1" t="s">
        <v>23</v>
      </c>
      <c r="O76" s="1" t="s">
        <v>26</v>
      </c>
      <c r="P76">
        <v>1</v>
      </c>
      <c r="Q76" s="1" t="s">
        <v>63</v>
      </c>
      <c r="R76">
        <v>1</v>
      </c>
      <c r="S76" s="1" t="s">
        <v>28</v>
      </c>
      <c r="T76" s="1" t="s">
        <v>28</v>
      </c>
      <c r="U76" s="1" t="s">
        <v>56</v>
      </c>
    </row>
    <row r="77" spans="1:21" x14ac:dyDescent="0.3">
      <c r="A77" s="1" t="s">
        <v>35</v>
      </c>
      <c r="B77">
        <v>12</v>
      </c>
      <c r="C77" s="1" t="s">
        <v>18</v>
      </c>
      <c r="D77" s="1" t="s">
        <v>69</v>
      </c>
      <c r="E77">
        <v>1526</v>
      </c>
      <c r="F77" s="1" t="s">
        <v>32</v>
      </c>
      <c r="G77" s="1" t="s">
        <v>38</v>
      </c>
      <c r="H77">
        <v>4</v>
      </c>
      <c r="I77" s="1" t="s">
        <v>39</v>
      </c>
      <c r="J77" s="1" t="s">
        <v>23</v>
      </c>
      <c r="K77">
        <v>4</v>
      </c>
      <c r="L77" s="1" t="s">
        <v>65</v>
      </c>
      <c r="M77">
        <v>66</v>
      </c>
      <c r="N77" s="1" t="s">
        <v>23</v>
      </c>
      <c r="O77" s="1" t="s">
        <v>66</v>
      </c>
      <c r="P77">
        <v>2</v>
      </c>
      <c r="Q77" s="1" t="s">
        <v>63</v>
      </c>
      <c r="R77">
        <v>1</v>
      </c>
      <c r="S77" s="1" t="s">
        <v>23</v>
      </c>
      <c r="T77" s="1" t="s">
        <v>28</v>
      </c>
      <c r="U77" s="1" t="s">
        <v>29</v>
      </c>
    </row>
    <row r="78" spans="1:21" x14ac:dyDescent="0.3">
      <c r="A78" s="1" t="s">
        <v>35</v>
      </c>
      <c r="B78">
        <v>42</v>
      </c>
      <c r="C78" s="1" t="s">
        <v>31</v>
      </c>
      <c r="D78" s="1" t="s">
        <v>36</v>
      </c>
      <c r="E78">
        <v>3965</v>
      </c>
      <c r="F78" s="1" t="s">
        <v>32</v>
      </c>
      <c r="G78" s="1" t="s">
        <v>45</v>
      </c>
      <c r="H78">
        <v>4</v>
      </c>
      <c r="I78" s="1" t="s">
        <v>39</v>
      </c>
      <c r="J78" s="1" t="s">
        <v>23</v>
      </c>
      <c r="K78">
        <v>3</v>
      </c>
      <c r="L78" s="1" t="s">
        <v>40</v>
      </c>
      <c r="M78">
        <v>34</v>
      </c>
      <c r="N78" s="1" t="s">
        <v>23</v>
      </c>
      <c r="O78" s="1" t="s">
        <v>26</v>
      </c>
      <c r="P78">
        <v>1</v>
      </c>
      <c r="Q78" s="1" t="s">
        <v>41</v>
      </c>
      <c r="R78">
        <v>1</v>
      </c>
      <c r="S78" s="1" t="s">
        <v>23</v>
      </c>
      <c r="T78" s="1" t="s">
        <v>28</v>
      </c>
      <c r="U78" s="1" t="s">
        <v>56</v>
      </c>
    </row>
    <row r="79" spans="1:21" x14ac:dyDescent="0.3">
      <c r="A79" s="1" t="s">
        <v>30</v>
      </c>
      <c r="B79">
        <v>11</v>
      </c>
      <c r="C79" s="1" t="s">
        <v>59</v>
      </c>
      <c r="D79" s="1" t="s">
        <v>36</v>
      </c>
      <c r="E79">
        <v>4771</v>
      </c>
      <c r="F79" s="1" t="s">
        <v>32</v>
      </c>
      <c r="G79" s="1" t="s">
        <v>49</v>
      </c>
      <c r="H79">
        <v>2</v>
      </c>
      <c r="I79" s="1" t="s">
        <v>39</v>
      </c>
      <c r="J79" s="1" t="s">
        <v>23</v>
      </c>
      <c r="K79">
        <v>4</v>
      </c>
      <c r="L79" s="1" t="s">
        <v>48</v>
      </c>
      <c r="M79">
        <v>51</v>
      </c>
      <c r="N79" s="1" t="s">
        <v>23</v>
      </c>
      <c r="O79" s="1" t="s">
        <v>26</v>
      </c>
      <c r="P79">
        <v>1</v>
      </c>
      <c r="Q79" s="1" t="s">
        <v>41</v>
      </c>
      <c r="R79">
        <v>1</v>
      </c>
      <c r="S79" s="1" t="s">
        <v>23</v>
      </c>
      <c r="T79" s="1" t="s">
        <v>28</v>
      </c>
      <c r="U79" s="1" t="s">
        <v>29</v>
      </c>
    </row>
    <row r="80" spans="1:21" x14ac:dyDescent="0.3">
      <c r="A80" s="1" t="s">
        <v>17</v>
      </c>
      <c r="B80">
        <v>54</v>
      </c>
      <c r="C80" s="1" t="s">
        <v>52</v>
      </c>
      <c r="D80" s="1" t="s">
        <v>69</v>
      </c>
      <c r="E80">
        <v>9436</v>
      </c>
      <c r="F80" s="1" t="s">
        <v>47</v>
      </c>
      <c r="G80" s="1" t="s">
        <v>21</v>
      </c>
      <c r="H80">
        <v>2</v>
      </c>
      <c r="I80" s="1" t="s">
        <v>39</v>
      </c>
      <c r="J80" s="1" t="s">
        <v>23</v>
      </c>
      <c r="K80">
        <v>2</v>
      </c>
      <c r="L80" s="1" t="s">
        <v>48</v>
      </c>
      <c r="M80">
        <v>39</v>
      </c>
      <c r="N80" s="1" t="s">
        <v>23</v>
      </c>
      <c r="O80" s="1" t="s">
        <v>26</v>
      </c>
      <c r="P80">
        <v>1</v>
      </c>
      <c r="Q80" s="1" t="s">
        <v>27</v>
      </c>
      <c r="R80">
        <v>2</v>
      </c>
      <c r="S80" s="1" t="s">
        <v>23</v>
      </c>
      <c r="T80" s="1" t="s">
        <v>28</v>
      </c>
      <c r="U80" s="1" t="s">
        <v>29</v>
      </c>
    </row>
    <row r="81" spans="1:21" x14ac:dyDescent="0.3">
      <c r="A81" s="1" t="s">
        <v>30</v>
      </c>
      <c r="B81">
        <v>30</v>
      </c>
      <c r="C81" s="1" t="s">
        <v>31</v>
      </c>
      <c r="D81" s="1" t="s">
        <v>53</v>
      </c>
      <c r="E81">
        <v>3832</v>
      </c>
      <c r="F81" s="1" t="s">
        <v>32</v>
      </c>
      <c r="G81" s="1" t="s">
        <v>45</v>
      </c>
      <c r="H81">
        <v>2</v>
      </c>
      <c r="I81" s="1" t="s">
        <v>33</v>
      </c>
      <c r="J81" s="1" t="s">
        <v>23</v>
      </c>
      <c r="K81">
        <v>1</v>
      </c>
      <c r="L81" s="1" t="s">
        <v>48</v>
      </c>
      <c r="M81">
        <v>22</v>
      </c>
      <c r="N81" s="1" t="s">
        <v>23</v>
      </c>
      <c r="O81" s="1" t="s">
        <v>26</v>
      </c>
      <c r="P81">
        <v>1</v>
      </c>
      <c r="Q81" s="1" t="s">
        <v>41</v>
      </c>
      <c r="R81">
        <v>1</v>
      </c>
      <c r="S81" s="1" t="s">
        <v>23</v>
      </c>
      <c r="T81" s="1" t="s">
        <v>28</v>
      </c>
      <c r="U81" s="1" t="s">
        <v>29</v>
      </c>
    </row>
    <row r="82" spans="1:21" x14ac:dyDescent="0.3">
      <c r="A82" s="1" t="s">
        <v>17</v>
      </c>
      <c r="B82">
        <v>24</v>
      </c>
      <c r="C82" s="1" t="s">
        <v>31</v>
      </c>
      <c r="D82" s="1" t="s">
        <v>36</v>
      </c>
      <c r="E82">
        <v>5943</v>
      </c>
      <c r="F82" s="1" t="s">
        <v>47</v>
      </c>
      <c r="G82" s="1" t="s">
        <v>45</v>
      </c>
      <c r="H82">
        <v>1</v>
      </c>
      <c r="I82" s="1" t="s">
        <v>22</v>
      </c>
      <c r="J82" s="1" t="s">
        <v>23</v>
      </c>
      <c r="K82">
        <v>1</v>
      </c>
      <c r="L82" s="1" t="s">
        <v>40</v>
      </c>
      <c r="M82">
        <v>44</v>
      </c>
      <c r="N82" s="1" t="s">
        <v>23</v>
      </c>
      <c r="O82" s="1" t="s">
        <v>26</v>
      </c>
      <c r="P82">
        <v>2</v>
      </c>
      <c r="Q82" s="1" t="s">
        <v>41</v>
      </c>
      <c r="R82">
        <v>1</v>
      </c>
      <c r="S82" s="1" t="s">
        <v>28</v>
      </c>
      <c r="T82" s="1" t="s">
        <v>28</v>
      </c>
      <c r="U82" s="1" t="s">
        <v>56</v>
      </c>
    </row>
    <row r="83" spans="1:21" x14ac:dyDescent="0.3">
      <c r="A83" s="1" t="s">
        <v>17</v>
      </c>
      <c r="B83">
        <v>15</v>
      </c>
      <c r="C83" s="1" t="s">
        <v>31</v>
      </c>
      <c r="D83" s="1" t="s">
        <v>36</v>
      </c>
      <c r="E83">
        <v>1213</v>
      </c>
      <c r="F83" s="1" t="s">
        <v>37</v>
      </c>
      <c r="G83" s="1" t="s">
        <v>38</v>
      </c>
      <c r="H83">
        <v>4</v>
      </c>
      <c r="I83" s="1" t="s">
        <v>39</v>
      </c>
      <c r="J83" s="1" t="s">
        <v>23</v>
      </c>
      <c r="K83">
        <v>3</v>
      </c>
      <c r="L83" s="1" t="s">
        <v>48</v>
      </c>
      <c r="M83">
        <v>47</v>
      </c>
      <c r="N83" s="1" t="s">
        <v>67</v>
      </c>
      <c r="O83" s="1" t="s">
        <v>26</v>
      </c>
      <c r="P83">
        <v>1</v>
      </c>
      <c r="Q83" s="1" t="s">
        <v>41</v>
      </c>
      <c r="R83">
        <v>1</v>
      </c>
      <c r="S83" s="1" t="s">
        <v>28</v>
      </c>
      <c r="T83" s="1" t="s">
        <v>28</v>
      </c>
      <c r="U83" s="1" t="s">
        <v>29</v>
      </c>
    </row>
    <row r="84" spans="1:21" x14ac:dyDescent="0.3">
      <c r="A84" s="1" t="s">
        <v>17</v>
      </c>
      <c r="B84">
        <v>18</v>
      </c>
      <c r="C84" s="1" t="s">
        <v>31</v>
      </c>
      <c r="D84" s="1" t="s">
        <v>61</v>
      </c>
      <c r="E84">
        <v>1568</v>
      </c>
      <c r="F84" s="1" t="s">
        <v>46</v>
      </c>
      <c r="G84" s="1" t="s">
        <v>21</v>
      </c>
      <c r="H84">
        <v>3</v>
      </c>
      <c r="I84" s="1" t="s">
        <v>22</v>
      </c>
      <c r="J84" s="1" t="s">
        <v>23</v>
      </c>
      <c r="K84">
        <v>4</v>
      </c>
      <c r="L84" s="1" t="s">
        <v>48</v>
      </c>
      <c r="M84">
        <v>24</v>
      </c>
      <c r="N84" s="1" t="s">
        <v>23</v>
      </c>
      <c r="O84" s="1" t="s">
        <v>34</v>
      </c>
      <c r="P84">
        <v>1</v>
      </c>
      <c r="Q84" s="1" t="s">
        <v>27</v>
      </c>
      <c r="R84">
        <v>1</v>
      </c>
      <c r="S84" s="1" t="s">
        <v>23</v>
      </c>
      <c r="T84" s="1" t="s">
        <v>28</v>
      </c>
      <c r="U84" s="1" t="s">
        <v>29</v>
      </c>
    </row>
    <row r="85" spans="1:21" x14ac:dyDescent="0.3">
      <c r="A85" s="1" t="s">
        <v>35</v>
      </c>
      <c r="B85">
        <v>24</v>
      </c>
      <c r="C85" s="1" t="s">
        <v>31</v>
      </c>
      <c r="D85" s="1" t="s">
        <v>68</v>
      </c>
      <c r="E85">
        <v>1755</v>
      </c>
      <c r="F85" s="1" t="s">
        <v>32</v>
      </c>
      <c r="G85" s="1" t="s">
        <v>38</v>
      </c>
      <c r="H85">
        <v>4</v>
      </c>
      <c r="I85" s="1" t="s">
        <v>22</v>
      </c>
      <c r="J85" s="1" t="s">
        <v>58</v>
      </c>
      <c r="K85">
        <v>4</v>
      </c>
      <c r="L85" s="1" t="s">
        <v>24</v>
      </c>
      <c r="M85">
        <v>58</v>
      </c>
      <c r="N85" s="1" t="s">
        <v>23</v>
      </c>
      <c r="O85" s="1" t="s">
        <v>26</v>
      </c>
      <c r="P85">
        <v>1</v>
      </c>
      <c r="Q85" s="1" t="s">
        <v>27</v>
      </c>
      <c r="R85">
        <v>1</v>
      </c>
      <c r="S85" s="1" t="s">
        <v>28</v>
      </c>
      <c r="T85" s="1" t="s">
        <v>28</v>
      </c>
      <c r="U85" s="1" t="s">
        <v>29</v>
      </c>
    </row>
    <row r="86" spans="1:21" x14ac:dyDescent="0.3">
      <c r="A86" s="1" t="s">
        <v>35</v>
      </c>
      <c r="B86">
        <v>10</v>
      </c>
      <c r="C86" s="1" t="s">
        <v>31</v>
      </c>
      <c r="D86" s="1" t="s">
        <v>36</v>
      </c>
      <c r="E86">
        <v>2315</v>
      </c>
      <c r="F86" s="1" t="s">
        <v>32</v>
      </c>
      <c r="G86" s="1" t="s">
        <v>38</v>
      </c>
      <c r="H86">
        <v>3</v>
      </c>
      <c r="I86" s="1" t="s">
        <v>39</v>
      </c>
      <c r="J86" s="1" t="s">
        <v>23</v>
      </c>
      <c r="K86">
        <v>4</v>
      </c>
      <c r="L86" s="1" t="s">
        <v>24</v>
      </c>
      <c r="M86">
        <v>52</v>
      </c>
      <c r="N86" s="1" t="s">
        <v>23</v>
      </c>
      <c r="O86" s="1" t="s">
        <v>26</v>
      </c>
      <c r="P86">
        <v>1</v>
      </c>
      <c r="Q86" s="1" t="s">
        <v>27</v>
      </c>
      <c r="R86">
        <v>1</v>
      </c>
      <c r="S86" s="1" t="s">
        <v>23</v>
      </c>
      <c r="T86" s="1" t="s">
        <v>28</v>
      </c>
      <c r="U86" s="1" t="s">
        <v>29</v>
      </c>
    </row>
    <row r="87" spans="1:21" x14ac:dyDescent="0.3">
      <c r="A87" s="1" t="s">
        <v>17</v>
      </c>
      <c r="B87">
        <v>12</v>
      </c>
      <c r="C87" s="1" t="s">
        <v>18</v>
      </c>
      <c r="D87" s="1" t="s">
        <v>61</v>
      </c>
      <c r="E87">
        <v>1412</v>
      </c>
      <c r="F87" s="1" t="s">
        <v>32</v>
      </c>
      <c r="G87" s="1" t="s">
        <v>21</v>
      </c>
      <c r="H87">
        <v>4</v>
      </c>
      <c r="I87" s="1" t="s">
        <v>22</v>
      </c>
      <c r="J87" s="1" t="s">
        <v>58</v>
      </c>
      <c r="K87">
        <v>2</v>
      </c>
      <c r="L87" s="1" t="s">
        <v>24</v>
      </c>
      <c r="M87">
        <v>29</v>
      </c>
      <c r="N87" s="1" t="s">
        <v>23</v>
      </c>
      <c r="O87" s="1" t="s">
        <v>26</v>
      </c>
      <c r="P87">
        <v>2</v>
      </c>
      <c r="Q87" s="1" t="s">
        <v>63</v>
      </c>
      <c r="R87">
        <v>1</v>
      </c>
      <c r="S87" s="1" t="s">
        <v>28</v>
      </c>
      <c r="T87" s="1" t="s">
        <v>28</v>
      </c>
      <c r="U87" s="1" t="s">
        <v>29</v>
      </c>
    </row>
    <row r="88" spans="1:21" x14ac:dyDescent="0.3">
      <c r="A88" s="1" t="s">
        <v>30</v>
      </c>
      <c r="B88">
        <v>18</v>
      </c>
      <c r="C88" s="1" t="s">
        <v>18</v>
      </c>
      <c r="D88" s="1" t="s">
        <v>53</v>
      </c>
      <c r="E88">
        <v>1295</v>
      </c>
      <c r="F88" s="1" t="s">
        <v>32</v>
      </c>
      <c r="G88" s="1" t="s">
        <v>45</v>
      </c>
      <c r="H88">
        <v>4</v>
      </c>
      <c r="I88" s="1" t="s">
        <v>22</v>
      </c>
      <c r="J88" s="1" t="s">
        <v>23</v>
      </c>
      <c r="K88">
        <v>1</v>
      </c>
      <c r="L88" s="1" t="s">
        <v>48</v>
      </c>
      <c r="M88">
        <v>27</v>
      </c>
      <c r="N88" s="1" t="s">
        <v>23</v>
      </c>
      <c r="O88" s="1" t="s">
        <v>26</v>
      </c>
      <c r="P88">
        <v>2</v>
      </c>
      <c r="Q88" s="1" t="s">
        <v>41</v>
      </c>
      <c r="R88">
        <v>1</v>
      </c>
      <c r="S88" s="1" t="s">
        <v>23</v>
      </c>
      <c r="T88" s="1" t="s">
        <v>28</v>
      </c>
      <c r="U88" s="1" t="s">
        <v>29</v>
      </c>
    </row>
    <row r="89" spans="1:21" x14ac:dyDescent="0.3">
      <c r="A89" s="1" t="s">
        <v>30</v>
      </c>
      <c r="B89">
        <v>36</v>
      </c>
      <c r="C89" s="1" t="s">
        <v>31</v>
      </c>
      <c r="D89" s="1" t="s">
        <v>51</v>
      </c>
      <c r="E89">
        <v>12612</v>
      </c>
      <c r="F89" s="1" t="s">
        <v>46</v>
      </c>
      <c r="G89" s="1" t="s">
        <v>21</v>
      </c>
      <c r="H89">
        <v>1</v>
      </c>
      <c r="I89" s="1" t="s">
        <v>39</v>
      </c>
      <c r="J89" s="1" t="s">
        <v>23</v>
      </c>
      <c r="K89">
        <v>4</v>
      </c>
      <c r="L89" s="1" t="s">
        <v>65</v>
      </c>
      <c r="M89">
        <v>47</v>
      </c>
      <c r="N89" s="1" t="s">
        <v>23</v>
      </c>
      <c r="O89" s="1" t="s">
        <v>66</v>
      </c>
      <c r="P89">
        <v>1</v>
      </c>
      <c r="Q89" s="1" t="s">
        <v>41</v>
      </c>
      <c r="R89">
        <v>2</v>
      </c>
      <c r="S89" s="1" t="s">
        <v>28</v>
      </c>
      <c r="T89" s="1" t="s">
        <v>28</v>
      </c>
      <c r="U89" s="1" t="s">
        <v>56</v>
      </c>
    </row>
    <row r="90" spans="1:21" x14ac:dyDescent="0.3">
      <c r="A90" s="1" t="s">
        <v>35</v>
      </c>
      <c r="B90">
        <v>18</v>
      </c>
      <c r="C90" s="1" t="s">
        <v>31</v>
      </c>
      <c r="D90" s="1" t="s">
        <v>19</v>
      </c>
      <c r="E90">
        <v>2249</v>
      </c>
      <c r="F90" s="1" t="s">
        <v>46</v>
      </c>
      <c r="G90" s="1" t="s">
        <v>49</v>
      </c>
      <c r="H90">
        <v>4</v>
      </c>
      <c r="I90" s="1" t="s">
        <v>39</v>
      </c>
      <c r="J90" s="1" t="s">
        <v>23</v>
      </c>
      <c r="K90">
        <v>3</v>
      </c>
      <c r="L90" s="1" t="s">
        <v>40</v>
      </c>
      <c r="M90">
        <v>30</v>
      </c>
      <c r="N90" s="1" t="s">
        <v>23</v>
      </c>
      <c r="O90" s="1" t="s">
        <v>26</v>
      </c>
      <c r="P90">
        <v>1</v>
      </c>
      <c r="Q90" s="1" t="s">
        <v>63</v>
      </c>
      <c r="R90">
        <v>2</v>
      </c>
      <c r="S90" s="1" t="s">
        <v>28</v>
      </c>
      <c r="T90" s="1" t="s">
        <v>28</v>
      </c>
      <c r="U90" s="1" t="s">
        <v>29</v>
      </c>
    </row>
    <row r="91" spans="1:21" x14ac:dyDescent="0.3">
      <c r="A91" s="1" t="s">
        <v>35</v>
      </c>
      <c r="B91">
        <v>12</v>
      </c>
      <c r="C91" s="1" t="s">
        <v>52</v>
      </c>
      <c r="D91" s="1" t="s">
        <v>57</v>
      </c>
      <c r="E91">
        <v>1108</v>
      </c>
      <c r="F91" s="1" t="s">
        <v>32</v>
      </c>
      <c r="G91" s="1" t="s">
        <v>49</v>
      </c>
      <c r="H91">
        <v>4</v>
      </c>
      <c r="I91" s="1" t="s">
        <v>39</v>
      </c>
      <c r="J91" s="1" t="s">
        <v>23</v>
      </c>
      <c r="K91">
        <v>3</v>
      </c>
      <c r="L91" s="1" t="s">
        <v>24</v>
      </c>
      <c r="M91">
        <v>28</v>
      </c>
      <c r="N91" s="1" t="s">
        <v>23</v>
      </c>
      <c r="O91" s="1" t="s">
        <v>26</v>
      </c>
      <c r="P91">
        <v>2</v>
      </c>
      <c r="Q91" s="1" t="s">
        <v>41</v>
      </c>
      <c r="R91">
        <v>1</v>
      </c>
      <c r="S91" s="1" t="s">
        <v>23</v>
      </c>
      <c r="T91" s="1" t="s">
        <v>28</v>
      </c>
      <c r="U91" s="1" t="s">
        <v>56</v>
      </c>
    </row>
    <row r="92" spans="1:21" x14ac:dyDescent="0.3">
      <c r="A92" s="1" t="s">
        <v>17</v>
      </c>
      <c r="B92">
        <v>12</v>
      </c>
      <c r="C92" s="1" t="s">
        <v>18</v>
      </c>
      <c r="D92" s="1" t="s">
        <v>36</v>
      </c>
      <c r="E92">
        <v>618</v>
      </c>
      <c r="F92" s="1" t="s">
        <v>32</v>
      </c>
      <c r="G92" s="1" t="s">
        <v>38</v>
      </c>
      <c r="H92">
        <v>4</v>
      </c>
      <c r="I92" s="1" t="s">
        <v>39</v>
      </c>
      <c r="J92" s="1" t="s">
        <v>23</v>
      </c>
      <c r="K92">
        <v>4</v>
      </c>
      <c r="L92" s="1" t="s">
        <v>24</v>
      </c>
      <c r="M92">
        <v>56</v>
      </c>
      <c r="N92" s="1" t="s">
        <v>23</v>
      </c>
      <c r="O92" s="1" t="s">
        <v>26</v>
      </c>
      <c r="P92">
        <v>1</v>
      </c>
      <c r="Q92" s="1" t="s">
        <v>41</v>
      </c>
      <c r="R92">
        <v>1</v>
      </c>
      <c r="S92" s="1" t="s">
        <v>23</v>
      </c>
      <c r="T92" s="1" t="s">
        <v>28</v>
      </c>
      <c r="U92" s="1" t="s">
        <v>29</v>
      </c>
    </row>
    <row r="93" spans="1:21" x14ac:dyDescent="0.3">
      <c r="A93" s="1" t="s">
        <v>35</v>
      </c>
      <c r="B93">
        <v>12</v>
      </c>
      <c r="C93" s="1" t="s">
        <v>18</v>
      </c>
      <c r="D93" s="1" t="s">
        <v>69</v>
      </c>
      <c r="E93">
        <v>1409</v>
      </c>
      <c r="F93" s="1" t="s">
        <v>32</v>
      </c>
      <c r="G93" s="1" t="s">
        <v>38</v>
      </c>
      <c r="H93">
        <v>4</v>
      </c>
      <c r="I93" s="1" t="s">
        <v>39</v>
      </c>
      <c r="J93" s="1" t="s">
        <v>23</v>
      </c>
      <c r="K93">
        <v>3</v>
      </c>
      <c r="L93" s="1" t="s">
        <v>24</v>
      </c>
      <c r="M93">
        <v>54</v>
      </c>
      <c r="N93" s="1" t="s">
        <v>23</v>
      </c>
      <c r="O93" s="1" t="s">
        <v>26</v>
      </c>
      <c r="P93">
        <v>1</v>
      </c>
      <c r="Q93" s="1" t="s">
        <v>41</v>
      </c>
      <c r="R93">
        <v>1</v>
      </c>
      <c r="S93" s="1" t="s">
        <v>23</v>
      </c>
      <c r="T93" s="1" t="s">
        <v>28</v>
      </c>
      <c r="U93" s="1" t="s">
        <v>29</v>
      </c>
    </row>
    <row r="94" spans="1:21" x14ac:dyDescent="0.3">
      <c r="A94" s="1" t="s">
        <v>17</v>
      </c>
      <c r="B94">
        <v>12</v>
      </c>
      <c r="C94" s="1" t="s">
        <v>18</v>
      </c>
      <c r="D94" s="1" t="s">
        <v>36</v>
      </c>
      <c r="E94">
        <v>797</v>
      </c>
      <c r="F94" s="1" t="s">
        <v>47</v>
      </c>
      <c r="G94" s="1" t="s">
        <v>38</v>
      </c>
      <c r="H94">
        <v>4</v>
      </c>
      <c r="I94" s="1" t="s">
        <v>22</v>
      </c>
      <c r="J94" s="1" t="s">
        <v>23</v>
      </c>
      <c r="K94">
        <v>3</v>
      </c>
      <c r="L94" s="1" t="s">
        <v>48</v>
      </c>
      <c r="M94">
        <v>33</v>
      </c>
      <c r="N94" s="1" t="s">
        <v>25</v>
      </c>
      <c r="O94" s="1" t="s">
        <v>26</v>
      </c>
      <c r="P94">
        <v>1</v>
      </c>
      <c r="Q94" s="1" t="s">
        <v>27</v>
      </c>
      <c r="R94">
        <v>2</v>
      </c>
      <c r="S94" s="1" t="s">
        <v>23</v>
      </c>
      <c r="T94" s="1" t="s">
        <v>28</v>
      </c>
      <c r="U94" s="1" t="s">
        <v>56</v>
      </c>
    </row>
    <row r="95" spans="1:21" x14ac:dyDescent="0.3">
      <c r="A95" s="1" t="s">
        <v>50</v>
      </c>
      <c r="B95">
        <v>24</v>
      </c>
      <c r="C95" s="1" t="s">
        <v>18</v>
      </c>
      <c r="D95" s="1" t="s">
        <v>53</v>
      </c>
      <c r="E95">
        <v>3617</v>
      </c>
      <c r="F95" s="1" t="s">
        <v>47</v>
      </c>
      <c r="G95" s="1" t="s">
        <v>38</v>
      </c>
      <c r="H95">
        <v>4</v>
      </c>
      <c r="I95" s="1" t="s">
        <v>39</v>
      </c>
      <c r="J95" s="1" t="s">
        <v>55</v>
      </c>
      <c r="K95">
        <v>4</v>
      </c>
      <c r="L95" s="1" t="s">
        <v>65</v>
      </c>
      <c r="M95">
        <v>20</v>
      </c>
      <c r="N95" s="1" t="s">
        <v>23</v>
      </c>
      <c r="O95" s="1" t="s">
        <v>34</v>
      </c>
      <c r="P95">
        <v>2</v>
      </c>
      <c r="Q95" s="1" t="s">
        <v>41</v>
      </c>
      <c r="R95">
        <v>1</v>
      </c>
      <c r="S95" s="1" t="s">
        <v>23</v>
      </c>
      <c r="T95" s="1" t="s">
        <v>28</v>
      </c>
      <c r="U95" s="1" t="s">
        <v>29</v>
      </c>
    </row>
    <row r="96" spans="1:21" x14ac:dyDescent="0.3">
      <c r="A96" s="1" t="s">
        <v>30</v>
      </c>
      <c r="B96">
        <v>12</v>
      </c>
      <c r="C96" s="1" t="s">
        <v>31</v>
      </c>
      <c r="D96" s="1" t="s">
        <v>19</v>
      </c>
      <c r="E96">
        <v>1318</v>
      </c>
      <c r="F96" s="1" t="s">
        <v>20</v>
      </c>
      <c r="G96" s="1" t="s">
        <v>38</v>
      </c>
      <c r="H96">
        <v>4</v>
      </c>
      <c r="I96" s="1" t="s">
        <v>39</v>
      </c>
      <c r="J96" s="1" t="s">
        <v>23</v>
      </c>
      <c r="K96">
        <v>4</v>
      </c>
      <c r="L96" s="1" t="s">
        <v>24</v>
      </c>
      <c r="M96">
        <v>54</v>
      </c>
      <c r="N96" s="1" t="s">
        <v>23</v>
      </c>
      <c r="O96" s="1" t="s">
        <v>26</v>
      </c>
      <c r="P96">
        <v>1</v>
      </c>
      <c r="Q96" s="1" t="s">
        <v>41</v>
      </c>
      <c r="R96">
        <v>1</v>
      </c>
      <c r="S96" s="1" t="s">
        <v>28</v>
      </c>
      <c r="T96" s="1" t="s">
        <v>28</v>
      </c>
      <c r="U96" s="1" t="s">
        <v>29</v>
      </c>
    </row>
    <row r="97" spans="1:21" x14ac:dyDescent="0.3">
      <c r="A97" s="1" t="s">
        <v>30</v>
      </c>
      <c r="B97">
        <v>54</v>
      </c>
      <c r="C97" s="1" t="s">
        <v>52</v>
      </c>
      <c r="D97" s="1" t="s">
        <v>61</v>
      </c>
      <c r="E97">
        <v>15945</v>
      </c>
      <c r="F97" s="1" t="s">
        <v>32</v>
      </c>
      <c r="G97" s="1" t="s">
        <v>45</v>
      </c>
      <c r="H97">
        <v>3</v>
      </c>
      <c r="I97" s="1" t="s">
        <v>39</v>
      </c>
      <c r="J97" s="1" t="s">
        <v>23</v>
      </c>
      <c r="K97">
        <v>4</v>
      </c>
      <c r="L97" s="1" t="s">
        <v>65</v>
      </c>
      <c r="M97">
        <v>58</v>
      </c>
      <c r="N97" s="1" t="s">
        <v>23</v>
      </c>
      <c r="O97" s="1" t="s">
        <v>34</v>
      </c>
      <c r="P97">
        <v>1</v>
      </c>
      <c r="Q97" s="1" t="s">
        <v>41</v>
      </c>
      <c r="R97">
        <v>1</v>
      </c>
      <c r="S97" s="1" t="s">
        <v>28</v>
      </c>
      <c r="T97" s="1" t="s">
        <v>28</v>
      </c>
      <c r="U97" s="1" t="s">
        <v>56</v>
      </c>
    </row>
    <row r="98" spans="1:21" x14ac:dyDescent="0.3">
      <c r="A98" s="1" t="s">
        <v>17</v>
      </c>
      <c r="B98">
        <v>12</v>
      </c>
      <c r="C98" s="1" t="s">
        <v>18</v>
      </c>
      <c r="D98" s="1" t="s">
        <v>51</v>
      </c>
      <c r="E98">
        <v>2012</v>
      </c>
      <c r="F98" s="1" t="s">
        <v>47</v>
      </c>
      <c r="G98" s="1" t="s">
        <v>49</v>
      </c>
      <c r="H98">
        <v>4</v>
      </c>
      <c r="I98" s="1" t="s">
        <v>22</v>
      </c>
      <c r="J98" s="1" t="s">
        <v>23</v>
      </c>
      <c r="K98">
        <v>2</v>
      </c>
      <c r="L98" s="1" t="s">
        <v>40</v>
      </c>
      <c r="M98">
        <v>61</v>
      </c>
      <c r="N98" s="1" t="s">
        <v>23</v>
      </c>
      <c r="O98" s="1" t="s">
        <v>26</v>
      </c>
      <c r="P98">
        <v>1</v>
      </c>
      <c r="Q98" s="1" t="s">
        <v>41</v>
      </c>
      <c r="R98">
        <v>1</v>
      </c>
      <c r="S98" s="1" t="s">
        <v>23</v>
      </c>
      <c r="T98" s="1" t="s">
        <v>28</v>
      </c>
      <c r="U98" s="1" t="s">
        <v>29</v>
      </c>
    </row>
    <row r="99" spans="1:21" x14ac:dyDescent="0.3">
      <c r="A99" s="1" t="s">
        <v>30</v>
      </c>
      <c r="B99">
        <v>18</v>
      </c>
      <c r="C99" s="1" t="s">
        <v>31</v>
      </c>
      <c r="D99" s="1" t="s">
        <v>61</v>
      </c>
      <c r="E99">
        <v>2622</v>
      </c>
      <c r="F99" s="1" t="s">
        <v>46</v>
      </c>
      <c r="G99" s="1" t="s">
        <v>21</v>
      </c>
      <c r="H99">
        <v>4</v>
      </c>
      <c r="I99" s="1" t="s">
        <v>39</v>
      </c>
      <c r="J99" s="1" t="s">
        <v>23</v>
      </c>
      <c r="K99">
        <v>4</v>
      </c>
      <c r="L99" s="1" t="s">
        <v>40</v>
      </c>
      <c r="M99">
        <v>34</v>
      </c>
      <c r="N99" s="1" t="s">
        <v>23</v>
      </c>
      <c r="O99" s="1" t="s">
        <v>26</v>
      </c>
      <c r="P99">
        <v>1</v>
      </c>
      <c r="Q99" s="1" t="s">
        <v>41</v>
      </c>
      <c r="R99">
        <v>1</v>
      </c>
      <c r="S99" s="1" t="s">
        <v>23</v>
      </c>
      <c r="T99" s="1" t="s">
        <v>28</v>
      </c>
      <c r="U99" s="1" t="s">
        <v>29</v>
      </c>
    </row>
    <row r="100" spans="1:21" x14ac:dyDescent="0.3">
      <c r="A100" s="1" t="s">
        <v>30</v>
      </c>
      <c r="B100">
        <v>36</v>
      </c>
      <c r="C100" s="1" t="s">
        <v>18</v>
      </c>
      <c r="D100" s="1" t="s">
        <v>36</v>
      </c>
      <c r="E100">
        <v>2337</v>
      </c>
      <c r="F100" s="1" t="s">
        <v>32</v>
      </c>
      <c r="G100" s="1" t="s">
        <v>38</v>
      </c>
      <c r="H100">
        <v>4</v>
      </c>
      <c r="I100" s="1" t="s">
        <v>39</v>
      </c>
      <c r="J100" s="1" t="s">
        <v>23</v>
      </c>
      <c r="K100">
        <v>4</v>
      </c>
      <c r="L100" s="1" t="s">
        <v>24</v>
      </c>
      <c r="M100">
        <v>36</v>
      </c>
      <c r="N100" s="1" t="s">
        <v>23</v>
      </c>
      <c r="O100" s="1" t="s">
        <v>26</v>
      </c>
      <c r="P100">
        <v>1</v>
      </c>
      <c r="Q100" s="1" t="s">
        <v>41</v>
      </c>
      <c r="R100">
        <v>1</v>
      </c>
      <c r="S100" s="1" t="s">
        <v>23</v>
      </c>
      <c r="T100" s="1" t="s">
        <v>28</v>
      </c>
      <c r="U100" s="1" t="s">
        <v>29</v>
      </c>
    </row>
    <row r="101" spans="1:21" x14ac:dyDescent="0.3">
      <c r="A101" s="1" t="s">
        <v>30</v>
      </c>
      <c r="B101">
        <v>20</v>
      </c>
      <c r="C101" s="1" t="s">
        <v>59</v>
      </c>
      <c r="D101" s="1" t="s">
        <v>69</v>
      </c>
      <c r="E101">
        <v>7057</v>
      </c>
      <c r="F101" s="1" t="s">
        <v>47</v>
      </c>
      <c r="G101" s="1" t="s">
        <v>49</v>
      </c>
      <c r="H101">
        <v>3</v>
      </c>
      <c r="I101" s="1" t="s">
        <v>39</v>
      </c>
      <c r="J101" s="1" t="s">
        <v>23</v>
      </c>
      <c r="K101">
        <v>4</v>
      </c>
      <c r="L101" s="1" t="s">
        <v>48</v>
      </c>
      <c r="M101">
        <v>36</v>
      </c>
      <c r="N101" s="1" t="s">
        <v>25</v>
      </c>
      <c r="O101" s="1" t="s">
        <v>34</v>
      </c>
      <c r="P101">
        <v>2</v>
      </c>
      <c r="Q101" s="1" t="s">
        <v>63</v>
      </c>
      <c r="R101">
        <v>2</v>
      </c>
      <c r="S101" s="1" t="s">
        <v>28</v>
      </c>
      <c r="T101" s="1" t="s">
        <v>28</v>
      </c>
      <c r="U101" s="1" t="s">
        <v>29</v>
      </c>
    </row>
    <row r="102" spans="1:21" x14ac:dyDescent="0.3">
      <c r="A102" s="1" t="s">
        <v>17</v>
      </c>
      <c r="B102">
        <v>24</v>
      </c>
      <c r="C102" s="1" t="s">
        <v>31</v>
      </c>
      <c r="D102" s="1" t="s">
        <v>19</v>
      </c>
      <c r="E102">
        <v>1469</v>
      </c>
      <c r="F102" s="1" t="s">
        <v>46</v>
      </c>
      <c r="G102" s="1" t="s">
        <v>38</v>
      </c>
      <c r="H102">
        <v>4</v>
      </c>
      <c r="I102" s="1" t="s">
        <v>33</v>
      </c>
      <c r="J102" s="1" t="s">
        <v>23</v>
      </c>
      <c r="K102">
        <v>4</v>
      </c>
      <c r="L102" s="1" t="s">
        <v>24</v>
      </c>
      <c r="M102">
        <v>41</v>
      </c>
      <c r="N102" s="1" t="s">
        <v>23</v>
      </c>
      <c r="O102" s="1" t="s">
        <v>34</v>
      </c>
      <c r="P102">
        <v>1</v>
      </c>
      <c r="Q102" s="1" t="s">
        <v>27</v>
      </c>
      <c r="R102">
        <v>1</v>
      </c>
      <c r="S102" s="1" t="s">
        <v>23</v>
      </c>
      <c r="T102" s="1" t="s">
        <v>28</v>
      </c>
      <c r="U102" s="1" t="s">
        <v>29</v>
      </c>
    </row>
    <row r="103" spans="1:21" x14ac:dyDescent="0.3">
      <c r="A103" s="1" t="s">
        <v>30</v>
      </c>
      <c r="B103">
        <v>36</v>
      </c>
      <c r="C103" s="1" t="s">
        <v>31</v>
      </c>
      <c r="D103" s="1" t="s">
        <v>36</v>
      </c>
      <c r="E103">
        <v>2323</v>
      </c>
      <c r="F103" s="1" t="s">
        <v>32</v>
      </c>
      <c r="G103" s="1" t="s">
        <v>49</v>
      </c>
      <c r="H103">
        <v>4</v>
      </c>
      <c r="I103" s="1" t="s">
        <v>39</v>
      </c>
      <c r="J103" s="1" t="s">
        <v>23</v>
      </c>
      <c r="K103">
        <v>4</v>
      </c>
      <c r="L103" s="1" t="s">
        <v>40</v>
      </c>
      <c r="M103">
        <v>24</v>
      </c>
      <c r="N103" s="1" t="s">
        <v>23</v>
      </c>
      <c r="O103" s="1" t="s">
        <v>34</v>
      </c>
      <c r="P103">
        <v>1</v>
      </c>
      <c r="Q103" s="1" t="s">
        <v>41</v>
      </c>
      <c r="R103">
        <v>1</v>
      </c>
      <c r="S103" s="1" t="s">
        <v>23</v>
      </c>
      <c r="T103" s="1" t="s">
        <v>28</v>
      </c>
      <c r="U103" s="1" t="s">
        <v>29</v>
      </c>
    </row>
    <row r="104" spans="1:21" x14ac:dyDescent="0.3">
      <c r="A104" s="1" t="s">
        <v>17</v>
      </c>
      <c r="B104">
        <v>6</v>
      </c>
      <c r="C104" s="1" t="s">
        <v>59</v>
      </c>
      <c r="D104" s="1" t="s">
        <v>36</v>
      </c>
      <c r="E104">
        <v>932</v>
      </c>
      <c r="F104" s="1" t="s">
        <v>32</v>
      </c>
      <c r="G104" s="1" t="s">
        <v>21</v>
      </c>
      <c r="H104">
        <v>3</v>
      </c>
      <c r="I104" s="1" t="s">
        <v>22</v>
      </c>
      <c r="J104" s="1" t="s">
        <v>23</v>
      </c>
      <c r="K104">
        <v>2</v>
      </c>
      <c r="L104" s="1" t="s">
        <v>24</v>
      </c>
      <c r="M104">
        <v>24</v>
      </c>
      <c r="N104" s="1" t="s">
        <v>23</v>
      </c>
      <c r="O104" s="1" t="s">
        <v>26</v>
      </c>
      <c r="P104">
        <v>1</v>
      </c>
      <c r="Q104" s="1" t="s">
        <v>41</v>
      </c>
      <c r="R104">
        <v>1</v>
      </c>
      <c r="S104" s="1" t="s">
        <v>23</v>
      </c>
      <c r="T104" s="1" t="s">
        <v>28</v>
      </c>
      <c r="U104" s="1" t="s">
        <v>29</v>
      </c>
    </row>
    <row r="105" spans="1:21" x14ac:dyDescent="0.3">
      <c r="A105" s="1" t="s">
        <v>30</v>
      </c>
      <c r="B105">
        <v>9</v>
      </c>
      <c r="C105" s="1" t="s">
        <v>18</v>
      </c>
      <c r="D105" s="1" t="s">
        <v>53</v>
      </c>
      <c r="E105">
        <v>1919</v>
      </c>
      <c r="F105" s="1" t="s">
        <v>32</v>
      </c>
      <c r="G105" s="1" t="s">
        <v>49</v>
      </c>
      <c r="H105">
        <v>4</v>
      </c>
      <c r="I105" s="1" t="s">
        <v>39</v>
      </c>
      <c r="J105" s="1" t="s">
        <v>23</v>
      </c>
      <c r="K105">
        <v>3</v>
      </c>
      <c r="L105" s="1" t="s">
        <v>40</v>
      </c>
      <c r="M105">
        <v>35</v>
      </c>
      <c r="N105" s="1" t="s">
        <v>23</v>
      </c>
      <c r="O105" s="1" t="s">
        <v>34</v>
      </c>
      <c r="P105">
        <v>1</v>
      </c>
      <c r="Q105" s="1" t="s">
        <v>41</v>
      </c>
      <c r="R105">
        <v>1</v>
      </c>
      <c r="S105" s="1" t="s">
        <v>28</v>
      </c>
      <c r="T105" s="1" t="s">
        <v>28</v>
      </c>
      <c r="U105" s="1" t="s">
        <v>29</v>
      </c>
    </row>
    <row r="106" spans="1:21" x14ac:dyDescent="0.3">
      <c r="A106" s="1" t="s">
        <v>17</v>
      </c>
      <c r="B106">
        <v>12</v>
      </c>
      <c r="C106" s="1" t="s">
        <v>31</v>
      </c>
      <c r="D106" s="1" t="s">
        <v>69</v>
      </c>
      <c r="E106">
        <v>2445</v>
      </c>
      <c r="F106" s="1" t="s">
        <v>47</v>
      </c>
      <c r="G106" s="1" t="s">
        <v>45</v>
      </c>
      <c r="H106">
        <v>2</v>
      </c>
      <c r="I106" s="1" t="s">
        <v>33</v>
      </c>
      <c r="J106" s="1" t="s">
        <v>23</v>
      </c>
      <c r="K106">
        <v>4</v>
      </c>
      <c r="L106" s="1" t="s">
        <v>40</v>
      </c>
      <c r="M106">
        <v>26</v>
      </c>
      <c r="N106" s="1" t="s">
        <v>23</v>
      </c>
      <c r="O106" s="1" t="s">
        <v>34</v>
      </c>
      <c r="P106">
        <v>1</v>
      </c>
      <c r="Q106" s="1" t="s">
        <v>41</v>
      </c>
      <c r="R106">
        <v>1</v>
      </c>
      <c r="S106" s="1" t="s">
        <v>28</v>
      </c>
      <c r="T106" s="1" t="s">
        <v>28</v>
      </c>
      <c r="U106" s="1" t="s">
        <v>29</v>
      </c>
    </row>
    <row r="107" spans="1:21" x14ac:dyDescent="0.3">
      <c r="A107" s="1" t="s">
        <v>30</v>
      </c>
      <c r="B107">
        <v>24</v>
      </c>
      <c r="C107" s="1" t="s">
        <v>18</v>
      </c>
      <c r="D107" s="1" t="s">
        <v>68</v>
      </c>
      <c r="E107">
        <v>11938</v>
      </c>
      <c r="F107" s="1" t="s">
        <v>32</v>
      </c>
      <c r="G107" s="1" t="s">
        <v>21</v>
      </c>
      <c r="H107">
        <v>2</v>
      </c>
      <c r="I107" s="1" t="s">
        <v>39</v>
      </c>
      <c r="J107" s="1" t="s">
        <v>55</v>
      </c>
      <c r="K107">
        <v>3</v>
      </c>
      <c r="L107" s="1" t="s">
        <v>40</v>
      </c>
      <c r="M107">
        <v>39</v>
      </c>
      <c r="N107" s="1" t="s">
        <v>23</v>
      </c>
      <c r="O107" s="1" t="s">
        <v>26</v>
      </c>
      <c r="P107">
        <v>2</v>
      </c>
      <c r="Q107" s="1" t="s">
        <v>63</v>
      </c>
      <c r="R107">
        <v>2</v>
      </c>
      <c r="S107" s="1" t="s">
        <v>28</v>
      </c>
      <c r="T107" s="1" t="s">
        <v>28</v>
      </c>
      <c r="U107" s="1" t="s">
        <v>56</v>
      </c>
    </row>
    <row r="108" spans="1:21" x14ac:dyDescent="0.3">
      <c r="A108" s="1" t="s">
        <v>17</v>
      </c>
      <c r="B108">
        <v>18</v>
      </c>
      <c r="C108" s="1" t="s">
        <v>42</v>
      </c>
      <c r="D108" s="1" t="s">
        <v>19</v>
      </c>
      <c r="E108">
        <v>6458</v>
      </c>
      <c r="F108" s="1" t="s">
        <v>32</v>
      </c>
      <c r="G108" s="1" t="s">
        <v>38</v>
      </c>
      <c r="H108">
        <v>2</v>
      </c>
      <c r="I108" s="1" t="s">
        <v>39</v>
      </c>
      <c r="J108" s="1" t="s">
        <v>23</v>
      </c>
      <c r="K108">
        <v>4</v>
      </c>
      <c r="L108" s="1" t="s">
        <v>65</v>
      </c>
      <c r="M108">
        <v>39</v>
      </c>
      <c r="N108" s="1" t="s">
        <v>25</v>
      </c>
      <c r="O108" s="1" t="s">
        <v>26</v>
      </c>
      <c r="P108">
        <v>2</v>
      </c>
      <c r="Q108" s="1" t="s">
        <v>63</v>
      </c>
      <c r="R108">
        <v>2</v>
      </c>
      <c r="S108" s="1" t="s">
        <v>28</v>
      </c>
      <c r="T108" s="1" t="s">
        <v>28</v>
      </c>
      <c r="U108" s="1" t="s">
        <v>56</v>
      </c>
    </row>
    <row r="109" spans="1:21" x14ac:dyDescent="0.3">
      <c r="A109" s="1" t="s">
        <v>30</v>
      </c>
      <c r="B109">
        <v>12</v>
      </c>
      <c r="C109" s="1" t="s">
        <v>31</v>
      </c>
      <c r="D109" s="1" t="s">
        <v>19</v>
      </c>
      <c r="E109">
        <v>6078</v>
      </c>
      <c r="F109" s="1" t="s">
        <v>32</v>
      </c>
      <c r="G109" s="1" t="s">
        <v>49</v>
      </c>
      <c r="H109">
        <v>2</v>
      </c>
      <c r="I109" s="1" t="s">
        <v>39</v>
      </c>
      <c r="J109" s="1" t="s">
        <v>23</v>
      </c>
      <c r="K109">
        <v>2</v>
      </c>
      <c r="L109" s="1" t="s">
        <v>40</v>
      </c>
      <c r="M109">
        <v>32</v>
      </c>
      <c r="N109" s="1" t="s">
        <v>23</v>
      </c>
      <c r="O109" s="1" t="s">
        <v>26</v>
      </c>
      <c r="P109">
        <v>1</v>
      </c>
      <c r="Q109" s="1" t="s">
        <v>41</v>
      </c>
      <c r="R109">
        <v>1</v>
      </c>
      <c r="S109" s="1" t="s">
        <v>23</v>
      </c>
      <c r="T109" s="1" t="s">
        <v>28</v>
      </c>
      <c r="U109" s="1" t="s">
        <v>29</v>
      </c>
    </row>
    <row r="110" spans="1:21" x14ac:dyDescent="0.3">
      <c r="A110" s="1" t="s">
        <v>35</v>
      </c>
      <c r="B110">
        <v>24</v>
      </c>
      <c r="C110" s="1" t="s">
        <v>31</v>
      </c>
      <c r="D110" s="1" t="s">
        <v>53</v>
      </c>
      <c r="E110">
        <v>7721</v>
      </c>
      <c r="F110" s="1" t="s">
        <v>47</v>
      </c>
      <c r="G110" s="1" t="s">
        <v>45</v>
      </c>
      <c r="H110">
        <v>1</v>
      </c>
      <c r="I110" s="1" t="s">
        <v>22</v>
      </c>
      <c r="J110" s="1" t="s">
        <v>23</v>
      </c>
      <c r="K110">
        <v>2</v>
      </c>
      <c r="L110" s="1" t="s">
        <v>48</v>
      </c>
      <c r="M110">
        <v>30</v>
      </c>
      <c r="N110" s="1" t="s">
        <v>23</v>
      </c>
      <c r="O110" s="1" t="s">
        <v>26</v>
      </c>
      <c r="P110">
        <v>1</v>
      </c>
      <c r="Q110" s="1" t="s">
        <v>41</v>
      </c>
      <c r="R110">
        <v>1</v>
      </c>
      <c r="S110" s="1" t="s">
        <v>28</v>
      </c>
      <c r="T110" s="1" t="s">
        <v>60</v>
      </c>
      <c r="U110" s="1" t="s">
        <v>29</v>
      </c>
    </row>
    <row r="111" spans="1:21" x14ac:dyDescent="0.3">
      <c r="A111" s="1" t="s">
        <v>30</v>
      </c>
      <c r="B111">
        <v>14</v>
      </c>
      <c r="C111" s="1" t="s">
        <v>31</v>
      </c>
      <c r="D111" s="1" t="s">
        <v>61</v>
      </c>
      <c r="E111">
        <v>1410</v>
      </c>
      <c r="F111" s="1" t="s">
        <v>37</v>
      </c>
      <c r="G111" s="1" t="s">
        <v>38</v>
      </c>
      <c r="H111">
        <v>1</v>
      </c>
      <c r="I111" s="1" t="s">
        <v>33</v>
      </c>
      <c r="J111" s="1" t="s">
        <v>23</v>
      </c>
      <c r="K111">
        <v>2</v>
      </c>
      <c r="L111" s="1" t="s">
        <v>24</v>
      </c>
      <c r="M111">
        <v>35</v>
      </c>
      <c r="N111" s="1" t="s">
        <v>23</v>
      </c>
      <c r="O111" s="1" t="s">
        <v>26</v>
      </c>
      <c r="P111">
        <v>1</v>
      </c>
      <c r="Q111" s="1" t="s">
        <v>41</v>
      </c>
      <c r="R111">
        <v>1</v>
      </c>
      <c r="S111" s="1" t="s">
        <v>28</v>
      </c>
      <c r="T111" s="1" t="s">
        <v>28</v>
      </c>
      <c r="U111" s="1" t="s">
        <v>29</v>
      </c>
    </row>
    <row r="112" spans="1:21" x14ac:dyDescent="0.3">
      <c r="A112" s="1" t="s">
        <v>30</v>
      </c>
      <c r="B112">
        <v>6</v>
      </c>
      <c r="C112" s="1" t="s">
        <v>59</v>
      </c>
      <c r="D112" s="1" t="s">
        <v>61</v>
      </c>
      <c r="E112">
        <v>1449</v>
      </c>
      <c r="F112" s="1" t="s">
        <v>46</v>
      </c>
      <c r="G112" s="1" t="s">
        <v>38</v>
      </c>
      <c r="H112">
        <v>1</v>
      </c>
      <c r="I112" s="1" t="s">
        <v>64</v>
      </c>
      <c r="J112" s="1" t="s">
        <v>23</v>
      </c>
      <c r="K112">
        <v>2</v>
      </c>
      <c r="L112" s="1" t="s">
        <v>40</v>
      </c>
      <c r="M112">
        <v>31</v>
      </c>
      <c r="N112" s="1" t="s">
        <v>25</v>
      </c>
      <c r="O112" s="1" t="s">
        <v>26</v>
      </c>
      <c r="P112">
        <v>2</v>
      </c>
      <c r="Q112" s="1" t="s">
        <v>41</v>
      </c>
      <c r="R112">
        <v>2</v>
      </c>
      <c r="S112" s="1" t="s">
        <v>23</v>
      </c>
      <c r="T112" s="1" t="s">
        <v>28</v>
      </c>
      <c r="U112" s="1" t="s">
        <v>29</v>
      </c>
    </row>
    <row r="113" spans="1:21" x14ac:dyDescent="0.3">
      <c r="A113" s="1" t="s">
        <v>50</v>
      </c>
      <c r="B113">
        <v>15</v>
      </c>
      <c r="C113" s="1" t="s">
        <v>31</v>
      </c>
      <c r="D113" s="1" t="s">
        <v>51</v>
      </c>
      <c r="E113">
        <v>392</v>
      </c>
      <c r="F113" s="1" t="s">
        <v>32</v>
      </c>
      <c r="G113" s="1" t="s">
        <v>45</v>
      </c>
      <c r="H113">
        <v>4</v>
      </c>
      <c r="I113" s="1" t="s">
        <v>22</v>
      </c>
      <c r="J113" s="1" t="s">
        <v>23</v>
      </c>
      <c r="K113">
        <v>4</v>
      </c>
      <c r="L113" s="1" t="s">
        <v>48</v>
      </c>
      <c r="M113">
        <v>23</v>
      </c>
      <c r="N113" s="1" t="s">
        <v>23</v>
      </c>
      <c r="O113" s="1" t="s">
        <v>34</v>
      </c>
      <c r="P113">
        <v>1</v>
      </c>
      <c r="Q113" s="1" t="s">
        <v>41</v>
      </c>
      <c r="R113">
        <v>1</v>
      </c>
      <c r="S113" s="1" t="s">
        <v>28</v>
      </c>
      <c r="T113" s="1" t="s">
        <v>28</v>
      </c>
      <c r="U113" s="1" t="s">
        <v>29</v>
      </c>
    </row>
    <row r="114" spans="1:21" x14ac:dyDescent="0.3">
      <c r="A114" s="1" t="s">
        <v>30</v>
      </c>
      <c r="B114">
        <v>18</v>
      </c>
      <c r="C114" s="1" t="s">
        <v>31</v>
      </c>
      <c r="D114" s="1" t="s">
        <v>19</v>
      </c>
      <c r="E114">
        <v>6260</v>
      </c>
      <c r="F114" s="1" t="s">
        <v>32</v>
      </c>
      <c r="G114" s="1" t="s">
        <v>49</v>
      </c>
      <c r="H114">
        <v>3</v>
      </c>
      <c r="I114" s="1" t="s">
        <v>39</v>
      </c>
      <c r="J114" s="1" t="s">
        <v>23</v>
      </c>
      <c r="K114">
        <v>3</v>
      </c>
      <c r="L114" s="1" t="s">
        <v>24</v>
      </c>
      <c r="M114">
        <v>28</v>
      </c>
      <c r="N114" s="1" t="s">
        <v>23</v>
      </c>
      <c r="O114" s="1" t="s">
        <v>34</v>
      </c>
      <c r="P114">
        <v>1</v>
      </c>
      <c r="Q114" s="1" t="s">
        <v>27</v>
      </c>
      <c r="R114">
        <v>1</v>
      </c>
      <c r="S114" s="1" t="s">
        <v>23</v>
      </c>
      <c r="T114" s="1" t="s">
        <v>28</v>
      </c>
      <c r="U114" s="1" t="s">
        <v>29</v>
      </c>
    </row>
    <row r="115" spans="1:21" x14ac:dyDescent="0.3">
      <c r="A115" s="1" t="s">
        <v>17</v>
      </c>
      <c r="B115">
        <v>36</v>
      </c>
      <c r="C115" s="1" t="s">
        <v>18</v>
      </c>
      <c r="D115" s="1" t="s">
        <v>19</v>
      </c>
      <c r="E115">
        <v>7855</v>
      </c>
      <c r="F115" s="1" t="s">
        <v>32</v>
      </c>
      <c r="G115" s="1" t="s">
        <v>21</v>
      </c>
      <c r="H115">
        <v>4</v>
      </c>
      <c r="I115" s="1" t="s">
        <v>22</v>
      </c>
      <c r="J115" s="1" t="s">
        <v>23</v>
      </c>
      <c r="K115">
        <v>2</v>
      </c>
      <c r="L115" s="1" t="s">
        <v>24</v>
      </c>
      <c r="M115">
        <v>25</v>
      </c>
      <c r="N115" s="1" t="s">
        <v>67</v>
      </c>
      <c r="O115" s="1" t="s">
        <v>26</v>
      </c>
      <c r="P115">
        <v>2</v>
      </c>
      <c r="Q115" s="1" t="s">
        <v>41</v>
      </c>
      <c r="R115">
        <v>1</v>
      </c>
      <c r="S115" s="1" t="s">
        <v>28</v>
      </c>
      <c r="T115" s="1" t="s">
        <v>28</v>
      </c>
      <c r="U115" s="1" t="s">
        <v>56</v>
      </c>
    </row>
    <row r="116" spans="1:21" x14ac:dyDescent="0.3">
      <c r="A116" s="1" t="s">
        <v>35</v>
      </c>
      <c r="B116">
        <v>12</v>
      </c>
      <c r="C116" s="1" t="s">
        <v>31</v>
      </c>
      <c r="D116" s="1" t="s">
        <v>36</v>
      </c>
      <c r="E116">
        <v>1680</v>
      </c>
      <c r="F116" s="1" t="s">
        <v>37</v>
      </c>
      <c r="G116" s="1" t="s">
        <v>38</v>
      </c>
      <c r="H116">
        <v>3</v>
      </c>
      <c r="I116" s="1" t="s">
        <v>33</v>
      </c>
      <c r="J116" s="1" t="s">
        <v>23</v>
      </c>
      <c r="K116">
        <v>1</v>
      </c>
      <c r="L116" s="1" t="s">
        <v>24</v>
      </c>
      <c r="M116">
        <v>35</v>
      </c>
      <c r="N116" s="1" t="s">
        <v>23</v>
      </c>
      <c r="O116" s="1" t="s">
        <v>26</v>
      </c>
      <c r="P116">
        <v>1</v>
      </c>
      <c r="Q116" s="1" t="s">
        <v>41</v>
      </c>
      <c r="R116">
        <v>1</v>
      </c>
      <c r="S116" s="1" t="s">
        <v>23</v>
      </c>
      <c r="T116" s="1" t="s">
        <v>28</v>
      </c>
      <c r="U116" s="1" t="s">
        <v>29</v>
      </c>
    </row>
    <row r="117" spans="1:21" x14ac:dyDescent="0.3">
      <c r="A117" s="1" t="s">
        <v>17</v>
      </c>
      <c r="B117">
        <v>48</v>
      </c>
      <c r="C117" s="1" t="s">
        <v>18</v>
      </c>
      <c r="D117" s="1" t="s">
        <v>36</v>
      </c>
      <c r="E117">
        <v>3578</v>
      </c>
      <c r="F117" s="1" t="s">
        <v>47</v>
      </c>
      <c r="G117" s="1" t="s">
        <v>38</v>
      </c>
      <c r="H117">
        <v>4</v>
      </c>
      <c r="I117" s="1" t="s">
        <v>39</v>
      </c>
      <c r="J117" s="1" t="s">
        <v>23</v>
      </c>
      <c r="K117">
        <v>1</v>
      </c>
      <c r="L117" s="1" t="s">
        <v>24</v>
      </c>
      <c r="M117">
        <v>47</v>
      </c>
      <c r="N117" s="1" t="s">
        <v>23</v>
      </c>
      <c r="O117" s="1" t="s">
        <v>26</v>
      </c>
      <c r="P117">
        <v>1</v>
      </c>
      <c r="Q117" s="1" t="s">
        <v>41</v>
      </c>
      <c r="R117">
        <v>1</v>
      </c>
      <c r="S117" s="1" t="s">
        <v>28</v>
      </c>
      <c r="T117" s="1" t="s">
        <v>28</v>
      </c>
      <c r="U117" s="1" t="s">
        <v>29</v>
      </c>
    </row>
    <row r="118" spans="1:21" x14ac:dyDescent="0.3">
      <c r="A118" s="1" t="s">
        <v>35</v>
      </c>
      <c r="B118">
        <v>42</v>
      </c>
      <c r="C118" s="1" t="s">
        <v>31</v>
      </c>
      <c r="D118" s="1" t="s">
        <v>36</v>
      </c>
      <c r="E118">
        <v>7174</v>
      </c>
      <c r="F118" s="1" t="s">
        <v>47</v>
      </c>
      <c r="G118" s="1" t="s">
        <v>49</v>
      </c>
      <c r="H118">
        <v>4</v>
      </c>
      <c r="I118" s="1" t="s">
        <v>22</v>
      </c>
      <c r="J118" s="1" t="s">
        <v>23</v>
      </c>
      <c r="K118">
        <v>3</v>
      </c>
      <c r="L118" s="1" t="s">
        <v>40</v>
      </c>
      <c r="M118">
        <v>30</v>
      </c>
      <c r="N118" s="1" t="s">
        <v>23</v>
      </c>
      <c r="O118" s="1" t="s">
        <v>26</v>
      </c>
      <c r="P118">
        <v>1</v>
      </c>
      <c r="Q118" s="1" t="s">
        <v>63</v>
      </c>
      <c r="R118">
        <v>1</v>
      </c>
      <c r="S118" s="1" t="s">
        <v>28</v>
      </c>
      <c r="T118" s="1" t="s">
        <v>28</v>
      </c>
      <c r="U118" s="1" t="s">
        <v>56</v>
      </c>
    </row>
    <row r="119" spans="1:21" x14ac:dyDescent="0.3">
      <c r="A119" s="1" t="s">
        <v>35</v>
      </c>
      <c r="B119">
        <v>10</v>
      </c>
      <c r="C119" s="1" t="s">
        <v>18</v>
      </c>
      <c r="D119" s="1" t="s">
        <v>53</v>
      </c>
      <c r="E119">
        <v>2132</v>
      </c>
      <c r="F119" s="1" t="s">
        <v>47</v>
      </c>
      <c r="G119" s="1" t="s">
        <v>45</v>
      </c>
      <c r="H119">
        <v>2</v>
      </c>
      <c r="I119" s="1" t="s">
        <v>22</v>
      </c>
      <c r="J119" s="1" t="s">
        <v>55</v>
      </c>
      <c r="K119">
        <v>3</v>
      </c>
      <c r="L119" s="1" t="s">
        <v>24</v>
      </c>
      <c r="M119">
        <v>27</v>
      </c>
      <c r="N119" s="1" t="s">
        <v>23</v>
      </c>
      <c r="O119" s="1" t="s">
        <v>34</v>
      </c>
      <c r="P119">
        <v>2</v>
      </c>
      <c r="Q119" s="1" t="s">
        <v>41</v>
      </c>
      <c r="R119">
        <v>1</v>
      </c>
      <c r="S119" s="1" t="s">
        <v>23</v>
      </c>
      <c r="T119" s="1" t="s">
        <v>60</v>
      </c>
      <c r="U119" s="1" t="s">
        <v>29</v>
      </c>
    </row>
    <row r="120" spans="1:21" x14ac:dyDescent="0.3">
      <c r="A120" s="1" t="s">
        <v>35</v>
      </c>
      <c r="B120">
        <v>33</v>
      </c>
      <c r="C120" s="1" t="s">
        <v>18</v>
      </c>
      <c r="D120" s="1" t="s">
        <v>53</v>
      </c>
      <c r="E120">
        <v>4281</v>
      </c>
      <c r="F120" s="1" t="s">
        <v>37</v>
      </c>
      <c r="G120" s="1" t="s">
        <v>21</v>
      </c>
      <c r="H120">
        <v>1</v>
      </c>
      <c r="I120" s="1" t="s">
        <v>22</v>
      </c>
      <c r="J120" s="1" t="s">
        <v>23</v>
      </c>
      <c r="K120">
        <v>4</v>
      </c>
      <c r="L120" s="1" t="s">
        <v>40</v>
      </c>
      <c r="M120">
        <v>23</v>
      </c>
      <c r="N120" s="1" t="s">
        <v>23</v>
      </c>
      <c r="O120" s="1" t="s">
        <v>26</v>
      </c>
      <c r="P120">
        <v>2</v>
      </c>
      <c r="Q120" s="1" t="s">
        <v>41</v>
      </c>
      <c r="R120">
        <v>1</v>
      </c>
      <c r="S120" s="1" t="s">
        <v>23</v>
      </c>
      <c r="T120" s="1" t="s">
        <v>28</v>
      </c>
      <c r="U120" s="1" t="s">
        <v>56</v>
      </c>
    </row>
    <row r="121" spans="1:21" x14ac:dyDescent="0.3">
      <c r="A121" s="1" t="s">
        <v>30</v>
      </c>
      <c r="B121">
        <v>12</v>
      </c>
      <c r="C121" s="1" t="s">
        <v>18</v>
      </c>
      <c r="D121" s="1" t="s">
        <v>19</v>
      </c>
      <c r="E121">
        <v>2366</v>
      </c>
      <c r="F121" s="1" t="s">
        <v>37</v>
      </c>
      <c r="G121" s="1" t="s">
        <v>49</v>
      </c>
      <c r="H121">
        <v>3</v>
      </c>
      <c r="I121" s="1" t="s">
        <v>64</v>
      </c>
      <c r="J121" s="1" t="s">
        <v>23</v>
      </c>
      <c r="K121">
        <v>3</v>
      </c>
      <c r="L121" s="1" t="s">
        <v>40</v>
      </c>
      <c r="M121">
        <v>36</v>
      </c>
      <c r="N121" s="1" t="s">
        <v>23</v>
      </c>
      <c r="O121" s="1" t="s">
        <v>26</v>
      </c>
      <c r="P121">
        <v>1</v>
      </c>
      <c r="Q121" s="1" t="s">
        <v>63</v>
      </c>
      <c r="R121">
        <v>1</v>
      </c>
      <c r="S121" s="1" t="s">
        <v>28</v>
      </c>
      <c r="T121" s="1" t="s">
        <v>28</v>
      </c>
      <c r="U121" s="1" t="s">
        <v>29</v>
      </c>
    </row>
    <row r="122" spans="1:21" x14ac:dyDescent="0.3">
      <c r="A122" s="1" t="s">
        <v>35</v>
      </c>
      <c r="B122">
        <v>21</v>
      </c>
      <c r="C122" s="1" t="s">
        <v>31</v>
      </c>
      <c r="D122" s="1" t="s">
        <v>36</v>
      </c>
      <c r="E122">
        <v>1835</v>
      </c>
      <c r="F122" s="1" t="s">
        <v>32</v>
      </c>
      <c r="G122" s="1" t="s">
        <v>21</v>
      </c>
      <c r="H122">
        <v>3</v>
      </c>
      <c r="I122" s="1" t="s">
        <v>22</v>
      </c>
      <c r="J122" s="1" t="s">
        <v>23</v>
      </c>
      <c r="K122">
        <v>2</v>
      </c>
      <c r="L122" s="1" t="s">
        <v>24</v>
      </c>
      <c r="M122">
        <v>25</v>
      </c>
      <c r="N122" s="1" t="s">
        <v>23</v>
      </c>
      <c r="O122" s="1" t="s">
        <v>26</v>
      </c>
      <c r="P122">
        <v>2</v>
      </c>
      <c r="Q122" s="1" t="s">
        <v>41</v>
      </c>
      <c r="R122">
        <v>1</v>
      </c>
      <c r="S122" s="1" t="s">
        <v>28</v>
      </c>
      <c r="T122" s="1" t="s">
        <v>28</v>
      </c>
      <c r="U122" s="1" t="s">
        <v>56</v>
      </c>
    </row>
    <row r="123" spans="1:21" x14ac:dyDescent="0.3">
      <c r="A123" s="1" t="s">
        <v>17</v>
      </c>
      <c r="B123">
        <v>24</v>
      </c>
      <c r="C123" s="1" t="s">
        <v>18</v>
      </c>
      <c r="D123" s="1" t="s">
        <v>69</v>
      </c>
      <c r="E123">
        <v>3868</v>
      </c>
      <c r="F123" s="1" t="s">
        <v>32</v>
      </c>
      <c r="G123" s="1" t="s">
        <v>38</v>
      </c>
      <c r="H123">
        <v>4</v>
      </c>
      <c r="I123" s="1" t="s">
        <v>22</v>
      </c>
      <c r="J123" s="1" t="s">
        <v>23</v>
      </c>
      <c r="K123">
        <v>2</v>
      </c>
      <c r="L123" s="1" t="s">
        <v>40</v>
      </c>
      <c r="M123">
        <v>41</v>
      </c>
      <c r="N123" s="1" t="s">
        <v>23</v>
      </c>
      <c r="O123" s="1" t="s">
        <v>34</v>
      </c>
      <c r="P123">
        <v>2</v>
      </c>
      <c r="Q123" s="1" t="s">
        <v>63</v>
      </c>
      <c r="R123">
        <v>1</v>
      </c>
      <c r="S123" s="1" t="s">
        <v>28</v>
      </c>
      <c r="T123" s="1" t="s">
        <v>28</v>
      </c>
      <c r="U123" s="1" t="s">
        <v>29</v>
      </c>
    </row>
    <row r="124" spans="1:21" x14ac:dyDescent="0.3">
      <c r="A124" s="1" t="s">
        <v>17</v>
      </c>
      <c r="B124">
        <v>12</v>
      </c>
      <c r="C124" s="1" t="s">
        <v>31</v>
      </c>
      <c r="D124" s="1" t="s">
        <v>53</v>
      </c>
      <c r="E124">
        <v>1768</v>
      </c>
      <c r="F124" s="1" t="s">
        <v>32</v>
      </c>
      <c r="G124" s="1" t="s">
        <v>21</v>
      </c>
      <c r="H124">
        <v>3</v>
      </c>
      <c r="I124" s="1" t="s">
        <v>39</v>
      </c>
      <c r="J124" s="1" t="s">
        <v>23</v>
      </c>
      <c r="K124">
        <v>2</v>
      </c>
      <c r="L124" s="1" t="s">
        <v>24</v>
      </c>
      <c r="M124">
        <v>24</v>
      </c>
      <c r="N124" s="1" t="s">
        <v>23</v>
      </c>
      <c r="O124" s="1" t="s">
        <v>34</v>
      </c>
      <c r="P124">
        <v>1</v>
      </c>
      <c r="Q124" s="1" t="s">
        <v>27</v>
      </c>
      <c r="R124">
        <v>1</v>
      </c>
      <c r="S124" s="1" t="s">
        <v>23</v>
      </c>
      <c r="T124" s="1" t="s">
        <v>28</v>
      </c>
      <c r="U124" s="1" t="s">
        <v>29</v>
      </c>
    </row>
    <row r="125" spans="1:21" x14ac:dyDescent="0.3">
      <c r="A125" s="1" t="s">
        <v>50</v>
      </c>
      <c r="B125">
        <v>10</v>
      </c>
      <c r="C125" s="1" t="s">
        <v>18</v>
      </c>
      <c r="D125" s="1" t="s">
        <v>19</v>
      </c>
      <c r="E125">
        <v>781</v>
      </c>
      <c r="F125" s="1" t="s">
        <v>32</v>
      </c>
      <c r="G125" s="1" t="s">
        <v>38</v>
      </c>
      <c r="H125">
        <v>4</v>
      </c>
      <c r="I125" s="1" t="s">
        <v>39</v>
      </c>
      <c r="J125" s="1" t="s">
        <v>23</v>
      </c>
      <c r="K125">
        <v>4</v>
      </c>
      <c r="L125" s="1" t="s">
        <v>65</v>
      </c>
      <c r="M125">
        <v>63</v>
      </c>
      <c r="N125" s="1" t="s">
        <v>23</v>
      </c>
      <c r="O125" s="1" t="s">
        <v>66</v>
      </c>
      <c r="P125">
        <v>2</v>
      </c>
      <c r="Q125" s="1" t="s">
        <v>41</v>
      </c>
      <c r="R125">
        <v>1</v>
      </c>
      <c r="S125" s="1" t="s">
        <v>28</v>
      </c>
      <c r="T125" s="1" t="s">
        <v>28</v>
      </c>
      <c r="U125" s="1" t="s">
        <v>29</v>
      </c>
    </row>
    <row r="126" spans="1:21" x14ac:dyDescent="0.3">
      <c r="A126" s="1" t="s">
        <v>30</v>
      </c>
      <c r="B126">
        <v>18</v>
      </c>
      <c r="C126" s="1" t="s">
        <v>31</v>
      </c>
      <c r="D126" s="1" t="s">
        <v>53</v>
      </c>
      <c r="E126">
        <v>1924</v>
      </c>
      <c r="F126" s="1" t="s">
        <v>47</v>
      </c>
      <c r="G126" s="1" t="s">
        <v>45</v>
      </c>
      <c r="H126">
        <v>4</v>
      </c>
      <c r="I126" s="1" t="s">
        <v>22</v>
      </c>
      <c r="J126" s="1" t="s">
        <v>23</v>
      </c>
      <c r="K126">
        <v>3</v>
      </c>
      <c r="L126" s="1" t="s">
        <v>24</v>
      </c>
      <c r="M126">
        <v>27</v>
      </c>
      <c r="N126" s="1" t="s">
        <v>23</v>
      </c>
      <c r="O126" s="1" t="s">
        <v>34</v>
      </c>
      <c r="P126">
        <v>1</v>
      </c>
      <c r="Q126" s="1" t="s">
        <v>41</v>
      </c>
      <c r="R126">
        <v>1</v>
      </c>
      <c r="S126" s="1" t="s">
        <v>23</v>
      </c>
      <c r="T126" s="1" t="s">
        <v>28</v>
      </c>
      <c r="U126" s="1" t="s">
        <v>56</v>
      </c>
    </row>
    <row r="127" spans="1:21" x14ac:dyDescent="0.3">
      <c r="A127" s="1" t="s">
        <v>35</v>
      </c>
      <c r="B127">
        <v>12</v>
      </c>
      <c r="C127" s="1" t="s">
        <v>18</v>
      </c>
      <c r="D127" s="1" t="s">
        <v>19</v>
      </c>
      <c r="E127">
        <v>2121</v>
      </c>
      <c r="F127" s="1" t="s">
        <v>32</v>
      </c>
      <c r="G127" s="1" t="s">
        <v>21</v>
      </c>
      <c r="H127">
        <v>4</v>
      </c>
      <c r="I127" s="1" t="s">
        <v>39</v>
      </c>
      <c r="J127" s="1" t="s">
        <v>23</v>
      </c>
      <c r="K127">
        <v>2</v>
      </c>
      <c r="L127" s="1" t="s">
        <v>48</v>
      </c>
      <c r="M127">
        <v>30</v>
      </c>
      <c r="N127" s="1" t="s">
        <v>23</v>
      </c>
      <c r="O127" s="1" t="s">
        <v>26</v>
      </c>
      <c r="P127">
        <v>2</v>
      </c>
      <c r="Q127" s="1" t="s">
        <v>41</v>
      </c>
      <c r="R127">
        <v>1</v>
      </c>
      <c r="S127" s="1" t="s">
        <v>23</v>
      </c>
      <c r="T127" s="1" t="s">
        <v>28</v>
      </c>
      <c r="U127" s="1" t="s">
        <v>29</v>
      </c>
    </row>
    <row r="128" spans="1:21" x14ac:dyDescent="0.3">
      <c r="A128" s="1" t="s">
        <v>35</v>
      </c>
      <c r="B128">
        <v>12</v>
      </c>
      <c r="C128" s="1" t="s">
        <v>31</v>
      </c>
      <c r="D128" s="1" t="s">
        <v>36</v>
      </c>
      <c r="E128">
        <v>701</v>
      </c>
      <c r="F128" s="1" t="s">
        <v>32</v>
      </c>
      <c r="G128" s="1" t="s">
        <v>21</v>
      </c>
      <c r="H128">
        <v>4</v>
      </c>
      <c r="I128" s="1" t="s">
        <v>33</v>
      </c>
      <c r="J128" s="1" t="s">
        <v>23</v>
      </c>
      <c r="K128">
        <v>2</v>
      </c>
      <c r="L128" s="1" t="s">
        <v>24</v>
      </c>
      <c r="M128">
        <v>40</v>
      </c>
      <c r="N128" s="1" t="s">
        <v>23</v>
      </c>
      <c r="O128" s="1" t="s">
        <v>26</v>
      </c>
      <c r="P128">
        <v>1</v>
      </c>
      <c r="Q128" s="1" t="s">
        <v>27</v>
      </c>
      <c r="R128">
        <v>1</v>
      </c>
      <c r="S128" s="1" t="s">
        <v>23</v>
      </c>
      <c r="T128" s="1" t="s">
        <v>28</v>
      </c>
      <c r="U128" s="1" t="s">
        <v>29</v>
      </c>
    </row>
    <row r="129" spans="1:21" x14ac:dyDescent="0.3">
      <c r="A129" s="1" t="s">
        <v>30</v>
      </c>
      <c r="B129">
        <v>12</v>
      </c>
      <c r="C129" s="1" t="s">
        <v>31</v>
      </c>
      <c r="D129" s="1" t="s">
        <v>57</v>
      </c>
      <c r="E129">
        <v>639</v>
      </c>
      <c r="F129" s="1" t="s">
        <v>32</v>
      </c>
      <c r="G129" s="1" t="s">
        <v>21</v>
      </c>
      <c r="H129">
        <v>4</v>
      </c>
      <c r="I129" s="1" t="s">
        <v>39</v>
      </c>
      <c r="J129" s="1" t="s">
        <v>23</v>
      </c>
      <c r="K129">
        <v>2</v>
      </c>
      <c r="L129" s="1" t="s">
        <v>40</v>
      </c>
      <c r="M129">
        <v>30</v>
      </c>
      <c r="N129" s="1" t="s">
        <v>23</v>
      </c>
      <c r="O129" s="1" t="s">
        <v>26</v>
      </c>
      <c r="P129">
        <v>1</v>
      </c>
      <c r="Q129" s="1" t="s">
        <v>41</v>
      </c>
      <c r="R129">
        <v>1</v>
      </c>
      <c r="S129" s="1" t="s">
        <v>23</v>
      </c>
      <c r="T129" s="1" t="s">
        <v>28</v>
      </c>
      <c r="U129" s="1" t="s">
        <v>56</v>
      </c>
    </row>
    <row r="130" spans="1:21" x14ac:dyDescent="0.3">
      <c r="A130" s="1" t="s">
        <v>30</v>
      </c>
      <c r="B130">
        <v>12</v>
      </c>
      <c r="C130" s="1" t="s">
        <v>18</v>
      </c>
      <c r="D130" s="1" t="s">
        <v>69</v>
      </c>
      <c r="E130">
        <v>1860</v>
      </c>
      <c r="F130" s="1" t="s">
        <v>32</v>
      </c>
      <c r="G130" s="1" t="s">
        <v>54</v>
      </c>
      <c r="H130">
        <v>4</v>
      </c>
      <c r="I130" s="1" t="s">
        <v>39</v>
      </c>
      <c r="J130" s="1" t="s">
        <v>23</v>
      </c>
      <c r="K130">
        <v>2</v>
      </c>
      <c r="L130" s="1" t="s">
        <v>40</v>
      </c>
      <c r="M130">
        <v>34</v>
      </c>
      <c r="N130" s="1" t="s">
        <v>23</v>
      </c>
      <c r="O130" s="1" t="s">
        <v>26</v>
      </c>
      <c r="P130">
        <v>2</v>
      </c>
      <c r="Q130" s="1" t="s">
        <v>63</v>
      </c>
      <c r="R130">
        <v>1</v>
      </c>
      <c r="S130" s="1" t="s">
        <v>28</v>
      </c>
      <c r="T130" s="1" t="s">
        <v>28</v>
      </c>
      <c r="U130" s="1" t="s">
        <v>29</v>
      </c>
    </row>
    <row r="131" spans="1:21" x14ac:dyDescent="0.3">
      <c r="A131" s="1" t="s">
        <v>35</v>
      </c>
      <c r="B131">
        <v>12</v>
      </c>
      <c r="C131" s="1" t="s">
        <v>18</v>
      </c>
      <c r="D131" s="1" t="s">
        <v>19</v>
      </c>
      <c r="E131">
        <v>3499</v>
      </c>
      <c r="F131" s="1" t="s">
        <v>32</v>
      </c>
      <c r="G131" s="1" t="s">
        <v>21</v>
      </c>
      <c r="H131">
        <v>3</v>
      </c>
      <c r="I131" s="1" t="s">
        <v>22</v>
      </c>
      <c r="J131" s="1" t="s">
        <v>55</v>
      </c>
      <c r="K131">
        <v>2</v>
      </c>
      <c r="L131" s="1" t="s">
        <v>24</v>
      </c>
      <c r="M131">
        <v>29</v>
      </c>
      <c r="N131" s="1" t="s">
        <v>23</v>
      </c>
      <c r="O131" s="1" t="s">
        <v>26</v>
      </c>
      <c r="P131">
        <v>2</v>
      </c>
      <c r="Q131" s="1" t="s">
        <v>41</v>
      </c>
      <c r="R131">
        <v>1</v>
      </c>
      <c r="S131" s="1" t="s">
        <v>23</v>
      </c>
      <c r="T131" s="1" t="s">
        <v>28</v>
      </c>
      <c r="U131" s="1" t="s">
        <v>56</v>
      </c>
    </row>
    <row r="132" spans="1:21" x14ac:dyDescent="0.3">
      <c r="A132" s="1" t="s">
        <v>30</v>
      </c>
      <c r="B132">
        <v>48</v>
      </c>
      <c r="C132" s="1" t="s">
        <v>31</v>
      </c>
      <c r="D132" s="1" t="s">
        <v>19</v>
      </c>
      <c r="E132">
        <v>8487</v>
      </c>
      <c r="F132" s="1" t="s">
        <v>47</v>
      </c>
      <c r="G132" s="1" t="s">
        <v>49</v>
      </c>
      <c r="H132">
        <v>1</v>
      </c>
      <c r="I132" s="1" t="s">
        <v>22</v>
      </c>
      <c r="J132" s="1" t="s">
        <v>23</v>
      </c>
      <c r="K132">
        <v>2</v>
      </c>
      <c r="L132" s="1" t="s">
        <v>40</v>
      </c>
      <c r="M132">
        <v>24</v>
      </c>
      <c r="N132" s="1" t="s">
        <v>23</v>
      </c>
      <c r="O132" s="1" t="s">
        <v>26</v>
      </c>
      <c r="P132">
        <v>1</v>
      </c>
      <c r="Q132" s="1" t="s">
        <v>41</v>
      </c>
      <c r="R132">
        <v>1</v>
      </c>
      <c r="S132" s="1" t="s">
        <v>23</v>
      </c>
      <c r="T132" s="1" t="s">
        <v>28</v>
      </c>
      <c r="U132" s="1" t="s">
        <v>29</v>
      </c>
    </row>
    <row r="133" spans="1:21" x14ac:dyDescent="0.3">
      <c r="A133" s="1" t="s">
        <v>35</v>
      </c>
      <c r="B133">
        <v>36</v>
      </c>
      <c r="C133" s="1" t="s">
        <v>59</v>
      </c>
      <c r="D133" s="1" t="s">
        <v>51</v>
      </c>
      <c r="E133">
        <v>6887</v>
      </c>
      <c r="F133" s="1" t="s">
        <v>32</v>
      </c>
      <c r="G133" s="1" t="s">
        <v>21</v>
      </c>
      <c r="H133">
        <v>4</v>
      </c>
      <c r="I133" s="1" t="s">
        <v>39</v>
      </c>
      <c r="J133" s="1" t="s">
        <v>23</v>
      </c>
      <c r="K133">
        <v>3</v>
      </c>
      <c r="L133" s="1" t="s">
        <v>48</v>
      </c>
      <c r="M133">
        <v>29</v>
      </c>
      <c r="N133" s="1" t="s">
        <v>67</v>
      </c>
      <c r="O133" s="1" t="s">
        <v>26</v>
      </c>
      <c r="P133">
        <v>1</v>
      </c>
      <c r="Q133" s="1" t="s">
        <v>41</v>
      </c>
      <c r="R133">
        <v>1</v>
      </c>
      <c r="S133" s="1" t="s">
        <v>28</v>
      </c>
      <c r="T133" s="1" t="s">
        <v>28</v>
      </c>
      <c r="U133" s="1" t="s">
        <v>56</v>
      </c>
    </row>
    <row r="134" spans="1:21" x14ac:dyDescent="0.3">
      <c r="A134" s="1" t="s">
        <v>17</v>
      </c>
      <c r="B134">
        <v>15</v>
      </c>
      <c r="C134" s="1" t="s">
        <v>31</v>
      </c>
      <c r="D134" s="1" t="s">
        <v>53</v>
      </c>
      <c r="E134">
        <v>2708</v>
      </c>
      <c r="F134" s="1" t="s">
        <v>32</v>
      </c>
      <c r="G134" s="1" t="s">
        <v>45</v>
      </c>
      <c r="H134">
        <v>2</v>
      </c>
      <c r="I134" s="1" t="s">
        <v>39</v>
      </c>
      <c r="J134" s="1" t="s">
        <v>23</v>
      </c>
      <c r="K134">
        <v>3</v>
      </c>
      <c r="L134" s="1" t="s">
        <v>48</v>
      </c>
      <c r="M134">
        <v>27</v>
      </c>
      <c r="N134" s="1" t="s">
        <v>25</v>
      </c>
      <c r="O134" s="1" t="s">
        <v>26</v>
      </c>
      <c r="P134">
        <v>2</v>
      </c>
      <c r="Q134" s="1" t="s">
        <v>27</v>
      </c>
      <c r="R134">
        <v>1</v>
      </c>
      <c r="S134" s="1" t="s">
        <v>23</v>
      </c>
      <c r="T134" s="1" t="s">
        <v>28</v>
      </c>
      <c r="U134" s="1" t="s">
        <v>29</v>
      </c>
    </row>
    <row r="135" spans="1:21" x14ac:dyDescent="0.3">
      <c r="A135" s="1" t="s">
        <v>17</v>
      </c>
      <c r="B135">
        <v>18</v>
      </c>
      <c r="C135" s="1" t="s">
        <v>31</v>
      </c>
      <c r="D135" s="1" t="s">
        <v>53</v>
      </c>
      <c r="E135">
        <v>1984</v>
      </c>
      <c r="F135" s="1" t="s">
        <v>32</v>
      </c>
      <c r="G135" s="1" t="s">
        <v>21</v>
      </c>
      <c r="H135">
        <v>4</v>
      </c>
      <c r="I135" s="1" t="s">
        <v>39</v>
      </c>
      <c r="J135" s="1" t="s">
        <v>23</v>
      </c>
      <c r="K135">
        <v>4</v>
      </c>
      <c r="L135" s="1" t="s">
        <v>65</v>
      </c>
      <c r="M135">
        <v>47</v>
      </c>
      <c r="N135" s="1" t="s">
        <v>25</v>
      </c>
      <c r="O135" s="1" t="s">
        <v>66</v>
      </c>
      <c r="P135">
        <v>2</v>
      </c>
      <c r="Q135" s="1" t="s">
        <v>41</v>
      </c>
      <c r="R135">
        <v>1</v>
      </c>
      <c r="S135" s="1" t="s">
        <v>23</v>
      </c>
      <c r="T135" s="1" t="s">
        <v>28</v>
      </c>
      <c r="U135" s="1" t="s">
        <v>29</v>
      </c>
    </row>
    <row r="136" spans="1:21" x14ac:dyDescent="0.3">
      <c r="A136" s="1" t="s">
        <v>17</v>
      </c>
      <c r="B136">
        <v>60</v>
      </c>
      <c r="C136" s="1" t="s">
        <v>31</v>
      </c>
      <c r="D136" s="1" t="s">
        <v>36</v>
      </c>
      <c r="E136">
        <v>10144</v>
      </c>
      <c r="F136" s="1" t="s">
        <v>46</v>
      </c>
      <c r="G136" s="1" t="s">
        <v>49</v>
      </c>
      <c r="H136">
        <v>2</v>
      </c>
      <c r="I136" s="1" t="s">
        <v>22</v>
      </c>
      <c r="J136" s="1" t="s">
        <v>23</v>
      </c>
      <c r="K136">
        <v>4</v>
      </c>
      <c r="L136" s="1" t="s">
        <v>24</v>
      </c>
      <c r="M136">
        <v>21</v>
      </c>
      <c r="N136" s="1" t="s">
        <v>23</v>
      </c>
      <c r="O136" s="1" t="s">
        <v>26</v>
      </c>
      <c r="P136">
        <v>1</v>
      </c>
      <c r="Q136" s="1" t="s">
        <v>41</v>
      </c>
      <c r="R136">
        <v>1</v>
      </c>
      <c r="S136" s="1" t="s">
        <v>28</v>
      </c>
      <c r="T136" s="1" t="s">
        <v>28</v>
      </c>
      <c r="U136" s="1" t="s">
        <v>29</v>
      </c>
    </row>
    <row r="137" spans="1:21" x14ac:dyDescent="0.3">
      <c r="A137" s="1" t="s">
        <v>17</v>
      </c>
      <c r="B137">
        <v>12</v>
      </c>
      <c r="C137" s="1" t="s">
        <v>18</v>
      </c>
      <c r="D137" s="1" t="s">
        <v>36</v>
      </c>
      <c r="E137">
        <v>1240</v>
      </c>
      <c r="F137" s="1" t="s">
        <v>47</v>
      </c>
      <c r="G137" s="1" t="s">
        <v>38</v>
      </c>
      <c r="H137">
        <v>4</v>
      </c>
      <c r="I137" s="1" t="s">
        <v>22</v>
      </c>
      <c r="J137" s="1" t="s">
        <v>23</v>
      </c>
      <c r="K137">
        <v>2</v>
      </c>
      <c r="L137" s="1" t="s">
        <v>24</v>
      </c>
      <c r="M137">
        <v>38</v>
      </c>
      <c r="N137" s="1" t="s">
        <v>23</v>
      </c>
      <c r="O137" s="1" t="s">
        <v>26</v>
      </c>
      <c r="P137">
        <v>2</v>
      </c>
      <c r="Q137" s="1" t="s">
        <v>41</v>
      </c>
      <c r="R137">
        <v>1</v>
      </c>
      <c r="S137" s="1" t="s">
        <v>28</v>
      </c>
      <c r="T137" s="1" t="s">
        <v>28</v>
      </c>
      <c r="U137" s="1" t="s">
        <v>29</v>
      </c>
    </row>
    <row r="138" spans="1:21" x14ac:dyDescent="0.3">
      <c r="A138" s="1" t="s">
        <v>17</v>
      </c>
      <c r="B138">
        <v>27</v>
      </c>
      <c r="C138" s="1" t="s">
        <v>59</v>
      </c>
      <c r="D138" s="1" t="s">
        <v>69</v>
      </c>
      <c r="E138">
        <v>8613</v>
      </c>
      <c r="F138" s="1" t="s">
        <v>20</v>
      </c>
      <c r="G138" s="1" t="s">
        <v>21</v>
      </c>
      <c r="H138">
        <v>2</v>
      </c>
      <c r="I138" s="1" t="s">
        <v>39</v>
      </c>
      <c r="J138" s="1" t="s">
        <v>23</v>
      </c>
      <c r="K138">
        <v>2</v>
      </c>
      <c r="L138" s="1" t="s">
        <v>40</v>
      </c>
      <c r="M138">
        <v>27</v>
      </c>
      <c r="N138" s="1" t="s">
        <v>23</v>
      </c>
      <c r="O138" s="1" t="s">
        <v>26</v>
      </c>
      <c r="P138">
        <v>2</v>
      </c>
      <c r="Q138" s="1" t="s">
        <v>41</v>
      </c>
      <c r="R138">
        <v>1</v>
      </c>
      <c r="S138" s="1" t="s">
        <v>23</v>
      </c>
      <c r="T138" s="1" t="s">
        <v>28</v>
      </c>
      <c r="U138" s="1" t="s">
        <v>29</v>
      </c>
    </row>
    <row r="139" spans="1:21" x14ac:dyDescent="0.3">
      <c r="A139" s="1" t="s">
        <v>30</v>
      </c>
      <c r="B139">
        <v>12</v>
      </c>
      <c r="C139" s="1" t="s">
        <v>31</v>
      </c>
      <c r="D139" s="1" t="s">
        <v>36</v>
      </c>
      <c r="E139">
        <v>766</v>
      </c>
      <c r="F139" s="1" t="s">
        <v>37</v>
      </c>
      <c r="G139" s="1" t="s">
        <v>21</v>
      </c>
      <c r="H139">
        <v>4</v>
      </c>
      <c r="I139" s="1" t="s">
        <v>39</v>
      </c>
      <c r="J139" s="1" t="s">
        <v>23</v>
      </c>
      <c r="K139">
        <v>3</v>
      </c>
      <c r="L139" s="1" t="s">
        <v>24</v>
      </c>
      <c r="M139">
        <v>66</v>
      </c>
      <c r="N139" s="1" t="s">
        <v>23</v>
      </c>
      <c r="O139" s="1" t="s">
        <v>26</v>
      </c>
      <c r="P139">
        <v>1</v>
      </c>
      <c r="Q139" s="1" t="s">
        <v>27</v>
      </c>
      <c r="R139">
        <v>1</v>
      </c>
      <c r="S139" s="1" t="s">
        <v>23</v>
      </c>
      <c r="T139" s="1" t="s">
        <v>28</v>
      </c>
      <c r="U139" s="1" t="s">
        <v>56</v>
      </c>
    </row>
    <row r="140" spans="1:21" x14ac:dyDescent="0.3">
      <c r="A140" s="1" t="s">
        <v>30</v>
      </c>
      <c r="B140">
        <v>15</v>
      </c>
      <c r="C140" s="1" t="s">
        <v>18</v>
      </c>
      <c r="D140" s="1" t="s">
        <v>36</v>
      </c>
      <c r="E140">
        <v>2728</v>
      </c>
      <c r="F140" s="1" t="s">
        <v>47</v>
      </c>
      <c r="G140" s="1" t="s">
        <v>49</v>
      </c>
      <c r="H140">
        <v>4</v>
      </c>
      <c r="I140" s="1" t="s">
        <v>39</v>
      </c>
      <c r="J140" s="1" t="s">
        <v>58</v>
      </c>
      <c r="K140">
        <v>2</v>
      </c>
      <c r="L140" s="1" t="s">
        <v>24</v>
      </c>
      <c r="M140">
        <v>35</v>
      </c>
      <c r="N140" s="1" t="s">
        <v>25</v>
      </c>
      <c r="O140" s="1" t="s">
        <v>26</v>
      </c>
      <c r="P140">
        <v>3</v>
      </c>
      <c r="Q140" s="1" t="s">
        <v>41</v>
      </c>
      <c r="R140">
        <v>1</v>
      </c>
      <c r="S140" s="1" t="s">
        <v>28</v>
      </c>
      <c r="T140" s="1" t="s">
        <v>28</v>
      </c>
      <c r="U140" s="1" t="s">
        <v>29</v>
      </c>
    </row>
    <row r="141" spans="1:21" x14ac:dyDescent="0.3">
      <c r="A141" s="1" t="s">
        <v>50</v>
      </c>
      <c r="B141">
        <v>12</v>
      </c>
      <c r="C141" s="1" t="s">
        <v>31</v>
      </c>
      <c r="D141" s="1" t="s">
        <v>36</v>
      </c>
      <c r="E141">
        <v>1881</v>
      </c>
      <c r="F141" s="1" t="s">
        <v>32</v>
      </c>
      <c r="G141" s="1" t="s">
        <v>21</v>
      </c>
      <c r="H141">
        <v>2</v>
      </c>
      <c r="I141" s="1" t="s">
        <v>22</v>
      </c>
      <c r="J141" s="1" t="s">
        <v>23</v>
      </c>
      <c r="K141">
        <v>2</v>
      </c>
      <c r="L141" s="1" t="s">
        <v>40</v>
      </c>
      <c r="M141">
        <v>44</v>
      </c>
      <c r="N141" s="1" t="s">
        <v>23</v>
      </c>
      <c r="O141" s="1" t="s">
        <v>34</v>
      </c>
      <c r="P141">
        <v>1</v>
      </c>
      <c r="Q141" s="1" t="s">
        <v>27</v>
      </c>
      <c r="R141">
        <v>1</v>
      </c>
      <c r="S141" s="1" t="s">
        <v>28</v>
      </c>
      <c r="T141" s="1" t="s">
        <v>28</v>
      </c>
      <c r="U141" s="1" t="s">
        <v>29</v>
      </c>
    </row>
    <row r="142" spans="1:21" x14ac:dyDescent="0.3">
      <c r="A142" s="1" t="s">
        <v>50</v>
      </c>
      <c r="B142">
        <v>6</v>
      </c>
      <c r="C142" s="1" t="s">
        <v>31</v>
      </c>
      <c r="D142" s="1" t="s">
        <v>19</v>
      </c>
      <c r="E142">
        <v>709</v>
      </c>
      <c r="F142" s="1" t="s">
        <v>20</v>
      </c>
      <c r="G142" s="1" t="s">
        <v>45</v>
      </c>
      <c r="H142">
        <v>2</v>
      </c>
      <c r="I142" s="1" t="s">
        <v>33</v>
      </c>
      <c r="J142" s="1" t="s">
        <v>23</v>
      </c>
      <c r="K142">
        <v>2</v>
      </c>
      <c r="L142" s="1" t="s">
        <v>24</v>
      </c>
      <c r="M142">
        <v>27</v>
      </c>
      <c r="N142" s="1" t="s">
        <v>23</v>
      </c>
      <c r="O142" s="1" t="s">
        <v>26</v>
      </c>
      <c r="P142">
        <v>1</v>
      </c>
      <c r="Q142" s="1" t="s">
        <v>62</v>
      </c>
      <c r="R142">
        <v>1</v>
      </c>
      <c r="S142" s="1" t="s">
        <v>23</v>
      </c>
      <c r="T142" s="1" t="s">
        <v>60</v>
      </c>
      <c r="U142" s="1" t="s">
        <v>29</v>
      </c>
    </row>
    <row r="143" spans="1:21" x14ac:dyDescent="0.3">
      <c r="A143" s="1" t="s">
        <v>30</v>
      </c>
      <c r="B143">
        <v>36</v>
      </c>
      <c r="C143" s="1" t="s">
        <v>31</v>
      </c>
      <c r="D143" s="1" t="s">
        <v>36</v>
      </c>
      <c r="E143">
        <v>4795</v>
      </c>
      <c r="F143" s="1" t="s">
        <v>32</v>
      </c>
      <c r="G143" s="1" t="s">
        <v>45</v>
      </c>
      <c r="H143">
        <v>4</v>
      </c>
      <c r="I143" s="1" t="s">
        <v>22</v>
      </c>
      <c r="J143" s="1" t="s">
        <v>23</v>
      </c>
      <c r="K143">
        <v>1</v>
      </c>
      <c r="L143" s="1" t="s">
        <v>65</v>
      </c>
      <c r="M143">
        <v>30</v>
      </c>
      <c r="N143" s="1" t="s">
        <v>23</v>
      </c>
      <c r="O143" s="1" t="s">
        <v>26</v>
      </c>
      <c r="P143">
        <v>1</v>
      </c>
      <c r="Q143" s="1" t="s">
        <v>63</v>
      </c>
      <c r="R143">
        <v>1</v>
      </c>
      <c r="S143" s="1" t="s">
        <v>28</v>
      </c>
      <c r="T143" s="1" t="s">
        <v>28</v>
      </c>
      <c r="U143" s="1" t="s">
        <v>29</v>
      </c>
    </row>
    <row r="144" spans="1:21" x14ac:dyDescent="0.3">
      <c r="A144" s="1" t="s">
        <v>35</v>
      </c>
      <c r="B144">
        <v>27</v>
      </c>
      <c r="C144" s="1" t="s">
        <v>31</v>
      </c>
      <c r="D144" s="1" t="s">
        <v>36</v>
      </c>
      <c r="E144">
        <v>3416</v>
      </c>
      <c r="F144" s="1" t="s">
        <v>32</v>
      </c>
      <c r="G144" s="1" t="s">
        <v>21</v>
      </c>
      <c r="H144">
        <v>3</v>
      </c>
      <c r="I144" s="1" t="s">
        <v>39</v>
      </c>
      <c r="J144" s="1" t="s">
        <v>23</v>
      </c>
      <c r="K144">
        <v>2</v>
      </c>
      <c r="L144" s="1" t="s">
        <v>40</v>
      </c>
      <c r="M144">
        <v>27</v>
      </c>
      <c r="N144" s="1" t="s">
        <v>23</v>
      </c>
      <c r="O144" s="1" t="s">
        <v>26</v>
      </c>
      <c r="P144">
        <v>1</v>
      </c>
      <c r="Q144" s="1" t="s">
        <v>63</v>
      </c>
      <c r="R144">
        <v>1</v>
      </c>
      <c r="S144" s="1" t="s">
        <v>23</v>
      </c>
      <c r="T144" s="1" t="s">
        <v>28</v>
      </c>
      <c r="U144" s="1" t="s">
        <v>29</v>
      </c>
    </row>
    <row r="145" spans="1:21" x14ac:dyDescent="0.3">
      <c r="A145" s="1" t="s">
        <v>35</v>
      </c>
      <c r="B145">
        <v>18</v>
      </c>
      <c r="C145" s="1" t="s">
        <v>31</v>
      </c>
      <c r="D145" s="1" t="s">
        <v>53</v>
      </c>
      <c r="E145">
        <v>2462</v>
      </c>
      <c r="F145" s="1" t="s">
        <v>32</v>
      </c>
      <c r="G145" s="1" t="s">
        <v>21</v>
      </c>
      <c r="H145">
        <v>2</v>
      </c>
      <c r="I145" s="1" t="s">
        <v>39</v>
      </c>
      <c r="J145" s="1" t="s">
        <v>23</v>
      </c>
      <c r="K145">
        <v>2</v>
      </c>
      <c r="L145" s="1" t="s">
        <v>40</v>
      </c>
      <c r="M145">
        <v>22</v>
      </c>
      <c r="N145" s="1" t="s">
        <v>23</v>
      </c>
      <c r="O145" s="1" t="s">
        <v>26</v>
      </c>
      <c r="P145">
        <v>1</v>
      </c>
      <c r="Q145" s="1" t="s">
        <v>41</v>
      </c>
      <c r="R145">
        <v>1</v>
      </c>
      <c r="S145" s="1" t="s">
        <v>23</v>
      </c>
      <c r="T145" s="1" t="s">
        <v>28</v>
      </c>
      <c r="U145" s="1" t="s">
        <v>56</v>
      </c>
    </row>
    <row r="146" spans="1:21" x14ac:dyDescent="0.3">
      <c r="A146" s="1" t="s">
        <v>17</v>
      </c>
      <c r="B146">
        <v>21</v>
      </c>
      <c r="C146" s="1" t="s">
        <v>18</v>
      </c>
      <c r="D146" s="1" t="s">
        <v>53</v>
      </c>
      <c r="E146">
        <v>2288</v>
      </c>
      <c r="F146" s="1" t="s">
        <v>32</v>
      </c>
      <c r="G146" s="1" t="s">
        <v>45</v>
      </c>
      <c r="H146">
        <v>4</v>
      </c>
      <c r="I146" s="1" t="s">
        <v>22</v>
      </c>
      <c r="J146" s="1" t="s">
        <v>23</v>
      </c>
      <c r="K146">
        <v>4</v>
      </c>
      <c r="L146" s="1" t="s">
        <v>48</v>
      </c>
      <c r="M146">
        <v>23</v>
      </c>
      <c r="N146" s="1" t="s">
        <v>23</v>
      </c>
      <c r="O146" s="1" t="s">
        <v>26</v>
      </c>
      <c r="P146">
        <v>1</v>
      </c>
      <c r="Q146" s="1" t="s">
        <v>41</v>
      </c>
      <c r="R146">
        <v>1</v>
      </c>
      <c r="S146" s="1" t="s">
        <v>28</v>
      </c>
      <c r="T146" s="1" t="s">
        <v>28</v>
      </c>
      <c r="U146" s="1" t="s">
        <v>29</v>
      </c>
    </row>
    <row r="147" spans="1:21" x14ac:dyDescent="0.3">
      <c r="A147" s="1" t="s">
        <v>30</v>
      </c>
      <c r="B147">
        <v>48</v>
      </c>
      <c r="C147" s="1" t="s">
        <v>42</v>
      </c>
      <c r="D147" s="1" t="s">
        <v>61</v>
      </c>
      <c r="E147">
        <v>3566</v>
      </c>
      <c r="F147" s="1" t="s">
        <v>46</v>
      </c>
      <c r="G147" s="1" t="s">
        <v>49</v>
      </c>
      <c r="H147">
        <v>4</v>
      </c>
      <c r="I147" s="1" t="s">
        <v>39</v>
      </c>
      <c r="J147" s="1" t="s">
        <v>23</v>
      </c>
      <c r="K147">
        <v>2</v>
      </c>
      <c r="L147" s="1" t="s">
        <v>40</v>
      </c>
      <c r="M147">
        <v>30</v>
      </c>
      <c r="N147" s="1" t="s">
        <v>23</v>
      </c>
      <c r="O147" s="1" t="s">
        <v>26</v>
      </c>
      <c r="P147">
        <v>1</v>
      </c>
      <c r="Q147" s="1" t="s">
        <v>41</v>
      </c>
      <c r="R147">
        <v>1</v>
      </c>
      <c r="S147" s="1" t="s">
        <v>23</v>
      </c>
      <c r="T147" s="1" t="s">
        <v>28</v>
      </c>
      <c r="U147" s="1" t="s">
        <v>29</v>
      </c>
    </row>
    <row r="148" spans="1:21" x14ac:dyDescent="0.3">
      <c r="A148" s="1" t="s">
        <v>35</v>
      </c>
      <c r="B148">
        <v>6</v>
      </c>
      <c r="C148" s="1" t="s">
        <v>18</v>
      </c>
      <c r="D148" s="1" t="s">
        <v>19</v>
      </c>
      <c r="E148">
        <v>860</v>
      </c>
      <c r="F148" s="1" t="s">
        <v>32</v>
      </c>
      <c r="G148" s="1" t="s">
        <v>38</v>
      </c>
      <c r="H148">
        <v>1</v>
      </c>
      <c r="I148" s="1" t="s">
        <v>22</v>
      </c>
      <c r="J148" s="1" t="s">
        <v>23</v>
      </c>
      <c r="K148">
        <v>4</v>
      </c>
      <c r="L148" s="1" t="s">
        <v>65</v>
      </c>
      <c r="M148">
        <v>39</v>
      </c>
      <c r="N148" s="1" t="s">
        <v>23</v>
      </c>
      <c r="O148" s="1" t="s">
        <v>26</v>
      </c>
      <c r="P148">
        <v>2</v>
      </c>
      <c r="Q148" s="1" t="s">
        <v>41</v>
      </c>
      <c r="R148">
        <v>1</v>
      </c>
      <c r="S148" s="1" t="s">
        <v>28</v>
      </c>
      <c r="T148" s="1" t="s">
        <v>28</v>
      </c>
      <c r="U148" s="1" t="s">
        <v>29</v>
      </c>
    </row>
    <row r="149" spans="1:21" x14ac:dyDescent="0.3">
      <c r="A149" s="1" t="s">
        <v>17</v>
      </c>
      <c r="B149">
        <v>12</v>
      </c>
      <c r="C149" s="1" t="s">
        <v>18</v>
      </c>
      <c r="D149" s="1" t="s">
        <v>19</v>
      </c>
      <c r="E149">
        <v>682</v>
      </c>
      <c r="F149" s="1" t="s">
        <v>46</v>
      </c>
      <c r="G149" s="1" t="s">
        <v>49</v>
      </c>
      <c r="H149">
        <v>4</v>
      </c>
      <c r="I149" s="1" t="s">
        <v>22</v>
      </c>
      <c r="J149" s="1" t="s">
        <v>23</v>
      </c>
      <c r="K149">
        <v>3</v>
      </c>
      <c r="L149" s="1" t="s">
        <v>40</v>
      </c>
      <c r="M149">
        <v>51</v>
      </c>
      <c r="N149" s="1" t="s">
        <v>23</v>
      </c>
      <c r="O149" s="1" t="s">
        <v>26</v>
      </c>
      <c r="P149">
        <v>2</v>
      </c>
      <c r="Q149" s="1" t="s">
        <v>41</v>
      </c>
      <c r="R149">
        <v>1</v>
      </c>
      <c r="S149" s="1" t="s">
        <v>28</v>
      </c>
      <c r="T149" s="1" t="s">
        <v>28</v>
      </c>
      <c r="U149" s="1" t="s">
        <v>29</v>
      </c>
    </row>
    <row r="150" spans="1:21" x14ac:dyDescent="0.3">
      <c r="A150" s="1" t="s">
        <v>35</v>
      </c>
      <c r="B150">
        <v>36</v>
      </c>
      <c r="C150" s="1" t="s">
        <v>18</v>
      </c>
      <c r="D150" s="1" t="s">
        <v>53</v>
      </c>
      <c r="E150">
        <v>5371</v>
      </c>
      <c r="F150" s="1" t="s">
        <v>32</v>
      </c>
      <c r="G150" s="1" t="s">
        <v>21</v>
      </c>
      <c r="H150">
        <v>3</v>
      </c>
      <c r="I150" s="1" t="s">
        <v>39</v>
      </c>
      <c r="J150" s="1" t="s">
        <v>58</v>
      </c>
      <c r="K150">
        <v>2</v>
      </c>
      <c r="L150" s="1" t="s">
        <v>48</v>
      </c>
      <c r="M150">
        <v>28</v>
      </c>
      <c r="N150" s="1" t="s">
        <v>23</v>
      </c>
      <c r="O150" s="1" t="s">
        <v>26</v>
      </c>
      <c r="P150">
        <v>2</v>
      </c>
      <c r="Q150" s="1" t="s">
        <v>41</v>
      </c>
      <c r="R150">
        <v>1</v>
      </c>
      <c r="S150" s="1" t="s">
        <v>23</v>
      </c>
      <c r="T150" s="1" t="s">
        <v>28</v>
      </c>
      <c r="U150" s="1" t="s">
        <v>29</v>
      </c>
    </row>
    <row r="151" spans="1:21" x14ac:dyDescent="0.3">
      <c r="A151" s="1" t="s">
        <v>17</v>
      </c>
      <c r="B151">
        <v>18</v>
      </c>
      <c r="C151" s="1" t="s">
        <v>18</v>
      </c>
      <c r="D151" s="1" t="s">
        <v>36</v>
      </c>
      <c r="E151">
        <v>1582</v>
      </c>
      <c r="F151" s="1" t="s">
        <v>20</v>
      </c>
      <c r="G151" s="1" t="s">
        <v>38</v>
      </c>
      <c r="H151">
        <v>4</v>
      </c>
      <c r="I151" s="1" t="s">
        <v>39</v>
      </c>
      <c r="J151" s="1" t="s">
        <v>23</v>
      </c>
      <c r="K151">
        <v>4</v>
      </c>
      <c r="L151" s="1" t="s">
        <v>40</v>
      </c>
      <c r="M151">
        <v>46</v>
      </c>
      <c r="N151" s="1" t="s">
        <v>23</v>
      </c>
      <c r="O151" s="1" t="s">
        <v>26</v>
      </c>
      <c r="P151">
        <v>2</v>
      </c>
      <c r="Q151" s="1" t="s">
        <v>41</v>
      </c>
      <c r="R151">
        <v>1</v>
      </c>
      <c r="S151" s="1" t="s">
        <v>23</v>
      </c>
      <c r="T151" s="1" t="s">
        <v>28</v>
      </c>
      <c r="U151" s="1" t="s">
        <v>29</v>
      </c>
    </row>
    <row r="152" spans="1:21" x14ac:dyDescent="0.3">
      <c r="A152" s="1" t="s">
        <v>17</v>
      </c>
      <c r="B152">
        <v>6</v>
      </c>
      <c r="C152" s="1" t="s">
        <v>31</v>
      </c>
      <c r="D152" s="1" t="s">
        <v>36</v>
      </c>
      <c r="E152">
        <v>1346</v>
      </c>
      <c r="F152" s="1" t="s">
        <v>46</v>
      </c>
      <c r="G152" s="1" t="s">
        <v>38</v>
      </c>
      <c r="H152">
        <v>2</v>
      </c>
      <c r="I152" s="1" t="s">
        <v>39</v>
      </c>
      <c r="J152" s="1" t="s">
        <v>23</v>
      </c>
      <c r="K152">
        <v>4</v>
      </c>
      <c r="L152" s="1" t="s">
        <v>65</v>
      </c>
      <c r="M152">
        <v>42</v>
      </c>
      <c r="N152" s="1" t="s">
        <v>25</v>
      </c>
      <c r="O152" s="1" t="s">
        <v>66</v>
      </c>
      <c r="P152">
        <v>1</v>
      </c>
      <c r="Q152" s="1" t="s">
        <v>41</v>
      </c>
      <c r="R152">
        <v>2</v>
      </c>
      <c r="S152" s="1" t="s">
        <v>28</v>
      </c>
      <c r="T152" s="1" t="s">
        <v>28</v>
      </c>
      <c r="U152" s="1" t="s">
        <v>29</v>
      </c>
    </row>
    <row r="153" spans="1:21" x14ac:dyDescent="0.3">
      <c r="A153" s="1" t="s">
        <v>17</v>
      </c>
      <c r="B153">
        <v>10</v>
      </c>
      <c r="C153" s="1" t="s">
        <v>31</v>
      </c>
      <c r="D153" s="1" t="s">
        <v>36</v>
      </c>
      <c r="E153">
        <v>1924</v>
      </c>
      <c r="F153" s="1" t="s">
        <v>32</v>
      </c>
      <c r="G153" s="1" t="s">
        <v>21</v>
      </c>
      <c r="H153">
        <v>1</v>
      </c>
      <c r="I153" s="1" t="s">
        <v>39</v>
      </c>
      <c r="J153" s="1" t="s">
        <v>23</v>
      </c>
      <c r="K153">
        <v>4</v>
      </c>
      <c r="L153" s="1" t="s">
        <v>48</v>
      </c>
      <c r="M153">
        <v>38</v>
      </c>
      <c r="N153" s="1" t="s">
        <v>23</v>
      </c>
      <c r="O153" s="1" t="s">
        <v>26</v>
      </c>
      <c r="P153">
        <v>1</v>
      </c>
      <c r="Q153" s="1" t="s">
        <v>41</v>
      </c>
      <c r="R153">
        <v>1</v>
      </c>
      <c r="S153" s="1" t="s">
        <v>28</v>
      </c>
      <c r="T153" s="1" t="s">
        <v>60</v>
      </c>
      <c r="U153" s="1" t="s">
        <v>29</v>
      </c>
    </row>
    <row r="154" spans="1:21" x14ac:dyDescent="0.3">
      <c r="A154" s="1" t="s">
        <v>50</v>
      </c>
      <c r="B154">
        <v>36</v>
      </c>
      <c r="C154" s="1" t="s">
        <v>31</v>
      </c>
      <c r="D154" s="1" t="s">
        <v>36</v>
      </c>
      <c r="E154">
        <v>5848</v>
      </c>
      <c r="F154" s="1" t="s">
        <v>32</v>
      </c>
      <c r="G154" s="1" t="s">
        <v>21</v>
      </c>
      <c r="H154">
        <v>4</v>
      </c>
      <c r="I154" s="1" t="s">
        <v>39</v>
      </c>
      <c r="J154" s="1" t="s">
        <v>23</v>
      </c>
      <c r="K154">
        <v>1</v>
      </c>
      <c r="L154" s="1" t="s">
        <v>40</v>
      </c>
      <c r="M154">
        <v>24</v>
      </c>
      <c r="N154" s="1" t="s">
        <v>23</v>
      </c>
      <c r="O154" s="1" t="s">
        <v>26</v>
      </c>
      <c r="P154">
        <v>1</v>
      </c>
      <c r="Q154" s="1" t="s">
        <v>41</v>
      </c>
      <c r="R154">
        <v>1</v>
      </c>
      <c r="S154" s="1" t="s">
        <v>23</v>
      </c>
      <c r="T154" s="1" t="s">
        <v>28</v>
      </c>
      <c r="U154" s="1" t="s">
        <v>29</v>
      </c>
    </row>
    <row r="155" spans="1:21" x14ac:dyDescent="0.3">
      <c r="A155" s="1" t="s">
        <v>30</v>
      </c>
      <c r="B155">
        <v>24</v>
      </c>
      <c r="C155" s="1" t="s">
        <v>18</v>
      </c>
      <c r="D155" s="1" t="s">
        <v>69</v>
      </c>
      <c r="E155">
        <v>7758</v>
      </c>
      <c r="F155" s="1" t="s">
        <v>20</v>
      </c>
      <c r="G155" s="1" t="s">
        <v>38</v>
      </c>
      <c r="H155">
        <v>2</v>
      </c>
      <c r="I155" s="1" t="s">
        <v>22</v>
      </c>
      <c r="J155" s="1" t="s">
        <v>23</v>
      </c>
      <c r="K155">
        <v>4</v>
      </c>
      <c r="L155" s="1" t="s">
        <v>65</v>
      </c>
      <c r="M155">
        <v>29</v>
      </c>
      <c r="N155" s="1" t="s">
        <v>23</v>
      </c>
      <c r="O155" s="1" t="s">
        <v>34</v>
      </c>
      <c r="P155">
        <v>1</v>
      </c>
      <c r="Q155" s="1" t="s">
        <v>41</v>
      </c>
      <c r="R155">
        <v>1</v>
      </c>
      <c r="S155" s="1" t="s">
        <v>23</v>
      </c>
      <c r="T155" s="1" t="s">
        <v>28</v>
      </c>
      <c r="U155" s="1" t="s">
        <v>29</v>
      </c>
    </row>
    <row r="156" spans="1:21" x14ac:dyDescent="0.3">
      <c r="A156" s="1" t="s">
        <v>30</v>
      </c>
      <c r="B156">
        <v>24</v>
      </c>
      <c r="C156" s="1" t="s">
        <v>59</v>
      </c>
      <c r="D156" s="1" t="s">
        <v>61</v>
      </c>
      <c r="E156">
        <v>6967</v>
      </c>
      <c r="F156" s="1" t="s">
        <v>46</v>
      </c>
      <c r="G156" s="1" t="s">
        <v>49</v>
      </c>
      <c r="H156">
        <v>4</v>
      </c>
      <c r="I156" s="1" t="s">
        <v>39</v>
      </c>
      <c r="J156" s="1" t="s">
        <v>23</v>
      </c>
      <c r="K156">
        <v>4</v>
      </c>
      <c r="L156" s="1" t="s">
        <v>40</v>
      </c>
      <c r="M156">
        <v>36</v>
      </c>
      <c r="N156" s="1" t="s">
        <v>23</v>
      </c>
      <c r="O156" s="1" t="s">
        <v>34</v>
      </c>
      <c r="P156">
        <v>1</v>
      </c>
      <c r="Q156" s="1" t="s">
        <v>63</v>
      </c>
      <c r="R156">
        <v>1</v>
      </c>
      <c r="S156" s="1" t="s">
        <v>28</v>
      </c>
      <c r="T156" s="1" t="s">
        <v>28</v>
      </c>
      <c r="U156" s="1" t="s">
        <v>29</v>
      </c>
    </row>
    <row r="157" spans="1:21" x14ac:dyDescent="0.3">
      <c r="A157" s="1" t="s">
        <v>35</v>
      </c>
      <c r="B157">
        <v>12</v>
      </c>
      <c r="C157" s="1" t="s">
        <v>31</v>
      </c>
      <c r="D157" s="1" t="s">
        <v>53</v>
      </c>
      <c r="E157">
        <v>1282</v>
      </c>
      <c r="F157" s="1" t="s">
        <v>32</v>
      </c>
      <c r="G157" s="1" t="s">
        <v>21</v>
      </c>
      <c r="H157">
        <v>2</v>
      </c>
      <c r="I157" s="1" t="s">
        <v>22</v>
      </c>
      <c r="J157" s="1" t="s">
        <v>23</v>
      </c>
      <c r="K157">
        <v>4</v>
      </c>
      <c r="L157" s="1" t="s">
        <v>40</v>
      </c>
      <c r="M157">
        <v>20</v>
      </c>
      <c r="N157" s="1" t="s">
        <v>23</v>
      </c>
      <c r="O157" s="1" t="s">
        <v>34</v>
      </c>
      <c r="P157">
        <v>1</v>
      </c>
      <c r="Q157" s="1" t="s">
        <v>41</v>
      </c>
      <c r="R157">
        <v>1</v>
      </c>
      <c r="S157" s="1" t="s">
        <v>23</v>
      </c>
      <c r="T157" s="1" t="s">
        <v>28</v>
      </c>
      <c r="U157" s="1" t="s">
        <v>56</v>
      </c>
    </row>
    <row r="158" spans="1:21" x14ac:dyDescent="0.3">
      <c r="A158" s="1" t="s">
        <v>35</v>
      </c>
      <c r="B158">
        <v>9</v>
      </c>
      <c r="C158" s="1" t="s">
        <v>18</v>
      </c>
      <c r="D158" s="1" t="s">
        <v>57</v>
      </c>
      <c r="E158">
        <v>1288</v>
      </c>
      <c r="F158" s="1" t="s">
        <v>46</v>
      </c>
      <c r="G158" s="1" t="s">
        <v>38</v>
      </c>
      <c r="H158">
        <v>3</v>
      </c>
      <c r="I158" s="1" t="s">
        <v>39</v>
      </c>
      <c r="J158" s="1" t="s">
        <v>58</v>
      </c>
      <c r="K158">
        <v>4</v>
      </c>
      <c r="L158" s="1" t="s">
        <v>24</v>
      </c>
      <c r="M158">
        <v>48</v>
      </c>
      <c r="N158" s="1" t="s">
        <v>23</v>
      </c>
      <c r="O158" s="1" t="s">
        <v>26</v>
      </c>
      <c r="P158">
        <v>2</v>
      </c>
      <c r="Q158" s="1" t="s">
        <v>41</v>
      </c>
      <c r="R158">
        <v>2</v>
      </c>
      <c r="S158" s="1" t="s">
        <v>23</v>
      </c>
      <c r="T158" s="1" t="s">
        <v>60</v>
      </c>
      <c r="U158" s="1" t="s">
        <v>29</v>
      </c>
    </row>
    <row r="159" spans="1:21" x14ac:dyDescent="0.3">
      <c r="A159" s="1" t="s">
        <v>35</v>
      </c>
      <c r="B159">
        <v>12</v>
      </c>
      <c r="C159" s="1" t="s">
        <v>42</v>
      </c>
      <c r="D159" s="1" t="s">
        <v>43</v>
      </c>
      <c r="E159">
        <v>339</v>
      </c>
      <c r="F159" s="1" t="s">
        <v>32</v>
      </c>
      <c r="G159" s="1" t="s">
        <v>38</v>
      </c>
      <c r="H159">
        <v>4</v>
      </c>
      <c r="I159" s="1" t="s">
        <v>33</v>
      </c>
      <c r="J159" s="1" t="s">
        <v>23</v>
      </c>
      <c r="K159">
        <v>1</v>
      </c>
      <c r="L159" s="1" t="s">
        <v>40</v>
      </c>
      <c r="M159">
        <v>45</v>
      </c>
      <c r="N159" s="1" t="s">
        <v>25</v>
      </c>
      <c r="O159" s="1" t="s">
        <v>26</v>
      </c>
      <c r="P159">
        <v>1</v>
      </c>
      <c r="Q159" s="1" t="s">
        <v>27</v>
      </c>
      <c r="R159">
        <v>1</v>
      </c>
      <c r="S159" s="1" t="s">
        <v>23</v>
      </c>
      <c r="T159" s="1" t="s">
        <v>28</v>
      </c>
      <c r="U159" s="1" t="s">
        <v>29</v>
      </c>
    </row>
    <row r="160" spans="1:21" x14ac:dyDescent="0.3">
      <c r="A160" s="1" t="s">
        <v>30</v>
      </c>
      <c r="B160">
        <v>24</v>
      </c>
      <c r="C160" s="1" t="s">
        <v>31</v>
      </c>
      <c r="D160" s="1" t="s">
        <v>19</v>
      </c>
      <c r="E160">
        <v>3512</v>
      </c>
      <c r="F160" s="1" t="s">
        <v>46</v>
      </c>
      <c r="G160" s="1" t="s">
        <v>49</v>
      </c>
      <c r="H160">
        <v>2</v>
      </c>
      <c r="I160" s="1" t="s">
        <v>39</v>
      </c>
      <c r="J160" s="1" t="s">
        <v>23</v>
      </c>
      <c r="K160">
        <v>3</v>
      </c>
      <c r="L160" s="1" t="s">
        <v>40</v>
      </c>
      <c r="M160">
        <v>38</v>
      </c>
      <c r="N160" s="1" t="s">
        <v>25</v>
      </c>
      <c r="O160" s="1" t="s">
        <v>26</v>
      </c>
      <c r="P160">
        <v>2</v>
      </c>
      <c r="Q160" s="1" t="s">
        <v>41</v>
      </c>
      <c r="R160">
        <v>1</v>
      </c>
      <c r="S160" s="1" t="s">
        <v>28</v>
      </c>
      <c r="T160" s="1" t="s">
        <v>28</v>
      </c>
      <c r="U160" s="1" t="s">
        <v>29</v>
      </c>
    </row>
    <row r="161" spans="1:21" x14ac:dyDescent="0.3">
      <c r="A161" s="1" t="s">
        <v>17</v>
      </c>
      <c r="B161">
        <v>6</v>
      </c>
      <c r="C161" s="1" t="s">
        <v>18</v>
      </c>
      <c r="D161" s="1" t="s">
        <v>36</v>
      </c>
      <c r="E161">
        <v>1898</v>
      </c>
      <c r="F161" s="1" t="s">
        <v>47</v>
      </c>
      <c r="G161" s="1" t="s">
        <v>21</v>
      </c>
      <c r="H161">
        <v>1</v>
      </c>
      <c r="I161" s="1" t="s">
        <v>39</v>
      </c>
      <c r="J161" s="1" t="s">
        <v>23</v>
      </c>
      <c r="K161">
        <v>2</v>
      </c>
      <c r="L161" s="1" t="s">
        <v>24</v>
      </c>
      <c r="M161">
        <v>34</v>
      </c>
      <c r="N161" s="1" t="s">
        <v>23</v>
      </c>
      <c r="O161" s="1" t="s">
        <v>26</v>
      </c>
      <c r="P161">
        <v>2</v>
      </c>
      <c r="Q161" s="1" t="s">
        <v>27</v>
      </c>
      <c r="R161">
        <v>2</v>
      </c>
      <c r="S161" s="1" t="s">
        <v>23</v>
      </c>
      <c r="T161" s="1" t="s">
        <v>28</v>
      </c>
      <c r="U161" s="1" t="s">
        <v>29</v>
      </c>
    </row>
    <row r="162" spans="1:21" x14ac:dyDescent="0.3">
      <c r="A162" s="1" t="s">
        <v>17</v>
      </c>
      <c r="B162">
        <v>24</v>
      </c>
      <c r="C162" s="1" t="s">
        <v>18</v>
      </c>
      <c r="D162" s="1" t="s">
        <v>36</v>
      </c>
      <c r="E162">
        <v>2872</v>
      </c>
      <c r="F162" s="1" t="s">
        <v>46</v>
      </c>
      <c r="G162" s="1" t="s">
        <v>38</v>
      </c>
      <c r="H162">
        <v>3</v>
      </c>
      <c r="I162" s="1" t="s">
        <v>39</v>
      </c>
      <c r="J162" s="1" t="s">
        <v>23</v>
      </c>
      <c r="K162">
        <v>4</v>
      </c>
      <c r="L162" s="1" t="s">
        <v>24</v>
      </c>
      <c r="M162">
        <v>36</v>
      </c>
      <c r="N162" s="1" t="s">
        <v>23</v>
      </c>
      <c r="O162" s="1" t="s">
        <v>26</v>
      </c>
      <c r="P162">
        <v>1</v>
      </c>
      <c r="Q162" s="1" t="s">
        <v>41</v>
      </c>
      <c r="R162">
        <v>2</v>
      </c>
      <c r="S162" s="1" t="s">
        <v>28</v>
      </c>
      <c r="T162" s="1" t="s">
        <v>28</v>
      </c>
      <c r="U162" s="1" t="s">
        <v>29</v>
      </c>
    </row>
    <row r="163" spans="1:21" x14ac:dyDescent="0.3">
      <c r="A163" s="1" t="s">
        <v>17</v>
      </c>
      <c r="B163">
        <v>18</v>
      </c>
      <c r="C163" s="1" t="s">
        <v>18</v>
      </c>
      <c r="D163" s="1" t="s">
        <v>19</v>
      </c>
      <c r="E163">
        <v>1055</v>
      </c>
      <c r="F163" s="1" t="s">
        <v>32</v>
      </c>
      <c r="G163" s="1" t="s">
        <v>45</v>
      </c>
      <c r="H163">
        <v>4</v>
      </c>
      <c r="I163" s="1" t="s">
        <v>22</v>
      </c>
      <c r="J163" s="1" t="s">
        <v>23</v>
      </c>
      <c r="K163">
        <v>1</v>
      </c>
      <c r="L163" s="1" t="s">
        <v>48</v>
      </c>
      <c r="M163">
        <v>30</v>
      </c>
      <c r="N163" s="1" t="s">
        <v>23</v>
      </c>
      <c r="O163" s="1" t="s">
        <v>26</v>
      </c>
      <c r="P163">
        <v>2</v>
      </c>
      <c r="Q163" s="1" t="s">
        <v>41</v>
      </c>
      <c r="R163">
        <v>1</v>
      </c>
      <c r="S163" s="1" t="s">
        <v>23</v>
      </c>
      <c r="T163" s="1" t="s">
        <v>28</v>
      </c>
      <c r="U163" s="1" t="s">
        <v>29</v>
      </c>
    </row>
    <row r="164" spans="1:21" x14ac:dyDescent="0.3">
      <c r="A164" s="1" t="s">
        <v>17</v>
      </c>
      <c r="B164">
        <v>15</v>
      </c>
      <c r="C164" s="1" t="s">
        <v>31</v>
      </c>
      <c r="D164" s="1" t="s">
        <v>44</v>
      </c>
      <c r="E164">
        <v>1262</v>
      </c>
      <c r="F164" s="1" t="s">
        <v>37</v>
      </c>
      <c r="G164" s="1" t="s">
        <v>49</v>
      </c>
      <c r="H164">
        <v>4</v>
      </c>
      <c r="I164" s="1" t="s">
        <v>39</v>
      </c>
      <c r="J164" s="1" t="s">
        <v>23</v>
      </c>
      <c r="K164">
        <v>3</v>
      </c>
      <c r="L164" s="1" t="s">
        <v>48</v>
      </c>
      <c r="M164">
        <v>36</v>
      </c>
      <c r="N164" s="1" t="s">
        <v>23</v>
      </c>
      <c r="O164" s="1" t="s">
        <v>26</v>
      </c>
      <c r="P164">
        <v>2</v>
      </c>
      <c r="Q164" s="1" t="s">
        <v>41</v>
      </c>
      <c r="R164">
        <v>1</v>
      </c>
      <c r="S164" s="1" t="s">
        <v>28</v>
      </c>
      <c r="T164" s="1" t="s">
        <v>28</v>
      </c>
      <c r="U164" s="1" t="s">
        <v>29</v>
      </c>
    </row>
    <row r="165" spans="1:21" x14ac:dyDescent="0.3">
      <c r="A165" s="1" t="s">
        <v>30</v>
      </c>
      <c r="B165">
        <v>10</v>
      </c>
      <c r="C165" s="1" t="s">
        <v>31</v>
      </c>
      <c r="D165" s="1" t="s">
        <v>19</v>
      </c>
      <c r="E165">
        <v>7308</v>
      </c>
      <c r="F165" s="1" t="s">
        <v>32</v>
      </c>
      <c r="G165" s="1" t="s">
        <v>54</v>
      </c>
      <c r="H165">
        <v>2</v>
      </c>
      <c r="I165" s="1" t="s">
        <v>39</v>
      </c>
      <c r="J165" s="1" t="s">
        <v>23</v>
      </c>
      <c r="K165">
        <v>4</v>
      </c>
      <c r="L165" s="1" t="s">
        <v>65</v>
      </c>
      <c r="M165">
        <v>70</v>
      </c>
      <c r="N165" s="1" t="s">
        <v>25</v>
      </c>
      <c r="O165" s="1" t="s">
        <v>66</v>
      </c>
      <c r="P165">
        <v>1</v>
      </c>
      <c r="Q165" s="1" t="s">
        <v>63</v>
      </c>
      <c r="R165">
        <v>1</v>
      </c>
      <c r="S165" s="1" t="s">
        <v>28</v>
      </c>
      <c r="T165" s="1" t="s">
        <v>28</v>
      </c>
      <c r="U165" s="1" t="s">
        <v>29</v>
      </c>
    </row>
    <row r="166" spans="1:21" x14ac:dyDescent="0.3">
      <c r="A166" s="1" t="s">
        <v>17</v>
      </c>
      <c r="B166">
        <v>36</v>
      </c>
      <c r="C166" s="1" t="s">
        <v>31</v>
      </c>
      <c r="D166" s="1" t="s">
        <v>19</v>
      </c>
      <c r="E166">
        <v>909</v>
      </c>
      <c r="F166" s="1" t="s">
        <v>37</v>
      </c>
      <c r="G166" s="1" t="s">
        <v>38</v>
      </c>
      <c r="H166">
        <v>4</v>
      </c>
      <c r="I166" s="1" t="s">
        <v>39</v>
      </c>
      <c r="J166" s="1" t="s">
        <v>23</v>
      </c>
      <c r="K166">
        <v>4</v>
      </c>
      <c r="L166" s="1" t="s">
        <v>48</v>
      </c>
      <c r="M166">
        <v>36</v>
      </c>
      <c r="N166" s="1" t="s">
        <v>23</v>
      </c>
      <c r="O166" s="1" t="s">
        <v>26</v>
      </c>
      <c r="P166">
        <v>1</v>
      </c>
      <c r="Q166" s="1" t="s">
        <v>41</v>
      </c>
      <c r="R166">
        <v>1</v>
      </c>
      <c r="S166" s="1" t="s">
        <v>23</v>
      </c>
      <c r="T166" s="1" t="s">
        <v>28</v>
      </c>
      <c r="U166" s="1" t="s">
        <v>29</v>
      </c>
    </row>
    <row r="167" spans="1:21" x14ac:dyDescent="0.3">
      <c r="A167" s="1" t="s">
        <v>17</v>
      </c>
      <c r="B167">
        <v>6</v>
      </c>
      <c r="C167" s="1" t="s">
        <v>31</v>
      </c>
      <c r="D167" s="1" t="s">
        <v>53</v>
      </c>
      <c r="E167">
        <v>2978</v>
      </c>
      <c r="F167" s="1" t="s">
        <v>37</v>
      </c>
      <c r="G167" s="1" t="s">
        <v>21</v>
      </c>
      <c r="H167">
        <v>1</v>
      </c>
      <c r="I167" s="1" t="s">
        <v>39</v>
      </c>
      <c r="J167" s="1" t="s">
        <v>23</v>
      </c>
      <c r="K167">
        <v>2</v>
      </c>
      <c r="L167" s="1" t="s">
        <v>40</v>
      </c>
      <c r="M167">
        <v>32</v>
      </c>
      <c r="N167" s="1" t="s">
        <v>23</v>
      </c>
      <c r="O167" s="1" t="s">
        <v>26</v>
      </c>
      <c r="P167">
        <v>1</v>
      </c>
      <c r="Q167" s="1" t="s">
        <v>41</v>
      </c>
      <c r="R167">
        <v>1</v>
      </c>
      <c r="S167" s="1" t="s">
        <v>28</v>
      </c>
      <c r="T167" s="1" t="s">
        <v>28</v>
      </c>
      <c r="U167" s="1" t="s">
        <v>29</v>
      </c>
    </row>
    <row r="168" spans="1:21" x14ac:dyDescent="0.3">
      <c r="A168" s="1" t="s">
        <v>35</v>
      </c>
      <c r="B168">
        <v>18</v>
      </c>
      <c r="C168" s="1" t="s">
        <v>31</v>
      </c>
      <c r="D168" s="1" t="s">
        <v>53</v>
      </c>
      <c r="E168">
        <v>1131</v>
      </c>
      <c r="F168" s="1" t="s">
        <v>32</v>
      </c>
      <c r="G168" s="1" t="s">
        <v>54</v>
      </c>
      <c r="H168">
        <v>4</v>
      </c>
      <c r="I168" s="1" t="s">
        <v>22</v>
      </c>
      <c r="J168" s="1" t="s">
        <v>23</v>
      </c>
      <c r="K168">
        <v>2</v>
      </c>
      <c r="L168" s="1" t="s">
        <v>40</v>
      </c>
      <c r="M168">
        <v>33</v>
      </c>
      <c r="N168" s="1" t="s">
        <v>23</v>
      </c>
      <c r="O168" s="1" t="s">
        <v>26</v>
      </c>
      <c r="P168">
        <v>1</v>
      </c>
      <c r="Q168" s="1" t="s">
        <v>41</v>
      </c>
      <c r="R168">
        <v>1</v>
      </c>
      <c r="S168" s="1" t="s">
        <v>23</v>
      </c>
      <c r="T168" s="1" t="s">
        <v>28</v>
      </c>
      <c r="U168" s="1" t="s">
        <v>56</v>
      </c>
    </row>
    <row r="169" spans="1:21" x14ac:dyDescent="0.3">
      <c r="A169" s="1" t="s">
        <v>30</v>
      </c>
      <c r="B169">
        <v>11</v>
      </c>
      <c r="C169" s="1" t="s">
        <v>31</v>
      </c>
      <c r="D169" s="1" t="s">
        <v>53</v>
      </c>
      <c r="E169">
        <v>1577</v>
      </c>
      <c r="F169" s="1" t="s">
        <v>20</v>
      </c>
      <c r="G169" s="1" t="s">
        <v>45</v>
      </c>
      <c r="H169">
        <v>4</v>
      </c>
      <c r="I169" s="1" t="s">
        <v>22</v>
      </c>
      <c r="J169" s="1" t="s">
        <v>23</v>
      </c>
      <c r="K169">
        <v>1</v>
      </c>
      <c r="L169" s="1" t="s">
        <v>24</v>
      </c>
      <c r="M169">
        <v>20</v>
      </c>
      <c r="N169" s="1" t="s">
        <v>23</v>
      </c>
      <c r="O169" s="1" t="s">
        <v>26</v>
      </c>
      <c r="P169">
        <v>1</v>
      </c>
      <c r="Q169" s="1" t="s">
        <v>41</v>
      </c>
      <c r="R169">
        <v>1</v>
      </c>
      <c r="S169" s="1" t="s">
        <v>23</v>
      </c>
      <c r="T169" s="1" t="s">
        <v>28</v>
      </c>
      <c r="U169" s="1" t="s">
        <v>29</v>
      </c>
    </row>
    <row r="170" spans="1:21" x14ac:dyDescent="0.3">
      <c r="A170" s="1" t="s">
        <v>17</v>
      </c>
      <c r="B170">
        <v>24</v>
      </c>
      <c r="C170" s="1" t="s">
        <v>31</v>
      </c>
      <c r="D170" s="1" t="s">
        <v>53</v>
      </c>
      <c r="E170">
        <v>3972</v>
      </c>
      <c r="F170" s="1" t="s">
        <v>32</v>
      </c>
      <c r="G170" s="1" t="s">
        <v>49</v>
      </c>
      <c r="H170">
        <v>2</v>
      </c>
      <c r="I170" s="1" t="s">
        <v>22</v>
      </c>
      <c r="J170" s="1" t="s">
        <v>23</v>
      </c>
      <c r="K170">
        <v>4</v>
      </c>
      <c r="L170" s="1" t="s">
        <v>48</v>
      </c>
      <c r="M170">
        <v>25</v>
      </c>
      <c r="N170" s="1" t="s">
        <v>23</v>
      </c>
      <c r="O170" s="1" t="s">
        <v>34</v>
      </c>
      <c r="P170">
        <v>1</v>
      </c>
      <c r="Q170" s="1" t="s">
        <v>41</v>
      </c>
      <c r="R170">
        <v>1</v>
      </c>
      <c r="S170" s="1" t="s">
        <v>28</v>
      </c>
      <c r="T170" s="1" t="s">
        <v>28</v>
      </c>
      <c r="U170" s="1" t="s">
        <v>29</v>
      </c>
    </row>
    <row r="171" spans="1:21" x14ac:dyDescent="0.3">
      <c r="A171" s="1" t="s">
        <v>30</v>
      </c>
      <c r="B171">
        <v>24</v>
      </c>
      <c r="C171" s="1" t="s">
        <v>18</v>
      </c>
      <c r="D171" s="1" t="s">
        <v>61</v>
      </c>
      <c r="E171">
        <v>1935</v>
      </c>
      <c r="F171" s="1" t="s">
        <v>32</v>
      </c>
      <c r="G171" s="1" t="s">
        <v>38</v>
      </c>
      <c r="H171">
        <v>4</v>
      </c>
      <c r="I171" s="1" t="s">
        <v>64</v>
      </c>
      <c r="J171" s="1" t="s">
        <v>23</v>
      </c>
      <c r="K171">
        <v>4</v>
      </c>
      <c r="L171" s="1" t="s">
        <v>24</v>
      </c>
      <c r="M171">
        <v>31</v>
      </c>
      <c r="N171" s="1" t="s">
        <v>23</v>
      </c>
      <c r="O171" s="1" t="s">
        <v>26</v>
      </c>
      <c r="P171">
        <v>2</v>
      </c>
      <c r="Q171" s="1" t="s">
        <v>41</v>
      </c>
      <c r="R171">
        <v>1</v>
      </c>
      <c r="S171" s="1" t="s">
        <v>28</v>
      </c>
      <c r="T171" s="1" t="s">
        <v>28</v>
      </c>
      <c r="U171" s="1" t="s">
        <v>56</v>
      </c>
    </row>
    <row r="172" spans="1:21" x14ac:dyDescent="0.3">
      <c r="A172" s="1" t="s">
        <v>35</v>
      </c>
      <c r="B172">
        <v>15</v>
      </c>
      <c r="C172" s="1" t="s">
        <v>52</v>
      </c>
      <c r="D172" s="1" t="s">
        <v>19</v>
      </c>
      <c r="E172">
        <v>950</v>
      </c>
      <c r="F172" s="1" t="s">
        <v>32</v>
      </c>
      <c r="G172" s="1" t="s">
        <v>38</v>
      </c>
      <c r="H172">
        <v>4</v>
      </c>
      <c r="I172" s="1" t="s">
        <v>39</v>
      </c>
      <c r="J172" s="1" t="s">
        <v>23</v>
      </c>
      <c r="K172">
        <v>3</v>
      </c>
      <c r="L172" s="1" t="s">
        <v>40</v>
      </c>
      <c r="M172">
        <v>33</v>
      </c>
      <c r="N172" s="1" t="s">
        <v>23</v>
      </c>
      <c r="O172" s="1" t="s">
        <v>34</v>
      </c>
      <c r="P172">
        <v>2</v>
      </c>
      <c r="Q172" s="1" t="s">
        <v>41</v>
      </c>
      <c r="R172">
        <v>2</v>
      </c>
      <c r="S172" s="1" t="s">
        <v>23</v>
      </c>
      <c r="T172" s="1" t="s">
        <v>28</v>
      </c>
      <c r="U172" s="1" t="s">
        <v>56</v>
      </c>
    </row>
    <row r="173" spans="1:21" x14ac:dyDescent="0.3">
      <c r="A173" s="1" t="s">
        <v>17</v>
      </c>
      <c r="B173">
        <v>12</v>
      </c>
      <c r="C173" s="1" t="s">
        <v>31</v>
      </c>
      <c r="D173" s="1" t="s">
        <v>53</v>
      </c>
      <c r="E173">
        <v>763</v>
      </c>
      <c r="F173" s="1" t="s">
        <v>32</v>
      </c>
      <c r="G173" s="1" t="s">
        <v>21</v>
      </c>
      <c r="H173">
        <v>4</v>
      </c>
      <c r="I173" s="1" t="s">
        <v>22</v>
      </c>
      <c r="J173" s="1" t="s">
        <v>23</v>
      </c>
      <c r="K173">
        <v>1</v>
      </c>
      <c r="L173" s="1" t="s">
        <v>24</v>
      </c>
      <c r="M173">
        <v>26</v>
      </c>
      <c r="N173" s="1" t="s">
        <v>23</v>
      </c>
      <c r="O173" s="1" t="s">
        <v>26</v>
      </c>
      <c r="P173">
        <v>1</v>
      </c>
      <c r="Q173" s="1" t="s">
        <v>41</v>
      </c>
      <c r="R173">
        <v>1</v>
      </c>
      <c r="S173" s="1" t="s">
        <v>28</v>
      </c>
      <c r="T173" s="1" t="s">
        <v>28</v>
      </c>
      <c r="U173" s="1" t="s">
        <v>29</v>
      </c>
    </row>
    <row r="174" spans="1:21" x14ac:dyDescent="0.3">
      <c r="A174" s="1" t="s">
        <v>30</v>
      </c>
      <c r="B174">
        <v>24</v>
      </c>
      <c r="C174" s="1" t="s">
        <v>59</v>
      </c>
      <c r="D174" s="1" t="s">
        <v>53</v>
      </c>
      <c r="E174">
        <v>2064</v>
      </c>
      <c r="F174" s="1" t="s">
        <v>32</v>
      </c>
      <c r="G174" s="1" t="s">
        <v>54</v>
      </c>
      <c r="H174">
        <v>3</v>
      </c>
      <c r="I174" s="1" t="s">
        <v>22</v>
      </c>
      <c r="J174" s="1" t="s">
        <v>23</v>
      </c>
      <c r="K174">
        <v>2</v>
      </c>
      <c r="L174" s="1" t="s">
        <v>48</v>
      </c>
      <c r="M174">
        <v>34</v>
      </c>
      <c r="N174" s="1" t="s">
        <v>23</v>
      </c>
      <c r="O174" s="1" t="s">
        <v>26</v>
      </c>
      <c r="P174">
        <v>1</v>
      </c>
      <c r="Q174" s="1" t="s">
        <v>63</v>
      </c>
      <c r="R174">
        <v>1</v>
      </c>
      <c r="S174" s="1" t="s">
        <v>28</v>
      </c>
      <c r="T174" s="1" t="s">
        <v>28</v>
      </c>
      <c r="U174" s="1" t="s">
        <v>56</v>
      </c>
    </row>
    <row r="175" spans="1:21" x14ac:dyDescent="0.3">
      <c r="A175" s="1" t="s">
        <v>30</v>
      </c>
      <c r="B175">
        <v>8</v>
      </c>
      <c r="C175" s="1" t="s">
        <v>31</v>
      </c>
      <c r="D175" s="1" t="s">
        <v>36</v>
      </c>
      <c r="E175">
        <v>1414</v>
      </c>
      <c r="F175" s="1" t="s">
        <v>32</v>
      </c>
      <c r="G175" s="1" t="s">
        <v>21</v>
      </c>
      <c r="H175">
        <v>4</v>
      </c>
      <c r="I175" s="1" t="s">
        <v>39</v>
      </c>
      <c r="J175" s="1" t="s">
        <v>58</v>
      </c>
      <c r="K175">
        <v>2</v>
      </c>
      <c r="L175" s="1" t="s">
        <v>24</v>
      </c>
      <c r="M175">
        <v>33</v>
      </c>
      <c r="N175" s="1" t="s">
        <v>23</v>
      </c>
      <c r="O175" s="1" t="s">
        <v>26</v>
      </c>
      <c r="P175">
        <v>1</v>
      </c>
      <c r="Q175" s="1" t="s">
        <v>41</v>
      </c>
      <c r="R175">
        <v>1</v>
      </c>
      <c r="S175" s="1" t="s">
        <v>23</v>
      </c>
      <c r="T175" s="1" t="s">
        <v>60</v>
      </c>
      <c r="U175" s="1" t="s">
        <v>29</v>
      </c>
    </row>
    <row r="176" spans="1:21" x14ac:dyDescent="0.3">
      <c r="A176" s="1" t="s">
        <v>35</v>
      </c>
      <c r="B176">
        <v>21</v>
      </c>
      <c r="C176" s="1" t="s">
        <v>59</v>
      </c>
      <c r="D176" s="1" t="s">
        <v>51</v>
      </c>
      <c r="E176">
        <v>3414</v>
      </c>
      <c r="F176" s="1" t="s">
        <v>32</v>
      </c>
      <c r="G176" s="1" t="s">
        <v>45</v>
      </c>
      <c r="H176">
        <v>2</v>
      </c>
      <c r="I176" s="1" t="s">
        <v>39</v>
      </c>
      <c r="J176" s="1" t="s">
        <v>23</v>
      </c>
      <c r="K176">
        <v>1</v>
      </c>
      <c r="L176" s="1" t="s">
        <v>48</v>
      </c>
      <c r="M176">
        <v>26</v>
      </c>
      <c r="N176" s="1" t="s">
        <v>23</v>
      </c>
      <c r="O176" s="1" t="s">
        <v>26</v>
      </c>
      <c r="P176">
        <v>2</v>
      </c>
      <c r="Q176" s="1" t="s">
        <v>41</v>
      </c>
      <c r="R176">
        <v>1</v>
      </c>
      <c r="S176" s="1" t="s">
        <v>23</v>
      </c>
      <c r="T176" s="1" t="s">
        <v>28</v>
      </c>
      <c r="U176" s="1" t="s">
        <v>56</v>
      </c>
    </row>
    <row r="177" spans="1:21" x14ac:dyDescent="0.3">
      <c r="A177" s="1" t="s">
        <v>17</v>
      </c>
      <c r="B177">
        <v>30</v>
      </c>
      <c r="C177" s="1" t="s">
        <v>42</v>
      </c>
      <c r="D177" s="1" t="s">
        <v>69</v>
      </c>
      <c r="E177">
        <v>7485</v>
      </c>
      <c r="F177" s="1" t="s">
        <v>47</v>
      </c>
      <c r="G177" s="1" t="s">
        <v>54</v>
      </c>
      <c r="H177">
        <v>4</v>
      </c>
      <c r="I177" s="1" t="s">
        <v>22</v>
      </c>
      <c r="J177" s="1" t="s">
        <v>23</v>
      </c>
      <c r="K177">
        <v>1</v>
      </c>
      <c r="L177" s="1" t="s">
        <v>24</v>
      </c>
      <c r="M177">
        <v>53</v>
      </c>
      <c r="N177" s="1" t="s">
        <v>25</v>
      </c>
      <c r="O177" s="1" t="s">
        <v>26</v>
      </c>
      <c r="P177">
        <v>1</v>
      </c>
      <c r="Q177" s="1" t="s">
        <v>63</v>
      </c>
      <c r="R177">
        <v>1</v>
      </c>
      <c r="S177" s="1" t="s">
        <v>28</v>
      </c>
      <c r="T177" s="1" t="s">
        <v>28</v>
      </c>
      <c r="U177" s="1" t="s">
        <v>56</v>
      </c>
    </row>
    <row r="178" spans="1:21" x14ac:dyDescent="0.3">
      <c r="A178" s="1" t="s">
        <v>35</v>
      </c>
      <c r="B178">
        <v>12</v>
      </c>
      <c r="C178" s="1" t="s">
        <v>31</v>
      </c>
      <c r="D178" s="1" t="s">
        <v>53</v>
      </c>
      <c r="E178">
        <v>2577</v>
      </c>
      <c r="F178" s="1" t="s">
        <v>32</v>
      </c>
      <c r="G178" s="1" t="s">
        <v>21</v>
      </c>
      <c r="H178">
        <v>2</v>
      </c>
      <c r="I178" s="1" t="s">
        <v>64</v>
      </c>
      <c r="J178" s="1" t="s">
        <v>23</v>
      </c>
      <c r="K178">
        <v>1</v>
      </c>
      <c r="L178" s="1" t="s">
        <v>40</v>
      </c>
      <c r="M178">
        <v>42</v>
      </c>
      <c r="N178" s="1" t="s">
        <v>23</v>
      </c>
      <c r="O178" s="1" t="s">
        <v>26</v>
      </c>
      <c r="P178">
        <v>1</v>
      </c>
      <c r="Q178" s="1" t="s">
        <v>41</v>
      </c>
      <c r="R178">
        <v>1</v>
      </c>
      <c r="S178" s="1" t="s">
        <v>23</v>
      </c>
      <c r="T178" s="1" t="s">
        <v>28</v>
      </c>
      <c r="U178" s="1" t="s">
        <v>29</v>
      </c>
    </row>
    <row r="179" spans="1:21" x14ac:dyDescent="0.3">
      <c r="A179" s="1" t="s">
        <v>35</v>
      </c>
      <c r="B179">
        <v>6</v>
      </c>
      <c r="C179" s="1" t="s">
        <v>18</v>
      </c>
      <c r="D179" s="1" t="s">
        <v>36</v>
      </c>
      <c r="E179">
        <v>338</v>
      </c>
      <c r="F179" s="1" t="s">
        <v>37</v>
      </c>
      <c r="G179" s="1" t="s">
        <v>38</v>
      </c>
      <c r="H179">
        <v>4</v>
      </c>
      <c r="I179" s="1" t="s">
        <v>39</v>
      </c>
      <c r="J179" s="1" t="s">
        <v>23</v>
      </c>
      <c r="K179">
        <v>4</v>
      </c>
      <c r="L179" s="1" t="s">
        <v>40</v>
      </c>
      <c r="M179">
        <v>52</v>
      </c>
      <c r="N179" s="1" t="s">
        <v>23</v>
      </c>
      <c r="O179" s="1" t="s">
        <v>26</v>
      </c>
      <c r="P179">
        <v>2</v>
      </c>
      <c r="Q179" s="1" t="s">
        <v>41</v>
      </c>
      <c r="R179">
        <v>1</v>
      </c>
      <c r="S179" s="1" t="s">
        <v>23</v>
      </c>
      <c r="T179" s="1" t="s">
        <v>28</v>
      </c>
      <c r="U179" s="1" t="s">
        <v>29</v>
      </c>
    </row>
    <row r="180" spans="1:21" x14ac:dyDescent="0.3">
      <c r="A180" s="1" t="s">
        <v>17</v>
      </c>
      <c r="B180">
        <v>12</v>
      </c>
      <c r="C180" s="1" t="s">
        <v>31</v>
      </c>
      <c r="D180" s="1" t="s">
        <v>36</v>
      </c>
      <c r="E180">
        <v>1963</v>
      </c>
      <c r="F180" s="1" t="s">
        <v>32</v>
      </c>
      <c r="G180" s="1" t="s">
        <v>49</v>
      </c>
      <c r="H180">
        <v>4</v>
      </c>
      <c r="I180" s="1" t="s">
        <v>39</v>
      </c>
      <c r="J180" s="1" t="s">
        <v>23</v>
      </c>
      <c r="K180">
        <v>2</v>
      </c>
      <c r="L180" s="1" t="s">
        <v>40</v>
      </c>
      <c r="M180">
        <v>31</v>
      </c>
      <c r="N180" s="1" t="s">
        <v>23</v>
      </c>
      <c r="O180" s="1" t="s">
        <v>34</v>
      </c>
      <c r="P180">
        <v>2</v>
      </c>
      <c r="Q180" s="1" t="s">
        <v>63</v>
      </c>
      <c r="R180">
        <v>2</v>
      </c>
      <c r="S180" s="1" t="s">
        <v>28</v>
      </c>
      <c r="T180" s="1" t="s">
        <v>28</v>
      </c>
      <c r="U180" s="1" t="s">
        <v>29</v>
      </c>
    </row>
    <row r="181" spans="1:21" x14ac:dyDescent="0.3">
      <c r="A181" s="1" t="s">
        <v>35</v>
      </c>
      <c r="B181">
        <v>21</v>
      </c>
      <c r="C181" s="1" t="s">
        <v>18</v>
      </c>
      <c r="D181" s="1" t="s">
        <v>19</v>
      </c>
      <c r="E181">
        <v>571</v>
      </c>
      <c r="F181" s="1" t="s">
        <v>32</v>
      </c>
      <c r="G181" s="1" t="s">
        <v>38</v>
      </c>
      <c r="H181">
        <v>4</v>
      </c>
      <c r="I181" s="1" t="s">
        <v>39</v>
      </c>
      <c r="J181" s="1" t="s">
        <v>23</v>
      </c>
      <c r="K181">
        <v>4</v>
      </c>
      <c r="L181" s="1" t="s">
        <v>24</v>
      </c>
      <c r="M181">
        <v>65</v>
      </c>
      <c r="N181" s="1" t="s">
        <v>23</v>
      </c>
      <c r="O181" s="1" t="s">
        <v>26</v>
      </c>
      <c r="P181">
        <v>2</v>
      </c>
      <c r="Q181" s="1" t="s">
        <v>41</v>
      </c>
      <c r="R181">
        <v>1</v>
      </c>
      <c r="S181" s="1" t="s">
        <v>23</v>
      </c>
      <c r="T181" s="1" t="s">
        <v>28</v>
      </c>
      <c r="U181" s="1" t="s">
        <v>29</v>
      </c>
    </row>
    <row r="182" spans="1:21" x14ac:dyDescent="0.3">
      <c r="A182" s="1" t="s">
        <v>17</v>
      </c>
      <c r="B182">
        <v>36</v>
      </c>
      <c r="C182" s="1" t="s">
        <v>59</v>
      </c>
      <c r="D182" s="1" t="s">
        <v>61</v>
      </c>
      <c r="E182">
        <v>9572</v>
      </c>
      <c r="F182" s="1" t="s">
        <v>32</v>
      </c>
      <c r="G182" s="1" t="s">
        <v>45</v>
      </c>
      <c r="H182">
        <v>1</v>
      </c>
      <c r="I182" s="1" t="s">
        <v>64</v>
      </c>
      <c r="J182" s="1" t="s">
        <v>23</v>
      </c>
      <c r="K182">
        <v>1</v>
      </c>
      <c r="L182" s="1" t="s">
        <v>40</v>
      </c>
      <c r="M182">
        <v>28</v>
      </c>
      <c r="N182" s="1" t="s">
        <v>23</v>
      </c>
      <c r="O182" s="1" t="s">
        <v>26</v>
      </c>
      <c r="P182">
        <v>2</v>
      </c>
      <c r="Q182" s="1" t="s">
        <v>41</v>
      </c>
      <c r="R182">
        <v>1</v>
      </c>
      <c r="S182" s="1" t="s">
        <v>23</v>
      </c>
      <c r="T182" s="1" t="s">
        <v>28</v>
      </c>
      <c r="U182" s="1" t="s">
        <v>56</v>
      </c>
    </row>
    <row r="183" spans="1:21" x14ac:dyDescent="0.3">
      <c r="A183" s="1" t="s">
        <v>30</v>
      </c>
      <c r="B183">
        <v>36</v>
      </c>
      <c r="C183" s="1" t="s">
        <v>59</v>
      </c>
      <c r="D183" s="1" t="s">
        <v>61</v>
      </c>
      <c r="E183">
        <v>4455</v>
      </c>
      <c r="F183" s="1" t="s">
        <v>32</v>
      </c>
      <c r="G183" s="1" t="s">
        <v>21</v>
      </c>
      <c r="H183">
        <v>2</v>
      </c>
      <c r="I183" s="1" t="s">
        <v>64</v>
      </c>
      <c r="J183" s="1" t="s">
        <v>23</v>
      </c>
      <c r="K183">
        <v>2</v>
      </c>
      <c r="L183" s="1" t="s">
        <v>24</v>
      </c>
      <c r="M183">
        <v>30</v>
      </c>
      <c r="N183" s="1" t="s">
        <v>67</v>
      </c>
      <c r="O183" s="1" t="s">
        <v>26</v>
      </c>
      <c r="P183">
        <v>2</v>
      </c>
      <c r="Q183" s="1" t="s">
        <v>63</v>
      </c>
      <c r="R183">
        <v>1</v>
      </c>
      <c r="S183" s="1" t="s">
        <v>28</v>
      </c>
      <c r="T183" s="1" t="s">
        <v>28</v>
      </c>
      <c r="U183" s="1" t="s">
        <v>56</v>
      </c>
    </row>
    <row r="184" spans="1:21" x14ac:dyDescent="0.3">
      <c r="A184" s="1" t="s">
        <v>35</v>
      </c>
      <c r="B184">
        <v>21</v>
      </c>
      <c r="C184" s="1" t="s">
        <v>42</v>
      </c>
      <c r="D184" s="1" t="s">
        <v>19</v>
      </c>
      <c r="E184">
        <v>1647</v>
      </c>
      <c r="F184" s="1" t="s">
        <v>47</v>
      </c>
      <c r="G184" s="1" t="s">
        <v>21</v>
      </c>
      <c r="H184">
        <v>4</v>
      </c>
      <c r="I184" s="1" t="s">
        <v>39</v>
      </c>
      <c r="J184" s="1" t="s">
        <v>23</v>
      </c>
      <c r="K184">
        <v>2</v>
      </c>
      <c r="L184" s="1" t="s">
        <v>48</v>
      </c>
      <c r="M184">
        <v>40</v>
      </c>
      <c r="N184" s="1" t="s">
        <v>23</v>
      </c>
      <c r="O184" s="1" t="s">
        <v>26</v>
      </c>
      <c r="P184">
        <v>2</v>
      </c>
      <c r="Q184" s="1" t="s">
        <v>27</v>
      </c>
      <c r="R184">
        <v>2</v>
      </c>
      <c r="S184" s="1" t="s">
        <v>23</v>
      </c>
      <c r="T184" s="1" t="s">
        <v>28</v>
      </c>
      <c r="U184" s="1" t="s">
        <v>56</v>
      </c>
    </row>
    <row r="185" spans="1:21" x14ac:dyDescent="0.3">
      <c r="A185" s="1" t="s">
        <v>17</v>
      </c>
      <c r="B185">
        <v>24</v>
      </c>
      <c r="C185" s="1" t="s">
        <v>18</v>
      </c>
      <c r="D185" s="1" t="s">
        <v>53</v>
      </c>
      <c r="E185">
        <v>3777</v>
      </c>
      <c r="F185" s="1" t="s">
        <v>20</v>
      </c>
      <c r="G185" s="1" t="s">
        <v>21</v>
      </c>
      <c r="H185">
        <v>4</v>
      </c>
      <c r="I185" s="1" t="s">
        <v>39</v>
      </c>
      <c r="J185" s="1" t="s">
        <v>23</v>
      </c>
      <c r="K185">
        <v>4</v>
      </c>
      <c r="L185" s="1" t="s">
        <v>24</v>
      </c>
      <c r="M185">
        <v>50</v>
      </c>
      <c r="N185" s="1" t="s">
        <v>23</v>
      </c>
      <c r="O185" s="1" t="s">
        <v>26</v>
      </c>
      <c r="P185">
        <v>1</v>
      </c>
      <c r="Q185" s="1" t="s">
        <v>41</v>
      </c>
      <c r="R185">
        <v>1</v>
      </c>
      <c r="S185" s="1" t="s">
        <v>28</v>
      </c>
      <c r="T185" s="1" t="s">
        <v>28</v>
      </c>
      <c r="U185" s="1" t="s">
        <v>29</v>
      </c>
    </row>
    <row r="186" spans="1:21" x14ac:dyDescent="0.3">
      <c r="A186" s="1" t="s">
        <v>30</v>
      </c>
      <c r="B186">
        <v>18</v>
      </c>
      <c r="C186" s="1" t="s">
        <v>18</v>
      </c>
      <c r="D186" s="1" t="s">
        <v>19</v>
      </c>
      <c r="E186">
        <v>884</v>
      </c>
      <c r="F186" s="1" t="s">
        <v>32</v>
      </c>
      <c r="G186" s="1" t="s">
        <v>38</v>
      </c>
      <c r="H186">
        <v>4</v>
      </c>
      <c r="I186" s="1" t="s">
        <v>39</v>
      </c>
      <c r="J186" s="1" t="s">
        <v>23</v>
      </c>
      <c r="K186">
        <v>4</v>
      </c>
      <c r="L186" s="1" t="s">
        <v>40</v>
      </c>
      <c r="M186">
        <v>36</v>
      </c>
      <c r="N186" s="1" t="s">
        <v>25</v>
      </c>
      <c r="O186" s="1" t="s">
        <v>26</v>
      </c>
      <c r="P186">
        <v>1</v>
      </c>
      <c r="Q186" s="1" t="s">
        <v>41</v>
      </c>
      <c r="R186">
        <v>2</v>
      </c>
      <c r="S186" s="1" t="s">
        <v>28</v>
      </c>
      <c r="T186" s="1" t="s">
        <v>28</v>
      </c>
      <c r="U186" s="1" t="s">
        <v>56</v>
      </c>
    </row>
    <row r="187" spans="1:21" x14ac:dyDescent="0.3">
      <c r="A187" s="1" t="s">
        <v>17</v>
      </c>
      <c r="B187">
        <v>15</v>
      </c>
      <c r="C187" s="1" t="s">
        <v>18</v>
      </c>
      <c r="D187" s="1" t="s">
        <v>36</v>
      </c>
      <c r="E187">
        <v>1360</v>
      </c>
      <c r="F187" s="1" t="s">
        <v>32</v>
      </c>
      <c r="G187" s="1" t="s">
        <v>21</v>
      </c>
      <c r="H187">
        <v>4</v>
      </c>
      <c r="I187" s="1" t="s">
        <v>39</v>
      </c>
      <c r="J187" s="1" t="s">
        <v>23</v>
      </c>
      <c r="K187">
        <v>2</v>
      </c>
      <c r="L187" s="1" t="s">
        <v>48</v>
      </c>
      <c r="M187">
        <v>31</v>
      </c>
      <c r="N187" s="1" t="s">
        <v>23</v>
      </c>
      <c r="O187" s="1" t="s">
        <v>26</v>
      </c>
      <c r="P187">
        <v>2</v>
      </c>
      <c r="Q187" s="1" t="s">
        <v>41</v>
      </c>
      <c r="R187">
        <v>1</v>
      </c>
      <c r="S187" s="1" t="s">
        <v>23</v>
      </c>
      <c r="T187" s="1" t="s">
        <v>28</v>
      </c>
      <c r="U187" s="1" t="s">
        <v>29</v>
      </c>
    </row>
    <row r="188" spans="1:21" x14ac:dyDescent="0.3">
      <c r="A188" s="1" t="s">
        <v>30</v>
      </c>
      <c r="B188">
        <v>9</v>
      </c>
      <c r="C188" s="1" t="s">
        <v>42</v>
      </c>
      <c r="D188" s="1" t="s">
        <v>69</v>
      </c>
      <c r="E188">
        <v>5129</v>
      </c>
      <c r="F188" s="1" t="s">
        <v>32</v>
      </c>
      <c r="G188" s="1" t="s">
        <v>38</v>
      </c>
      <c r="H188">
        <v>2</v>
      </c>
      <c r="I188" s="1" t="s">
        <v>22</v>
      </c>
      <c r="J188" s="1" t="s">
        <v>23</v>
      </c>
      <c r="K188">
        <v>4</v>
      </c>
      <c r="L188" s="1" t="s">
        <v>65</v>
      </c>
      <c r="M188">
        <v>74</v>
      </c>
      <c r="N188" s="1" t="s">
        <v>25</v>
      </c>
      <c r="O188" s="1" t="s">
        <v>66</v>
      </c>
      <c r="P188">
        <v>1</v>
      </c>
      <c r="Q188" s="1" t="s">
        <v>63</v>
      </c>
      <c r="R188">
        <v>2</v>
      </c>
      <c r="S188" s="1" t="s">
        <v>28</v>
      </c>
      <c r="T188" s="1" t="s">
        <v>28</v>
      </c>
      <c r="U188" s="1" t="s">
        <v>56</v>
      </c>
    </row>
    <row r="189" spans="1:21" x14ac:dyDescent="0.3">
      <c r="A189" s="1" t="s">
        <v>30</v>
      </c>
      <c r="B189">
        <v>16</v>
      </c>
      <c r="C189" s="1" t="s">
        <v>18</v>
      </c>
      <c r="D189" s="1" t="s">
        <v>19</v>
      </c>
      <c r="E189">
        <v>1175</v>
      </c>
      <c r="F189" s="1" t="s">
        <v>32</v>
      </c>
      <c r="G189" s="1" t="s">
        <v>54</v>
      </c>
      <c r="H189">
        <v>2</v>
      </c>
      <c r="I189" s="1" t="s">
        <v>39</v>
      </c>
      <c r="J189" s="1" t="s">
        <v>23</v>
      </c>
      <c r="K189">
        <v>3</v>
      </c>
      <c r="L189" s="1" t="s">
        <v>40</v>
      </c>
      <c r="M189">
        <v>68</v>
      </c>
      <c r="N189" s="1" t="s">
        <v>23</v>
      </c>
      <c r="O189" s="1" t="s">
        <v>66</v>
      </c>
      <c r="P189">
        <v>3</v>
      </c>
      <c r="Q189" s="1" t="s">
        <v>62</v>
      </c>
      <c r="R189">
        <v>1</v>
      </c>
      <c r="S189" s="1" t="s">
        <v>28</v>
      </c>
      <c r="T189" s="1" t="s">
        <v>28</v>
      </c>
      <c r="U189" s="1" t="s">
        <v>29</v>
      </c>
    </row>
    <row r="190" spans="1:21" x14ac:dyDescent="0.3">
      <c r="A190" s="1" t="s">
        <v>35</v>
      </c>
      <c r="B190">
        <v>12</v>
      </c>
      <c r="C190" s="1" t="s">
        <v>31</v>
      </c>
      <c r="D190" s="1" t="s">
        <v>36</v>
      </c>
      <c r="E190">
        <v>674</v>
      </c>
      <c r="F190" s="1" t="s">
        <v>46</v>
      </c>
      <c r="G190" s="1" t="s">
        <v>49</v>
      </c>
      <c r="H190">
        <v>4</v>
      </c>
      <c r="I190" s="1" t="s">
        <v>33</v>
      </c>
      <c r="J190" s="1" t="s">
        <v>23</v>
      </c>
      <c r="K190">
        <v>1</v>
      </c>
      <c r="L190" s="1" t="s">
        <v>48</v>
      </c>
      <c r="M190">
        <v>20</v>
      </c>
      <c r="N190" s="1" t="s">
        <v>23</v>
      </c>
      <c r="O190" s="1" t="s">
        <v>26</v>
      </c>
      <c r="P190">
        <v>1</v>
      </c>
      <c r="Q190" s="1" t="s">
        <v>41</v>
      </c>
      <c r="R190">
        <v>1</v>
      </c>
      <c r="S190" s="1" t="s">
        <v>23</v>
      </c>
      <c r="T190" s="1" t="s">
        <v>28</v>
      </c>
      <c r="U190" s="1" t="s">
        <v>56</v>
      </c>
    </row>
    <row r="191" spans="1:21" x14ac:dyDescent="0.3">
      <c r="A191" s="1" t="s">
        <v>30</v>
      </c>
      <c r="B191">
        <v>18</v>
      </c>
      <c r="C191" s="1" t="s">
        <v>52</v>
      </c>
      <c r="D191" s="1" t="s">
        <v>53</v>
      </c>
      <c r="E191">
        <v>3244</v>
      </c>
      <c r="F191" s="1" t="s">
        <v>32</v>
      </c>
      <c r="G191" s="1" t="s">
        <v>21</v>
      </c>
      <c r="H191">
        <v>1</v>
      </c>
      <c r="I191" s="1" t="s">
        <v>22</v>
      </c>
      <c r="J191" s="1" t="s">
        <v>23</v>
      </c>
      <c r="K191">
        <v>4</v>
      </c>
      <c r="L191" s="1" t="s">
        <v>40</v>
      </c>
      <c r="M191">
        <v>33</v>
      </c>
      <c r="N191" s="1" t="s">
        <v>25</v>
      </c>
      <c r="O191" s="1" t="s">
        <v>26</v>
      </c>
      <c r="P191">
        <v>2</v>
      </c>
      <c r="Q191" s="1" t="s">
        <v>41</v>
      </c>
      <c r="R191">
        <v>1</v>
      </c>
      <c r="S191" s="1" t="s">
        <v>28</v>
      </c>
      <c r="T191" s="1" t="s">
        <v>28</v>
      </c>
      <c r="U191" s="1" t="s">
        <v>29</v>
      </c>
    </row>
    <row r="192" spans="1:21" x14ac:dyDescent="0.3">
      <c r="A192" s="1" t="s">
        <v>17</v>
      </c>
      <c r="B192">
        <v>24</v>
      </c>
      <c r="C192" s="1" t="s">
        <v>31</v>
      </c>
      <c r="D192" s="1" t="s">
        <v>61</v>
      </c>
      <c r="E192">
        <v>4591</v>
      </c>
      <c r="F192" s="1" t="s">
        <v>20</v>
      </c>
      <c r="G192" s="1" t="s">
        <v>21</v>
      </c>
      <c r="H192">
        <v>2</v>
      </c>
      <c r="I192" s="1" t="s">
        <v>39</v>
      </c>
      <c r="J192" s="1" t="s">
        <v>23</v>
      </c>
      <c r="K192">
        <v>3</v>
      </c>
      <c r="L192" s="1" t="s">
        <v>48</v>
      </c>
      <c r="M192">
        <v>54</v>
      </c>
      <c r="N192" s="1" t="s">
        <v>23</v>
      </c>
      <c r="O192" s="1" t="s">
        <v>26</v>
      </c>
      <c r="P192">
        <v>3</v>
      </c>
      <c r="Q192" s="1" t="s">
        <v>63</v>
      </c>
      <c r="R192">
        <v>1</v>
      </c>
      <c r="S192" s="1" t="s">
        <v>28</v>
      </c>
      <c r="T192" s="1" t="s">
        <v>28</v>
      </c>
      <c r="U192" s="1" t="s">
        <v>56</v>
      </c>
    </row>
    <row r="193" spans="1:21" x14ac:dyDescent="0.3">
      <c r="A193" s="1" t="s">
        <v>30</v>
      </c>
      <c r="B193">
        <v>48</v>
      </c>
      <c r="C193" s="1" t="s">
        <v>52</v>
      </c>
      <c r="D193" s="1" t="s">
        <v>61</v>
      </c>
      <c r="E193">
        <v>3844</v>
      </c>
      <c r="F193" s="1" t="s">
        <v>46</v>
      </c>
      <c r="G193" s="1" t="s">
        <v>49</v>
      </c>
      <c r="H193">
        <v>4</v>
      </c>
      <c r="I193" s="1" t="s">
        <v>39</v>
      </c>
      <c r="J193" s="1" t="s">
        <v>23</v>
      </c>
      <c r="K193">
        <v>4</v>
      </c>
      <c r="L193" s="1" t="s">
        <v>65</v>
      </c>
      <c r="M193">
        <v>34</v>
      </c>
      <c r="N193" s="1" t="s">
        <v>23</v>
      </c>
      <c r="O193" s="1" t="s">
        <v>66</v>
      </c>
      <c r="P193">
        <v>1</v>
      </c>
      <c r="Q193" s="1" t="s">
        <v>27</v>
      </c>
      <c r="R193">
        <v>2</v>
      </c>
      <c r="S193" s="1" t="s">
        <v>23</v>
      </c>
      <c r="T193" s="1" t="s">
        <v>28</v>
      </c>
      <c r="U193" s="1" t="s">
        <v>56</v>
      </c>
    </row>
    <row r="194" spans="1:21" x14ac:dyDescent="0.3">
      <c r="A194" s="1" t="s">
        <v>30</v>
      </c>
      <c r="B194">
        <v>27</v>
      </c>
      <c r="C194" s="1" t="s">
        <v>31</v>
      </c>
      <c r="D194" s="1" t="s">
        <v>61</v>
      </c>
      <c r="E194">
        <v>3915</v>
      </c>
      <c r="F194" s="1" t="s">
        <v>32</v>
      </c>
      <c r="G194" s="1" t="s">
        <v>21</v>
      </c>
      <c r="H194">
        <v>4</v>
      </c>
      <c r="I194" s="1" t="s">
        <v>39</v>
      </c>
      <c r="J194" s="1" t="s">
        <v>23</v>
      </c>
      <c r="K194">
        <v>2</v>
      </c>
      <c r="L194" s="1" t="s">
        <v>40</v>
      </c>
      <c r="M194">
        <v>36</v>
      </c>
      <c r="N194" s="1" t="s">
        <v>23</v>
      </c>
      <c r="O194" s="1" t="s">
        <v>26</v>
      </c>
      <c r="P194">
        <v>1</v>
      </c>
      <c r="Q194" s="1" t="s">
        <v>41</v>
      </c>
      <c r="R194">
        <v>2</v>
      </c>
      <c r="S194" s="1" t="s">
        <v>28</v>
      </c>
      <c r="T194" s="1" t="s">
        <v>28</v>
      </c>
      <c r="U194" s="1" t="s">
        <v>56</v>
      </c>
    </row>
    <row r="195" spans="1:21" x14ac:dyDescent="0.3">
      <c r="A195" s="1" t="s">
        <v>17</v>
      </c>
      <c r="B195">
        <v>6</v>
      </c>
      <c r="C195" s="1" t="s">
        <v>31</v>
      </c>
      <c r="D195" s="1" t="s">
        <v>36</v>
      </c>
      <c r="E195">
        <v>2108</v>
      </c>
      <c r="F195" s="1" t="s">
        <v>32</v>
      </c>
      <c r="G195" s="1" t="s">
        <v>49</v>
      </c>
      <c r="H195">
        <v>2</v>
      </c>
      <c r="I195" s="1" t="s">
        <v>33</v>
      </c>
      <c r="J195" s="1" t="s">
        <v>23</v>
      </c>
      <c r="K195">
        <v>2</v>
      </c>
      <c r="L195" s="1" t="s">
        <v>24</v>
      </c>
      <c r="M195">
        <v>29</v>
      </c>
      <c r="N195" s="1" t="s">
        <v>23</v>
      </c>
      <c r="O195" s="1" t="s">
        <v>34</v>
      </c>
      <c r="P195">
        <v>1</v>
      </c>
      <c r="Q195" s="1" t="s">
        <v>41</v>
      </c>
      <c r="R195">
        <v>1</v>
      </c>
      <c r="S195" s="1" t="s">
        <v>23</v>
      </c>
      <c r="T195" s="1" t="s">
        <v>28</v>
      </c>
      <c r="U195" s="1" t="s">
        <v>29</v>
      </c>
    </row>
    <row r="196" spans="1:21" x14ac:dyDescent="0.3">
      <c r="A196" s="1" t="s">
        <v>30</v>
      </c>
      <c r="B196">
        <v>45</v>
      </c>
      <c r="C196" s="1" t="s">
        <v>31</v>
      </c>
      <c r="D196" s="1" t="s">
        <v>36</v>
      </c>
      <c r="E196">
        <v>3031</v>
      </c>
      <c r="F196" s="1" t="s">
        <v>46</v>
      </c>
      <c r="G196" s="1" t="s">
        <v>21</v>
      </c>
      <c r="H196">
        <v>4</v>
      </c>
      <c r="I196" s="1" t="s">
        <v>39</v>
      </c>
      <c r="J196" s="1" t="s">
        <v>58</v>
      </c>
      <c r="K196">
        <v>4</v>
      </c>
      <c r="L196" s="1" t="s">
        <v>48</v>
      </c>
      <c r="M196">
        <v>21</v>
      </c>
      <c r="N196" s="1" t="s">
        <v>23</v>
      </c>
      <c r="O196" s="1" t="s">
        <v>34</v>
      </c>
      <c r="P196">
        <v>1</v>
      </c>
      <c r="Q196" s="1" t="s">
        <v>41</v>
      </c>
      <c r="R196">
        <v>1</v>
      </c>
      <c r="S196" s="1" t="s">
        <v>23</v>
      </c>
      <c r="T196" s="1" t="s">
        <v>28</v>
      </c>
      <c r="U196" s="1" t="s">
        <v>56</v>
      </c>
    </row>
    <row r="197" spans="1:21" x14ac:dyDescent="0.3">
      <c r="A197" s="1" t="s">
        <v>30</v>
      </c>
      <c r="B197">
        <v>9</v>
      </c>
      <c r="C197" s="1" t="s">
        <v>18</v>
      </c>
      <c r="D197" s="1" t="s">
        <v>51</v>
      </c>
      <c r="E197">
        <v>1501</v>
      </c>
      <c r="F197" s="1" t="s">
        <v>32</v>
      </c>
      <c r="G197" s="1" t="s">
        <v>38</v>
      </c>
      <c r="H197">
        <v>2</v>
      </c>
      <c r="I197" s="1" t="s">
        <v>22</v>
      </c>
      <c r="J197" s="1" t="s">
        <v>23</v>
      </c>
      <c r="K197">
        <v>3</v>
      </c>
      <c r="L197" s="1" t="s">
        <v>40</v>
      </c>
      <c r="M197">
        <v>34</v>
      </c>
      <c r="N197" s="1" t="s">
        <v>23</v>
      </c>
      <c r="O197" s="1" t="s">
        <v>26</v>
      </c>
      <c r="P197">
        <v>2</v>
      </c>
      <c r="Q197" s="1" t="s">
        <v>63</v>
      </c>
      <c r="R197">
        <v>1</v>
      </c>
      <c r="S197" s="1" t="s">
        <v>28</v>
      </c>
      <c r="T197" s="1" t="s">
        <v>28</v>
      </c>
      <c r="U197" s="1" t="s">
        <v>56</v>
      </c>
    </row>
    <row r="198" spans="1:21" x14ac:dyDescent="0.3">
      <c r="A198" s="1" t="s">
        <v>17</v>
      </c>
      <c r="B198">
        <v>6</v>
      </c>
      <c r="C198" s="1" t="s">
        <v>18</v>
      </c>
      <c r="D198" s="1" t="s">
        <v>36</v>
      </c>
      <c r="E198">
        <v>1382</v>
      </c>
      <c r="F198" s="1" t="s">
        <v>32</v>
      </c>
      <c r="G198" s="1" t="s">
        <v>21</v>
      </c>
      <c r="H198">
        <v>1</v>
      </c>
      <c r="I198" s="1" t="s">
        <v>22</v>
      </c>
      <c r="J198" s="1" t="s">
        <v>23</v>
      </c>
      <c r="K198">
        <v>1</v>
      </c>
      <c r="L198" s="1" t="s">
        <v>40</v>
      </c>
      <c r="M198">
        <v>28</v>
      </c>
      <c r="N198" s="1" t="s">
        <v>23</v>
      </c>
      <c r="O198" s="1" t="s">
        <v>26</v>
      </c>
      <c r="P198">
        <v>2</v>
      </c>
      <c r="Q198" s="1" t="s">
        <v>41</v>
      </c>
      <c r="R198">
        <v>1</v>
      </c>
      <c r="S198" s="1" t="s">
        <v>28</v>
      </c>
      <c r="T198" s="1" t="s">
        <v>28</v>
      </c>
      <c r="U198" s="1" t="s">
        <v>29</v>
      </c>
    </row>
    <row r="199" spans="1:21" x14ac:dyDescent="0.3">
      <c r="A199" s="1" t="s">
        <v>30</v>
      </c>
      <c r="B199">
        <v>12</v>
      </c>
      <c r="C199" s="1" t="s">
        <v>31</v>
      </c>
      <c r="D199" s="1" t="s">
        <v>53</v>
      </c>
      <c r="E199">
        <v>951</v>
      </c>
      <c r="F199" s="1" t="s">
        <v>46</v>
      </c>
      <c r="G199" s="1" t="s">
        <v>45</v>
      </c>
      <c r="H199">
        <v>4</v>
      </c>
      <c r="I199" s="1" t="s">
        <v>22</v>
      </c>
      <c r="J199" s="1" t="s">
        <v>23</v>
      </c>
      <c r="K199">
        <v>4</v>
      </c>
      <c r="L199" s="1" t="s">
        <v>40</v>
      </c>
      <c r="M199">
        <v>27</v>
      </c>
      <c r="N199" s="1" t="s">
        <v>25</v>
      </c>
      <c r="O199" s="1" t="s">
        <v>34</v>
      </c>
      <c r="P199">
        <v>4</v>
      </c>
      <c r="Q199" s="1" t="s">
        <v>41</v>
      </c>
      <c r="R199">
        <v>1</v>
      </c>
      <c r="S199" s="1" t="s">
        <v>23</v>
      </c>
      <c r="T199" s="1" t="s">
        <v>28</v>
      </c>
      <c r="U199" s="1" t="s">
        <v>56</v>
      </c>
    </row>
    <row r="200" spans="1:21" x14ac:dyDescent="0.3">
      <c r="A200" s="1" t="s">
        <v>30</v>
      </c>
      <c r="B200">
        <v>24</v>
      </c>
      <c r="C200" s="1" t="s">
        <v>31</v>
      </c>
      <c r="D200" s="1" t="s">
        <v>69</v>
      </c>
      <c r="E200">
        <v>2760</v>
      </c>
      <c r="F200" s="1" t="s">
        <v>47</v>
      </c>
      <c r="G200" s="1" t="s">
        <v>38</v>
      </c>
      <c r="H200">
        <v>4</v>
      </c>
      <c r="I200" s="1" t="s">
        <v>39</v>
      </c>
      <c r="J200" s="1" t="s">
        <v>23</v>
      </c>
      <c r="K200">
        <v>4</v>
      </c>
      <c r="L200" s="1" t="s">
        <v>65</v>
      </c>
      <c r="M200">
        <v>36</v>
      </c>
      <c r="N200" s="1" t="s">
        <v>25</v>
      </c>
      <c r="O200" s="1" t="s">
        <v>66</v>
      </c>
      <c r="P200">
        <v>1</v>
      </c>
      <c r="Q200" s="1" t="s">
        <v>41</v>
      </c>
      <c r="R200">
        <v>1</v>
      </c>
      <c r="S200" s="1" t="s">
        <v>28</v>
      </c>
      <c r="T200" s="1" t="s">
        <v>28</v>
      </c>
      <c r="U200" s="1" t="s">
        <v>29</v>
      </c>
    </row>
    <row r="201" spans="1:21" x14ac:dyDescent="0.3">
      <c r="A201" s="1" t="s">
        <v>30</v>
      </c>
      <c r="B201">
        <v>18</v>
      </c>
      <c r="C201" s="1" t="s">
        <v>59</v>
      </c>
      <c r="D201" s="1" t="s">
        <v>53</v>
      </c>
      <c r="E201">
        <v>4297</v>
      </c>
      <c r="F201" s="1" t="s">
        <v>32</v>
      </c>
      <c r="G201" s="1" t="s">
        <v>38</v>
      </c>
      <c r="H201">
        <v>4</v>
      </c>
      <c r="I201" s="1" t="s">
        <v>64</v>
      </c>
      <c r="J201" s="1" t="s">
        <v>23</v>
      </c>
      <c r="K201">
        <v>3</v>
      </c>
      <c r="L201" s="1" t="s">
        <v>65</v>
      </c>
      <c r="M201">
        <v>40</v>
      </c>
      <c r="N201" s="1" t="s">
        <v>23</v>
      </c>
      <c r="O201" s="1" t="s">
        <v>26</v>
      </c>
      <c r="P201">
        <v>1</v>
      </c>
      <c r="Q201" s="1" t="s">
        <v>63</v>
      </c>
      <c r="R201">
        <v>1</v>
      </c>
      <c r="S201" s="1" t="s">
        <v>28</v>
      </c>
      <c r="T201" s="1" t="s">
        <v>28</v>
      </c>
      <c r="U201" s="1" t="s">
        <v>56</v>
      </c>
    </row>
    <row r="202" spans="1:21" x14ac:dyDescent="0.3">
      <c r="A202" s="1" t="s">
        <v>17</v>
      </c>
      <c r="B202">
        <v>9</v>
      </c>
      <c r="C202" s="1" t="s">
        <v>18</v>
      </c>
      <c r="D202" s="1" t="s">
        <v>51</v>
      </c>
      <c r="E202">
        <v>936</v>
      </c>
      <c r="F202" s="1" t="s">
        <v>37</v>
      </c>
      <c r="G202" s="1" t="s">
        <v>38</v>
      </c>
      <c r="H202">
        <v>4</v>
      </c>
      <c r="I202" s="1" t="s">
        <v>39</v>
      </c>
      <c r="J202" s="1" t="s">
        <v>23</v>
      </c>
      <c r="K202">
        <v>2</v>
      </c>
      <c r="L202" s="1" t="s">
        <v>40</v>
      </c>
      <c r="M202">
        <v>52</v>
      </c>
      <c r="N202" s="1" t="s">
        <v>23</v>
      </c>
      <c r="O202" s="1" t="s">
        <v>26</v>
      </c>
      <c r="P202">
        <v>2</v>
      </c>
      <c r="Q202" s="1" t="s">
        <v>41</v>
      </c>
      <c r="R202">
        <v>1</v>
      </c>
      <c r="S202" s="1" t="s">
        <v>28</v>
      </c>
      <c r="T202" s="1" t="s">
        <v>28</v>
      </c>
      <c r="U202" s="1" t="s">
        <v>29</v>
      </c>
    </row>
    <row r="203" spans="1:21" x14ac:dyDescent="0.3">
      <c r="A203" s="1" t="s">
        <v>35</v>
      </c>
      <c r="B203">
        <v>12</v>
      </c>
      <c r="C203" s="1" t="s">
        <v>31</v>
      </c>
      <c r="D203" s="1" t="s">
        <v>19</v>
      </c>
      <c r="E203">
        <v>1168</v>
      </c>
      <c r="F203" s="1" t="s">
        <v>32</v>
      </c>
      <c r="G203" s="1" t="s">
        <v>21</v>
      </c>
      <c r="H203">
        <v>4</v>
      </c>
      <c r="I203" s="1" t="s">
        <v>33</v>
      </c>
      <c r="J203" s="1" t="s">
        <v>23</v>
      </c>
      <c r="K203">
        <v>3</v>
      </c>
      <c r="L203" s="1" t="s">
        <v>24</v>
      </c>
      <c r="M203">
        <v>27</v>
      </c>
      <c r="N203" s="1" t="s">
        <v>23</v>
      </c>
      <c r="O203" s="1" t="s">
        <v>26</v>
      </c>
      <c r="P203">
        <v>1</v>
      </c>
      <c r="Q203" s="1" t="s">
        <v>27</v>
      </c>
      <c r="R203">
        <v>1</v>
      </c>
      <c r="S203" s="1" t="s">
        <v>23</v>
      </c>
      <c r="T203" s="1" t="s">
        <v>28</v>
      </c>
      <c r="U203" s="1" t="s">
        <v>29</v>
      </c>
    </row>
    <row r="204" spans="1:21" x14ac:dyDescent="0.3">
      <c r="A204" s="1" t="s">
        <v>17</v>
      </c>
      <c r="B204">
        <v>27</v>
      </c>
      <c r="C204" s="1" t="s">
        <v>59</v>
      </c>
      <c r="D204" s="1" t="s">
        <v>61</v>
      </c>
      <c r="E204">
        <v>5117</v>
      </c>
      <c r="F204" s="1" t="s">
        <v>32</v>
      </c>
      <c r="G204" s="1" t="s">
        <v>49</v>
      </c>
      <c r="H204">
        <v>3</v>
      </c>
      <c r="I204" s="1" t="s">
        <v>39</v>
      </c>
      <c r="J204" s="1" t="s">
        <v>23</v>
      </c>
      <c r="K204">
        <v>4</v>
      </c>
      <c r="L204" s="1" t="s">
        <v>40</v>
      </c>
      <c r="M204">
        <v>26</v>
      </c>
      <c r="N204" s="1" t="s">
        <v>23</v>
      </c>
      <c r="O204" s="1" t="s">
        <v>26</v>
      </c>
      <c r="P204">
        <v>2</v>
      </c>
      <c r="Q204" s="1" t="s">
        <v>41</v>
      </c>
      <c r="R204">
        <v>1</v>
      </c>
      <c r="S204" s="1" t="s">
        <v>23</v>
      </c>
      <c r="T204" s="1" t="s">
        <v>28</v>
      </c>
      <c r="U204" s="1" t="s">
        <v>29</v>
      </c>
    </row>
    <row r="205" spans="1:21" x14ac:dyDescent="0.3">
      <c r="A205" s="1" t="s">
        <v>35</v>
      </c>
      <c r="B205">
        <v>12</v>
      </c>
      <c r="C205" s="1" t="s">
        <v>31</v>
      </c>
      <c r="D205" s="1" t="s">
        <v>43</v>
      </c>
      <c r="E205">
        <v>902</v>
      </c>
      <c r="F205" s="1" t="s">
        <v>32</v>
      </c>
      <c r="G205" s="1" t="s">
        <v>49</v>
      </c>
      <c r="H205">
        <v>4</v>
      </c>
      <c r="I205" s="1" t="s">
        <v>33</v>
      </c>
      <c r="J205" s="1" t="s">
        <v>23</v>
      </c>
      <c r="K205">
        <v>4</v>
      </c>
      <c r="L205" s="1" t="s">
        <v>48</v>
      </c>
      <c r="M205">
        <v>21</v>
      </c>
      <c r="N205" s="1" t="s">
        <v>23</v>
      </c>
      <c r="O205" s="1" t="s">
        <v>34</v>
      </c>
      <c r="P205">
        <v>1</v>
      </c>
      <c r="Q205" s="1" t="s">
        <v>41</v>
      </c>
      <c r="R205">
        <v>1</v>
      </c>
      <c r="S205" s="1" t="s">
        <v>23</v>
      </c>
      <c r="T205" s="1" t="s">
        <v>28</v>
      </c>
      <c r="U205" s="1" t="s">
        <v>56</v>
      </c>
    </row>
    <row r="206" spans="1:21" x14ac:dyDescent="0.3">
      <c r="A206" s="1" t="s">
        <v>17</v>
      </c>
      <c r="B206">
        <v>12</v>
      </c>
      <c r="C206" s="1" t="s">
        <v>18</v>
      </c>
      <c r="D206" s="1" t="s">
        <v>19</v>
      </c>
      <c r="E206">
        <v>1495</v>
      </c>
      <c r="F206" s="1" t="s">
        <v>32</v>
      </c>
      <c r="G206" s="1" t="s">
        <v>38</v>
      </c>
      <c r="H206">
        <v>4</v>
      </c>
      <c r="I206" s="1" t="s">
        <v>39</v>
      </c>
      <c r="J206" s="1" t="s">
        <v>23</v>
      </c>
      <c r="K206">
        <v>1</v>
      </c>
      <c r="L206" s="1" t="s">
        <v>24</v>
      </c>
      <c r="M206">
        <v>38</v>
      </c>
      <c r="N206" s="1" t="s">
        <v>23</v>
      </c>
      <c r="O206" s="1" t="s">
        <v>26</v>
      </c>
      <c r="P206">
        <v>2</v>
      </c>
      <c r="Q206" s="1" t="s">
        <v>27</v>
      </c>
      <c r="R206">
        <v>2</v>
      </c>
      <c r="S206" s="1" t="s">
        <v>23</v>
      </c>
      <c r="T206" s="1" t="s">
        <v>28</v>
      </c>
      <c r="U206" s="1" t="s">
        <v>29</v>
      </c>
    </row>
    <row r="207" spans="1:21" x14ac:dyDescent="0.3">
      <c r="A207" s="1" t="s">
        <v>35</v>
      </c>
      <c r="B207">
        <v>30</v>
      </c>
      <c r="C207" s="1" t="s">
        <v>18</v>
      </c>
      <c r="D207" s="1" t="s">
        <v>69</v>
      </c>
      <c r="E207">
        <v>10623</v>
      </c>
      <c r="F207" s="1" t="s">
        <v>32</v>
      </c>
      <c r="G207" s="1" t="s">
        <v>38</v>
      </c>
      <c r="H207">
        <v>3</v>
      </c>
      <c r="I207" s="1" t="s">
        <v>39</v>
      </c>
      <c r="J207" s="1" t="s">
        <v>23</v>
      </c>
      <c r="K207">
        <v>4</v>
      </c>
      <c r="L207" s="1" t="s">
        <v>65</v>
      </c>
      <c r="M207">
        <v>38</v>
      </c>
      <c r="N207" s="1" t="s">
        <v>23</v>
      </c>
      <c r="O207" s="1" t="s">
        <v>66</v>
      </c>
      <c r="P207">
        <v>3</v>
      </c>
      <c r="Q207" s="1" t="s">
        <v>63</v>
      </c>
      <c r="R207">
        <v>2</v>
      </c>
      <c r="S207" s="1" t="s">
        <v>28</v>
      </c>
      <c r="T207" s="1" t="s">
        <v>28</v>
      </c>
      <c r="U207" s="1" t="s">
        <v>29</v>
      </c>
    </row>
    <row r="208" spans="1:21" x14ac:dyDescent="0.3">
      <c r="A208" s="1" t="s">
        <v>17</v>
      </c>
      <c r="B208">
        <v>12</v>
      </c>
      <c r="C208" s="1" t="s">
        <v>18</v>
      </c>
      <c r="D208" s="1" t="s">
        <v>53</v>
      </c>
      <c r="E208">
        <v>1935</v>
      </c>
      <c r="F208" s="1" t="s">
        <v>32</v>
      </c>
      <c r="G208" s="1" t="s">
        <v>38</v>
      </c>
      <c r="H208">
        <v>4</v>
      </c>
      <c r="I208" s="1" t="s">
        <v>39</v>
      </c>
      <c r="J208" s="1" t="s">
        <v>23</v>
      </c>
      <c r="K208">
        <v>4</v>
      </c>
      <c r="L208" s="1" t="s">
        <v>24</v>
      </c>
      <c r="M208">
        <v>43</v>
      </c>
      <c r="N208" s="1" t="s">
        <v>23</v>
      </c>
      <c r="O208" s="1" t="s">
        <v>26</v>
      </c>
      <c r="P208">
        <v>3</v>
      </c>
      <c r="Q208" s="1" t="s">
        <v>41</v>
      </c>
      <c r="R208">
        <v>1</v>
      </c>
      <c r="S208" s="1" t="s">
        <v>28</v>
      </c>
      <c r="T208" s="1" t="s">
        <v>28</v>
      </c>
      <c r="U208" s="1" t="s">
        <v>29</v>
      </c>
    </row>
    <row r="209" spans="1:21" x14ac:dyDescent="0.3">
      <c r="A209" s="1" t="s">
        <v>30</v>
      </c>
      <c r="B209">
        <v>12</v>
      </c>
      <c r="C209" s="1" t="s">
        <v>18</v>
      </c>
      <c r="D209" s="1" t="s">
        <v>44</v>
      </c>
      <c r="E209">
        <v>1424</v>
      </c>
      <c r="F209" s="1" t="s">
        <v>32</v>
      </c>
      <c r="G209" s="1" t="s">
        <v>49</v>
      </c>
      <c r="H209">
        <v>4</v>
      </c>
      <c r="I209" s="1" t="s">
        <v>39</v>
      </c>
      <c r="J209" s="1" t="s">
        <v>23</v>
      </c>
      <c r="K209">
        <v>3</v>
      </c>
      <c r="L209" s="1" t="s">
        <v>48</v>
      </c>
      <c r="M209">
        <v>26</v>
      </c>
      <c r="N209" s="1" t="s">
        <v>23</v>
      </c>
      <c r="O209" s="1" t="s">
        <v>26</v>
      </c>
      <c r="P209">
        <v>1</v>
      </c>
      <c r="Q209" s="1" t="s">
        <v>41</v>
      </c>
      <c r="R209">
        <v>1</v>
      </c>
      <c r="S209" s="1" t="s">
        <v>23</v>
      </c>
      <c r="T209" s="1" t="s">
        <v>28</v>
      </c>
      <c r="U209" s="1" t="s">
        <v>29</v>
      </c>
    </row>
    <row r="210" spans="1:21" x14ac:dyDescent="0.3">
      <c r="A210" s="1" t="s">
        <v>35</v>
      </c>
      <c r="B210">
        <v>24</v>
      </c>
      <c r="C210" s="1" t="s">
        <v>31</v>
      </c>
      <c r="D210" s="1" t="s">
        <v>61</v>
      </c>
      <c r="E210">
        <v>6568</v>
      </c>
      <c r="F210" s="1" t="s">
        <v>32</v>
      </c>
      <c r="G210" s="1" t="s">
        <v>21</v>
      </c>
      <c r="H210">
        <v>2</v>
      </c>
      <c r="I210" s="1" t="s">
        <v>33</v>
      </c>
      <c r="J210" s="1" t="s">
        <v>23</v>
      </c>
      <c r="K210">
        <v>2</v>
      </c>
      <c r="L210" s="1" t="s">
        <v>40</v>
      </c>
      <c r="M210">
        <v>21</v>
      </c>
      <c r="N210" s="1" t="s">
        <v>67</v>
      </c>
      <c r="O210" s="1" t="s">
        <v>26</v>
      </c>
      <c r="P210">
        <v>1</v>
      </c>
      <c r="Q210" s="1" t="s">
        <v>27</v>
      </c>
      <c r="R210">
        <v>1</v>
      </c>
      <c r="S210" s="1" t="s">
        <v>23</v>
      </c>
      <c r="T210" s="1" t="s">
        <v>28</v>
      </c>
      <c r="U210" s="1" t="s">
        <v>29</v>
      </c>
    </row>
    <row r="211" spans="1:21" x14ac:dyDescent="0.3">
      <c r="A211" s="1" t="s">
        <v>17</v>
      </c>
      <c r="B211">
        <v>12</v>
      </c>
      <c r="C211" s="1" t="s">
        <v>31</v>
      </c>
      <c r="D211" s="1" t="s">
        <v>69</v>
      </c>
      <c r="E211">
        <v>1413</v>
      </c>
      <c r="F211" s="1" t="s">
        <v>20</v>
      </c>
      <c r="G211" s="1" t="s">
        <v>49</v>
      </c>
      <c r="H211">
        <v>3</v>
      </c>
      <c r="I211" s="1" t="s">
        <v>39</v>
      </c>
      <c r="J211" s="1" t="s">
        <v>23</v>
      </c>
      <c r="K211">
        <v>2</v>
      </c>
      <c r="L211" s="1" t="s">
        <v>48</v>
      </c>
      <c r="M211">
        <v>55</v>
      </c>
      <c r="N211" s="1" t="s">
        <v>23</v>
      </c>
      <c r="O211" s="1" t="s">
        <v>26</v>
      </c>
      <c r="P211">
        <v>1</v>
      </c>
      <c r="Q211" s="1" t="s">
        <v>41</v>
      </c>
      <c r="R211">
        <v>1</v>
      </c>
      <c r="S211" s="1" t="s">
        <v>23</v>
      </c>
      <c r="T211" s="1" t="s">
        <v>60</v>
      </c>
      <c r="U211" s="1" t="s">
        <v>29</v>
      </c>
    </row>
    <row r="212" spans="1:21" x14ac:dyDescent="0.3">
      <c r="A212" s="1" t="s">
        <v>17</v>
      </c>
      <c r="B212">
        <v>9</v>
      </c>
      <c r="C212" s="1" t="s">
        <v>18</v>
      </c>
      <c r="D212" s="1" t="s">
        <v>36</v>
      </c>
      <c r="E212">
        <v>3074</v>
      </c>
      <c r="F212" s="1" t="s">
        <v>47</v>
      </c>
      <c r="G212" s="1" t="s">
        <v>21</v>
      </c>
      <c r="H212">
        <v>1</v>
      </c>
      <c r="I212" s="1" t="s">
        <v>39</v>
      </c>
      <c r="J212" s="1" t="s">
        <v>23</v>
      </c>
      <c r="K212">
        <v>2</v>
      </c>
      <c r="L212" s="1" t="s">
        <v>24</v>
      </c>
      <c r="M212">
        <v>33</v>
      </c>
      <c r="N212" s="1" t="s">
        <v>23</v>
      </c>
      <c r="O212" s="1" t="s">
        <v>26</v>
      </c>
      <c r="P212">
        <v>2</v>
      </c>
      <c r="Q212" s="1" t="s">
        <v>41</v>
      </c>
      <c r="R212">
        <v>2</v>
      </c>
      <c r="S212" s="1" t="s">
        <v>23</v>
      </c>
      <c r="T212" s="1" t="s">
        <v>28</v>
      </c>
      <c r="U212" s="1" t="s">
        <v>29</v>
      </c>
    </row>
    <row r="213" spans="1:21" x14ac:dyDescent="0.3">
      <c r="A213" s="1" t="s">
        <v>17</v>
      </c>
      <c r="B213">
        <v>36</v>
      </c>
      <c r="C213" s="1" t="s">
        <v>31</v>
      </c>
      <c r="D213" s="1" t="s">
        <v>36</v>
      </c>
      <c r="E213">
        <v>3835</v>
      </c>
      <c r="F213" s="1" t="s">
        <v>47</v>
      </c>
      <c r="G213" s="1" t="s">
        <v>38</v>
      </c>
      <c r="H213">
        <v>2</v>
      </c>
      <c r="I213" s="1" t="s">
        <v>22</v>
      </c>
      <c r="J213" s="1" t="s">
        <v>23</v>
      </c>
      <c r="K213">
        <v>4</v>
      </c>
      <c r="L213" s="1" t="s">
        <v>24</v>
      </c>
      <c r="M213">
        <v>45</v>
      </c>
      <c r="N213" s="1" t="s">
        <v>23</v>
      </c>
      <c r="O213" s="1" t="s">
        <v>26</v>
      </c>
      <c r="P213">
        <v>1</v>
      </c>
      <c r="Q213" s="1" t="s">
        <v>27</v>
      </c>
      <c r="R213">
        <v>1</v>
      </c>
      <c r="S213" s="1" t="s">
        <v>28</v>
      </c>
      <c r="T213" s="1" t="s">
        <v>28</v>
      </c>
      <c r="U213" s="1" t="s">
        <v>29</v>
      </c>
    </row>
    <row r="214" spans="1:21" x14ac:dyDescent="0.3">
      <c r="A214" s="1" t="s">
        <v>35</v>
      </c>
      <c r="B214">
        <v>27</v>
      </c>
      <c r="C214" s="1" t="s">
        <v>52</v>
      </c>
      <c r="D214" s="1" t="s">
        <v>61</v>
      </c>
      <c r="E214">
        <v>5293</v>
      </c>
      <c r="F214" s="1" t="s">
        <v>32</v>
      </c>
      <c r="G214" s="1" t="s">
        <v>54</v>
      </c>
      <c r="H214">
        <v>2</v>
      </c>
      <c r="I214" s="1" t="s">
        <v>39</v>
      </c>
      <c r="J214" s="1" t="s">
        <v>23</v>
      </c>
      <c r="K214">
        <v>4</v>
      </c>
      <c r="L214" s="1" t="s">
        <v>48</v>
      </c>
      <c r="M214">
        <v>50</v>
      </c>
      <c r="N214" s="1" t="s">
        <v>67</v>
      </c>
      <c r="O214" s="1" t="s">
        <v>26</v>
      </c>
      <c r="P214">
        <v>2</v>
      </c>
      <c r="Q214" s="1" t="s">
        <v>41</v>
      </c>
      <c r="R214">
        <v>1</v>
      </c>
      <c r="S214" s="1" t="s">
        <v>28</v>
      </c>
      <c r="T214" s="1" t="s">
        <v>28</v>
      </c>
      <c r="U214" s="1" t="s">
        <v>56</v>
      </c>
    </row>
    <row r="215" spans="1:21" x14ac:dyDescent="0.3">
      <c r="A215" s="1" t="s">
        <v>50</v>
      </c>
      <c r="B215">
        <v>30</v>
      </c>
      <c r="C215" s="1" t="s">
        <v>59</v>
      </c>
      <c r="D215" s="1" t="s">
        <v>61</v>
      </c>
      <c r="E215">
        <v>1908</v>
      </c>
      <c r="F215" s="1" t="s">
        <v>32</v>
      </c>
      <c r="G215" s="1" t="s">
        <v>38</v>
      </c>
      <c r="H215">
        <v>4</v>
      </c>
      <c r="I215" s="1" t="s">
        <v>39</v>
      </c>
      <c r="J215" s="1" t="s">
        <v>23</v>
      </c>
      <c r="K215">
        <v>4</v>
      </c>
      <c r="L215" s="1" t="s">
        <v>24</v>
      </c>
      <c r="M215">
        <v>66</v>
      </c>
      <c r="N215" s="1" t="s">
        <v>23</v>
      </c>
      <c r="O215" s="1" t="s">
        <v>26</v>
      </c>
      <c r="P215">
        <v>1</v>
      </c>
      <c r="Q215" s="1" t="s">
        <v>63</v>
      </c>
      <c r="R215">
        <v>1</v>
      </c>
      <c r="S215" s="1" t="s">
        <v>28</v>
      </c>
      <c r="T215" s="1" t="s">
        <v>28</v>
      </c>
      <c r="U215" s="1" t="s">
        <v>56</v>
      </c>
    </row>
    <row r="216" spans="1:21" x14ac:dyDescent="0.3">
      <c r="A216" s="1" t="s">
        <v>17</v>
      </c>
      <c r="B216">
        <v>36</v>
      </c>
      <c r="C216" s="1" t="s">
        <v>18</v>
      </c>
      <c r="D216" s="1" t="s">
        <v>36</v>
      </c>
      <c r="E216">
        <v>3342</v>
      </c>
      <c r="F216" s="1" t="s">
        <v>47</v>
      </c>
      <c r="G216" s="1" t="s">
        <v>38</v>
      </c>
      <c r="H216">
        <v>4</v>
      </c>
      <c r="I216" s="1" t="s">
        <v>39</v>
      </c>
      <c r="J216" s="1" t="s">
        <v>23</v>
      </c>
      <c r="K216">
        <v>2</v>
      </c>
      <c r="L216" s="1" t="s">
        <v>40</v>
      </c>
      <c r="M216">
        <v>51</v>
      </c>
      <c r="N216" s="1" t="s">
        <v>23</v>
      </c>
      <c r="O216" s="1" t="s">
        <v>26</v>
      </c>
      <c r="P216">
        <v>1</v>
      </c>
      <c r="Q216" s="1" t="s">
        <v>41</v>
      </c>
      <c r="R216">
        <v>1</v>
      </c>
      <c r="S216" s="1" t="s">
        <v>28</v>
      </c>
      <c r="T216" s="1" t="s">
        <v>28</v>
      </c>
      <c r="U216" s="1" t="s">
        <v>29</v>
      </c>
    </row>
    <row r="217" spans="1:21" x14ac:dyDescent="0.3">
      <c r="A217" s="1" t="s">
        <v>30</v>
      </c>
      <c r="B217">
        <v>6</v>
      </c>
      <c r="C217" s="1" t="s">
        <v>18</v>
      </c>
      <c r="D217" s="1" t="s">
        <v>43</v>
      </c>
      <c r="E217">
        <v>932</v>
      </c>
      <c r="F217" s="1" t="s">
        <v>47</v>
      </c>
      <c r="G217" s="1" t="s">
        <v>49</v>
      </c>
      <c r="H217">
        <v>1</v>
      </c>
      <c r="I217" s="1" t="s">
        <v>22</v>
      </c>
      <c r="J217" s="1" t="s">
        <v>23</v>
      </c>
      <c r="K217">
        <v>3</v>
      </c>
      <c r="L217" s="1" t="s">
        <v>48</v>
      </c>
      <c r="M217">
        <v>39</v>
      </c>
      <c r="N217" s="1" t="s">
        <v>23</v>
      </c>
      <c r="O217" s="1" t="s">
        <v>26</v>
      </c>
      <c r="P217">
        <v>2</v>
      </c>
      <c r="Q217" s="1" t="s">
        <v>27</v>
      </c>
      <c r="R217">
        <v>1</v>
      </c>
      <c r="S217" s="1" t="s">
        <v>23</v>
      </c>
      <c r="T217" s="1" t="s">
        <v>28</v>
      </c>
      <c r="U217" s="1" t="s">
        <v>29</v>
      </c>
    </row>
    <row r="218" spans="1:21" x14ac:dyDescent="0.3">
      <c r="A218" s="1" t="s">
        <v>35</v>
      </c>
      <c r="B218">
        <v>18</v>
      </c>
      <c r="C218" s="1" t="s">
        <v>52</v>
      </c>
      <c r="D218" s="1" t="s">
        <v>61</v>
      </c>
      <c r="E218">
        <v>3104</v>
      </c>
      <c r="F218" s="1" t="s">
        <v>32</v>
      </c>
      <c r="G218" s="1" t="s">
        <v>49</v>
      </c>
      <c r="H218">
        <v>3</v>
      </c>
      <c r="I218" s="1" t="s">
        <v>39</v>
      </c>
      <c r="J218" s="1" t="s">
        <v>23</v>
      </c>
      <c r="K218">
        <v>1</v>
      </c>
      <c r="L218" s="1" t="s">
        <v>48</v>
      </c>
      <c r="M218">
        <v>31</v>
      </c>
      <c r="N218" s="1" t="s">
        <v>25</v>
      </c>
      <c r="O218" s="1" t="s">
        <v>26</v>
      </c>
      <c r="P218">
        <v>1</v>
      </c>
      <c r="Q218" s="1" t="s">
        <v>41</v>
      </c>
      <c r="R218">
        <v>1</v>
      </c>
      <c r="S218" s="1" t="s">
        <v>28</v>
      </c>
      <c r="T218" s="1" t="s">
        <v>28</v>
      </c>
      <c r="U218" s="1" t="s">
        <v>29</v>
      </c>
    </row>
    <row r="219" spans="1:21" x14ac:dyDescent="0.3">
      <c r="A219" s="1" t="s">
        <v>50</v>
      </c>
      <c r="B219">
        <v>36</v>
      </c>
      <c r="C219" s="1" t="s">
        <v>31</v>
      </c>
      <c r="D219" s="1" t="s">
        <v>36</v>
      </c>
      <c r="E219">
        <v>3913</v>
      </c>
      <c r="F219" s="1" t="s">
        <v>32</v>
      </c>
      <c r="G219" s="1" t="s">
        <v>21</v>
      </c>
      <c r="H219">
        <v>2</v>
      </c>
      <c r="I219" s="1" t="s">
        <v>39</v>
      </c>
      <c r="J219" s="1" t="s">
        <v>23</v>
      </c>
      <c r="K219">
        <v>2</v>
      </c>
      <c r="L219" s="1" t="s">
        <v>24</v>
      </c>
      <c r="M219">
        <v>23</v>
      </c>
      <c r="N219" s="1" t="s">
        <v>23</v>
      </c>
      <c r="O219" s="1" t="s">
        <v>26</v>
      </c>
      <c r="P219">
        <v>1</v>
      </c>
      <c r="Q219" s="1" t="s">
        <v>41</v>
      </c>
      <c r="R219">
        <v>1</v>
      </c>
      <c r="S219" s="1" t="s">
        <v>28</v>
      </c>
      <c r="T219" s="1" t="s">
        <v>28</v>
      </c>
      <c r="U219" s="1" t="s">
        <v>29</v>
      </c>
    </row>
    <row r="220" spans="1:21" x14ac:dyDescent="0.3">
      <c r="A220" s="1" t="s">
        <v>35</v>
      </c>
      <c r="B220">
        <v>24</v>
      </c>
      <c r="C220" s="1" t="s">
        <v>31</v>
      </c>
      <c r="D220" s="1" t="s">
        <v>53</v>
      </c>
      <c r="E220">
        <v>3021</v>
      </c>
      <c r="F220" s="1" t="s">
        <v>32</v>
      </c>
      <c r="G220" s="1" t="s">
        <v>21</v>
      </c>
      <c r="H220">
        <v>2</v>
      </c>
      <c r="I220" s="1" t="s">
        <v>64</v>
      </c>
      <c r="J220" s="1" t="s">
        <v>23</v>
      </c>
      <c r="K220">
        <v>2</v>
      </c>
      <c r="L220" s="1" t="s">
        <v>24</v>
      </c>
      <c r="M220">
        <v>24</v>
      </c>
      <c r="N220" s="1" t="s">
        <v>23</v>
      </c>
      <c r="O220" s="1" t="s">
        <v>34</v>
      </c>
      <c r="P220">
        <v>1</v>
      </c>
      <c r="Q220" s="1" t="s">
        <v>27</v>
      </c>
      <c r="R220">
        <v>1</v>
      </c>
      <c r="S220" s="1" t="s">
        <v>23</v>
      </c>
      <c r="T220" s="1" t="s">
        <v>28</v>
      </c>
      <c r="U220" s="1" t="s">
        <v>29</v>
      </c>
    </row>
    <row r="221" spans="1:21" x14ac:dyDescent="0.3">
      <c r="A221" s="1" t="s">
        <v>17</v>
      </c>
      <c r="B221">
        <v>10</v>
      </c>
      <c r="C221" s="1" t="s">
        <v>31</v>
      </c>
      <c r="D221" s="1" t="s">
        <v>19</v>
      </c>
      <c r="E221">
        <v>1364</v>
      </c>
      <c r="F221" s="1" t="s">
        <v>32</v>
      </c>
      <c r="G221" s="1" t="s">
        <v>21</v>
      </c>
      <c r="H221">
        <v>2</v>
      </c>
      <c r="I221" s="1" t="s">
        <v>22</v>
      </c>
      <c r="J221" s="1" t="s">
        <v>23</v>
      </c>
      <c r="K221">
        <v>4</v>
      </c>
      <c r="L221" s="1" t="s">
        <v>40</v>
      </c>
      <c r="M221">
        <v>64</v>
      </c>
      <c r="N221" s="1" t="s">
        <v>23</v>
      </c>
      <c r="O221" s="1" t="s">
        <v>26</v>
      </c>
      <c r="P221">
        <v>1</v>
      </c>
      <c r="Q221" s="1" t="s">
        <v>41</v>
      </c>
      <c r="R221">
        <v>1</v>
      </c>
      <c r="S221" s="1" t="s">
        <v>28</v>
      </c>
      <c r="T221" s="1" t="s">
        <v>28</v>
      </c>
      <c r="U221" s="1" t="s">
        <v>29</v>
      </c>
    </row>
    <row r="222" spans="1:21" x14ac:dyDescent="0.3">
      <c r="A222" s="1" t="s">
        <v>30</v>
      </c>
      <c r="B222">
        <v>12</v>
      </c>
      <c r="C222" s="1" t="s">
        <v>31</v>
      </c>
      <c r="D222" s="1" t="s">
        <v>36</v>
      </c>
      <c r="E222">
        <v>625</v>
      </c>
      <c r="F222" s="1" t="s">
        <v>32</v>
      </c>
      <c r="G222" s="1" t="s">
        <v>45</v>
      </c>
      <c r="H222">
        <v>4</v>
      </c>
      <c r="I222" s="1" t="s">
        <v>33</v>
      </c>
      <c r="J222" s="1" t="s">
        <v>58</v>
      </c>
      <c r="K222">
        <v>1</v>
      </c>
      <c r="L222" s="1" t="s">
        <v>24</v>
      </c>
      <c r="M222">
        <v>26</v>
      </c>
      <c r="N222" s="1" t="s">
        <v>25</v>
      </c>
      <c r="O222" s="1" t="s">
        <v>26</v>
      </c>
      <c r="P222">
        <v>1</v>
      </c>
      <c r="Q222" s="1" t="s">
        <v>27</v>
      </c>
      <c r="R222">
        <v>1</v>
      </c>
      <c r="S222" s="1" t="s">
        <v>23</v>
      </c>
      <c r="T222" s="1" t="s">
        <v>28</v>
      </c>
      <c r="U222" s="1" t="s">
        <v>29</v>
      </c>
    </row>
    <row r="223" spans="1:21" x14ac:dyDescent="0.3">
      <c r="A223" s="1" t="s">
        <v>35</v>
      </c>
      <c r="B223">
        <v>12</v>
      </c>
      <c r="C223" s="1" t="s">
        <v>31</v>
      </c>
      <c r="D223" s="1" t="s">
        <v>51</v>
      </c>
      <c r="E223">
        <v>1200</v>
      </c>
      <c r="F223" s="1" t="s">
        <v>47</v>
      </c>
      <c r="G223" s="1" t="s">
        <v>21</v>
      </c>
      <c r="H223">
        <v>4</v>
      </c>
      <c r="I223" s="1" t="s">
        <v>22</v>
      </c>
      <c r="J223" s="1" t="s">
        <v>23</v>
      </c>
      <c r="K223">
        <v>4</v>
      </c>
      <c r="L223" s="1" t="s">
        <v>48</v>
      </c>
      <c r="M223">
        <v>23</v>
      </c>
      <c r="N223" s="1" t="s">
        <v>25</v>
      </c>
      <c r="O223" s="1" t="s">
        <v>34</v>
      </c>
      <c r="P223">
        <v>1</v>
      </c>
      <c r="Q223" s="1" t="s">
        <v>41</v>
      </c>
      <c r="R223">
        <v>1</v>
      </c>
      <c r="S223" s="1" t="s">
        <v>28</v>
      </c>
      <c r="T223" s="1" t="s">
        <v>28</v>
      </c>
      <c r="U223" s="1" t="s">
        <v>29</v>
      </c>
    </row>
    <row r="224" spans="1:21" x14ac:dyDescent="0.3">
      <c r="A224" s="1" t="s">
        <v>17</v>
      </c>
      <c r="B224">
        <v>12</v>
      </c>
      <c r="C224" s="1" t="s">
        <v>31</v>
      </c>
      <c r="D224" s="1" t="s">
        <v>36</v>
      </c>
      <c r="E224">
        <v>707</v>
      </c>
      <c r="F224" s="1" t="s">
        <v>32</v>
      </c>
      <c r="G224" s="1" t="s">
        <v>21</v>
      </c>
      <c r="H224">
        <v>4</v>
      </c>
      <c r="I224" s="1" t="s">
        <v>39</v>
      </c>
      <c r="J224" s="1" t="s">
        <v>23</v>
      </c>
      <c r="K224">
        <v>2</v>
      </c>
      <c r="L224" s="1" t="s">
        <v>24</v>
      </c>
      <c r="M224">
        <v>30</v>
      </c>
      <c r="N224" s="1" t="s">
        <v>25</v>
      </c>
      <c r="O224" s="1" t="s">
        <v>26</v>
      </c>
      <c r="P224">
        <v>2</v>
      </c>
      <c r="Q224" s="1" t="s">
        <v>41</v>
      </c>
      <c r="R224">
        <v>1</v>
      </c>
      <c r="S224" s="1" t="s">
        <v>23</v>
      </c>
      <c r="T224" s="1" t="s">
        <v>28</v>
      </c>
      <c r="U224" s="1" t="s">
        <v>29</v>
      </c>
    </row>
    <row r="225" spans="1:21" x14ac:dyDescent="0.3">
      <c r="A225" s="1" t="s">
        <v>17</v>
      </c>
      <c r="B225">
        <v>24</v>
      </c>
      <c r="C225" s="1" t="s">
        <v>59</v>
      </c>
      <c r="D225" s="1" t="s">
        <v>61</v>
      </c>
      <c r="E225">
        <v>2978</v>
      </c>
      <c r="F225" s="1" t="s">
        <v>47</v>
      </c>
      <c r="G225" s="1" t="s">
        <v>21</v>
      </c>
      <c r="H225">
        <v>4</v>
      </c>
      <c r="I225" s="1" t="s">
        <v>39</v>
      </c>
      <c r="J225" s="1" t="s">
        <v>23</v>
      </c>
      <c r="K225">
        <v>4</v>
      </c>
      <c r="L225" s="1" t="s">
        <v>24</v>
      </c>
      <c r="M225">
        <v>32</v>
      </c>
      <c r="N225" s="1" t="s">
        <v>23</v>
      </c>
      <c r="O225" s="1" t="s">
        <v>26</v>
      </c>
      <c r="P225">
        <v>2</v>
      </c>
      <c r="Q225" s="1" t="s">
        <v>41</v>
      </c>
      <c r="R225">
        <v>2</v>
      </c>
      <c r="S225" s="1" t="s">
        <v>28</v>
      </c>
      <c r="T225" s="1" t="s">
        <v>28</v>
      </c>
      <c r="U225" s="1" t="s">
        <v>29</v>
      </c>
    </row>
    <row r="226" spans="1:21" x14ac:dyDescent="0.3">
      <c r="A226" s="1" t="s">
        <v>17</v>
      </c>
      <c r="B226">
        <v>15</v>
      </c>
      <c r="C226" s="1" t="s">
        <v>31</v>
      </c>
      <c r="D226" s="1" t="s">
        <v>69</v>
      </c>
      <c r="E226">
        <v>4657</v>
      </c>
      <c r="F226" s="1" t="s">
        <v>32</v>
      </c>
      <c r="G226" s="1" t="s">
        <v>21</v>
      </c>
      <c r="H226">
        <v>3</v>
      </c>
      <c r="I226" s="1" t="s">
        <v>39</v>
      </c>
      <c r="J226" s="1" t="s">
        <v>23</v>
      </c>
      <c r="K226">
        <v>2</v>
      </c>
      <c r="L226" s="1" t="s">
        <v>40</v>
      </c>
      <c r="M226">
        <v>30</v>
      </c>
      <c r="N226" s="1" t="s">
        <v>23</v>
      </c>
      <c r="O226" s="1" t="s">
        <v>26</v>
      </c>
      <c r="P226">
        <v>1</v>
      </c>
      <c r="Q226" s="1" t="s">
        <v>41</v>
      </c>
      <c r="R226">
        <v>1</v>
      </c>
      <c r="S226" s="1" t="s">
        <v>28</v>
      </c>
      <c r="T226" s="1" t="s">
        <v>28</v>
      </c>
      <c r="U226" s="1" t="s">
        <v>29</v>
      </c>
    </row>
    <row r="227" spans="1:21" x14ac:dyDescent="0.3">
      <c r="A227" s="1" t="s">
        <v>17</v>
      </c>
      <c r="B227">
        <v>36</v>
      </c>
      <c r="C227" s="1" t="s">
        <v>52</v>
      </c>
      <c r="D227" s="1" t="s">
        <v>57</v>
      </c>
      <c r="E227">
        <v>2613</v>
      </c>
      <c r="F227" s="1" t="s">
        <v>32</v>
      </c>
      <c r="G227" s="1" t="s">
        <v>21</v>
      </c>
      <c r="H227">
        <v>4</v>
      </c>
      <c r="I227" s="1" t="s">
        <v>39</v>
      </c>
      <c r="J227" s="1" t="s">
        <v>23</v>
      </c>
      <c r="K227">
        <v>2</v>
      </c>
      <c r="L227" s="1" t="s">
        <v>40</v>
      </c>
      <c r="M227">
        <v>27</v>
      </c>
      <c r="N227" s="1" t="s">
        <v>23</v>
      </c>
      <c r="O227" s="1" t="s">
        <v>26</v>
      </c>
      <c r="P227">
        <v>2</v>
      </c>
      <c r="Q227" s="1" t="s">
        <v>41</v>
      </c>
      <c r="R227">
        <v>1</v>
      </c>
      <c r="S227" s="1" t="s">
        <v>23</v>
      </c>
      <c r="T227" s="1" t="s">
        <v>28</v>
      </c>
      <c r="U227" s="1" t="s">
        <v>29</v>
      </c>
    </row>
    <row r="228" spans="1:21" x14ac:dyDescent="0.3">
      <c r="A228" s="1" t="s">
        <v>30</v>
      </c>
      <c r="B228">
        <v>48</v>
      </c>
      <c r="C228" s="1" t="s">
        <v>31</v>
      </c>
      <c r="D228" s="1" t="s">
        <v>36</v>
      </c>
      <c r="E228">
        <v>10961</v>
      </c>
      <c r="F228" s="1" t="s">
        <v>20</v>
      </c>
      <c r="G228" s="1" t="s">
        <v>49</v>
      </c>
      <c r="H228">
        <v>1</v>
      </c>
      <c r="I228" s="1" t="s">
        <v>39</v>
      </c>
      <c r="J228" s="1" t="s">
        <v>55</v>
      </c>
      <c r="K228">
        <v>2</v>
      </c>
      <c r="L228" s="1" t="s">
        <v>65</v>
      </c>
      <c r="M228">
        <v>27</v>
      </c>
      <c r="N228" s="1" t="s">
        <v>25</v>
      </c>
      <c r="O228" s="1" t="s">
        <v>26</v>
      </c>
      <c r="P228">
        <v>2</v>
      </c>
      <c r="Q228" s="1" t="s">
        <v>41</v>
      </c>
      <c r="R228">
        <v>1</v>
      </c>
      <c r="S228" s="1" t="s">
        <v>28</v>
      </c>
      <c r="T228" s="1" t="s">
        <v>28</v>
      </c>
      <c r="U228" s="1" t="s">
        <v>56</v>
      </c>
    </row>
    <row r="229" spans="1:21" x14ac:dyDescent="0.3">
      <c r="A229" s="1" t="s">
        <v>35</v>
      </c>
      <c r="B229">
        <v>12</v>
      </c>
      <c r="C229" s="1" t="s">
        <v>31</v>
      </c>
      <c r="D229" s="1" t="s">
        <v>53</v>
      </c>
      <c r="E229">
        <v>7865</v>
      </c>
      <c r="F229" s="1" t="s">
        <v>32</v>
      </c>
      <c r="G229" s="1" t="s">
        <v>38</v>
      </c>
      <c r="H229">
        <v>4</v>
      </c>
      <c r="I229" s="1" t="s">
        <v>39</v>
      </c>
      <c r="J229" s="1" t="s">
        <v>23</v>
      </c>
      <c r="K229">
        <v>4</v>
      </c>
      <c r="L229" s="1" t="s">
        <v>65</v>
      </c>
      <c r="M229">
        <v>53</v>
      </c>
      <c r="N229" s="1" t="s">
        <v>23</v>
      </c>
      <c r="O229" s="1" t="s">
        <v>66</v>
      </c>
      <c r="P229">
        <v>1</v>
      </c>
      <c r="Q229" s="1" t="s">
        <v>63</v>
      </c>
      <c r="R229">
        <v>1</v>
      </c>
      <c r="S229" s="1" t="s">
        <v>28</v>
      </c>
      <c r="T229" s="1" t="s">
        <v>28</v>
      </c>
      <c r="U229" s="1" t="s">
        <v>56</v>
      </c>
    </row>
    <row r="230" spans="1:21" x14ac:dyDescent="0.3">
      <c r="A230" s="1" t="s">
        <v>17</v>
      </c>
      <c r="B230">
        <v>9</v>
      </c>
      <c r="C230" s="1" t="s">
        <v>31</v>
      </c>
      <c r="D230" s="1" t="s">
        <v>36</v>
      </c>
      <c r="E230">
        <v>1478</v>
      </c>
      <c r="F230" s="1" t="s">
        <v>32</v>
      </c>
      <c r="G230" s="1" t="s">
        <v>49</v>
      </c>
      <c r="H230">
        <v>4</v>
      </c>
      <c r="I230" s="1" t="s">
        <v>39</v>
      </c>
      <c r="J230" s="1" t="s">
        <v>23</v>
      </c>
      <c r="K230">
        <v>2</v>
      </c>
      <c r="L230" s="1" t="s">
        <v>40</v>
      </c>
      <c r="M230">
        <v>22</v>
      </c>
      <c r="N230" s="1" t="s">
        <v>23</v>
      </c>
      <c r="O230" s="1" t="s">
        <v>26</v>
      </c>
      <c r="P230">
        <v>1</v>
      </c>
      <c r="Q230" s="1" t="s">
        <v>41</v>
      </c>
      <c r="R230">
        <v>1</v>
      </c>
      <c r="S230" s="1" t="s">
        <v>23</v>
      </c>
      <c r="T230" s="1" t="s">
        <v>28</v>
      </c>
      <c r="U230" s="1" t="s">
        <v>56</v>
      </c>
    </row>
    <row r="231" spans="1:21" x14ac:dyDescent="0.3">
      <c r="A231" s="1" t="s">
        <v>35</v>
      </c>
      <c r="B231">
        <v>24</v>
      </c>
      <c r="C231" s="1" t="s">
        <v>31</v>
      </c>
      <c r="D231" s="1" t="s">
        <v>53</v>
      </c>
      <c r="E231">
        <v>3149</v>
      </c>
      <c r="F231" s="1" t="s">
        <v>32</v>
      </c>
      <c r="G231" s="1" t="s">
        <v>45</v>
      </c>
      <c r="H231">
        <v>4</v>
      </c>
      <c r="I231" s="1" t="s">
        <v>39</v>
      </c>
      <c r="J231" s="1" t="s">
        <v>23</v>
      </c>
      <c r="K231">
        <v>1</v>
      </c>
      <c r="L231" s="1" t="s">
        <v>65</v>
      </c>
      <c r="M231">
        <v>22</v>
      </c>
      <c r="N231" s="1" t="s">
        <v>25</v>
      </c>
      <c r="O231" s="1" t="s">
        <v>66</v>
      </c>
      <c r="P231">
        <v>1</v>
      </c>
      <c r="Q231" s="1" t="s">
        <v>41</v>
      </c>
      <c r="R231">
        <v>1</v>
      </c>
      <c r="S231" s="1" t="s">
        <v>23</v>
      </c>
      <c r="T231" s="1" t="s">
        <v>28</v>
      </c>
      <c r="U231" s="1" t="s">
        <v>29</v>
      </c>
    </row>
    <row r="232" spans="1:21" x14ac:dyDescent="0.3">
      <c r="A232" s="1" t="s">
        <v>50</v>
      </c>
      <c r="B232">
        <v>36</v>
      </c>
      <c r="C232" s="1" t="s">
        <v>31</v>
      </c>
      <c r="D232" s="1" t="s">
        <v>36</v>
      </c>
      <c r="E232">
        <v>4210</v>
      </c>
      <c r="F232" s="1" t="s">
        <v>32</v>
      </c>
      <c r="G232" s="1" t="s">
        <v>21</v>
      </c>
      <c r="H232">
        <v>4</v>
      </c>
      <c r="I232" s="1" t="s">
        <v>39</v>
      </c>
      <c r="J232" s="1" t="s">
        <v>23</v>
      </c>
      <c r="K232">
        <v>2</v>
      </c>
      <c r="L232" s="1" t="s">
        <v>40</v>
      </c>
      <c r="M232">
        <v>26</v>
      </c>
      <c r="N232" s="1" t="s">
        <v>23</v>
      </c>
      <c r="O232" s="1" t="s">
        <v>26</v>
      </c>
      <c r="P232">
        <v>1</v>
      </c>
      <c r="Q232" s="1" t="s">
        <v>41</v>
      </c>
      <c r="R232">
        <v>1</v>
      </c>
      <c r="S232" s="1" t="s">
        <v>23</v>
      </c>
      <c r="T232" s="1" t="s">
        <v>28</v>
      </c>
      <c r="U232" s="1" t="s">
        <v>56</v>
      </c>
    </row>
    <row r="233" spans="1:21" x14ac:dyDescent="0.3">
      <c r="A233" s="1" t="s">
        <v>17</v>
      </c>
      <c r="B233">
        <v>9</v>
      </c>
      <c r="C233" s="1" t="s">
        <v>31</v>
      </c>
      <c r="D233" s="1" t="s">
        <v>19</v>
      </c>
      <c r="E233">
        <v>2507</v>
      </c>
      <c r="F233" s="1" t="s">
        <v>37</v>
      </c>
      <c r="G233" s="1" t="s">
        <v>38</v>
      </c>
      <c r="H233">
        <v>2</v>
      </c>
      <c r="I233" s="1" t="s">
        <v>39</v>
      </c>
      <c r="J233" s="1" t="s">
        <v>23</v>
      </c>
      <c r="K233">
        <v>4</v>
      </c>
      <c r="L233" s="1" t="s">
        <v>65</v>
      </c>
      <c r="M233">
        <v>51</v>
      </c>
      <c r="N233" s="1" t="s">
        <v>23</v>
      </c>
      <c r="O233" s="1" t="s">
        <v>66</v>
      </c>
      <c r="P233">
        <v>1</v>
      </c>
      <c r="Q233" s="1" t="s">
        <v>27</v>
      </c>
      <c r="R233">
        <v>1</v>
      </c>
      <c r="S233" s="1" t="s">
        <v>23</v>
      </c>
      <c r="T233" s="1" t="s">
        <v>28</v>
      </c>
      <c r="U233" s="1" t="s">
        <v>29</v>
      </c>
    </row>
    <row r="234" spans="1:21" x14ac:dyDescent="0.3">
      <c r="A234" s="1" t="s">
        <v>17</v>
      </c>
      <c r="B234">
        <v>12</v>
      </c>
      <c r="C234" s="1" t="s">
        <v>31</v>
      </c>
      <c r="D234" s="1" t="s">
        <v>36</v>
      </c>
      <c r="E234">
        <v>2141</v>
      </c>
      <c r="F234" s="1" t="s">
        <v>46</v>
      </c>
      <c r="G234" s="1" t="s">
        <v>49</v>
      </c>
      <c r="H234">
        <v>3</v>
      </c>
      <c r="I234" s="1" t="s">
        <v>39</v>
      </c>
      <c r="J234" s="1" t="s">
        <v>23</v>
      </c>
      <c r="K234">
        <v>1</v>
      </c>
      <c r="L234" s="1" t="s">
        <v>65</v>
      </c>
      <c r="M234">
        <v>35</v>
      </c>
      <c r="N234" s="1" t="s">
        <v>23</v>
      </c>
      <c r="O234" s="1" t="s">
        <v>26</v>
      </c>
      <c r="P234">
        <v>1</v>
      </c>
      <c r="Q234" s="1" t="s">
        <v>41</v>
      </c>
      <c r="R234">
        <v>1</v>
      </c>
      <c r="S234" s="1" t="s">
        <v>23</v>
      </c>
      <c r="T234" s="1" t="s">
        <v>28</v>
      </c>
      <c r="U234" s="1" t="s">
        <v>29</v>
      </c>
    </row>
    <row r="235" spans="1:21" x14ac:dyDescent="0.3">
      <c r="A235" s="1" t="s">
        <v>30</v>
      </c>
      <c r="B235">
        <v>18</v>
      </c>
      <c r="C235" s="1" t="s">
        <v>31</v>
      </c>
      <c r="D235" s="1" t="s">
        <v>36</v>
      </c>
      <c r="E235">
        <v>866</v>
      </c>
      <c r="F235" s="1" t="s">
        <v>32</v>
      </c>
      <c r="G235" s="1" t="s">
        <v>21</v>
      </c>
      <c r="H235">
        <v>4</v>
      </c>
      <c r="I235" s="1" t="s">
        <v>33</v>
      </c>
      <c r="J235" s="1" t="s">
        <v>58</v>
      </c>
      <c r="K235">
        <v>2</v>
      </c>
      <c r="L235" s="1" t="s">
        <v>24</v>
      </c>
      <c r="M235">
        <v>25</v>
      </c>
      <c r="N235" s="1" t="s">
        <v>23</v>
      </c>
      <c r="O235" s="1" t="s">
        <v>26</v>
      </c>
      <c r="P235">
        <v>1</v>
      </c>
      <c r="Q235" s="1" t="s">
        <v>27</v>
      </c>
      <c r="R235">
        <v>1</v>
      </c>
      <c r="S235" s="1" t="s">
        <v>23</v>
      </c>
      <c r="T235" s="1" t="s">
        <v>28</v>
      </c>
      <c r="U235" s="1" t="s">
        <v>29</v>
      </c>
    </row>
    <row r="236" spans="1:21" x14ac:dyDescent="0.3">
      <c r="A236" s="1" t="s">
        <v>17</v>
      </c>
      <c r="B236">
        <v>4</v>
      </c>
      <c r="C236" s="1" t="s">
        <v>18</v>
      </c>
      <c r="D236" s="1" t="s">
        <v>36</v>
      </c>
      <c r="E236">
        <v>1544</v>
      </c>
      <c r="F236" s="1" t="s">
        <v>32</v>
      </c>
      <c r="G236" s="1" t="s">
        <v>49</v>
      </c>
      <c r="H236">
        <v>2</v>
      </c>
      <c r="I236" s="1" t="s">
        <v>39</v>
      </c>
      <c r="J236" s="1" t="s">
        <v>23</v>
      </c>
      <c r="K236">
        <v>1</v>
      </c>
      <c r="L236" s="1" t="s">
        <v>24</v>
      </c>
      <c r="M236">
        <v>42</v>
      </c>
      <c r="N236" s="1" t="s">
        <v>23</v>
      </c>
      <c r="O236" s="1" t="s">
        <v>26</v>
      </c>
      <c r="P236">
        <v>3</v>
      </c>
      <c r="Q236" s="1" t="s">
        <v>27</v>
      </c>
      <c r="R236">
        <v>2</v>
      </c>
      <c r="S236" s="1" t="s">
        <v>23</v>
      </c>
      <c r="T236" s="1" t="s">
        <v>28</v>
      </c>
      <c r="U236" s="1" t="s">
        <v>29</v>
      </c>
    </row>
    <row r="237" spans="1:21" x14ac:dyDescent="0.3">
      <c r="A237" s="1" t="s">
        <v>35</v>
      </c>
      <c r="B237">
        <v>24</v>
      </c>
      <c r="C237" s="1" t="s">
        <v>31</v>
      </c>
      <c r="D237" s="1" t="s">
        <v>36</v>
      </c>
      <c r="E237">
        <v>1823</v>
      </c>
      <c r="F237" s="1" t="s">
        <v>32</v>
      </c>
      <c r="G237" s="1" t="s">
        <v>54</v>
      </c>
      <c r="H237">
        <v>4</v>
      </c>
      <c r="I237" s="1" t="s">
        <v>39</v>
      </c>
      <c r="J237" s="1" t="s">
        <v>23</v>
      </c>
      <c r="K237">
        <v>2</v>
      </c>
      <c r="L237" s="1" t="s">
        <v>40</v>
      </c>
      <c r="M237">
        <v>30</v>
      </c>
      <c r="N237" s="1" t="s">
        <v>67</v>
      </c>
      <c r="O237" s="1" t="s">
        <v>26</v>
      </c>
      <c r="P237">
        <v>1</v>
      </c>
      <c r="Q237" s="1" t="s">
        <v>63</v>
      </c>
      <c r="R237">
        <v>2</v>
      </c>
      <c r="S237" s="1" t="s">
        <v>23</v>
      </c>
      <c r="T237" s="1" t="s">
        <v>28</v>
      </c>
      <c r="U237" s="1" t="s">
        <v>56</v>
      </c>
    </row>
    <row r="238" spans="1:21" x14ac:dyDescent="0.3">
      <c r="A238" s="1" t="s">
        <v>30</v>
      </c>
      <c r="B238">
        <v>6</v>
      </c>
      <c r="C238" s="1" t="s">
        <v>31</v>
      </c>
      <c r="D238" s="1" t="s">
        <v>19</v>
      </c>
      <c r="E238">
        <v>14555</v>
      </c>
      <c r="F238" s="1" t="s">
        <v>47</v>
      </c>
      <c r="G238" s="1" t="s">
        <v>54</v>
      </c>
      <c r="H238">
        <v>1</v>
      </c>
      <c r="I238" s="1" t="s">
        <v>39</v>
      </c>
      <c r="J238" s="1" t="s">
        <v>23</v>
      </c>
      <c r="K238">
        <v>2</v>
      </c>
      <c r="L238" s="1" t="s">
        <v>48</v>
      </c>
      <c r="M238">
        <v>23</v>
      </c>
      <c r="N238" s="1" t="s">
        <v>23</v>
      </c>
      <c r="O238" s="1" t="s">
        <v>26</v>
      </c>
      <c r="P238">
        <v>1</v>
      </c>
      <c r="Q238" s="1" t="s">
        <v>62</v>
      </c>
      <c r="R238">
        <v>1</v>
      </c>
      <c r="S238" s="1" t="s">
        <v>28</v>
      </c>
      <c r="T238" s="1" t="s">
        <v>28</v>
      </c>
      <c r="U238" s="1" t="s">
        <v>56</v>
      </c>
    </row>
    <row r="239" spans="1:21" x14ac:dyDescent="0.3">
      <c r="A239" s="1" t="s">
        <v>30</v>
      </c>
      <c r="B239">
        <v>21</v>
      </c>
      <c r="C239" s="1" t="s">
        <v>31</v>
      </c>
      <c r="D239" s="1" t="s">
        <v>61</v>
      </c>
      <c r="E239">
        <v>2767</v>
      </c>
      <c r="F239" s="1" t="s">
        <v>46</v>
      </c>
      <c r="G239" s="1" t="s">
        <v>38</v>
      </c>
      <c r="H239">
        <v>4</v>
      </c>
      <c r="I239" s="1" t="s">
        <v>64</v>
      </c>
      <c r="J239" s="1" t="s">
        <v>23</v>
      </c>
      <c r="K239">
        <v>2</v>
      </c>
      <c r="L239" s="1" t="s">
        <v>40</v>
      </c>
      <c r="M239">
        <v>61</v>
      </c>
      <c r="N239" s="1" t="s">
        <v>25</v>
      </c>
      <c r="O239" s="1" t="s">
        <v>34</v>
      </c>
      <c r="P239">
        <v>2</v>
      </c>
      <c r="Q239" s="1" t="s">
        <v>27</v>
      </c>
      <c r="R239">
        <v>1</v>
      </c>
      <c r="S239" s="1" t="s">
        <v>23</v>
      </c>
      <c r="T239" s="1" t="s">
        <v>28</v>
      </c>
      <c r="U239" s="1" t="s">
        <v>56</v>
      </c>
    </row>
    <row r="240" spans="1:21" x14ac:dyDescent="0.3">
      <c r="A240" s="1" t="s">
        <v>17</v>
      </c>
      <c r="B240">
        <v>12</v>
      </c>
      <c r="C240" s="1" t="s">
        <v>18</v>
      </c>
      <c r="D240" s="1" t="s">
        <v>36</v>
      </c>
      <c r="E240">
        <v>1291</v>
      </c>
      <c r="F240" s="1" t="s">
        <v>32</v>
      </c>
      <c r="G240" s="1" t="s">
        <v>21</v>
      </c>
      <c r="H240">
        <v>4</v>
      </c>
      <c r="I240" s="1" t="s">
        <v>22</v>
      </c>
      <c r="J240" s="1" t="s">
        <v>23</v>
      </c>
      <c r="K240">
        <v>2</v>
      </c>
      <c r="L240" s="1" t="s">
        <v>48</v>
      </c>
      <c r="M240">
        <v>35</v>
      </c>
      <c r="N240" s="1" t="s">
        <v>23</v>
      </c>
      <c r="O240" s="1" t="s">
        <v>26</v>
      </c>
      <c r="P240">
        <v>2</v>
      </c>
      <c r="Q240" s="1" t="s">
        <v>41</v>
      </c>
      <c r="R240">
        <v>1</v>
      </c>
      <c r="S240" s="1" t="s">
        <v>23</v>
      </c>
      <c r="T240" s="1" t="s">
        <v>28</v>
      </c>
      <c r="U240" s="1" t="s">
        <v>29</v>
      </c>
    </row>
    <row r="241" spans="1:21" x14ac:dyDescent="0.3">
      <c r="A241" s="1" t="s">
        <v>35</v>
      </c>
      <c r="B241">
        <v>30</v>
      </c>
      <c r="C241" s="1" t="s">
        <v>31</v>
      </c>
      <c r="D241" s="1" t="s">
        <v>36</v>
      </c>
      <c r="E241">
        <v>2522</v>
      </c>
      <c r="F241" s="1" t="s">
        <v>32</v>
      </c>
      <c r="G241" s="1" t="s">
        <v>38</v>
      </c>
      <c r="H241">
        <v>1</v>
      </c>
      <c r="I241" s="1" t="s">
        <v>39</v>
      </c>
      <c r="J241" s="1" t="s">
        <v>58</v>
      </c>
      <c r="K241">
        <v>3</v>
      </c>
      <c r="L241" s="1" t="s">
        <v>48</v>
      </c>
      <c r="M241">
        <v>39</v>
      </c>
      <c r="N241" s="1" t="s">
        <v>23</v>
      </c>
      <c r="O241" s="1" t="s">
        <v>26</v>
      </c>
      <c r="P241">
        <v>1</v>
      </c>
      <c r="Q241" s="1" t="s">
        <v>41</v>
      </c>
      <c r="R241">
        <v>2</v>
      </c>
      <c r="S241" s="1" t="s">
        <v>23</v>
      </c>
      <c r="T241" s="1" t="s">
        <v>28</v>
      </c>
      <c r="U241" s="1" t="s">
        <v>29</v>
      </c>
    </row>
    <row r="242" spans="1:21" x14ac:dyDescent="0.3">
      <c r="A242" s="1" t="s">
        <v>35</v>
      </c>
      <c r="B242">
        <v>24</v>
      </c>
      <c r="C242" s="1" t="s">
        <v>31</v>
      </c>
      <c r="D242" s="1" t="s">
        <v>19</v>
      </c>
      <c r="E242">
        <v>915</v>
      </c>
      <c r="F242" s="1" t="s">
        <v>47</v>
      </c>
      <c r="G242" s="1" t="s">
        <v>38</v>
      </c>
      <c r="H242">
        <v>4</v>
      </c>
      <c r="I242" s="1" t="s">
        <v>22</v>
      </c>
      <c r="J242" s="1" t="s">
        <v>23</v>
      </c>
      <c r="K242">
        <v>2</v>
      </c>
      <c r="L242" s="1" t="s">
        <v>40</v>
      </c>
      <c r="M242">
        <v>29</v>
      </c>
      <c r="N242" s="1" t="s">
        <v>25</v>
      </c>
      <c r="O242" s="1" t="s">
        <v>26</v>
      </c>
      <c r="P242">
        <v>1</v>
      </c>
      <c r="Q242" s="1" t="s">
        <v>41</v>
      </c>
      <c r="R242">
        <v>1</v>
      </c>
      <c r="S242" s="1" t="s">
        <v>23</v>
      </c>
      <c r="T242" s="1" t="s">
        <v>28</v>
      </c>
      <c r="U242" s="1" t="s">
        <v>56</v>
      </c>
    </row>
    <row r="243" spans="1:21" x14ac:dyDescent="0.3">
      <c r="A243" s="1" t="s">
        <v>17</v>
      </c>
      <c r="B243">
        <v>6</v>
      </c>
      <c r="C243" s="1" t="s">
        <v>31</v>
      </c>
      <c r="D243" s="1" t="s">
        <v>36</v>
      </c>
      <c r="E243">
        <v>1595</v>
      </c>
      <c r="F243" s="1" t="s">
        <v>32</v>
      </c>
      <c r="G243" s="1" t="s">
        <v>49</v>
      </c>
      <c r="H243">
        <v>3</v>
      </c>
      <c r="I243" s="1" t="s">
        <v>39</v>
      </c>
      <c r="J243" s="1" t="s">
        <v>23</v>
      </c>
      <c r="K243">
        <v>2</v>
      </c>
      <c r="L243" s="1" t="s">
        <v>48</v>
      </c>
      <c r="M243">
        <v>51</v>
      </c>
      <c r="N243" s="1" t="s">
        <v>23</v>
      </c>
      <c r="O243" s="1" t="s">
        <v>26</v>
      </c>
      <c r="P243">
        <v>1</v>
      </c>
      <c r="Q243" s="1" t="s">
        <v>41</v>
      </c>
      <c r="R243">
        <v>2</v>
      </c>
      <c r="S243" s="1" t="s">
        <v>23</v>
      </c>
      <c r="T243" s="1" t="s">
        <v>28</v>
      </c>
      <c r="U243" s="1" t="s">
        <v>29</v>
      </c>
    </row>
    <row r="244" spans="1:21" x14ac:dyDescent="0.3">
      <c r="A244" s="1" t="s">
        <v>35</v>
      </c>
      <c r="B244">
        <v>48</v>
      </c>
      <c r="C244" s="1" t="s">
        <v>52</v>
      </c>
      <c r="D244" s="1" t="s">
        <v>69</v>
      </c>
      <c r="E244">
        <v>4605</v>
      </c>
      <c r="F244" s="1" t="s">
        <v>32</v>
      </c>
      <c r="G244" s="1" t="s">
        <v>38</v>
      </c>
      <c r="H244">
        <v>3</v>
      </c>
      <c r="I244" s="1" t="s">
        <v>39</v>
      </c>
      <c r="J244" s="1" t="s">
        <v>23</v>
      </c>
      <c r="K244">
        <v>4</v>
      </c>
      <c r="L244" s="1" t="s">
        <v>65</v>
      </c>
      <c r="M244">
        <v>24</v>
      </c>
      <c r="N244" s="1" t="s">
        <v>23</v>
      </c>
      <c r="O244" s="1" t="s">
        <v>66</v>
      </c>
      <c r="P244">
        <v>2</v>
      </c>
      <c r="Q244" s="1" t="s">
        <v>41</v>
      </c>
      <c r="R244">
        <v>2</v>
      </c>
      <c r="S244" s="1" t="s">
        <v>23</v>
      </c>
      <c r="T244" s="1" t="s">
        <v>28</v>
      </c>
      <c r="U244" s="1" t="s">
        <v>56</v>
      </c>
    </row>
    <row r="245" spans="1:21" x14ac:dyDescent="0.3">
      <c r="A245" s="1" t="s">
        <v>17</v>
      </c>
      <c r="B245">
        <v>12</v>
      </c>
      <c r="C245" s="1" t="s">
        <v>18</v>
      </c>
      <c r="D245" s="1" t="s">
        <v>61</v>
      </c>
      <c r="E245">
        <v>1185</v>
      </c>
      <c r="F245" s="1" t="s">
        <v>32</v>
      </c>
      <c r="G245" s="1" t="s">
        <v>21</v>
      </c>
      <c r="H245">
        <v>3</v>
      </c>
      <c r="I245" s="1" t="s">
        <v>22</v>
      </c>
      <c r="J245" s="1" t="s">
        <v>23</v>
      </c>
      <c r="K245">
        <v>2</v>
      </c>
      <c r="L245" s="1" t="s">
        <v>24</v>
      </c>
      <c r="M245">
        <v>27</v>
      </c>
      <c r="N245" s="1" t="s">
        <v>23</v>
      </c>
      <c r="O245" s="1" t="s">
        <v>26</v>
      </c>
      <c r="P245">
        <v>2</v>
      </c>
      <c r="Q245" s="1" t="s">
        <v>41</v>
      </c>
      <c r="R245">
        <v>1</v>
      </c>
      <c r="S245" s="1" t="s">
        <v>23</v>
      </c>
      <c r="T245" s="1" t="s">
        <v>28</v>
      </c>
      <c r="U245" s="1" t="s">
        <v>29</v>
      </c>
    </row>
    <row r="246" spans="1:21" x14ac:dyDescent="0.3">
      <c r="A246" s="1" t="s">
        <v>17</v>
      </c>
      <c r="B246">
        <v>12</v>
      </c>
      <c r="C246" s="1" t="s">
        <v>42</v>
      </c>
      <c r="D246" s="1" t="s">
        <v>43</v>
      </c>
      <c r="E246">
        <v>3447</v>
      </c>
      <c r="F246" s="1" t="s">
        <v>37</v>
      </c>
      <c r="G246" s="1" t="s">
        <v>21</v>
      </c>
      <c r="H246">
        <v>4</v>
      </c>
      <c r="I246" s="1" t="s">
        <v>22</v>
      </c>
      <c r="J246" s="1" t="s">
        <v>23</v>
      </c>
      <c r="K246">
        <v>3</v>
      </c>
      <c r="L246" s="1" t="s">
        <v>24</v>
      </c>
      <c r="M246">
        <v>35</v>
      </c>
      <c r="N246" s="1" t="s">
        <v>23</v>
      </c>
      <c r="O246" s="1" t="s">
        <v>26</v>
      </c>
      <c r="P246">
        <v>1</v>
      </c>
      <c r="Q246" s="1" t="s">
        <v>27</v>
      </c>
      <c r="R246">
        <v>2</v>
      </c>
      <c r="S246" s="1" t="s">
        <v>23</v>
      </c>
      <c r="T246" s="1" t="s">
        <v>28</v>
      </c>
      <c r="U246" s="1" t="s">
        <v>29</v>
      </c>
    </row>
    <row r="247" spans="1:21" x14ac:dyDescent="0.3">
      <c r="A247" s="1" t="s">
        <v>17</v>
      </c>
      <c r="B247">
        <v>24</v>
      </c>
      <c r="C247" s="1" t="s">
        <v>31</v>
      </c>
      <c r="D247" s="1" t="s">
        <v>61</v>
      </c>
      <c r="E247">
        <v>1258</v>
      </c>
      <c r="F247" s="1" t="s">
        <v>32</v>
      </c>
      <c r="G247" s="1" t="s">
        <v>49</v>
      </c>
      <c r="H247">
        <v>4</v>
      </c>
      <c r="I247" s="1" t="s">
        <v>39</v>
      </c>
      <c r="J247" s="1" t="s">
        <v>23</v>
      </c>
      <c r="K247">
        <v>1</v>
      </c>
      <c r="L247" s="1" t="s">
        <v>24</v>
      </c>
      <c r="M247">
        <v>25</v>
      </c>
      <c r="N247" s="1" t="s">
        <v>23</v>
      </c>
      <c r="O247" s="1" t="s">
        <v>26</v>
      </c>
      <c r="P247">
        <v>1</v>
      </c>
      <c r="Q247" s="1" t="s">
        <v>41</v>
      </c>
      <c r="R247">
        <v>1</v>
      </c>
      <c r="S247" s="1" t="s">
        <v>28</v>
      </c>
      <c r="T247" s="1" t="s">
        <v>28</v>
      </c>
      <c r="U247" s="1" t="s">
        <v>29</v>
      </c>
    </row>
    <row r="248" spans="1:21" x14ac:dyDescent="0.3">
      <c r="A248" s="1" t="s">
        <v>17</v>
      </c>
      <c r="B248">
        <v>12</v>
      </c>
      <c r="C248" s="1" t="s">
        <v>18</v>
      </c>
      <c r="D248" s="1" t="s">
        <v>36</v>
      </c>
      <c r="E248">
        <v>717</v>
      </c>
      <c r="F248" s="1" t="s">
        <v>32</v>
      </c>
      <c r="G248" s="1" t="s">
        <v>38</v>
      </c>
      <c r="H248">
        <v>4</v>
      </c>
      <c r="I248" s="1" t="s">
        <v>39</v>
      </c>
      <c r="J248" s="1" t="s">
        <v>23</v>
      </c>
      <c r="K248">
        <v>4</v>
      </c>
      <c r="L248" s="1" t="s">
        <v>24</v>
      </c>
      <c r="M248">
        <v>52</v>
      </c>
      <c r="N248" s="1" t="s">
        <v>23</v>
      </c>
      <c r="O248" s="1" t="s">
        <v>26</v>
      </c>
      <c r="P248">
        <v>3</v>
      </c>
      <c r="Q248" s="1" t="s">
        <v>41</v>
      </c>
      <c r="R248">
        <v>1</v>
      </c>
      <c r="S248" s="1" t="s">
        <v>23</v>
      </c>
      <c r="T248" s="1" t="s">
        <v>28</v>
      </c>
      <c r="U248" s="1" t="s">
        <v>29</v>
      </c>
    </row>
    <row r="249" spans="1:21" x14ac:dyDescent="0.3">
      <c r="A249" s="1" t="s">
        <v>17</v>
      </c>
      <c r="B249">
        <v>6</v>
      </c>
      <c r="C249" s="1" t="s">
        <v>52</v>
      </c>
      <c r="D249" s="1" t="s">
        <v>19</v>
      </c>
      <c r="E249">
        <v>1204</v>
      </c>
      <c r="F249" s="1" t="s">
        <v>46</v>
      </c>
      <c r="G249" s="1" t="s">
        <v>21</v>
      </c>
      <c r="H249">
        <v>4</v>
      </c>
      <c r="I249" s="1" t="s">
        <v>39</v>
      </c>
      <c r="J249" s="1" t="s">
        <v>23</v>
      </c>
      <c r="K249">
        <v>1</v>
      </c>
      <c r="L249" s="1" t="s">
        <v>65</v>
      </c>
      <c r="M249">
        <v>35</v>
      </c>
      <c r="N249" s="1" t="s">
        <v>25</v>
      </c>
      <c r="O249" s="1" t="s">
        <v>34</v>
      </c>
      <c r="P249">
        <v>1</v>
      </c>
      <c r="Q249" s="1" t="s">
        <v>41</v>
      </c>
      <c r="R249">
        <v>1</v>
      </c>
      <c r="S249" s="1" t="s">
        <v>23</v>
      </c>
      <c r="T249" s="1" t="s">
        <v>60</v>
      </c>
      <c r="U249" s="1" t="s">
        <v>29</v>
      </c>
    </row>
    <row r="250" spans="1:21" x14ac:dyDescent="0.3">
      <c r="A250" s="1" t="s">
        <v>50</v>
      </c>
      <c r="B250">
        <v>24</v>
      </c>
      <c r="C250" s="1" t="s">
        <v>31</v>
      </c>
      <c r="D250" s="1" t="s">
        <v>53</v>
      </c>
      <c r="E250">
        <v>1925</v>
      </c>
      <c r="F250" s="1" t="s">
        <v>32</v>
      </c>
      <c r="G250" s="1" t="s">
        <v>21</v>
      </c>
      <c r="H250">
        <v>2</v>
      </c>
      <c r="I250" s="1" t="s">
        <v>39</v>
      </c>
      <c r="J250" s="1" t="s">
        <v>23</v>
      </c>
      <c r="K250">
        <v>2</v>
      </c>
      <c r="L250" s="1" t="s">
        <v>24</v>
      </c>
      <c r="M250">
        <v>26</v>
      </c>
      <c r="N250" s="1" t="s">
        <v>23</v>
      </c>
      <c r="O250" s="1" t="s">
        <v>26</v>
      </c>
      <c r="P250">
        <v>1</v>
      </c>
      <c r="Q250" s="1" t="s">
        <v>41</v>
      </c>
      <c r="R250">
        <v>1</v>
      </c>
      <c r="S250" s="1" t="s">
        <v>23</v>
      </c>
      <c r="T250" s="1" t="s">
        <v>28</v>
      </c>
      <c r="U250" s="1" t="s">
        <v>29</v>
      </c>
    </row>
    <row r="251" spans="1:21" x14ac:dyDescent="0.3">
      <c r="A251" s="1" t="s">
        <v>17</v>
      </c>
      <c r="B251">
        <v>18</v>
      </c>
      <c r="C251" s="1" t="s">
        <v>31</v>
      </c>
      <c r="D251" s="1" t="s">
        <v>36</v>
      </c>
      <c r="E251">
        <v>433</v>
      </c>
      <c r="F251" s="1" t="s">
        <v>32</v>
      </c>
      <c r="G251" s="1" t="s">
        <v>54</v>
      </c>
      <c r="H251">
        <v>3</v>
      </c>
      <c r="I251" s="1" t="s">
        <v>22</v>
      </c>
      <c r="J251" s="1" t="s">
        <v>55</v>
      </c>
      <c r="K251">
        <v>4</v>
      </c>
      <c r="L251" s="1" t="s">
        <v>24</v>
      </c>
      <c r="M251">
        <v>22</v>
      </c>
      <c r="N251" s="1" t="s">
        <v>23</v>
      </c>
      <c r="O251" s="1" t="s">
        <v>34</v>
      </c>
      <c r="P251">
        <v>1</v>
      </c>
      <c r="Q251" s="1" t="s">
        <v>41</v>
      </c>
      <c r="R251">
        <v>1</v>
      </c>
      <c r="S251" s="1" t="s">
        <v>23</v>
      </c>
      <c r="T251" s="1" t="s">
        <v>28</v>
      </c>
      <c r="U251" s="1" t="s">
        <v>56</v>
      </c>
    </row>
    <row r="252" spans="1:21" x14ac:dyDescent="0.3">
      <c r="A252" s="1" t="s">
        <v>35</v>
      </c>
      <c r="B252">
        <v>6</v>
      </c>
      <c r="C252" s="1" t="s">
        <v>18</v>
      </c>
      <c r="D252" s="1" t="s">
        <v>19</v>
      </c>
      <c r="E252">
        <v>666</v>
      </c>
      <c r="F252" s="1" t="s">
        <v>20</v>
      </c>
      <c r="G252" s="1" t="s">
        <v>49</v>
      </c>
      <c r="H252">
        <v>3</v>
      </c>
      <c r="I252" s="1" t="s">
        <v>22</v>
      </c>
      <c r="J252" s="1" t="s">
        <v>23</v>
      </c>
      <c r="K252">
        <v>4</v>
      </c>
      <c r="L252" s="1" t="s">
        <v>24</v>
      </c>
      <c r="M252">
        <v>39</v>
      </c>
      <c r="N252" s="1" t="s">
        <v>23</v>
      </c>
      <c r="O252" s="1" t="s">
        <v>26</v>
      </c>
      <c r="P252">
        <v>2</v>
      </c>
      <c r="Q252" s="1" t="s">
        <v>27</v>
      </c>
      <c r="R252">
        <v>1</v>
      </c>
      <c r="S252" s="1" t="s">
        <v>28</v>
      </c>
      <c r="T252" s="1" t="s">
        <v>28</v>
      </c>
      <c r="U252" s="1" t="s">
        <v>29</v>
      </c>
    </row>
    <row r="253" spans="1:21" x14ac:dyDescent="0.3">
      <c r="A253" s="1" t="s">
        <v>50</v>
      </c>
      <c r="B253">
        <v>12</v>
      </c>
      <c r="C253" s="1" t="s">
        <v>31</v>
      </c>
      <c r="D253" s="1" t="s">
        <v>53</v>
      </c>
      <c r="E253">
        <v>2251</v>
      </c>
      <c r="F253" s="1" t="s">
        <v>32</v>
      </c>
      <c r="G253" s="1" t="s">
        <v>21</v>
      </c>
      <c r="H253">
        <v>1</v>
      </c>
      <c r="I253" s="1" t="s">
        <v>22</v>
      </c>
      <c r="J253" s="1" t="s">
        <v>23</v>
      </c>
      <c r="K253">
        <v>2</v>
      </c>
      <c r="L253" s="1" t="s">
        <v>40</v>
      </c>
      <c r="M253">
        <v>46</v>
      </c>
      <c r="N253" s="1" t="s">
        <v>23</v>
      </c>
      <c r="O253" s="1" t="s">
        <v>26</v>
      </c>
      <c r="P253">
        <v>1</v>
      </c>
      <c r="Q253" s="1" t="s">
        <v>27</v>
      </c>
      <c r="R253">
        <v>1</v>
      </c>
      <c r="S253" s="1" t="s">
        <v>23</v>
      </c>
      <c r="T253" s="1" t="s">
        <v>28</v>
      </c>
      <c r="U253" s="1" t="s">
        <v>29</v>
      </c>
    </row>
    <row r="254" spans="1:21" x14ac:dyDescent="0.3">
      <c r="A254" s="1" t="s">
        <v>30</v>
      </c>
      <c r="B254">
        <v>30</v>
      </c>
      <c r="C254" s="1" t="s">
        <v>31</v>
      </c>
      <c r="D254" s="1" t="s">
        <v>19</v>
      </c>
      <c r="E254">
        <v>2150</v>
      </c>
      <c r="F254" s="1" t="s">
        <v>32</v>
      </c>
      <c r="G254" s="1" t="s">
        <v>21</v>
      </c>
      <c r="H254">
        <v>4</v>
      </c>
      <c r="I254" s="1" t="s">
        <v>22</v>
      </c>
      <c r="J254" s="1" t="s">
        <v>58</v>
      </c>
      <c r="K254">
        <v>2</v>
      </c>
      <c r="L254" s="1" t="s">
        <v>65</v>
      </c>
      <c r="M254">
        <v>24</v>
      </c>
      <c r="N254" s="1" t="s">
        <v>25</v>
      </c>
      <c r="O254" s="1" t="s">
        <v>26</v>
      </c>
      <c r="P254">
        <v>1</v>
      </c>
      <c r="Q254" s="1" t="s">
        <v>41</v>
      </c>
      <c r="R254">
        <v>1</v>
      </c>
      <c r="S254" s="1" t="s">
        <v>23</v>
      </c>
      <c r="T254" s="1" t="s">
        <v>28</v>
      </c>
      <c r="U254" s="1" t="s">
        <v>56</v>
      </c>
    </row>
    <row r="255" spans="1:21" x14ac:dyDescent="0.3">
      <c r="A255" s="1" t="s">
        <v>17</v>
      </c>
      <c r="B255">
        <v>24</v>
      </c>
      <c r="C255" s="1" t="s">
        <v>59</v>
      </c>
      <c r="D255" s="1" t="s">
        <v>53</v>
      </c>
      <c r="E255">
        <v>4151</v>
      </c>
      <c r="F255" s="1" t="s">
        <v>46</v>
      </c>
      <c r="G255" s="1" t="s">
        <v>21</v>
      </c>
      <c r="H255">
        <v>2</v>
      </c>
      <c r="I255" s="1" t="s">
        <v>39</v>
      </c>
      <c r="J255" s="1" t="s">
        <v>23</v>
      </c>
      <c r="K255">
        <v>3</v>
      </c>
      <c r="L255" s="1" t="s">
        <v>48</v>
      </c>
      <c r="M255">
        <v>35</v>
      </c>
      <c r="N255" s="1" t="s">
        <v>23</v>
      </c>
      <c r="O255" s="1" t="s">
        <v>26</v>
      </c>
      <c r="P255">
        <v>2</v>
      </c>
      <c r="Q255" s="1" t="s">
        <v>41</v>
      </c>
      <c r="R255">
        <v>1</v>
      </c>
      <c r="S255" s="1" t="s">
        <v>23</v>
      </c>
      <c r="T255" s="1" t="s">
        <v>28</v>
      </c>
      <c r="U255" s="1" t="s">
        <v>29</v>
      </c>
    </row>
    <row r="256" spans="1:21" x14ac:dyDescent="0.3">
      <c r="A256" s="1" t="s">
        <v>30</v>
      </c>
      <c r="B256">
        <v>9</v>
      </c>
      <c r="C256" s="1" t="s">
        <v>31</v>
      </c>
      <c r="D256" s="1" t="s">
        <v>53</v>
      </c>
      <c r="E256">
        <v>2030</v>
      </c>
      <c r="F256" s="1" t="s">
        <v>47</v>
      </c>
      <c r="G256" s="1" t="s">
        <v>49</v>
      </c>
      <c r="H256">
        <v>2</v>
      </c>
      <c r="I256" s="1" t="s">
        <v>39</v>
      </c>
      <c r="J256" s="1" t="s">
        <v>23</v>
      </c>
      <c r="K256">
        <v>1</v>
      </c>
      <c r="L256" s="1" t="s">
        <v>40</v>
      </c>
      <c r="M256">
        <v>24</v>
      </c>
      <c r="N256" s="1" t="s">
        <v>23</v>
      </c>
      <c r="O256" s="1" t="s">
        <v>26</v>
      </c>
      <c r="P256">
        <v>1</v>
      </c>
      <c r="Q256" s="1" t="s">
        <v>41</v>
      </c>
      <c r="R256">
        <v>1</v>
      </c>
      <c r="S256" s="1" t="s">
        <v>28</v>
      </c>
      <c r="T256" s="1" t="s">
        <v>28</v>
      </c>
      <c r="U256" s="1" t="s">
        <v>29</v>
      </c>
    </row>
    <row r="257" spans="1:21" x14ac:dyDescent="0.3">
      <c r="A257" s="1" t="s">
        <v>30</v>
      </c>
      <c r="B257">
        <v>60</v>
      </c>
      <c r="C257" s="1" t="s">
        <v>59</v>
      </c>
      <c r="D257" s="1" t="s">
        <v>36</v>
      </c>
      <c r="E257">
        <v>7418</v>
      </c>
      <c r="F257" s="1" t="s">
        <v>47</v>
      </c>
      <c r="G257" s="1" t="s">
        <v>21</v>
      </c>
      <c r="H257">
        <v>1</v>
      </c>
      <c r="I257" s="1" t="s">
        <v>39</v>
      </c>
      <c r="J257" s="1" t="s">
        <v>23</v>
      </c>
      <c r="K257">
        <v>1</v>
      </c>
      <c r="L257" s="1" t="s">
        <v>24</v>
      </c>
      <c r="M257">
        <v>27</v>
      </c>
      <c r="N257" s="1" t="s">
        <v>23</v>
      </c>
      <c r="O257" s="1" t="s">
        <v>26</v>
      </c>
      <c r="P257">
        <v>1</v>
      </c>
      <c r="Q257" s="1" t="s">
        <v>27</v>
      </c>
      <c r="R257">
        <v>1</v>
      </c>
      <c r="S257" s="1" t="s">
        <v>23</v>
      </c>
      <c r="T257" s="1" t="s">
        <v>28</v>
      </c>
      <c r="U257" s="1" t="s">
        <v>29</v>
      </c>
    </row>
    <row r="258" spans="1:21" x14ac:dyDescent="0.3">
      <c r="A258" s="1" t="s">
        <v>17</v>
      </c>
      <c r="B258">
        <v>24</v>
      </c>
      <c r="C258" s="1" t="s">
        <v>18</v>
      </c>
      <c r="D258" s="1" t="s">
        <v>36</v>
      </c>
      <c r="E258">
        <v>2684</v>
      </c>
      <c r="F258" s="1" t="s">
        <v>32</v>
      </c>
      <c r="G258" s="1" t="s">
        <v>21</v>
      </c>
      <c r="H258">
        <v>4</v>
      </c>
      <c r="I258" s="1" t="s">
        <v>39</v>
      </c>
      <c r="J258" s="1" t="s">
        <v>23</v>
      </c>
      <c r="K258">
        <v>2</v>
      </c>
      <c r="L258" s="1" t="s">
        <v>24</v>
      </c>
      <c r="M258">
        <v>35</v>
      </c>
      <c r="N258" s="1" t="s">
        <v>23</v>
      </c>
      <c r="O258" s="1" t="s">
        <v>26</v>
      </c>
      <c r="P258">
        <v>2</v>
      </c>
      <c r="Q258" s="1" t="s">
        <v>27</v>
      </c>
      <c r="R258">
        <v>1</v>
      </c>
      <c r="S258" s="1" t="s">
        <v>23</v>
      </c>
      <c r="T258" s="1" t="s">
        <v>28</v>
      </c>
      <c r="U258" s="1" t="s">
        <v>29</v>
      </c>
    </row>
    <row r="259" spans="1:21" x14ac:dyDescent="0.3">
      <c r="A259" s="1" t="s">
        <v>35</v>
      </c>
      <c r="B259">
        <v>12</v>
      </c>
      <c r="C259" s="1" t="s">
        <v>42</v>
      </c>
      <c r="D259" s="1" t="s">
        <v>36</v>
      </c>
      <c r="E259">
        <v>2149</v>
      </c>
      <c r="F259" s="1" t="s">
        <v>32</v>
      </c>
      <c r="G259" s="1" t="s">
        <v>21</v>
      </c>
      <c r="H259">
        <v>4</v>
      </c>
      <c r="I259" s="1" t="s">
        <v>64</v>
      </c>
      <c r="J259" s="1" t="s">
        <v>23</v>
      </c>
      <c r="K259">
        <v>1</v>
      </c>
      <c r="L259" s="1" t="s">
        <v>65</v>
      </c>
      <c r="M259">
        <v>29</v>
      </c>
      <c r="N259" s="1" t="s">
        <v>23</v>
      </c>
      <c r="O259" s="1" t="s">
        <v>66</v>
      </c>
      <c r="P259">
        <v>1</v>
      </c>
      <c r="Q259" s="1" t="s">
        <v>41</v>
      </c>
      <c r="R259">
        <v>1</v>
      </c>
      <c r="S259" s="1" t="s">
        <v>23</v>
      </c>
      <c r="T259" s="1" t="s">
        <v>28</v>
      </c>
      <c r="U259" s="1" t="s">
        <v>56</v>
      </c>
    </row>
    <row r="260" spans="1:21" x14ac:dyDescent="0.3">
      <c r="A260" s="1" t="s">
        <v>17</v>
      </c>
      <c r="B260">
        <v>15</v>
      </c>
      <c r="C260" s="1" t="s">
        <v>31</v>
      </c>
      <c r="D260" s="1" t="s">
        <v>69</v>
      </c>
      <c r="E260">
        <v>3812</v>
      </c>
      <c r="F260" s="1" t="s">
        <v>46</v>
      </c>
      <c r="G260" s="1" t="s">
        <v>45</v>
      </c>
      <c r="H260">
        <v>1</v>
      </c>
      <c r="I260" s="1" t="s">
        <v>22</v>
      </c>
      <c r="J260" s="1" t="s">
        <v>23</v>
      </c>
      <c r="K260">
        <v>4</v>
      </c>
      <c r="L260" s="1" t="s">
        <v>40</v>
      </c>
      <c r="M260">
        <v>23</v>
      </c>
      <c r="N260" s="1" t="s">
        <v>23</v>
      </c>
      <c r="O260" s="1" t="s">
        <v>26</v>
      </c>
      <c r="P260">
        <v>1</v>
      </c>
      <c r="Q260" s="1" t="s">
        <v>41</v>
      </c>
      <c r="R260">
        <v>1</v>
      </c>
      <c r="S260" s="1" t="s">
        <v>28</v>
      </c>
      <c r="T260" s="1" t="s">
        <v>28</v>
      </c>
      <c r="U260" s="1" t="s">
        <v>29</v>
      </c>
    </row>
    <row r="261" spans="1:21" x14ac:dyDescent="0.3">
      <c r="A261" s="1" t="s">
        <v>17</v>
      </c>
      <c r="B261">
        <v>11</v>
      </c>
      <c r="C261" s="1" t="s">
        <v>18</v>
      </c>
      <c r="D261" s="1" t="s">
        <v>36</v>
      </c>
      <c r="E261">
        <v>1154</v>
      </c>
      <c r="F261" s="1" t="s">
        <v>46</v>
      </c>
      <c r="G261" s="1" t="s">
        <v>54</v>
      </c>
      <c r="H261">
        <v>4</v>
      </c>
      <c r="I261" s="1" t="s">
        <v>22</v>
      </c>
      <c r="J261" s="1" t="s">
        <v>23</v>
      </c>
      <c r="K261">
        <v>4</v>
      </c>
      <c r="L261" s="1" t="s">
        <v>24</v>
      </c>
      <c r="M261">
        <v>57</v>
      </c>
      <c r="N261" s="1" t="s">
        <v>23</v>
      </c>
      <c r="O261" s="1" t="s">
        <v>26</v>
      </c>
      <c r="P261">
        <v>3</v>
      </c>
      <c r="Q261" s="1" t="s">
        <v>27</v>
      </c>
      <c r="R261">
        <v>1</v>
      </c>
      <c r="S261" s="1" t="s">
        <v>23</v>
      </c>
      <c r="T261" s="1" t="s">
        <v>28</v>
      </c>
      <c r="U261" s="1" t="s">
        <v>29</v>
      </c>
    </row>
    <row r="262" spans="1:21" x14ac:dyDescent="0.3">
      <c r="A262" s="1" t="s">
        <v>35</v>
      </c>
      <c r="B262">
        <v>12</v>
      </c>
      <c r="C262" s="1" t="s">
        <v>31</v>
      </c>
      <c r="D262" s="1" t="s">
        <v>53</v>
      </c>
      <c r="E262">
        <v>1657</v>
      </c>
      <c r="F262" s="1" t="s">
        <v>32</v>
      </c>
      <c r="G262" s="1" t="s">
        <v>21</v>
      </c>
      <c r="H262">
        <v>2</v>
      </c>
      <c r="I262" s="1" t="s">
        <v>39</v>
      </c>
      <c r="J262" s="1" t="s">
        <v>23</v>
      </c>
      <c r="K262">
        <v>2</v>
      </c>
      <c r="L262" s="1" t="s">
        <v>24</v>
      </c>
      <c r="M262">
        <v>27</v>
      </c>
      <c r="N262" s="1" t="s">
        <v>23</v>
      </c>
      <c r="O262" s="1" t="s">
        <v>26</v>
      </c>
      <c r="P262">
        <v>1</v>
      </c>
      <c r="Q262" s="1" t="s">
        <v>41</v>
      </c>
      <c r="R262">
        <v>1</v>
      </c>
      <c r="S262" s="1" t="s">
        <v>23</v>
      </c>
      <c r="T262" s="1" t="s">
        <v>28</v>
      </c>
      <c r="U262" s="1" t="s">
        <v>29</v>
      </c>
    </row>
    <row r="263" spans="1:21" x14ac:dyDescent="0.3">
      <c r="A263" s="1" t="s">
        <v>35</v>
      </c>
      <c r="B263">
        <v>24</v>
      </c>
      <c r="C263" s="1" t="s">
        <v>31</v>
      </c>
      <c r="D263" s="1" t="s">
        <v>36</v>
      </c>
      <c r="E263">
        <v>1603</v>
      </c>
      <c r="F263" s="1" t="s">
        <v>32</v>
      </c>
      <c r="G263" s="1" t="s">
        <v>38</v>
      </c>
      <c r="H263">
        <v>4</v>
      </c>
      <c r="I263" s="1" t="s">
        <v>22</v>
      </c>
      <c r="J263" s="1" t="s">
        <v>23</v>
      </c>
      <c r="K263">
        <v>4</v>
      </c>
      <c r="L263" s="1" t="s">
        <v>40</v>
      </c>
      <c r="M263">
        <v>55</v>
      </c>
      <c r="N263" s="1" t="s">
        <v>23</v>
      </c>
      <c r="O263" s="1" t="s">
        <v>26</v>
      </c>
      <c r="P263">
        <v>1</v>
      </c>
      <c r="Q263" s="1" t="s">
        <v>41</v>
      </c>
      <c r="R263">
        <v>1</v>
      </c>
      <c r="S263" s="1" t="s">
        <v>23</v>
      </c>
      <c r="T263" s="1" t="s">
        <v>28</v>
      </c>
      <c r="U263" s="1" t="s">
        <v>29</v>
      </c>
    </row>
    <row r="264" spans="1:21" x14ac:dyDescent="0.3">
      <c r="A264" s="1" t="s">
        <v>35</v>
      </c>
      <c r="B264">
        <v>18</v>
      </c>
      <c r="C264" s="1" t="s">
        <v>18</v>
      </c>
      <c r="D264" s="1" t="s">
        <v>19</v>
      </c>
      <c r="E264">
        <v>5302</v>
      </c>
      <c r="F264" s="1" t="s">
        <v>32</v>
      </c>
      <c r="G264" s="1" t="s">
        <v>38</v>
      </c>
      <c r="H264">
        <v>2</v>
      </c>
      <c r="I264" s="1" t="s">
        <v>39</v>
      </c>
      <c r="J264" s="1" t="s">
        <v>23</v>
      </c>
      <c r="K264">
        <v>4</v>
      </c>
      <c r="L264" s="1" t="s">
        <v>65</v>
      </c>
      <c r="M264">
        <v>36</v>
      </c>
      <c r="N264" s="1" t="s">
        <v>23</v>
      </c>
      <c r="O264" s="1" t="s">
        <v>66</v>
      </c>
      <c r="P264">
        <v>3</v>
      </c>
      <c r="Q264" s="1" t="s">
        <v>63</v>
      </c>
      <c r="R264">
        <v>1</v>
      </c>
      <c r="S264" s="1" t="s">
        <v>28</v>
      </c>
      <c r="T264" s="1" t="s">
        <v>28</v>
      </c>
      <c r="U264" s="1" t="s">
        <v>29</v>
      </c>
    </row>
    <row r="265" spans="1:21" x14ac:dyDescent="0.3">
      <c r="A265" s="1" t="s">
        <v>17</v>
      </c>
      <c r="B265">
        <v>12</v>
      </c>
      <c r="C265" s="1" t="s">
        <v>18</v>
      </c>
      <c r="D265" s="1" t="s">
        <v>51</v>
      </c>
      <c r="E265">
        <v>2748</v>
      </c>
      <c r="F265" s="1" t="s">
        <v>32</v>
      </c>
      <c r="G265" s="1" t="s">
        <v>38</v>
      </c>
      <c r="H265">
        <v>2</v>
      </c>
      <c r="I265" s="1" t="s">
        <v>22</v>
      </c>
      <c r="J265" s="1" t="s">
        <v>23</v>
      </c>
      <c r="K265">
        <v>4</v>
      </c>
      <c r="L265" s="1" t="s">
        <v>65</v>
      </c>
      <c r="M265">
        <v>57</v>
      </c>
      <c r="N265" s="1" t="s">
        <v>25</v>
      </c>
      <c r="O265" s="1" t="s">
        <v>66</v>
      </c>
      <c r="P265">
        <v>3</v>
      </c>
      <c r="Q265" s="1" t="s">
        <v>27</v>
      </c>
      <c r="R265">
        <v>1</v>
      </c>
      <c r="S265" s="1" t="s">
        <v>23</v>
      </c>
      <c r="T265" s="1" t="s">
        <v>28</v>
      </c>
      <c r="U265" s="1" t="s">
        <v>29</v>
      </c>
    </row>
    <row r="266" spans="1:21" x14ac:dyDescent="0.3">
      <c r="A266" s="1" t="s">
        <v>17</v>
      </c>
      <c r="B266">
        <v>10</v>
      </c>
      <c r="C266" s="1" t="s">
        <v>18</v>
      </c>
      <c r="D266" s="1" t="s">
        <v>19</v>
      </c>
      <c r="E266">
        <v>1231</v>
      </c>
      <c r="F266" s="1" t="s">
        <v>32</v>
      </c>
      <c r="G266" s="1" t="s">
        <v>38</v>
      </c>
      <c r="H266">
        <v>3</v>
      </c>
      <c r="I266" s="1" t="s">
        <v>39</v>
      </c>
      <c r="J266" s="1" t="s">
        <v>23</v>
      </c>
      <c r="K266">
        <v>4</v>
      </c>
      <c r="L266" s="1" t="s">
        <v>24</v>
      </c>
      <c r="M266">
        <v>32</v>
      </c>
      <c r="N266" s="1" t="s">
        <v>23</v>
      </c>
      <c r="O266" s="1" t="s">
        <v>26</v>
      </c>
      <c r="P266">
        <v>2</v>
      </c>
      <c r="Q266" s="1" t="s">
        <v>27</v>
      </c>
      <c r="R266">
        <v>2</v>
      </c>
      <c r="S266" s="1" t="s">
        <v>23</v>
      </c>
      <c r="T266" s="1" t="s">
        <v>60</v>
      </c>
      <c r="U266" s="1" t="s">
        <v>29</v>
      </c>
    </row>
    <row r="267" spans="1:21" x14ac:dyDescent="0.3">
      <c r="A267" s="1" t="s">
        <v>30</v>
      </c>
      <c r="B267">
        <v>15</v>
      </c>
      <c r="C267" s="1" t="s">
        <v>31</v>
      </c>
      <c r="D267" s="1" t="s">
        <v>36</v>
      </c>
      <c r="E267">
        <v>802</v>
      </c>
      <c r="F267" s="1" t="s">
        <v>32</v>
      </c>
      <c r="G267" s="1" t="s">
        <v>38</v>
      </c>
      <c r="H267">
        <v>4</v>
      </c>
      <c r="I267" s="1" t="s">
        <v>39</v>
      </c>
      <c r="J267" s="1" t="s">
        <v>23</v>
      </c>
      <c r="K267">
        <v>3</v>
      </c>
      <c r="L267" s="1" t="s">
        <v>40</v>
      </c>
      <c r="M267">
        <v>37</v>
      </c>
      <c r="N267" s="1" t="s">
        <v>23</v>
      </c>
      <c r="O267" s="1" t="s">
        <v>26</v>
      </c>
      <c r="P267">
        <v>1</v>
      </c>
      <c r="Q267" s="1" t="s">
        <v>41</v>
      </c>
      <c r="R267">
        <v>2</v>
      </c>
      <c r="S267" s="1" t="s">
        <v>23</v>
      </c>
      <c r="T267" s="1" t="s">
        <v>28</v>
      </c>
      <c r="U267" s="1" t="s">
        <v>56</v>
      </c>
    </row>
    <row r="268" spans="1:21" x14ac:dyDescent="0.3">
      <c r="A268" s="1" t="s">
        <v>17</v>
      </c>
      <c r="B268">
        <v>36</v>
      </c>
      <c r="C268" s="1" t="s">
        <v>18</v>
      </c>
      <c r="D268" s="1" t="s">
        <v>61</v>
      </c>
      <c r="E268">
        <v>6304</v>
      </c>
      <c r="F268" s="1" t="s">
        <v>47</v>
      </c>
      <c r="G268" s="1" t="s">
        <v>38</v>
      </c>
      <c r="H268">
        <v>4</v>
      </c>
      <c r="I268" s="1" t="s">
        <v>39</v>
      </c>
      <c r="J268" s="1" t="s">
        <v>23</v>
      </c>
      <c r="K268">
        <v>4</v>
      </c>
      <c r="L268" s="1" t="s">
        <v>24</v>
      </c>
      <c r="M268">
        <v>36</v>
      </c>
      <c r="N268" s="1" t="s">
        <v>23</v>
      </c>
      <c r="O268" s="1" t="s">
        <v>26</v>
      </c>
      <c r="P268">
        <v>2</v>
      </c>
      <c r="Q268" s="1" t="s">
        <v>41</v>
      </c>
      <c r="R268">
        <v>1</v>
      </c>
      <c r="S268" s="1" t="s">
        <v>23</v>
      </c>
      <c r="T268" s="1" t="s">
        <v>28</v>
      </c>
      <c r="U268" s="1" t="s">
        <v>29</v>
      </c>
    </row>
    <row r="269" spans="1:21" x14ac:dyDescent="0.3">
      <c r="A269" s="1" t="s">
        <v>17</v>
      </c>
      <c r="B269">
        <v>24</v>
      </c>
      <c r="C269" s="1" t="s">
        <v>31</v>
      </c>
      <c r="D269" s="1" t="s">
        <v>36</v>
      </c>
      <c r="E269">
        <v>1533</v>
      </c>
      <c r="F269" s="1" t="s">
        <v>32</v>
      </c>
      <c r="G269" s="1" t="s">
        <v>45</v>
      </c>
      <c r="H269">
        <v>4</v>
      </c>
      <c r="I269" s="1" t="s">
        <v>22</v>
      </c>
      <c r="J269" s="1" t="s">
        <v>23</v>
      </c>
      <c r="K269">
        <v>3</v>
      </c>
      <c r="L269" s="1" t="s">
        <v>40</v>
      </c>
      <c r="M269">
        <v>38</v>
      </c>
      <c r="N269" s="1" t="s">
        <v>67</v>
      </c>
      <c r="O269" s="1" t="s">
        <v>26</v>
      </c>
      <c r="P269">
        <v>1</v>
      </c>
      <c r="Q269" s="1" t="s">
        <v>41</v>
      </c>
      <c r="R269">
        <v>1</v>
      </c>
      <c r="S269" s="1" t="s">
        <v>28</v>
      </c>
      <c r="T269" s="1" t="s">
        <v>28</v>
      </c>
      <c r="U269" s="1" t="s">
        <v>29</v>
      </c>
    </row>
    <row r="270" spans="1:21" x14ac:dyDescent="0.3">
      <c r="A270" s="1" t="s">
        <v>35</v>
      </c>
      <c r="B270">
        <v>14</v>
      </c>
      <c r="C270" s="1" t="s">
        <v>31</v>
      </c>
      <c r="D270" s="1" t="s">
        <v>19</v>
      </c>
      <c r="E270">
        <v>8978</v>
      </c>
      <c r="F270" s="1" t="s">
        <v>32</v>
      </c>
      <c r="G270" s="1" t="s">
        <v>38</v>
      </c>
      <c r="H270">
        <v>1</v>
      </c>
      <c r="I270" s="1" t="s">
        <v>64</v>
      </c>
      <c r="J270" s="1" t="s">
        <v>23</v>
      </c>
      <c r="K270">
        <v>4</v>
      </c>
      <c r="L270" s="1" t="s">
        <v>48</v>
      </c>
      <c r="M270">
        <v>45</v>
      </c>
      <c r="N270" s="1" t="s">
        <v>23</v>
      </c>
      <c r="O270" s="1" t="s">
        <v>26</v>
      </c>
      <c r="P270">
        <v>1</v>
      </c>
      <c r="Q270" s="1" t="s">
        <v>63</v>
      </c>
      <c r="R270">
        <v>1</v>
      </c>
      <c r="S270" s="1" t="s">
        <v>28</v>
      </c>
      <c r="T270" s="1" t="s">
        <v>60</v>
      </c>
      <c r="U270" s="1" t="s">
        <v>56</v>
      </c>
    </row>
    <row r="271" spans="1:21" x14ac:dyDescent="0.3">
      <c r="A271" s="1" t="s">
        <v>17</v>
      </c>
      <c r="B271">
        <v>24</v>
      </c>
      <c r="C271" s="1" t="s">
        <v>31</v>
      </c>
      <c r="D271" s="1" t="s">
        <v>36</v>
      </c>
      <c r="E271">
        <v>999</v>
      </c>
      <c r="F271" s="1" t="s">
        <v>47</v>
      </c>
      <c r="G271" s="1" t="s">
        <v>38</v>
      </c>
      <c r="H271">
        <v>4</v>
      </c>
      <c r="I271" s="1" t="s">
        <v>39</v>
      </c>
      <c r="J271" s="1" t="s">
        <v>23</v>
      </c>
      <c r="K271">
        <v>2</v>
      </c>
      <c r="L271" s="1" t="s">
        <v>40</v>
      </c>
      <c r="M271">
        <v>25</v>
      </c>
      <c r="N271" s="1" t="s">
        <v>23</v>
      </c>
      <c r="O271" s="1" t="s">
        <v>26</v>
      </c>
      <c r="P271">
        <v>2</v>
      </c>
      <c r="Q271" s="1" t="s">
        <v>41</v>
      </c>
      <c r="R271">
        <v>1</v>
      </c>
      <c r="S271" s="1" t="s">
        <v>23</v>
      </c>
      <c r="T271" s="1" t="s">
        <v>28</v>
      </c>
      <c r="U271" s="1" t="s">
        <v>29</v>
      </c>
    </row>
    <row r="272" spans="1:21" x14ac:dyDescent="0.3">
      <c r="A272" s="1" t="s">
        <v>17</v>
      </c>
      <c r="B272">
        <v>18</v>
      </c>
      <c r="C272" s="1" t="s">
        <v>31</v>
      </c>
      <c r="D272" s="1" t="s">
        <v>19</v>
      </c>
      <c r="E272">
        <v>2662</v>
      </c>
      <c r="F272" s="1" t="s">
        <v>47</v>
      </c>
      <c r="G272" s="1" t="s">
        <v>49</v>
      </c>
      <c r="H272">
        <v>4</v>
      </c>
      <c r="I272" s="1" t="s">
        <v>39</v>
      </c>
      <c r="J272" s="1" t="s">
        <v>23</v>
      </c>
      <c r="K272">
        <v>3</v>
      </c>
      <c r="L272" s="1" t="s">
        <v>48</v>
      </c>
      <c r="M272">
        <v>32</v>
      </c>
      <c r="N272" s="1" t="s">
        <v>23</v>
      </c>
      <c r="O272" s="1" t="s">
        <v>26</v>
      </c>
      <c r="P272">
        <v>1</v>
      </c>
      <c r="Q272" s="1" t="s">
        <v>41</v>
      </c>
      <c r="R272">
        <v>1</v>
      </c>
      <c r="S272" s="1" t="s">
        <v>23</v>
      </c>
      <c r="T272" s="1" t="s">
        <v>60</v>
      </c>
      <c r="U272" s="1" t="s">
        <v>29</v>
      </c>
    </row>
    <row r="273" spans="1:21" x14ac:dyDescent="0.3">
      <c r="A273" s="1" t="s">
        <v>17</v>
      </c>
      <c r="B273">
        <v>12</v>
      </c>
      <c r="C273" s="1" t="s">
        <v>18</v>
      </c>
      <c r="D273" s="1" t="s">
        <v>53</v>
      </c>
      <c r="E273">
        <v>1402</v>
      </c>
      <c r="F273" s="1" t="s">
        <v>37</v>
      </c>
      <c r="G273" s="1" t="s">
        <v>49</v>
      </c>
      <c r="H273">
        <v>3</v>
      </c>
      <c r="I273" s="1" t="s">
        <v>22</v>
      </c>
      <c r="J273" s="1" t="s">
        <v>23</v>
      </c>
      <c r="K273">
        <v>4</v>
      </c>
      <c r="L273" s="1" t="s">
        <v>40</v>
      </c>
      <c r="M273">
        <v>37</v>
      </c>
      <c r="N273" s="1" t="s">
        <v>23</v>
      </c>
      <c r="O273" s="1" t="s">
        <v>34</v>
      </c>
      <c r="P273">
        <v>1</v>
      </c>
      <c r="Q273" s="1" t="s">
        <v>41</v>
      </c>
      <c r="R273">
        <v>1</v>
      </c>
      <c r="S273" s="1" t="s">
        <v>28</v>
      </c>
      <c r="T273" s="1" t="s">
        <v>28</v>
      </c>
      <c r="U273" s="1" t="s">
        <v>29</v>
      </c>
    </row>
    <row r="274" spans="1:21" x14ac:dyDescent="0.3">
      <c r="A274" s="1" t="s">
        <v>30</v>
      </c>
      <c r="B274">
        <v>48</v>
      </c>
      <c r="C274" s="1" t="s">
        <v>42</v>
      </c>
      <c r="D274" s="1" t="s">
        <v>19</v>
      </c>
      <c r="E274">
        <v>12169</v>
      </c>
      <c r="F274" s="1" t="s">
        <v>47</v>
      </c>
      <c r="G274" s="1" t="s">
        <v>54</v>
      </c>
      <c r="H274">
        <v>4</v>
      </c>
      <c r="I274" s="1" t="s">
        <v>39</v>
      </c>
      <c r="J274" s="1" t="s">
        <v>55</v>
      </c>
      <c r="K274">
        <v>4</v>
      </c>
      <c r="L274" s="1" t="s">
        <v>65</v>
      </c>
      <c r="M274">
        <v>36</v>
      </c>
      <c r="N274" s="1" t="s">
        <v>23</v>
      </c>
      <c r="O274" s="1" t="s">
        <v>66</v>
      </c>
      <c r="P274">
        <v>1</v>
      </c>
      <c r="Q274" s="1" t="s">
        <v>63</v>
      </c>
      <c r="R274">
        <v>1</v>
      </c>
      <c r="S274" s="1" t="s">
        <v>28</v>
      </c>
      <c r="T274" s="1" t="s">
        <v>28</v>
      </c>
      <c r="U274" s="1" t="s">
        <v>29</v>
      </c>
    </row>
    <row r="275" spans="1:21" x14ac:dyDescent="0.3">
      <c r="A275" s="1" t="s">
        <v>30</v>
      </c>
      <c r="B275">
        <v>48</v>
      </c>
      <c r="C275" s="1" t="s">
        <v>31</v>
      </c>
      <c r="D275" s="1" t="s">
        <v>36</v>
      </c>
      <c r="E275">
        <v>3060</v>
      </c>
      <c r="F275" s="1" t="s">
        <v>32</v>
      </c>
      <c r="G275" s="1" t="s">
        <v>49</v>
      </c>
      <c r="H275">
        <v>4</v>
      </c>
      <c r="I275" s="1" t="s">
        <v>39</v>
      </c>
      <c r="J275" s="1" t="s">
        <v>23</v>
      </c>
      <c r="K275">
        <v>4</v>
      </c>
      <c r="L275" s="1" t="s">
        <v>24</v>
      </c>
      <c r="M275">
        <v>28</v>
      </c>
      <c r="N275" s="1" t="s">
        <v>23</v>
      </c>
      <c r="O275" s="1" t="s">
        <v>26</v>
      </c>
      <c r="P275">
        <v>2</v>
      </c>
      <c r="Q275" s="1" t="s">
        <v>41</v>
      </c>
      <c r="R275">
        <v>1</v>
      </c>
      <c r="S275" s="1" t="s">
        <v>23</v>
      </c>
      <c r="T275" s="1" t="s">
        <v>28</v>
      </c>
      <c r="U275" s="1" t="s">
        <v>56</v>
      </c>
    </row>
    <row r="276" spans="1:21" x14ac:dyDescent="0.3">
      <c r="A276" s="1" t="s">
        <v>35</v>
      </c>
      <c r="B276">
        <v>30</v>
      </c>
      <c r="C276" s="1" t="s">
        <v>31</v>
      </c>
      <c r="D276" s="1" t="s">
        <v>57</v>
      </c>
      <c r="E276">
        <v>11998</v>
      </c>
      <c r="F276" s="1" t="s">
        <v>32</v>
      </c>
      <c r="G276" s="1" t="s">
        <v>45</v>
      </c>
      <c r="H276">
        <v>1</v>
      </c>
      <c r="I276" s="1" t="s">
        <v>64</v>
      </c>
      <c r="J276" s="1" t="s">
        <v>23</v>
      </c>
      <c r="K276">
        <v>1</v>
      </c>
      <c r="L276" s="1" t="s">
        <v>65</v>
      </c>
      <c r="M276">
        <v>34</v>
      </c>
      <c r="N276" s="1" t="s">
        <v>23</v>
      </c>
      <c r="O276" s="1" t="s">
        <v>26</v>
      </c>
      <c r="P276">
        <v>1</v>
      </c>
      <c r="Q276" s="1" t="s">
        <v>27</v>
      </c>
      <c r="R276">
        <v>1</v>
      </c>
      <c r="S276" s="1" t="s">
        <v>28</v>
      </c>
      <c r="T276" s="1" t="s">
        <v>28</v>
      </c>
      <c r="U276" s="1" t="s">
        <v>56</v>
      </c>
    </row>
    <row r="277" spans="1:21" x14ac:dyDescent="0.3">
      <c r="A277" s="1" t="s">
        <v>17</v>
      </c>
      <c r="B277">
        <v>9</v>
      </c>
      <c r="C277" s="1" t="s">
        <v>31</v>
      </c>
      <c r="D277" s="1" t="s">
        <v>36</v>
      </c>
      <c r="E277">
        <v>2697</v>
      </c>
      <c r="F277" s="1" t="s">
        <v>32</v>
      </c>
      <c r="G277" s="1" t="s">
        <v>21</v>
      </c>
      <c r="H277">
        <v>1</v>
      </c>
      <c r="I277" s="1" t="s">
        <v>39</v>
      </c>
      <c r="J277" s="1" t="s">
        <v>23</v>
      </c>
      <c r="K277">
        <v>2</v>
      </c>
      <c r="L277" s="1" t="s">
        <v>24</v>
      </c>
      <c r="M277">
        <v>32</v>
      </c>
      <c r="N277" s="1" t="s">
        <v>23</v>
      </c>
      <c r="O277" s="1" t="s">
        <v>26</v>
      </c>
      <c r="P277">
        <v>1</v>
      </c>
      <c r="Q277" s="1" t="s">
        <v>41</v>
      </c>
      <c r="R277">
        <v>2</v>
      </c>
      <c r="S277" s="1" t="s">
        <v>23</v>
      </c>
      <c r="T277" s="1" t="s">
        <v>28</v>
      </c>
      <c r="U277" s="1" t="s">
        <v>29</v>
      </c>
    </row>
    <row r="278" spans="1:21" x14ac:dyDescent="0.3">
      <c r="A278" s="1" t="s">
        <v>17</v>
      </c>
      <c r="B278">
        <v>18</v>
      </c>
      <c r="C278" s="1" t="s">
        <v>18</v>
      </c>
      <c r="D278" s="1" t="s">
        <v>36</v>
      </c>
      <c r="E278">
        <v>2404</v>
      </c>
      <c r="F278" s="1" t="s">
        <v>32</v>
      </c>
      <c r="G278" s="1" t="s">
        <v>21</v>
      </c>
      <c r="H278">
        <v>2</v>
      </c>
      <c r="I278" s="1" t="s">
        <v>22</v>
      </c>
      <c r="J278" s="1" t="s">
        <v>23</v>
      </c>
      <c r="K278">
        <v>2</v>
      </c>
      <c r="L278" s="1" t="s">
        <v>40</v>
      </c>
      <c r="M278">
        <v>26</v>
      </c>
      <c r="N278" s="1" t="s">
        <v>23</v>
      </c>
      <c r="O278" s="1" t="s">
        <v>26</v>
      </c>
      <c r="P278">
        <v>2</v>
      </c>
      <c r="Q278" s="1" t="s">
        <v>41</v>
      </c>
      <c r="R278">
        <v>1</v>
      </c>
      <c r="S278" s="1" t="s">
        <v>23</v>
      </c>
      <c r="T278" s="1" t="s">
        <v>28</v>
      </c>
      <c r="U278" s="1" t="s">
        <v>29</v>
      </c>
    </row>
    <row r="279" spans="1:21" x14ac:dyDescent="0.3">
      <c r="A279" s="1" t="s">
        <v>35</v>
      </c>
      <c r="B279">
        <v>12</v>
      </c>
      <c r="C279" s="1" t="s">
        <v>31</v>
      </c>
      <c r="D279" s="1" t="s">
        <v>53</v>
      </c>
      <c r="E279">
        <v>1262</v>
      </c>
      <c r="F279" s="1" t="s">
        <v>47</v>
      </c>
      <c r="G279" s="1" t="s">
        <v>38</v>
      </c>
      <c r="H279">
        <v>2</v>
      </c>
      <c r="I279" s="1" t="s">
        <v>64</v>
      </c>
      <c r="J279" s="1" t="s">
        <v>23</v>
      </c>
      <c r="K279">
        <v>4</v>
      </c>
      <c r="L279" s="1" t="s">
        <v>48</v>
      </c>
      <c r="M279">
        <v>49</v>
      </c>
      <c r="N279" s="1" t="s">
        <v>23</v>
      </c>
      <c r="O279" s="1" t="s">
        <v>26</v>
      </c>
      <c r="P279">
        <v>1</v>
      </c>
      <c r="Q279" s="1" t="s">
        <v>27</v>
      </c>
      <c r="R279">
        <v>1</v>
      </c>
      <c r="S279" s="1" t="s">
        <v>28</v>
      </c>
      <c r="T279" s="1" t="s">
        <v>28</v>
      </c>
      <c r="U279" s="1" t="s">
        <v>29</v>
      </c>
    </row>
    <row r="280" spans="1:21" x14ac:dyDescent="0.3">
      <c r="A280" s="1" t="s">
        <v>17</v>
      </c>
      <c r="B280">
        <v>6</v>
      </c>
      <c r="C280" s="1" t="s">
        <v>31</v>
      </c>
      <c r="D280" s="1" t="s">
        <v>53</v>
      </c>
      <c r="E280">
        <v>4611</v>
      </c>
      <c r="F280" s="1" t="s">
        <v>32</v>
      </c>
      <c r="G280" s="1" t="s">
        <v>45</v>
      </c>
      <c r="H280">
        <v>1</v>
      </c>
      <c r="I280" s="1" t="s">
        <v>22</v>
      </c>
      <c r="J280" s="1" t="s">
        <v>23</v>
      </c>
      <c r="K280">
        <v>4</v>
      </c>
      <c r="L280" s="1" t="s">
        <v>48</v>
      </c>
      <c r="M280">
        <v>32</v>
      </c>
      <c r="N280" s="1" t="s">
        <v>23</v>
      </c>
      <c r="O280" s="1" t="s">
        <v>26</v>
      </c>
      <c r="P280">
        <v>1</v>
      </c>
      <c r="Q280" s="1" t="s">
        <v>41</v>
      </c>
      <c r="R280">
        <v>1</v>
      </c>
      <c r="S280" s="1" t="s">
        <v>23</v>
      </c>
      <c r="T280" s="1" t="s">
        <v>28</v>
      </c>
      <c r="U280" s="1" t="s">
        <v>56</v>
      </c>
    </row>
    <row r="281" spans="1:21" x14ac:dyDescent="0.3">
      <c r="A281" s="1" t="s">
        <v>17</v>
      </c>
      <c r="B281">
        <v>24</v>
      </c>
      <c r="C281" s="1" t="s">
        <v>31</v>
      </c>
      <c r="D281" s="1" t="s">
        <v>36</v>
      </c>
      <c r="E281">
        <v>1901</v>
      </c>
      <c r="F281" s="1" t="s">
        <v>46</v>
      </c>
      <c r="G281" s="1" t="s">
        <v>21</v>
      </c>
      <c r="H281">
        <v>4</v>
      </c>
      <c r="I281" s="1" t="s">
        <v>39</v>
      </c>
      <c r="J281" s="1" t="s">
        <v>23</v>
      </c>
      <c r="K281">
        <v>4</v>
      </c>
      <c r="L281" s="1" t="s">
        <v>40</v>
      </c>
      <c r="M281">
        <v>29</v>
      </c>
      <c r="N281" s="1" t="s">
        <v>23</v>
      </c>
      <c r="O281" s="1" t="s">
        <v>34</v>
      </c>
      <c r="P281">
        <v>1</v>
      </c>
      <c r="Q281" s="1" t="s">
        <v>63</v>
      </c>
      <c r="R281">
        <v>1</v>
      </c>
      <c r="S281" s="1" t="s">
        <v>28</v>
      </c>
      <c r="T281" s="1" t="s">
        <v>28</v>
      </c>
      <c r="U281" s="1" t="s">
        <v>29</v>
      </c>
    </row>
    <row r="282" spans="1:21" x14ac:dyDescent="0.3">
      <c r="A282" s="1" t="s">
        <v>17</v>
      </c>
      <c r="B282">
        <v>15</v>
      </c>
      <c r="C282" s="1" t="s">
        <v>18</v>
      </c>
      <c r="D282" s="1" t="s">
        <v>69</v>
      </c>
      <c r="E282">
        <v>3368</v>
      </c>
      <c r="F282" s="1" t="s">
        <v>20</v>
      </c>
      <c r="G282" s="1" t="s">
        <v>38</v>
      </c>
      <c r="H282">
        <v>3</v>
      </c>
      <c r="I282" s="1" t="s">
        <v>39</v>
      </c>
      <c r="J282" s="1" t="s">
        <v>23</v>
      </c>
      <c r="K282">
        <v>4</v>
      </c>
      <c r="L282" s="1" t="s">
        <v>65</v>
      </c>
      <c r="M282">
        <v>23</v>
      </c>
      <c r="N282" s="1" t="s">
        <v>23</v>
      </c>
      <c r="O282" s="1" t="s">
        <v>34</v>
      </c>
      <c r="P282">
        <v>2</v>
      </c>
      <c r="Q282" s="1" t="s">
        <v>41</v>
      </c>
      <c r="R282">
        <v>1</v>
      </c>
      <c r="S282" s="1" t="s">
        <v>28</v>
      </c>
      <c r="T282" s="1" t="s">
        <v>28</v>
      </c>
      <c r="U282" s="1" t="s">
        <v>29</v>
      </c>
    </row>
    <row r="283" spans="1:21" x14ac:dyDescent="0.3">
      <c r="A283" s="1" t="s">
        <v>17</v>
      </c>
      <c r="B283">
        <v>12</v>
      </c>
      <c r="C283" s="1" t="s">
        <v>31</v>
      </c>
      <c r="D283" s="1" t="s">
        <v>53</v>
      </c>
      <c r="E283">
        <v>1574</v>
      </c>
      <c r="F283" s="1" t="s">
        <v>32</v>
      </c>
      <c r="G283" s="1" t="s">
        <v>21</v>
      </c>
      <c r="H283">
        <v>4</v>
      </c>
      <c r="I283" s="1" t="s">
        <v>39</v>
      </c>
      <c r="J283" s="1" t="s">
        <v>23</v>
      </c>
      <c r="K283">
        <v>2</v>
      </c>
      <c r="L283" s="1" t="s">
        <v>24</v>
      </c>
      <c r="M283">
        <v>50</v>
      </c>
      <c r="N283" s="1" t="s">
        <v>23</v>
      </c>
      <c r="O283" s="1" t="s">
        <v>26</v>
      </c>
      <c r="P283">
        <v>1</v>
      </c>
      <c r="Q283" s="1" t="s">
        <v>41</v>
      </c>
      <c r="R283">
        <v>1</v>
      </c>
      <c r="S283" s="1" t="s">
        <v>23</v>
      </c>
      <c r="T283" s="1" t="s">
        <v>28</v>
      </c>
      <c r="U283" s="1" t="s">
        <v>29</v>
      </c>
    </row>
    <row r="284" spans="1:21" x14ac:dyDescent="0.3">
      <c r="A284" s="1" t="s">
        <v>50</v>
      </c>
      <c r="B284">
        <v>18</v>
      </c>
      <c r="C284" s="1" t="s">
        <v>42</v>
      </c>
      <c r="D284" s="1" t="s">
        <v>36</v>
      </c>
      <c r="E284">
        <v>1445</v>
      </c>
      <c r="F284" s="1" t="s">
        <v>47</v>
      </c>
      <c r="G284" s="1" t="s">
        <v>49</v>
      </c>
      <c r="H284">
        <v>4</v>
      </c>
      <c r="I284" s="1" t="s">
        <v>39</v>
      </c>
      <c r="J284" s="1" t="s">
        <v>23</v>
      </c>
      <c r="K284">
        <v>4</v>
      </c>
      <c r="L284" s="1" t="s">
        <v>40</v>
      </c>
      <c r="M284">
        <v>49</v>
      </c>
      <c r="N284" s="1" t="s">
        <v>25</v>
      </c>
      <c r="O284" s="1" t="s">
        <v>26</v>
      </c>
      <c r="P284">
        <v>1</v>
      </c>
      <c r="Q284" s="1" t="s">
        <v>27</v>
      </c>
      <c r="R284">
        <v>1</v>
      </c>
      <c r="S284" s="1" t="s">
        <v>23</v>
      </c>
      <c r="T284" s="1" t="s">
        <v>28</v>
      </c>
      <c r="U284" s="1" t="s">
        <v>29</v>
      </c>
    </row>
    <row r="285" spans="1:21" x14ac:dyDescent="0.3">
      <c r="A285" s="1" t="s">
        <v>17</v>
      </c>
      <c r="B285">
        <v>15</v>
      </c>
      <c r="C285" s="1" t="s">
        <v>18</v>
      </c>
      <c r="D285" s="1" t="s">
        <v>53</v>
      </c>
      <c r="E285">
        <v>1520</v>
      </c>
      <c r="F285" s="1" t="s">
        <v>47</v>
      </c>
      <c r="G285" s="1" t="s">
        <v>38</v>
      </c>
      <c r="H285">
        <v>4</v>
      </c>
      <c r="I285" s="1" t="s">
        <v>39</v>
      </c>
      <c r="J285" s="1" t="s">
        <v>23</v>
      </c>
      <c r="K285">
        <v>4</v>
      </c>
      <c r="L285" s="1" t="s">
        <v>48</v>
      </c>
      <c r="M285">
        <v>63</v>
      </c>
      <c r="N285" s="1" t="s">
        <v>23</v>
      </c>
      <c r="O285" s="1" t="s">
        <v>26</v>
      </c>
      <c r="P285">
        <v>1</v>
      </c>
      <c r="Q285" s="1" t="s">
        <v>41</v>
      </c>
      <c r="R285">
        <v>1</v>
      </c>
      <c r="S285" s="1" t="s">
        <v>23</v>
      </c>
      <c r="T285" s="1" t="s">
        <v>28</v>
      </c>
      <c r="U285" s="1" t="s">
        <v>29</v>
      </c>
    </row>
    <row r="286" spans="1:21" x14ac:dyDescent="0.3">
      <c r="A286" s="1" t="s">
        <v>30</v>
      </c>
      <c r="B286">
        <v>24</v>
      </c>
      <c r="C286" s="1" t="s">
        <v>18</v>
      </c>
      <c r="D286" s="1" t="s">
        <v>19</v>
      </c>
      <c r="E286">
        <v>3878</v>
      </c>
      <c r="F286" s="1" t="s">
        <v>46</v>
      </c>
      <c r="G286" s="1" t="s">
        <v>45</v>
      </c>
      <c r="H286">
        <v>4</v>
      </c>
      <c r="I286" s="1" t="s">
        <v>64</v>
      </c>
      <c r="J286" s="1" t="s">
        <v>23</v>
      </c>
      <c r="K286">
        <v>2</v>
      </c>
      <c r="L286" s="1" t="s">
        <v>40</v>
      </c>
      <c r="M286">
        <v>37</v>
      </c>
      <c r="N286" s="1" t="s">
        <v>23</v>
      </c>
      <c r="O286" s="1" t="s">
        <v>26</v>
      </c>
      <c r="P286">
        <v>1</v>
      </c>
      <c r="Q286" s="1" t="s">
        <v>41</v>
      </c>
      <c r="R286">
        <v>1</v>
      </c>
      <c r="S286" s="1" t="s">
        <v>28</v>
      </c>
      <c r="T286" s="1" t="s">
        <v>28</v>
      </c>
      <c r="U286" s="1" t="s">
        <v>29</v>
      </c>
    </row>
    <row r="287" spans="1:21" x14ac:dyDescent="0.3">
      <c r="A287" s="1" t="s">
        <v>35</v>
      </c>
      <c r="B287">
        <v>47</v>
      </c>
      <c r="C287" s="1" t="s">
        <v>31</v>
      </c>
      <c r="D287" s="1" t="s">
        <v>19</v>
      </c>
      <c r="E287">
        <v>10722</v>
      </c>
      <c r="F287" s="1" t="s">
        <v>32</v>
      </c>
      <c r="G287" s="1" t="s">
        <v>45</v>
      </c>
      <c r="H287">
        <v>1</v>
      </c>
      <c r="I287" s="1" t="s">
        <v>22</v>
      </c>
      <c r="J287" s="1" t="s">
        <v>23</v>
      </c>
      <c r="K287">
        <v>1</v>
      </c>
      <c r="L287" s="1" t="s">
        <v>24</v>
      </c>
      <c r="M287">
        <v>35</v>
      </c>
      <c r="N287" s="1" t="s">
        <v>23</v>
      </c>
      <c r="O287" s="1" t="s">
        <v>26</v>
      </c>
      <c r="P287">
        <v>1</v>
      </c>
      <c r="Q287" s="1" t="s">
        <v>27</v>
      </c>
      <c r="R287">
        <v>1</v>
      </c>
      <c r="S287" s="1" t="s">
        <v>28</v>
      </c>
      <c r="T287" s="1" t="s">
        <v>28</v>
      </c>
      <c r="U287" s="1" t="s">
        <v>29</v>
      </c>
    </row>
    <row r="288" spans="1:21" x14ac:dyDescent="0.3">
      <c r="A288" s="1" t="s">
        <v>35</v>
      </c>
      <c r="B288">
        <v>48</v>
      </c>
      <c r="C288" s="1" t="s">
        <v>31</v>
      </c>
      <c r="D288" s="1" t="s">
        <v>69</v>
      </c>
      <c r="E288">
        <v>4788</v>
      </c>
      <c r="F288" s="1" t="s">
        <v>32</v>
      </c>
      <c r="G288" s="1" t="s">
        <v>49</v>
      </c>
      <c r="H288">
        <v>4</v>
      </c>
      <c r="I288" s="1" t="s">
        <v>39</v>
      </c>
      <c r="J288" s="1" t="s">
        <v>23</v>
      </c>
      <c r="K288">
        <v>3</v>
      </c>
      <c r="L288" s="1" t="s">
        <v>48</v>
      </c>
      <c r="M288">
        <v>26</v>
      </c>
      <c r="N288" s="1" t="s">
        <v>23</v>
      </c>
      <c r="O288" s="1" t="s">
        <v>26</v>
      </c>
      <c r="P288">
        <v>1</v>
      </c>
      <c r="Q288" s="1" t="s">
        <v>41</v>
      </c>
      <c r="R288">
        <v>2</v>
      </c>
      <c r="S288" s="1" t="s">
        <v>23</v>
      </c>
      <c r="T288" s="1" t="s">
        <v>28</v>
      </c>
      <c r="U288" s="1" t="s">
        <v>29</v>
      </c>
    </row>
    <row r="289" spans="1:21" x14ac:dyDescent="0.3">
      <c r="A289" s="1" t="s">
        <v>30</v>
      </c>
      <c r="B289">
        <v>48</v>
      </c>
      <c r="C289" s="1" t="s">
        <v>59</v>
      </c>
      <c r="D289" s="1" t="s">
        <v>68</v>
      </c>
      <c r="E289">
        <v>7582</v>
      </c>
      <c r="F289" s="1" t="s">
        <v>46</v>
      </c>
      <c r="G289" s="1" t="s">
        <v>54</v>
      </c>
      <c r="H289">
        <v>2</v>
      </c>
      <c r="I289" s="1" t="s">
        <v>39</v>
      </c>
      <c r="J289" s="1" t="s">
        <v>23</v>
      </c>
      <c r="K289">
        <v>4</v>
      </c>
      <c r="L289" s="1" t="s">
        <v>65</v>
      </c>
      <c r="M289">
        <v>31</v>
      </c>
      <c r="N289" s="1" t="s">
        <v>23</v>
      </c>
      <c r="O289" s="1" t="s">
        <v>66</v>
      </c>
      <c r="P289">
        <v>1</v>
      </c>
      <c r="Q289" s="1" t="s">
        <v>63</v>
      </c>
      <c r="R289">
        <v>1</v>
      </c>
      <c r="S289" s="1" t="s">
        <v>28</v>
      </c>
      <c r="T289" s="1" t="s">
        <v>28</v>
      </c>
      <c r="U289" s="1" t="s">
        <v>29</v>
      </c>
    </row>
    <row r="290" spans="1:21" x14ac:dyDescent="0.3">
      <c r="A290" s="1" t="s">
        <v>30</v>
      </c>
      <c r="B290">
        <v>12</v>
      </c>
      <c r="C290" s="1" t="s">
        <v>31</v>
      </c>
      <c r="D290" s="1" t="s">
        <v>36</v>
      </c>
      <c r="E290">
        <v>1092</v>
      </c>
      <c r="F290" s="1" t="s">
        <v>32</v>
      </c>
      <c r="G290" s="1" t="s">
        <v>21</v>
      </c>
      <c r="H290">
        <v>4</v>
      </c>
      <c r="I290" s="1" t="s">
        <v>22</v>
      </c>
      <c r="J290" s="1" t="s">
        <v>58</v>
      </c>
      <c r="K290">
        <v>4</v>
      </c>
      <c r="L290" s="1" t="s">
        <v>24</v>
      </c>
      <c r="M290">
        <v>49</v>
      </c>
      <c r="N290" s="1" t="s">
        <v>23</v>
      </c>
      <c r="O290" s="1" t="s">
        <v>26</v>
      </c>
      <c r="P290">
        <v>2</v>
      </c>
      <c r="Q290" s="1" t="s">
        <v>41</v>
      </c>
      <c r="R290">
        <v>1</v>
      </c>
      <c r="S290" s="1" t="s">
        <v>28</v>
      </c>
      <c r="T290" s="1" t="s">
        <v>28</v>
      </c>
      <c r="U290" s="1" t="s">
        <v>29</v>
      </c>
    </row>
    <row r="291" spans="1:21" x14ac:dyDescent="0.3">
      <c r="A291" s="1" t="s">
        <v>35</v>
      </c>
      <c r="B291">
        <v>24</v>
      </c>
      <c r="C291" s="1" t="s">
        <v>59</v>
      </c>
      <c r="D291" s="1" t="s">
        <v>36</v>
      </c>
      <c r="E291">
        <v>1024</v>
      </c>
      <c r="F291" s="1" t="s">
        <v>32</v>
      </c>
      <c r="G291" s="1" t="s">
        <v>45</v>
      </c>
      <c r="H291">
        <v>4</v>
      </c>
      <c r="I291" s="1" t="s">
        <v>33</v>
      </c>
      <c r="J291" s="1" t="s">
        <v>23</v>
      </c>
      <c r="K291">
        <v>4</v>
      </c>
      <c r="L291" s="1" t="s">
        <v>24</v>
      </c>
      <c r="M291">
        <v>48</v>
      </c>
      <c r="N291" s="1" t="s">
        <v>67</v>
      </c>
      <c r="O291" s="1" t="s">
        <v>26</v>
      </c>
      <c r="P291">
        <v>1</v>
      </c>
      <c r="Q291" s="1" t="s">
        <v>41</v>
      </c>
      <c r="R291">
        <v>1</v>
      </c>
      <c r="S291" s="1" t="s">
        <v>23</v>
      </c>
      <c r="T291" s="1" t="s">
        <v>28</v>
      </c>
      <c r="U291" s="1" t="s">
        <v>56</v>
      </c>
    </row>
    <row r="292" spans="1:21" x14ac:dyDescent="0.3">
      <c r="A292" s="1" t="s">
        <v>17</v>
      </c>
      <c r="B292">
        <v>12</v>
      </c>
      <c r="C292" s="1" t="s">
        <v>31</v>
      </c>
      <c r="D292" s="1" t="s">
        <v>61</v>
      </c>
      <c r="E292">
        <v>1076</v>
      </c>
      <c r="F292" s="1" t="s">
        <v>32</v>
      </c>
      <c r="G292" s="1" t="s">
        <v>21</v>
      </c>
      <c r="H292">
        <v>2</v>
      </c>
      <c r="I292" s="1" t="s">
        <v>33</v>
      </c>
      <c r="J292" s="1" t="s">
        <v>23</v>
      </c>
      <c r="K292">
        <v>2</v>
      </c>
      <c r="L292" s="1" t="s">
        <v>24</v>
      </c>
      <c r="M292">
        <v>26</v>
      </c>
      <c r="N292" s="1" t="s">
        <v>23</v>
      </c>
      <c r="O292" s="1" t="s">
        <v>26</v>
      </c>
      <c r="P292">
        <v>1</v>
      </c>
      <c r="Q292" s="1" t="s">
        <v>41</v>
      </c>
      <c r="R292">
        <v>1</v>
      </c>
      <c r="S292" s="1" t="s">
        <v>28</v>
      </c>
      <c r="T292" s="1" t="s">
        <v>60</v>
      </c>
      <c r="U292" s="1" t="s">
        <v>29</v>
      </c>
    </row>
    <row r="293" spans="1:21" x14ac:dyDescent="0.3">
      <c r="A293" s="1" t="s">
        <v>30</v>
      </c>
      <c r="B293">
        <v>36</v>
      </c>
      <c r="C293" s="1" t="s">
        <v>31</v>
      </c>
      <c r="D293" s="1" t="s">
        <v>69</v>
      </c>
      <c r="E293">
        <v>9398</v>
      </c>
      <c r="F293" s="1" t="s">
        <v>32</v>
      </c>
      <c r="G293" s="1" t="s">
        <v>45</v>
      </c>
      <c r="H293">
        <v>1</v>
      </c>
      <c r="I293" s="1" t="s">
        <v>33</v>
      </c>
      <c r="J293" s="1" t="s">
        <v>23</v>
      </c>
      <c r="K293">
        <v>4</v>
      </c>
      <c r="L293" s="1" t="s">
        <v>40</v>
      </c>
      <c r="M293">
        <v>28</v>
      </c>
      <c r="N293" s="1" t="s">
        <v>23</v>
      </c>
      <c r="O293" s="1" t="s">
        <v>34</v>
      </c>
      <c r="P293">
        <v>1</v>
      </c>
      <c r="Q293" s="1" t="s">
        <v>63</v>
      </c>
      <c r="R293">
        <v>1</v>
      </c>
      <c r="S293" s="1" t="s">
        <v>28</v>
      </c>
      <c r="T293" s="1" t="s">
        <v>28</v>
      </c>
      <c r="U293" s="1" t="s">
        <v>56</v>
      </c>
    </row>
    <row r="294" spans="1:21" x14ac:dyDescent="0.3">
      <c r="A294" s="1" t="s">
        <v>35</v>
      </c>
      <c r="B294">
        <v>24</v>
      </c>
      <c r="C294" s="1" t="s">
        <v>18</v>
      </c>
      <c r="D294" s="1" t="s">
        <v>69</v>
      </c>
      <c r="E294">
        <v>6419</v>
      </c>
      <c r="F294" s="1" t="s">
        <v>32</v>
      </c>
      <c r="G294" s="1" t="s">
        <v>38</v>
      </c>
      <c r="H294">
        <v>2</v>
      </c>
      <c r="I294" s="1" t="s">
        <v>22</v>
      </c>
      <c r="J294" s="1" t="s">
        <v>23</v>
      </c>
      <c r="K294">
        <v>4</v>
      </c>
      <c r="L294" s="1" t="s">
        <v>65</v>
      </c>
      <c r="M294">
        <v>44</v>
      </c>
      <c r="N294" s="1" t="s">
        <v>23</v>
      </c>
      <c r="O294" s="1" t="s">
        <v>66</v>
      </c>
      <c r="P294">
        <v>2</v>
      </c>
      <c r="Q294" s="1" t="s">
        <v>63</v>
      </c>
      <c r="R294">
        <v>2</v>
      </c>
      <c r="S294" s="1" t="s">
        <v>28</v>
      </c>
      <c r="T294" s="1" t="s">
        <v>28</v>
      </c>
      <c r="U294" s="1" t="s">
        <v>29</v>
      </c>
    </row>
    <row r="295" spans="1:21" x14ac:dyDescent="0.3">
      <c r="A295" s="1" t="s">
        <v>50</v>
      </c>
      <c r="B295">
        <v>42</v>
      </c>
      <c r="C295" s="1" t="s">
        <v>18</v>
      </c>
      <c r="D295" s="1" t="s">
        <v>69</v>
      </c>
      <c r="E295">
        <v>4796</v>
      </c>
      <c r="F295" s="1" t="s">
        <v>32</v>
      </c>
      <c r="G295" s="1" t="s">
        <v>38</v>
      </c>
      <c r="H295">
        <v>4</v>
      </c>
      <c r="I295" s="1" t="s">
        <v>39</v>
      </c>
      <c r="J295" s="1" t="s">
        <v>23</v>
      </c>
      <c r="K295">
        <v>4</v>
      </c>
      <c r="L295" s="1" t="s">
        <v>65</v>
      </c>
      <c r="M295">
        <v>56</v>
      </c>
      <c r="N295" s="1" t="s">
        <v>23</v>
      </c>
      <c r="O295" s="1" t="s">
        <v>66</v>
      </c>
      <c r="P295">
        <v>1</v>
      </c>
      <c r="Q295" s="1" t="s">
        <v>41</v>
      </c>
      <c r="R295">
        <v>1</v>
      </c>
      <c r="S295" s="1" t="s">
        <v>23</v>
      </c>
      <c r="T295" s="1" t="s">
        <v>28</v>
      </c>
      <c r="U295" s="1" t="s">
        <v>29</v>
      </c>
    </row>
    <row r="296" spans="1:21" x14ac:dyDescent="0.3">
      <c r="A296" s="1" t="s">
        <v>17</v>
      </c>
      <c r="B296">
        <v>48</v>
      </c>
      <c r="C296" s="1" t="s">
        <v>18</v>
      </c>
      <c r="D296" s="1" t="s">
        <v>61</v>
      </c>
      <c r="E296">
        <v>7629</v>
      </c>
      <c r="F296" s="1" t="s">
        <v>47</v>
      </c>
      <c r="G296" s="1" t="s">
        <v>38</v>
      </c>
      <c r="H296">
        <v>4</v>
      </c>
      <c r="I296" s="1" t="s">
        <v>64</v>
      </c>
      <c r="J296" s="1" t="s">
        <v>23</v>
      </c>
      <c r="K296">
        <v>2</v>
      </c>
      <c r="L296" s="1" t="s">
        <v>40</v>
      </c>
      <c r="M296">
        <v>46</v>
      </c>
      <c r="N296" s="1" t="s">
        <v>25</v>
      </c>
      <c r="O296" s="1" t="s">
        <v>26</v>
      </c>
      <c r="P296">
        <v>2</v>
      </c>
      <c r="Q296" s="1" t="s">
        <v>63</v>
      </c>
      <c r="R296">
        <v>2</v>
      </c>
      <c r="S296" s="1" t="s">
        <v>23</v>
      </c>
      <c r="T296" s="1" t="s">
        <v>28</v>
      </c>
      <c r="U296" s="1" t="s">
        <v>29</v>
      </c>
    </row>
    <row r="297" spans="1:21" x14ac:dyDescent="0.3">
      <c r="A297" s="1" t="s">
        <v>30</v>
      </c>
      <c r="B297">
        <v>48</v>
      </c>
      <c r="C297" s="1" t="s">
        <v>31</v>
      </c>
      <c r="D297" s="1" t="s">
        <v>53</v>
      </c>
      <c r="E297">
        <v>9960</v>
      </c>
      <c r="F297" s="1" t="s">
        <v>32</v>
      </c>
      <c r="G297" s="1" t="s">
        <v>45</v>
      </c>
      <c r="H297">
        <v>1</v>
      </c>
      <c r="I297" s="1" t="s">
        <v>22</v>
      </c>
      <c r="J297" s="1" t="s">
        <v>23</v>
      </c>
      <c r="K297">
        <v>2</v>
      </c>
      <c r="L297" s="1" t="s">
        <v>40</v>
      </c>
      <c r="M297">
        <v>26</v>
      </c>
      <c r="N297" s="1" t="s">
        <v>23</v>
      </c>
      <c r="O297" s="1" t="s">
        <v>26</v>
      </c>
      <c r="P297">
        <v>1</v>
      </c>
      <c r="Q297" s="1" t="s">
        <v>41</v>
      </c>
      <c r="R297">
        <v>1</v>
      </c>
      <c r="S297" s="1" t="s">
        <v>28</v>
      </c>
      <c r="T297" s="1" t="s">
        <v>28</v>
      </c>
      <c r="U297" s="1" t="s">
        <v>56</v>
      </c>
    </row>
    <row r="298" spans="1:21" x14ac:dyDescent="0.3">
      <c r="A298" s="1" t="s">
        <v>17</v>
      </c>
      <c r="B298">
        <v>12</v>
      </c>
      <c r="C298" s="1" t="s">
        <v>31</v>
      </c>
      <c r="D298" s="1" t="s">
        <v>69</v>
      </c>
      <c r="E298">
        <v>4675</v>
      </c>
      <c r="F298" s="1" t="s">
        <v>47</v>
      </c>
      <c r="G298" s="1" t="s">
        <v>45</v>
      </c>
      <c r="H298">
        <v>1</v>
      </c>
      <c r="I298" s="1" t="s">
        <v>22</v>
      </c>
      <c r="J298" s="1" t="s">
        <v>23</v>
      </c>
      <c r="K298">
        <v>4</v>
      </c>
      <c r="L298" s="1" t="s">
        <v>40</v>
      </c>
      <c r="M298">
        <v>20</v>
      </c>
      <c r="N298" s="1" t="s">
        <v>23</v>
      </c>
      <c r="O298" s="1" t="s">
        <v>34</v>
      </c>
      <c r="P298">
        <v>1</v>
      </c>
      <c r="Q298" s="1" t="s">
        <v>41</v>
      </c>
      <c r="R298">
        <v>1</v>
      </c>
      <c r="S298" s="1" t="s">
        <v>23</v>
      </c>
      <c r="T298" s="1" t="s">
        <v>28</v>
      </c>
      <c r="U298" s="1" t="s">
        <v>29</v>
      </c>
    </row>
    <row r="299" spans="1:21" x14ac:dyDescent="0.3">
      <c r="A299" s="1" t="s">
        <v>17</v>
      </c>
      <c r="B299">
        <v>10</v>
      </c>
      <c r="C299" s="1" t="s">
        <v>31</v>
      </c>
      <c r="D299" s="1" t="s">
        <v>19</v>
      </c>
      <c r="E299">
        <v>1287</v>
      </c>
      <c r="F299" s="1" t="s">
        <v>47</v>
      </c>
      <c r="G299" s="1" t="s">
        <v>38</v>
      </c>
      <c r="H299">
        <v>4</v>
      </c>
      <c r="I299" s="1" t="s">
        <v>39</v>
      </c>
      <c r="J299" s="1" t="s">
        <v>55</v>
      </c>
      <c r="K299">
        <v>2</v>
      </c>
      <c r="L299" s="1" t="s">
        <v>48</v>
      </c>
      <c r="M299">
        <v>45</v>
      </c>
      <c r="N299" s="1" t="s">
        <v>23</v>
      </c>
      <c r="O299" s="1" t="s">
        <v>26</v>
      </c>
      <c r="P299">
        <v>1</v>
      </c>
      <c r="Q299" s="1" t="s">
        <v>27</v>
      </c>
      <c r="R299">
        <v>1</v>
      </c>
      <c r="S299" s="1" t="s">
        <v>23</v>
      </c>
      <c r="T299" s="1" t="s">
        <v>60</v>
      </c>
      <c r="U299" s="1" t="s">
        <v>29</v>
      </c>
    </row>
    <row r="300" spans="1:21" x14ac:dyDescent="0.3">
      <c r="A300" s="1" t="s">
        <v>17</v>
      </c>
      <c r="B300">
        <v>18</v>
      </c>
      <c r="C300" s="1" t="s">
        <v>31</v>
      </c>
      <c r="D300" s="1" t="s">
        <v>53</v>
      </c>
      <c r="E300">
        <v>2515</v>
      </c>
      <c r="F300" s="1" t="s">
        <v>32</v>
      </c>
      <c r="G300" s="1" t="s">
        <v>21</v>
      </c>
      <c r="H300">
        <v>3</v>
      </c>
      <c r="I300" s="1" t="s">
        <v>39</v>
      </c>
      <c r="J300" s="1" t="s">
        <v>23</v>
      </c>
      <c r="K300">
        <v>4</v>
      </c>
      <c r="L300" s="1" t="s">
        <v>24</v>
      </c>
      <c r="M300">
        <v>43</v>
      </c>
      <c r="N300" s="1" t="s">
        <v>23</v>
      </c>
      <c r="O300" s="1" t="s">
        <v>26</v>
      </c>
      <c r="P300">
        <v>1</v>
      </c>
      <c r="Q300" s="1" t="s">
        <v>41</v>
      </c>
      <c r="R300">
        <v>1</v>
      </c>
      <c r="S300" s="1" t="s">
        <v>28</v>
      </c>
      <c r="T300" s="1" t="s">
        <v>28</v>
      </c>
      <c r="U300" s="1" t="s">
        <v>29</v>
      </c>
    </row>
    <row r="301" spans="1:21" x14ac:dyDescent="0.3">
      <c r="A301" s="1" t="s">
        <v>30</v>
      </c>
      <c r="B301">
        <v>21</v>
      </c>
      <c r="C301" s="1" t="s">
        <v>18</v>
      </c>
      <c r="D301" s="1" t="s">
        <v>53</v>
      </c>
      <c r="E301">
        <v>2745</v>
      </c>
      <c r="F301" s="1" t="s">
        <v>20</v>
      </c>
      <c r="G301" s="1" t="s">
        <v>49</v>
      </c>
      <c r="H301">
        <v>3</v>
      </c>
      <c r="I301" s="1" t="s">
        <v>39</v>
      </c>
      <c r="J301" s="1" t="s">
        <v>23</v>
      </c>
      <c r="K301">
        <v>2</v>
      </c>
      <c r="L301" s="1" t="s">
        <v>40</v>
      </c>
      <c r="M301">
        <v>32</v>
      </c>
      <c r="N301" s="1" t="s">
        <v>23</v>
      </c>
      <c r="O301" s="1" t="s">
        <v>26</v>
      </c>
      <c r="P301">
        <v>2</v>
      </c>
      <c r="Q301" s="1" t="s">
        <v>41</v>
      </c>
      <c r="R301">
        <v>1</v>
      </c>
      <c r="S301" s="1" t="s">
        <v>28</v>
      </c>
      <c r="T301" s="1" t="s">
        <v>28</v>
      </c>
      <c r="U301" s="1" t="s">
        <v>29</v>
      </c>
    </row>
    <row r="302" spans="1:21" x14ac:dyDescent="0.3">
      <c r="A302" s="1" t="s">
        <v>17</v>
      </c>
      <c r="B302">
        <v>6</v>
      </c>
      <c r="C302" s="1" t="s">
        <v>31</v>
      </c>
      <c r="D302" s="1" t="s">
        <v>19</v>
      </c>
      <c r="E302">
        <v>672</v>
      </c>
      <c r="F302" s="1" t="s">
        <v>32</v>
      </c>
      <c r="G302" s="1" t="s">
        <v>54</v>
      </c>
      <c r="H302">
        <v>1</v>
      </c>
      <c r="I302" s="1" t="s">
        <v>22</v>
      </c>
      <c r="J302" s="1" t="s">
        <v>23</v>
      </c>
      <c r="K302">
        <v>4</v>
      </c>
      <c r="L302" s="1" t="s">
        <v>24</v>
      </c>
      <c r="M302">
        <v>54</v>
      </c>
      <c r="N302" s="1" t="s">
        <v>23</v>
      </c>
      <c r="O302" s="1" t="s">
        <v>26</v>
      </c>
      <c r="P302">
        <v>1</v>
      </c>
      <c r="Q302" s="1" t="s">
        <v>62</v>
      </c>
      <c r="R302">
        <v>1</v>
      </c>
      <c r="S302" s="1" t="s">
        <v>28</v>
      </c>
      <c r="T302" s="1" t="s">
        <v>28</v>
      </c>
      <c r="U302" s="1" t="s">
        <v>29</v>
      </c>
    </row>
    <row r="303" spans="1:21" x14ac:dyDescent="0.3">
      <c r="A303" s="1" t="s">
        <v>30</v>
      </c>
      <c r="B303">
        <v>36</v>
      </c>
      <c r="C303" s="1" t="s">
        <v>52</v>
      </c>
      <c r="D303" s="1" t="s">
        <v>36</v>
      </c>
      <c r="E303">
        <v>3804</v>
      </c>
      <c r="F303" s="1" t="s">
        <v>32</v>
      </c>
      <c r="G303" s="1" t="s">
        <v>21</v>
      </c>
      <c r="H303">
        <v>4</v>
      </c>
      <c r="I303" s="1" t="s">
        <v>22</v>
      </c>
      <c r="J303" s="1" t="s">
        <v>23</v>
      </c>
      <c r="K303">
        <v>1</v>
      </c>
      <c r="L303" s="1" t="s">
        <v>40</v>
      </c>
      <c r="M303">
        <v>42</v>
      </c>
      <c r="N303" s="1" t="s">
        <v>23</v>
      </c>
      <c r="O303" s="1" t="s">
        <v>26</v>
      </c>
      <c r="P303">
        <v>1</v>
      </c>
      <c r="Q303" s="1" t="s">
        <v>41</v>
      </c>
      <c r="R303">
        <v>1</v>
      </c>
      <c r="S303" s="1" t="s">
        <v>28</v>
      </c>
      <c r="T303" s="1" t="s">
        <v>28</v>
      </c>
      <c r="U303" s="1" t="s">
        <v>56</v>
      </c>
    </row>
    <row r="304" spans="1:21" x14ac:dyDescent="0.3">
      <c r="A304" s="1" t="s">
        <v>50</v>
      </c>
      <c r="B304">
        <v>24</v>
      </c>
      <c r="C304" s="1" t="s">
        <v>18</v>
      </c>
      <c r="D304" s="1" t="s">
        <v>19</v>
      </c>
      <c r="E304">
        <v>1344</v>
      </c>
      <c r="F304" s="1" t="s">
        <v>47</v>
      </c>
      <c r="G304" s="1" t="s">
        <v>49</v>
      </c>
      <c r="H304">
        <v>4</v>
      </c>
      <c r="I304" s="1" t="s">
        <v>39</v>
      </c>
      <c r="J304" s="1" t="s">
        <v>23</v>
      </c>
      <c r="K304">
        <v>2</v>
      </c>
      <c r="L304" s="1" t="s">
        <v>24</v>
      </c>
      <c r="M304">
        <v>37</v>
      </c>
      <c r="N304" s="1" t="s">
        <v>25</v>
      </c>
      <c r="O304" s="1" t="s">
        <v>26</v>
      </c>
      <c r="P304">
        <v>2</v>
      </c>
      <c r="Q304" s="1" t="s">
        <v>27</v>
      </c>
      <c r="R304">
        <v>2</v>
      </c>
      <c r="S304" s="1" t="s">
        <v>23</v>
      </c>
      <c r="T304" s="1" t="s">
        <v>28</v>
      </c>
      <c r="U304" s="1" t="s">
        <v>56</v>
      </c>
    </row>
    <row r="305" spans="1:21" x14ac:dyDescent="0.3">
      <c r="A305" s="1" t="s">
        <v>35</v>
      </c>
      <c r="B305">
        <v>10</v>
      </c>
      <c r="C305" s="1" t="s">
        <v>18</v>
      </c>
      <c r="D305" s="1" t="s">
        <v>19</v>
      </c>
      <c r="E305">
        <v>1038</v>
      </c>
      <c r="F305" s="1" t="s">
        <v>32</v>
      </c>
      <c r="G305" s="1" t="s">
        <v>49</v>
      </c>
      <c r="H305">
        <v>4</v>
      </c>
      <c r="I305" s="1" t="s">
        <v>39</v>
      </c>
      <c r="J305" s="1" t="s">
        <v>55</v>
      </c>
      <c r="K305">
        <v>3</v>
      </c>
      <c r="L305" s="1" t="s">
        <v>48</v>
      </c>
      <c r="M305">
        <v>49</v>
      </c>
      <c r="N305" s="1" t="s">
        <v>23</v>
      </c>
      <c r="O305" s="1" t="s">
        <v>26</v>
      </c>
      <c r="P305">
        <v>2</v>
      </c>
      <c r="Q305" s="1" t="s">
        <v>41</v>
      </c>
      <c r="R305">
        <v>1</v>
      </c>
      <c r="S305" s="1" t="s">
        <v>28</v>
      </c>
      <c r="T305" s="1" t="s">
        <v>28</v>
      </c>
      <c r="U305" s="1" t="s">
        <v>29</v>
      </c>
    </row>
    <row r="306" spans="1:21" x14ac:dyDescent="0.3">
      <c r="A306" s="1" t="s">
        <v>17</v>
      </c>
      <c r="B306">
        <v>48</v>
      </c>
      <c r="C306" s="1" t="s">
        <v>18</v>
      </c>
      <c r="D306" s="1" t="s">
        <v>19</v>
      </c>
      <c r="E306">
        <v>10127</v>
      </c>
      <c r="F306" s="1" t="s">
        <v>37</v>
      </c>
      <c r="G306" s="1" t="s">
        <v>21</v>
      </c>
      <c r="H306">
        <v>2</v>
      </c>
      <c r="I306" s="1" t="s">
        <v>39</v>
      </c>
      <c r="J306" s="1" t="s">
        <v>23</v>
      </c>
      <c r="K306">
        <v>2</v>
      </c>
      <c r="L306" s="1" t="s">
        <v>65</v>
      </c>
      <c r="M306">
        <v>44</v>
      </c>
      <c r="N306" s="1" t="s">
        <v>25</v>
      </c>
      <c r="O306" s="1" t="s">
        <v>66</v>
      </c>
      <c r="P306">
        <v>1</v>
      </c>
      <c r="Q306" s="1" t="s">
        <v>41</v>
      </c>
      <c r="R306">
        <v>1</v>
      </c>
      <c r="S306" s="1" t="s">
        <v>23</v>
      </c>
      <c r="T306" s="1" t="s">
        <v>28</v>
      </c>
      <c r="U306" s="1" t="s">
        <v>56</v>
      </c>
    </row>
    <row r="307" spans="1:21" x14ac:dyDescent="0.3">
      <c r="A307" s="1" t="s">
        <v>17</v>
      </c>
      <c r="B307">
        <v>6</v>
      </c>
      <c r="C307" s="1" t="s">
        <v>31</v>
      </c>
      <c r="D307" s="1" t="s">
        <v>53</v>
      </c>
      <c r="E307">
        <v>1543</v>
      </c>
      <c r="F307" s="1" t="s">
        <v>20</v>
      </c>
      <c r="G307" s="1" t="s">
        <v>21</v>
      </c>
      <c r="H307">
        <v>4</v>
      </c>
      <c r="I307" s="1" t="s">
        <v>64</v>
      </c>
      <c r="J307" s="1" t="s">
        <v>23</v>
      </c>
      <c r="K307">
        <v>2</v>
      </c>
      <c r="L307" s="1" t="s">
        <v>24</v>
      </c>
      <c r="M307">
        <v>33</v>
      </c>
      <c r="N307" s="1" t="s">
        <v>23</v>
      </c>
      <c r="O307" s="1" t="s">
        <v>26</v>
      </c>
      <c r="P307">
        <v>1</v>
      </c>
      <c r="Q307" s="1" t="s">
        <v>41</v>
      </c>
      <c r="R307">
        <v>1</v>
      </c>
      <c r="S307" s="1" t="s">
        <v>23</v>
      </c>
      <c r="T307" s="1" t="s">
        <v>28</v>
      </c>
      <c r="U307" s="1" t="s">
        <v>29</v>
      </c>
    </row>
    <row r="308" spans="1:21" x14ac:dyDescent="0.3">
      <c r="A308" s="1" t="s">
        <v>17</v>
      </c>
      <c r="B308">
        <v>30</v>
      </c>
      <c r="C308" s="1" t="s">
        <v>31</v>
      </c>
      <c r="D308" s="1" t="s">
        <v>69</v>
      </c>
      <c r="E308">
        <v>4811</v>
      </c>
      <c r="F308" s="1" t="s">
        <v>47</v>
      </c>
      <c r="G308" s="1" t="s">
        <v>49</v>
      </c>
      <c r="H308">
        <v>2</v>
      </c>
      <c r="I308" s="1" t="s">
        <v>22</v>
      </c>
      <c r="J308" s="1" t="s">
        <v>23</v>
      </c>
      <c r="K308">
        <v>4</v>
      </c>
      <c r="L308" s="1" t="s">
        <v>48</v>
      </c>
      <c r="M308">
        <v>24</v>
      </c>
      <c r="N308" s="1" t="s">
        <v>67</v>
      </c>
      <c r="O308" s="1" t="s">
        <v>34</v>
      </c>
      <c r="P308">
        <v>1</v>
      </c>
      <c r="Q308" s="1" t="s">
        <v>27</v>
      </c>
      <c r="R308">
        <v>1</v>
      </c>
      <c r="S308" s="1" t="s">
        <v>23</v>
      </c>
      <c r="T308" s="1" t="s">
        <v>28</v>
      </c>
      <c r="U308" s="1" t="s">
        <v>29</v>
      </c>
    </row>
    <row r="309" spans="1:21" x14ac:dyDescent="0.3">
      <c r="A309" s="1" t="s">
        <v>35</v>
      </c>
      <c r="B309">
        <v>12</v>
      </c>
      <c r="C309" s="1" t="s">
        <v>31</v>
      </c>
      <c r="D309" s="1" t="s">
        <v>36</v>
      </c>
      <c r="E309">
        <v>727</v>
      </c>
      <c r="F309" s="1" t="s">
        <v>46</v>
      </c>
      <c r="G309" s="1" t="s">
        <v>45</v>
      </c>
      <c r="H309">
        <v>4</v>
      </c>
      <c r="I309" s="1" t="s">
        <v>33</v>
      </c>
      <c r="J309" s="1" t="s">
        <v>23</v>
      </c>
      <c r="K309">
        <v>3</v>
      </c>
      <c r="L309" s="1" t="s">
        <v>65</v>
      </c>
      <c r="M309">
        <v>33</v>
      </c>
      <c r="N309" s="1" t="s">
        <v>23</v>
      </c>
      <c r="O309" s="1" t="s">
        <v>26</v>
      </c>
      <c r="P309">
        <v>1</v>
      </c>
      <c r="Q309" s="1" t="s">
        <v>27</v>
      </c>
      <c r="R309">
        <v>1</v>
      </c>
      <c r="S309" s="1" t="s">
        <v>28</v>
      </c>
      <c r="T309" s="1" t="s">
        <v>28</v>
      </c>
      <c r="U309" s="1" t="s">
        <v>56</v>
      </c>
    </row>
    <row r="310" spans="1:21" x14ac:dyDescent="0.3">
      <c r="A310" s="1" t="s">
        <v>30</v>
      </c>
      <c r="B310">
        <v>8</v>
      </c>
      <c r="C310" s="1" t="s">
        <v>31</v>
      </c>
      <c r="D310" s="1" t="s">
        <v>53</v>
      </c>
      <c r="E310">
        <v>1237</v>
      </c>
      <c r="F310" s="1" t="s">
        <v>32</v>
      </c>
      <c r="G310" s="1" t="s">
        <v>21</v>
      </c>
      <c r="H310">
        <v>3</v>
      </c>
      <c r="I310" s="1" t="s">
        <v>22</v>
      </c>
      <c r="J310" s="1" t="s">
        <v>23</v>
      </c>
      <c r="K310">
        <v>4</v>
      </c>
      <c r="L310" s="1" t="s">
        <v>24</v>
      </c>
      <c r="M310">
        <v>24</v>
      </c>
      <c r="N310" s="1" t="s">
        <v>23</v>
      </c>
      <c r="O310" s="1" t="s">
        <v>26</v>
      </c>
      <c r="P310">
        <v>1</v>
      </c>
      <c r="Q310" s="1" t="s">
        <v>41</v>
      </c>
      <c r="R310">
        <v>1</v>
      </c>
      <c r="S310" s="1" t="s">
        <v>23</v>
      </c>
      <c r="T310" s="1" t="s">
        <v>28</v>
      </c>
      <c r="U310" s="1" t="s">
        <v>56</v>
      </c>
    </row>
    <row r="311" spans="1:21" x14ac:dyDescent="0.3">
      <c r="A311" s="1" t="s">
        <v>30</v>
      </c>
      <c r="B311">
        <v>9</v>
      </c>
      <c r="C311" s="1" t="s">
        <v>31</v>
      </c>
      <c r="D311" s="1" t="s">
        <v>19</v>
      </c>
      <c r="E311">
        <v>276</v>
      </c>
      <c r="F311" s="1" t="s">
        <v>32</v>
      </c>
      <c r="G311" s="1" t="s">
        <v>21</v>
      </c>
      <c r="H311">
        <v>4</v>
      </c>
      <c r="I311" s="1" t="s">
        <v>33</v>
      </c>
      <c r="J311" s="1" t="s">
        <v>23</v>
      </c>
      <c r="K311">
        <v>4</v>
      </c>
      <c r="L311" s="1" t="s">
        <v>24</v>
      </c>
      <c r="M311">
        <v>22</v>
      </c>
      <c r="N311" s="1" t="s">
        <v>23</v>
      </c>
      <c r="O311" s="1" t="s">
        <v>34</v>
      </c>
      <c r="P311">
        <v>1</v>
      </c>
      <c r="Q311" s="1" t="s">
        <v>27</v>
      </c>
      <c r="R311">
        <v>1</v>
      </c>
      <c r="S311" s="1" t="s">
        <v>23</v>
      </c>
      <c r="T311" s="1" t="s">
        <v>28</v>
      </c>
      <c r="U311" s="1" t="s">
        <v>29</v>
      </c>
    </row>
    <row r="312" spans="1:21" x14ac:dyDescent="0.3">
      <c r="A312" s="1" t="s">
        <v>30</v>
      </c>
      <c r="B312">
        <v>48</v>
      </c>
      <c r="C312" s="1" t="s">
        <v>31</v>
      </c>
      <c r="D312" s="1" t="s">
        <v>68</v>
      </c>
      <c r="E312">
        <v>5381</v>
      </c>
      <c r="F312" s="1" t="s">
        <v>47</v>
      </c>
      <c r="G312" s="1" t="s">
        <v>54</v>
      </c>
      <c r="H312">
        <v>3</v>
      </c>
      <c r="I312" s="1" t="s">
        <v>39</v>
      </c>
      <c r="J312" s="1" t="s">
        <v>23</v>
      </c>
      <c r="K312">
        <v>4</v>
      </c>
      <c r="L312" s="1" t="s">
        <v>65</v>
      </c>
      <c r="M312">
        <v>40</v>
      </c>
      <c r="N312" s="1" t="s">
        <v>25</v>
      </c>
      <c r="O312" s="1" t="s">
        <v>66</v>
      </c>
      <c r="P312">
        <v>1</v>
      </c>
      <c r="Q312" s="1" t="s">
        <v>62</v>
      </c>
      <c r="R312">
        <v>1</v>
      </c>
      <c r="S312" s="1" t="s">
        <v>28</v>
      </c>
      <c r="T312" s="1" t="s">
        <v>28</v>
      </c>
      <c r="U312" s="1" t="s">
        <v>29</v>
      </c>
    </row>
    <row r="313" spans="1:21" x14ac:dyDescent="0.3">
      <c r="A313" s="1" t="s">
        <v>17</v>
      </c>
      <c r="B313">
        <v>24</v>
      </c>
      <c r="C313" s="1" t="s">
        <v>31</v>
      </c>
      <c r="D313" s="1" t="s">
        <v>53</v>
      </c>
      <c r="E313">
        <v>5511</v>
      </c>
      <c r="F313" s="1" t="s">
        <v>46</v>
      </c>
      <c r="G313" s="1" t="s">
        <v>21</v>
      </c>
      <c r="H313">
        <v>4</v>
      </c>
      <c r="I313" s="1" t="s">
        <v>39</v>
      </c>
      <c r="J313" s="1" t="s">
        <v>23</v>
      </c>
      <c r="K313">
        <v>1</v>
      </c>
      <c r="L313" s="1" t="s">
        <v>40</v>
      </c>
      <c r="M313">
        <v>25</v>
      </c>
      <c r="N313" s="1" t="s">
        <v>67</v>
      </c>
      <c r="O313" s="1" t="s">
        <v>26</v>
      </c>
      <c r="P313">
        <v>1</v>
      </c>
      <c r="Q313" s="1" t="s">
        <v>41</v>
      </c>
      <c r="R313">
        <v>1</v>
      </c>
      <c r="S313" s="1" t="s">
        <v>23</v>
      </c>
      <c r="T313" s="1" t="s">
        <v>28</v>
      </c>
      <c r="U313" s="1" t="s">
        <v>29</v>
      </c>
    </row>
    <row r="314" spans="1:21" x14ac:dyDescent="0.3">
      <c r="A314" s="1" t="s">
        <v>50</v>
      </c>
      <c r="B314">
        <v>24</v>
      </c>
      <c r="C314" s="1" t="s">
        <v>31</v>
      </c>
      <c r="D314" s="1" t="s">
        <v>53</v>
      </c>
      <c r="E314">
        <v>3749</v>
      </c>
      <c r="F314" s="1" t="s">
        <v>32</v>
      </c>
      <c r="G314" s="1" t="s">
        <v>45</v>
      </c>
      <c r="H314">
        <v>2</v>
      </c>
      <c r="I314" s="1" t="s">
        <v>22</v>
      </c>
      <c r="J314" s="1" t="s">
        <v>23</v>
      </c>
      <c r="K314">
        <v>4</v>
      </c>
      <c r="L314" s="1" t="s">
        <v>40</v>
      </c>
      <c r="M314">
        <v>26</v>
      </c>
      <c r="N314" s="1" t="s">
        <v>23</v>
      </c>
      <c r="O314" s="1" t="s">
        <v>26</v>
      </c>
      <c r="P314">
        <v>1</v>
      </c>
      <c r="Q314" s="1" t="s">
        <v>41</v>
      </c>
      <c r="R314">
        <v>1</v>
      </c>
      <c r="S314" s="1" t="s">
        <v>23</v>
      </c>
      <c r="T314" s="1" t="s">
        <v>28</v>
      </c>
      <c r="U314" s="1" t="s">
        <v>29</v>
      </c>
    </row>
    <row r="315" spans="1:21" x14ac:dyDescent="0.3">
      <c r="A315" s="1" t="s">
        <v>30</v>
      </c>
      <c r="B315">
        <v>12</v>
      </c>
      <c r="C315" s="1" t="s">
        <v>31</v>
      </c>
      <c r="D315" s="1" t="s">
        <v>19</v>
      </c>
      <c r="E315">
        <v>685</v>
      </c>
      <c r="F315" s="1" t="s">
        <v>32</v>
      </c>
      <c r="G315" s="1" t="s">
        <v>49</v>
      </c>
      <c r="H315">
        <v>2</v>
      </c>
      <c r="I315" s="1" t="s">
        <v>33</v>
      </c>
      <c r="J315" s="1" t="s">
        <v>23</v>
      </c>
      <c r="K315">
        <v>3</v>
      </c>
      <c r="L315" s="1" t="s">
        <v>40</v>
      </c>
      <c r="M315">
        <v>25</v>
      </c>
      <c r="N315" s="1" t="s">
        <v>25</v>
      </c>
      <c r="O315" s="1" t="s">
        <v>26</v>
      </c>
      <c r="P315">
        <v>1</v>
      </c>
      <c r="Q315" s="1" t="s">
        <v>27</v>
      </c>
      <c r="R315">
        <v>1</v>
      </c>
      <c r="S315" s="1" t="s">
        <v>23</v>
      </c>
      <c r="T315" s="1" t="s">
        <v>28</v>
      </c>
      <c r="U315" s="1" t="s">
        <v>56</v>
      </c>
    </row>
    <row r="316" spans="1:21" x14ac:dyDescent="0.3">
      <c r="A316" s="1" t="s">
        <v>50</v>
      </c>
      <c r="B316">
        <v>4</v>
      </c>
      <c r="C316" s="1" t="s">
        <v>31</v>
      </c>
      <c r="D316" s="1" t="s">
        <v>19</v>
      </c>
      <c r="E316">
        <v>1494</v>
      </c>
      <c r="F316" s="1" t="s">
        <v>47</v>
      </c>
      <c r="G316" s="1" t="s">
        <v>45</v>
      </c>
      <c r="H316">
        <v>1</v>
      </c>
      <c r="I316" s="1" t="s">
        <v>39</v>
      </c>
      <c r="J316" s="1" t="s">
        <v>23</v>
      </c>
      <c r="K316">
        <v>2</v>
      </c>
      <c r="L316" s="1" t="s">
        <v>24</v>
      </c>
      <c r="M316">
        <v>29</v>
      </c>
      <c r="N316" s="1" t="s">
        <v>23</v>
      </c>
      <c r="O316" s="1" t="s">
        <v>26</v>
      </c>
      <c r="P316">
        <v>1</v>
      </c>
      <c r="Q316" s="1" t="s">
        <v>27</v>
      </c>
      <c r="R316">
        <v>2</v>
      </c>
      <c r="S316" s="1" t="s">
        <v>23</v>
      </c>
      <c r="T316" s="1" t="s">
        <v>60</v>
      </c>
      <c r="U316" s="1" t="s">
        <v>29</v>
      </c>
    </row>
    <row r="317" spans="1:21" x14ac:dyDescent="0.3">
      <c r="A317" s="1" t="s">
        <v>35</v>
      </c>
      <c r="B317">
        <v>36</v>
      </c>
      <c r="C317" s="1" t="s">
        <v>42</v>
      </c>
      <c r="D317" s="1" t="s">
        <v>53</v>
      </c>
      <c r="E317">
        <v>2746</v>
      </c>
      <c r="F317" s="1" t="s">
        <v>32</v>
      </c>
      <c r="G317" s="1" t="s">
        <v>38</v>
      </c>
      <c r="H317">
        <v>4</v>
      </c>
      <c r="I317" s="1" t="s">
        <v>39</v>
      </c>
      <c r="J317" s="1" t="s">
        <v>23</v>
      </c>
      <c r="K317">
        <v>4</v>
      </c>
      <c r="L317" s="1" t="s">
        <v>40</v>
      </c>
      <c r="M317">
        <v>31</v>
      </c>
      <c r="N317" s="1" t="s">
        <v>25</v>
      </c>
      <c r="O317" s="1" t="s">
        <v>26</v>
      </c>
      <c r="P317">
        <v>1</v>
      </c>
      <c r="Q317" s="1" t="s">
        <v>41</v>
      </c>
      <c r="R317">
        <v>1</v>
      </c>
      <c r="S317" s="1" t="s">
        <v>23</v>
      </c>
      <c r="T317" s="1" t="s">
        <v>28</v>
      </c>
      <c r="U317" s="1" t="s">
        <v>56</v>
      </c>
    </row>
    <row r="318" spans="1:21" x14ac:dyDescent="0.3">
      <c r="A318" s="1" t="s">
        <v>35</v>
      </c>
      <c r="B318">
        <v>12</v>
      </c>
      <c r="C318" s="1" t="s">
        <v>31</v>
      </c>
      <c r="D318" s="1" t="s">
        <v>53</v>
      </c>
      <c r="E318">
        <v>708</v>
      </c>
      <c r="F318" s="1" t="s">
        <v>32</v>
      </c>
      <c r="G318" s="1" t="s">
        <v>21</v>
      </c>
      <c r="H318">
        <v>2</v>
      </c>
      <c r="I318" s="1" t="s">
        <v>39</v>
      </c>
      <c r="J318" s="1" t="s">
        <v>58</v>
      </c>
      <c r="K318">
        <v>3</v>
      </c>
      <c r="L318" s="1" t="s">
        <v>48</v>
      </c>
      <c r="M318">
        <v>38</v>
      </c>
      <c r="N318" s="1" t="s">
        <v>23</v>
      </c>
      <c r="O318" s="1" t="s">
        <v>26</v>
      </c>
      <c r="P318">
        <v>1</v>
      </c>
      <c r="Q318" s="1" t="s">
        <v>27</v>
      </c>
      <c r="R318">
        <v>2</v>
      </c>
      <c r="S318" s="1" t="s">
        <v>23</v>
      </c>
      <c r="T318" s="1" t="s">
        <v>28</v>
      </c>
      <c r="U318" s="1" t="s">
        <v>29</v>
      </c>
    </row>
    <row r="319" spans="1:21" x14ac:dyDescent="0.3">
      <c r="A319" s="1" t="s">
        <v>30</v>
      </c>
      <c r="B319">
        <v>24</v>
      </c>
      <c r="C319" s="1" t="s">
        <v>31</v>
      </c>
      <c r="D319" s="1" t="s">
        <v>53</v>
      </c>
      <c r="E319">
        <v>4351</v>
      </c>
      <c r="F319" s="1" t="s">
        <v>47</v>
      </c>
      <c r="G319" s="1" t="s">
        <v>21</v>
      </c>
      <c r="H319">
        <v>1</v>
      </c>
      <c r="I319" s="1" t="s">
        <v>22</v>
      </c>
      <c r="J319" s="1" t="s">
        <v>23</v>
      </c>
      <c r="K319">
        <v>4</v>
      </c>
      <c r="L319" s="1" t="s">
        <v>48</v>
      </c>
      <c r="M319">
        <v>48</v>
      </c>
      <c r="N319" s="1" t="s">
        <v>23</v>
      </c>
      <c r="O319" s="1" t="s">
        <v>26</v>
      </c>
      <c r="P319">
        <v>1</v>
      </c>
      <c r="Q319" s="1" t="s">
        <v>27</v>
      </c>
      <c r="R319">
        <v>1</v>
      </c>
      <c r="S319" s="1" t="s">
        <v>28</v>
      </c>
      <c r="T319" s="1" t="s">
        <v>28</v>
      </c>
      <c r="U319" s="1" t="s">
        <v>29</v>
      </c>
    </row>
    <row r="320" spans="1:21" x14ac:dyDescent="0.3">
      <c r="A320" s="1" t="s">
        <v>17</v>
      </c>
      <c r="B320">
        <v>12</v>
      </c>
      <c r="C320" s="1" t="s">
        <v>18</v>
      </c>
      <c r="D320" s="1" t="s">
        <v>51</v>
      </c>
      <c r="E320">
        <v>701</v>
      </c>
      <c r="F320" s="1" t="s">
        <v>32</v>
      </c>
      <c r="G320" s="1" t="s">
        <v>21</v>
      </c>
      <c r="H320">
        <v>4</v>
      </c>
      <c r="I320" s="1" t="s">
        <v>39</v>
      </c>
      <c r="J320" s="1" t="s">
        <v>23</v>
      </c>
      <c r="K320">
        <v>2</v>
      </c>
      <c r="L320" s="1" t="s">
        <v>40</v>
      </c>
      <c r="M320">
        <v>32</v>
      </c>
      <c r="N320" s="1" t="s">
        <v>23</v>
      </c>
      <c r="O320" s="1" t="s">
        <v>26</v>
      </c>
      <c r="P320">
        <v>2</v>
      </c>
      <c r="Q320" s="1" t="s">
        <v>41</v>
      </c>
      <c r="R320">
        <v>1</v>
      </c>
      <c r="S320" s="1" t="s">
        <v>23</v>
      </c>
      <c r="T320" s="1" t="s">
        <v>28</v>
      </c>
      <c r="U320" s="1" t="s">
        <v>29</v>
      </c>
    </row>
    <row r="321" spans="1:21" x14ac:dyDescent="0.3">
      <c r="A321" s="1" t="s">
        <v>35</v>
      </c>
      <c r="B321">
        <v>15</v>
      </c>
      <c r="C321" s="1" t="s">
        <v>59</v>
      </c>
      <c r="D321" s="1" t="s">
        <v>53</v>
      </c>
      <c r="E321">
        <v>3643</v>
      </c>
      <c r="F321" s="1" t="s">
        <v>32</v>
      </c>
      <c r="G321" s="1" t="s">
        <v>38</v>
      </c>
      <c r="H321">
        <v>1</v>
      </c>
      <c r="I321" s="1" t="s">
        <v>22</v>
      </c>
      <c r="J321" s="1" t="s">
        <v>23</v>
      </c>
      <c r="K321">
        <v>4</v>
      </c>
      <c r="L321" s="1" t="s">
        <v>48</v>
      </c>
      <c r="M321">
        <v>27</v>
      </c>
      <c r="N321" s="1" t="s">
        <v>23</v>
      </c>
      <c r="O321" s="1" t="s">
        <v>26</v>
      </c>
      <c r="P321">
        <v>2</v>
      </c>
      <c r="Q321" s="1" t="s">
        <v>27</v>
      </c>
      <c r="R321">
        <v>1</v>
      </c>
      <c r="S321" s="1" t="s">
        <v>23</v>
      </c>
      <c r="T321" s="1" t="s">
        <v>28</v>
      </c>
      <c r="U321" s="1" t="s">
        <v>29</v>
      </c>
    </row>
    <row r="322" spans="1:21" x14ac:dyDescent="0.3">
      <c r="A322" s="1" t="s">
        <v>30</v>
      </c>
      <c r="B322">
        <v>30</v>
      </c>
      <c r="C322" s="1" t="s">
        <v>18</v>
      </c>
      <c r="D322" s="1" t="s">
        <v>19</v>
      </c>
      <c r="E322">
        <v>4249</v>
      </c>
      <c r="F322" s="1" t="s">
        <v>32</v>
      </c>
      <c r="G322" s="1" t="s">
        <v>54</v>
      </c>
      <c r="H322">
        <v>4</v>
      </c>
      <c r="I322" s="1" t="s">
        <v>33</v>
      </c>
      <c r="J322" s="1" t="s">
        <v>23</v>
      </c>
      <c r="K322">
        <v>2</v>
      </c>
      <c r="L322" s="1" t="s">
        <v>40</v>
      </c>
      <c r="M322">
        <v>28</v>
      </c>
      <c r="N322" s="1" t="s">
        <v>23</v>
      </c>
      <c r="O322" s="1" t="s">
        <v>26</v>
      </c>
      <c r="P322">
        <v>2</v>
      </c>
      <c r="Q322" s="1" t="s">
        <v>63</v>
      </c>
      <c r="R322">
        <v>1</v>
      </c>
      <c r="S322" s="1" t="s">
        <v>23</v>
      </c>
      <c r="T322" s="1" t="s">
        <v>28</v>
      </c>
      <c r="U322" s="1" t="s">
        <v>56</v>
      </c>
    </row>
    <row r="323" spans="1:21" x14ac:dyDescent="0.3">
      <c r="A323" s="1" t="s">
        <v>35</v>
      </c>
      <c r="B323">
        <v>24</v>
      </c>
      <c r="C323" s="1" t="s">
        <v>31</v>
      </c>
      <c r="D323" s="1" t="s">
        <v>36</v>
      </c>
      <c r="E323">
        <v>1938</v>
      </c>
      <c r="F323" s="1" t="s">
        <v>32</v>
      </c>
      <c r="G323" s="1" t="s">
        <v>45</v>
      </c>
      <c r="H323">
        <v>4</v>
      </c>
      <c r="I323" s="1" t="s">
        <v>64</v>
      </c>
      <c r="J323" s="1" t="s">
        <v>23</v>
      </c>
      <c r="K323">
        <v>3</v>
      </c>
      <c r="L323" s="1" t="s">
        <v>48</v>
      </c>
      <c r="M323">
        <v>32</v>
      </c>
      <c r="N323" s="1" t="s">
        <v>23</v>
      </c>
      <c r="O323" s="1" t="s">
        <v>26</v>
      </c>
      <c r="P323">
        <v>1</v>
      </c>
      <c r="Q323" s="1" t="s">
        <v>41</v>
      </c>
      <c r="R323">
        <v>1</v>
      </c>
      <c r="S323" s="1" t="s">
        <v>23</v>
      </c>
      <c r="T323" s="1" t="s">
        <v>28</v>
      </c>
      <c r="U323" s="1" t="s">
        <v>56</v>
      </c>
    </row>
    <row r="324" spans="1:21" x14ac:dyDescent="0.3">
      <c r="A324" s="1" t="s">
        <v>35</v>
      </c>
      <c r="B324">
        <v>24</v>
      </c>
      <c r="C324" s="1" t="s">
        <v>31</v>
      </c>
      <c r="D324" s="1" t="s">
        <v>69</v>
      </c>
      <c r="E324">
        <v>2910</v>
      </c>
      <c r="F324" s="1" t="s">
        <v>32</v>
      </c>
      <c r="G324" s="1" t="s">
        <v>49</v>
      </c>
      <c r="H324">
        <v>2</v>
      </c>
      <c r="I324" s="1" t="s">
        <v>39</v>
      </c>
      <c r="J324" s="1" t="s">
        <v>23</v>
      </c>
      <c r="K324">
        <v>1</v>
      </c>
      <c r="L324" s="1" t="s">
        <v>65</v>
      </c>
      <c r="M324">
        <v>34</v>
      </c>
      <c r="N324" s="1" t="s">
        <v>23</v>
      </c>
      <c r="O324" s="1" t="s">
        <v>66</v>
      </c>
      <c r="P324">
        <v>1</v>
      </c>
      <c r="Q324" s="1" t="s">
        <v>63</v>
      </c>
      <c r="R324">
        <v>1</v>
      </c>
      <c r="S324" s="1" t="s">
        <v>28</v>
      </c>
      <c r="T324" s="1" t="s">
        <v>28</v>
      </c>
      <c r="U324" s="1" t="s">
        <v>29</v>
      </c>
    </row>
    <row r="325" spans="1:21" x14ac:dyDescent="0.3">
      <c r="A325" s="1" t="s">
        <v>35</v>
      </c>
      <c r="B325">
        <v>18</v>
      </c>
      <c r="C325" s="1" t="s">
        <v>31</v>
      </c>
      <c r="D325" s="1" t="s">
        <v>53</v>
      </c>
      <c r="E325">
        <v>2659</v>
      </c>
      <c r="F325" s="1" t="s">
        <v>20</v>
      </c>
      <c r="G325" s="1" t="s">
        <v>21</v>
      </c>
      <c r="H325">
        <v>4</v>
      </c>
      <c r="I325" s="1" t="s">
        <v>39</v>
      </c>
      <c r="J325" s="1" t="s">
        <v>23</v>
      </c>
      <c r="K325">
        <v>2</v>
      </c>
      <c r="L325" s="1" t="s">
        <v>40</v>
      </c>
      <c r="M325">
        <v>28</v>
      </c>
      <c r="N325" s="1" t="s">
        <v>23</v>
      </c>
      <c r="O325" s="1" t="s">
        <v>26</v>
      </c>
      <c r="P325">
        <v>1</v>
      </c>
      <c r="Q325" s="1" t="s">
        <v>41</v>
      </c>
      <c r="R325">
        <v>1</v>
      </c>
      <c r="S325" s="1" t="s">
        <v>23</v>
      </c>
      <c r="T325" s="1" t="s">
        <v>28</v>
      </c>
      <c r="U325" s="1" t="s">
        <v>29</v>
      </c>
    </row>
    <row r="326" spans="1:21" x14ac:dyDescent="0.3">
      <c r="A326" s="1" t="s">
        <v>17</v>
      </c>
      <c r="B326">
        <v>18</v>
      </c>
      <c r="C326" s="1" t="s">
        <v>18</v>
      </c>
      <c r="D326" s="1" t="s">
        <v>19</v>
      </c>
      <c r="E326">
        <v>1028</v>
      </c>
      <c r="F326" s="1" t="s">
        <v>32</v>
      </c>
      <c r="G326" s="1" t="s">
        <v>21</v>
      </c>
      <c r="H326">
        <v>4</v>
      </c>
      <c r="I326" s="1" t="s">
        <v>22</v>
      </c>
      <c r="J326" s="1" t="s">
        <v>23</v>
      </c>
      <c r="K326">
        <v>3</v>
      </c>
      <c r="L326" s="1" t="s">
        <v>24</v>
      </c>
      <c r="M326">
        <v>36</v>
      </c>
      <c r="N326" s="1" t="s">
        <v>23</v>
      </c>
      <c r="O326" s="1" t="s">
        <v>26</v>
      </c>
      <c r="P326">
        <v>2</v>
      </c>
      <c r="Q326" s="1" t="s">
        <v>41</v>
      </c>
      <c r="R326">
        <v>1</v>
      </c>
      <c r="S326" s="1" t="s">
        <v>23</v>
      </c>
      <c r="T326" s="1" t="s">
        <v>28</v>
      </c>
      <c r="U326" s="1" t="s">
        <v>29</v>
      </c>
    </row>
    <row r="327" spans="1:21" x14ac:dyDescent="0.3">
      <c r="A327" s="1" t="s">
        <v>35</v>
      </c>
      <c r="B327">
        <v>8</v>
      </c>
      <c r="C327" s="1" t="s">
        <v>18</v>
      </c>
      <c r="D327" s="1" t="s">
        <v>19</v>
      </c>
      <c r="E327">
        <v>3398</v>
      </c>
      <c r="F327" s="1" t="s">
        <v>32</v>
      </c>
      <c r="G327" s="1" t="s">
        <v>49</v>
      </c>
      <c r="H327">
        <v>1</v>
      </c>
      <c r="I327" s="1" t="s">
        <v>39</v>
      </c>
      <c r="J327" s="1" t="s">
        <v>23</v>
      </c>
      <c r="K327">
        <v>4</v>
      </c>
      <c r="L327" s="1" t="s">
        <v>24</v>
      </c>
      <c r="M327">
        <v>39</v>
      </c>
      <c r="N327" s="1" t="s">
        <v>23</v>
      </c>
      <c r="O327" s="1" t="s">
        <v>26</v>
      </c>
      <c r="P327">
        <v>2</v>
      </c>
      <c r="Q327" s="1" t="s">
        <v>27</v>
      </c>
      <c r="R327">
        <v>1</v>
      </c>
      <c r="S327" s="1" t="s">
        <v>23</v>
      </c>
      <c r="T327" s="1" t="s">
        <v>60</v>
      </c>
      <c r="U327" s="1" t="s">
        <v>29</v>
      </c>
    </row>
    <row r="328" spans="1:21" x14ac:dyDescent="0.3">
      <c r="A328" s="1" t="s">
        <v>17</v>
      </c>
      <c r="B328">
        <v>12</v>
      </c>
      <c r="C328" s="1" t="s">
        <v>18</v>
      </c>
      <c r="D328" s="1" t="s">
        <v>53</v>
      </c>
      <c r="E328">
        <v>5801</v>
      </c>
      <c r="F328" s="1" t="s">
        <v>47</v>
      </c>
      <c r="G328" s="1" t="s">
        <v>38</v>
      </c>
      <c r="H328">
        <v>2</v>
      </c>
      <c r="I328" s="1" t="s">
        <v>39</v>
      </c>
      <c r="J328" s="1" t="s">
        <v>23</v>
      </c>
      <c r="K328">
        <v>4</v>
      </c>
      <c r="L328" s="1" t="s">
        <v>48</v>
      </c>
      <c r="M328">
        <v>49</v>
      </c>
      <c r="N328" s="1" t="s">
        <v>23</v>
      </c>
      <c r="O328" s="1" t="s">
        <v>34</v>
      </c>
      <c r="P328">
        <v>1</v>
      </c>
      <c r="Q328" s="1" t="s">
        <v>41</v>
      </c>
      <c r="R328">
        <v>1</v>
      </c>
      <c r="S328" s="1" t="s">
        <v>28</v>
      </c>
      <c r="T328" s="1" t="s">
        <v>28</v>
      </c>
      <c r="U328" s="1" t="s">
        <v>29</v>
      </c>
    </row>
    <row r="329" spans="1:21" x14ac:dyDescent="0.3">
      <c r="A329" s="1" t="s">
        <v>17</v>
      </c>
      <c r="B329">
        <v>24</v>
      </c>
      <c r="C329" s="1" t="s">
        <v>31</v>
      </c>
      <c r="D329" s="1" t="s">
        <v>19</v>
      </c>
      <c r="E329">
        <v>1525</v>
      </c>
      <c r="F329" s="1" t="s">
        <v>20</v>
      </c>
      <c r="G329" s="1" t="s">
        <v>49</v>
      </c>
      <c r="H329">
        <v>4</v>
      </c>
      <c r="I329" s="1" t="s">
        <v>22</v>
      </c>
      <c r="J329" s="1" t="s">
        <v>23</v>
      </c>
      <c r="K329">
        <v>3</v>
      </c>
      <c r="L329" s="1" t="s">
        <v>40</v>
      </c>
      <c r="M329">
        <v>34</v>
      </c>
      <c r="N329" s="1" t="s">
        <v>23</v>
      </c>
      <c r="O329" s="1" t="s">
        <v>26</v>
      </c>
      <c r="P329">
        <v>1</v>
      </c>
      <c r="Q329" s="1" t="s">
        <v>41</v>
      </c>
      <c r="R329">
        <v>2</v>
      </c>
      <c r="S329" s="1" t="s">
        <v>28</v>
      </c>
      <c r="T329" s="1" t="s">
        <v>28</v>
      </c>
      <c r="U329" s="1" t="s">
        <v>29</v>
      </c>
    </row>
    <row r="330" spans="1:21" x14ac:dyDescent="0.3">
      <c r="A330" s="1" t="s">
        <v>50</v>
      </c>
      <c r="B330">
        <v>36</v>
      </c>
      <c r="C330" s="1" t="s">
        <v>31</v>
      </c>
      <c r="D330" s="1" t="s">
        <v>36</v>
      </c>
      <c r="E330">
        <v>4473</v>
      </c>
      <c r="F330" s="1" t="s">
        <v>32</v>
      </c>
      <c r="G330" s="1" t="s">
        <v>38</v>
      </c>
      <c r="H330">
        <v>4</v>
      </c>
      <c r="I330" s="1" t="s">
        <v>39</v>
      </c>
      <c r="J330" s="1" t="s">
        <v>23</v>
      </c>
      <c r="K330">
        <v>2</v>
      </c>
      <c r="L330" s="1" t="s">
        <v>40</v>
      </c>
      <c r="M330">
        <v>31</v>
      </c>
      <c r="N330" s="1" t="s">
        <v>23</v>
      </c>
      <c r="O330" s="1" t="s">
        <v>26</v>
      </c>
      <c r="P330">
        <v>1</v>
      </c>
      <c r="Q330" s="1" t="s">
        <v>41</v>
      </c>
      <c r="R330">
        <v>1</v>
      </c>
      <c r="S330" s="1" t="s">
        <v>23</v>
      </c>
      <c r="T330" s="1" t="s">
        <v>28</v>
      </c>
      <c r="U330" s="1" t="s">
        <v>29</v>
      </c>
    </row>
    <row r="331" spans="1:21" x14ac:dyDescent="0.3">
      <c r="A331" s="1" t="s">
        <v>30</v>
      </c>
      <c r="B331">
        <v>6</v>
      </c>
      <c r="C331" s="1" t="s">
        <v>31</v>
      </c>
      <c r="D331" s="1" t="s">
        <v>36</v>
      </c>
      <c r="E331">
        <v>1068</v>
      </c>
      <c r="F331" s="1" t="s">
        <v>32</v>
      </c>
      <c r="G331" s="1" t="s">
        <v>38</v>
      </c>
      <c r="H331">
        <v>4</v>
      </c>
      <c r="I331" s="1" t="s">
        <v>39</v>
      </c>
      <c r="J331" s="1" t="s">
        <v>23</v>
      </c>
      <c r="K331">
        <v>4</v>
      </c>
      <c r="L331" s="1" t="s">
        <v>40</v>
      </c>
      <c r="M331">
        <v>28</v>
      </c>
      <c r="N331" s="1" t="s">
        <v>23</v>
      </c>
      <c r="O331" s="1" t="s">
        <v>26</v>
      </c>
      <c r="P331">
        <v>1</v>
      </c>
      <c r="Q331" s="1" t="s">
        <v>41</v>
      </c>
      <c r="R331">
        <v>2</v>
      </c>
      <c r="S331" s="1" t="s">
        <v>23</v>
      </c>
      <c r="T331" s="1" t="s">
        <v>28</v>
      </c>
      <c r="U331" s="1" t="s">
        <v>29</v>
      </c>
    </row>
    <row r="332" spans="1:21" x14ac:dyDescent="0.3">
      <c r="A332" s="1" t="s">
        <v>35</v>
      </c>
      <c r="B332">
        <v>24</v>
      </c>
      <c r="C332" s="1" t="s">
        <v>18</v>
      </c>
      <c r="D332" s="1" t="s">
        <v>69</v>
      </c>
      <c r="E332">
        <v>6615</v>
      </c>
      <c r="F332" s="1" t="s">
        <v>32</v>
      </c>
      <c r="G332" s="1" t="s">
        <v>54</v>
      </c>
      <c r="H332">
        <v>2</v>
      </c>
      <c r="I332" s="1" t="s">
        <v>39</v>
      </c>
      <c r="J332" s="1" t="s">
        <v>23</v>
      </c>
      <c r="K332">
        <v>4</v>
      </c>
      <c r="L332" s="1" t="s">
        <v>65</v>
      </c>
      <c r="M332">
        <v>75</v>
      </c>
      <c r="N332" s="1" t="s">
        <v>23</v>
      </c>
      <c r="O332" s="1" t="s">
        <v>66</v>
      </c>
      <c r="P332">
        <v>2</v>
      </c>
      <c r="Q332" s="1" t="s">
        <v>63</v>
      </c>
      <c r="R332">
        <v>1</v>
      </c>
      <c r="S332" s="1" t="s">
        <v>28</v>
      </c>
      <c r="T332" s="1" t="s">
        <v>28</v>
      </c>
      <c r="U332" s="1" t="s">
        <v>29</v>
      </c>
    </row>
    <row r="333" spans="1:21" x14ac:dyDescent="0.3">
      <c r="A333" s="1" t="s">
        <v>17</v>
      </c>
      <c r="B333">
        <v>18</v>
      </c>
      <c r="C333" s="1" t="s">
        <v>18</v>
      </c>
      <c r="D333" s="1" t="s">
        <v>51</v>
      </c>
      <c r="E333">
        <v>1864</v>
      </c>
      <c r="F333" s="1" t="s">
        <v>46</v>
      </c>
      <c r="G333" s="1" t="s">
        <v>21</v>
      </c>
      <c r="H333">
        <v>4</v>
      </c>
      <c r="I333" s="1" t="s">
        <v>22</v>
      </c>
      <c r="J333" s="1" t="s">
        <v>23</v>
      </c>
      <c r="K333">
        <v>2</v>
      </c>
      <c r="L333" s="1" t="s">
        <v>24</v>
      </c>
      <c r="M333">
        <v>30</v>
      </c>
      <c r="N333" s="1" t="s">
        <v>23</v>
      </c>
      <c r="O333" s="1" t="s">
        <v>26</v>
      </c>
      <c r="P333">
        <v>2</v>
      </c>
      <c r="Q333" s="1" t="s">
        <v>41</v>
      </c>
      <c r="R333">
        <v>1</v>
      </c>
      <c r="S333" s="1" t="s">
        <v>23</v>
      </c>
      <c r="T333" s="1" t="s">
        <v>28</v>
      </c>
      <c r="U333" s="1" t="s">
        <v>56</v>
      </c>
    </row>
    <row r="334" spans="1:21" x14ac:dyDescent="0.3">
      <c r="A334" s="1" t="s">
        <v>30</v>
      </c>
      <c r="B334">
        <v>60</v>
      </c>
      <c r="C334" s="1" t="s">
        <v>31</v>
      </c>
      <c r="D334" s="1" t="s">
        <v>19</v>
      </c>
      <c r="E334">
        <v>7408</v>
      </c>
      <c r="F334" s="1" t="s">
        <v>46</v>
      </c>
      <c r="G334" s="1" t="s">
        <v>45</v>
      </c>
      <c r="H334">
        <v>4</v>
      </c>
      <c r="I334" s="1" t="s">
        <v>22</v>
      </c>
      <c r="J334" s="1" t="s">
        <v>23</v>
      </c>
      <c r="K334">
        <v>2</v>
      </c>
      <c r="L334" s="1" t="s">
        <v>48</v>
      </c>
      <c r="M334">
        <v>24</v>
      </c>
      <c r="N334" s="1" t="s">
        <v>23</v>
      </c>
      <c r="O334" s="1" t="s">
        <v>26</v>
      </c>
      <c r="P334">
        <v>1</v>
      </c>
      <c r="Q334" s="1" t="s">
        <v>63</v>
      </c>
      <c r="R334">
        <v>1</v>
      </c>
      <c r="S334" s="1" t="s">
        <v>23</v>
      </c>
      <c r="T334" s="1" t="s">
        <v>28</v>
      </c>
      <c r="U334" s="1" t="s">
        <v>56</v>
      </c>
    </row>
    <row r="335" spans="1:21" x14ac:dyDescent="0.3">
      <c r="A335" s="1" t="s">
        <v>17</v>
      </c>
      <c r="B335">
        <v>48</v>
      </c>
      <c r="C335" s="1" t="s">
        <v>18</v>
      </c>
      <c r="D335" s="1" t="s">
        <v>69</v>
      </c>
      <c r="E335">
        <v>11590</v>
      </c>
      <c r="F335" s="1" t="s">
        <v>46</v>
      </c>
      <c r="G335" s="1" t="s">
        <v>21</v>
      </c>
      <c r="H335">
        <v>2</v>
      </c>
      <c r="I335" s="1" t="s">
        <v>22</v>
      </c>
      <c r="J335" s="1" t="s">
        <v>23</v>
      </c>
      <c r="K335">
        <v>4</v>
      </c>
      <c r="L335" s="1" t="s">
        <v>40</v>
      </c>
      <c r="M335">
        <v>24</v>
      </c>
      <c r="N335" s="1" t="s">
        <v>25</v>
      </c>
      <c r="O335" s="1" t="s">
        <v>34</v>
      </c>
      <c r="P335">
        <v>2</v>
      </c>
      <c r="Q335" s="1" t="s">
        <v>27</v>
      </c>
      <c r="R335">
        <v>1</v>
      </c>
      <c r="S335" s="1" t="s">
        <v>23</v>
      </c>
      <c r="T335" s="1" t="s">
        <v>28</v>
      </c>
      <c r="U335" s="1" t="s">
        <v>56</v>
      </c>
    </row>
    <row r="336" spans="1:21" x14ac:dyDescent="0.3">
      <c r="A336" s="1" t="s">
        <v>35</v>
      </c>
      <c r="B336">
        <v>24</v>
      </c>
      <c r="C336" s="1" t="s">
        <v>52</v>
      </c>
      <c r="D336" s="1" t="s">
        <v>53</v>
      </c>
      <c r="E336">
        <v>4110</v>
      </c>
      <c r="F336" s="1" t="s">
        <v>32</v>
      </c>
      <c r="G336" s="1" t="s">
        <v>38</v>
      </c>
      <c r="H336">
        <v>3</v>
      </c>
      <c r="I336" s="1" t="s">
        <v>39</v>
      </c>
      <c r="J336" s="1" t="s">
        <v>23</v>
      </c>
      <c r="K336">
        <v>4</v>
      </c>
      <c r="L336" s="1" t="s">
        <v>65</v>
      </c>
      <c r="M336">
        <v>23</v>
      </c>
      <c r="N336" s="1" t="s">
        <v>25</v>
      </c>
      <c r="O336" s="1" t="s">
        <v>34</v>
      </c>
      <c r="P336">
        <v>2</v>
      </c>
      <c r="Q336" s="1" t="s">
        <v>41</v>
      </c>
      <c r="R336">
        <v>2</v>
      </c>
      <c r="S336" s="1" t="s">
        <v>23</v>
      </c>
      <c r="T336" s="1" t="s">
        <v>28</v>
      </c>
      <c r="U336" s="1" t="s">
        <v>56</v>
      </c>
    </row>
    <row r="337" spans="1:21" x14ac:dyDescent="0.3">
      <c r="A337" s="1" t="s">
        <v>35</v>
      </c>
      <c r="B337">
        <v>6</v>
      </c>
      <c r="C337" s="1" t="s">
        <v>18</v>
      </c>
      <c r="D337" s="1" t="s">
        <v>53</v>
      </c>
      <c r="E337">
        <v>3384</v>
      </c>
      <c r="F337" s="1" t="s">
        <v>32</v>
      </c>
      <c r="G337" s="1" t="s">
        <v>21</v>
      </c>
      <c r="H337">
        <v>1</v>
      </c>
      <c r="I337" s="1" t="s">
        <v>64</v>
      </c>
      <c r="J337" s="1" t="s">
        <v>23</v>
      </c>
      <c r="K337">
        <v>4</v>
      </c>
      <c r="L337" s="1" t="s">
        <v>24</v>
      </c>
      <c r="M337">
        <v>44</v>
      </c>
      <c r="N337" s="1" t="s">
        <v>23</v>
      </c>
      <c r="O337" s="1" t="s">
        <v>34</v>
      </c>
      <c r="P337">
        <v>1</v>
      </c>
      <c r="Q337" s="1" t="s">
        <v>63</v>
      </c>
      <c r="R337">
        <v>1</v>
      </c>
      <c r="S337" s="1" t="s">
        <v>28</v>
      </c>
      <c r="T337" s="1" t="s">
        <v>28</v>
      </c>
      <c r="U337" s="1" t="s">
        <v>56</v>
      </c>
    </row>
    <row r="338" spans="1:21" x14ac:dyDescent="0.3">
      <c r="A338" s="1" t="s">
        <v>30</v>
      </c>
      <c r="B338">
        <v>13</v>
      </c>
      <c r="C338" s="1" t="s">
        <v>31</v>
      </c>
      <c r="D338" s="1" t="s">
        <v>36</v>
      </c>
      <c r="E338">
        <v>2101</v>
      </c>
      <c r="F338" s="1" t="s">
        <v>32</v>
      </c>
      <c r="G338" s="1" t="s">
        <v>45</v>
      </c>
      <c r="H338">
        <v>2</v>
      </c>
      <c r="I338" s="1" t="s">
        <v>22</v>
      </c>
      <c r="J338" s="1" t="s">
        <v>58</v>
      </c>
      <c r="K338">
        <v>4</v>
      </c>
      <c r="L338" s="1" t="s">
        <v>48</v>
      </c>
      <c r="M338">
        <v>23</v>
      </c>
      <c r="N338" s="1" t="s">
        <v>23</v>
      </c>
      <c r="O338" s="1" t="s">
        <v>26</v>
      </c>
      <c r="P338">
        <v>1</v>
      </c>
      <c r="Q338" s="1" t="s">
        <v>27</v>
      </c>
      <c r="R338">
        <v>1</v>
      </c>
      <c r="S338" s="1" t="s">
        <v>23</v>
      </c>
      <c r="T338" s="1" t="s">
        <v>28</v>
      </c>
      <c r="U338" s="1" t="s">
        <v>29</v>
      </c>
    </row>
    <row r="339" spans="1:21" x14ac:dyDescent="0.3">
      <c r="A339" s="1" t="s">
        <v>35</v>
      </c>
      <c r="B339">
        <v>15</v>
      </c>
      <c r="C339" s="1" t="s">
        <v>31</v>
      </c>
      <c r="D339" s="1" t="s">
        <v>44</v>
      </c>
      <c r="E339">
        <v>1275</v>
      </c>
      <c r="F339" s="1" t="s">
        <v>47</v>
      </c>
      <c r="G339" s="1" t="s">
        <v>21</v>
      </c>
      <c r="H339">
        <v>4</v>
      </c>
      <c r="I339" s="1" t="s">
        <v>22</v>
      </c>
      <c r="J339" s="1" t="s">
        <v>23</v>
      </c>
      <c r="K339">
        <v>2</v>
      </c>
      <c r="L339" s="1" t="s">
        <v>40</v>
      </c>
      <c r="M339">
        <v>24</v>
      </c>
      <c r="N339" s="1" t="s">
        <v>23</v>
      </c>
      <c r="O339" s="1" t="s">
        <v>34</v>
      </c>
      <c r="P339">
        <v>1</v>
      </c>
      <c r="Q339" s="1" t="s">
        <v>41</v>
      </c>
      <c r="R339">
        <v>1</v>
      </c>
      <c r="S339" s="1" t="s">
        <v>23</v>
      </c>
      <c r="T339" s="1" t="s">
        <v>28</v>
      </c>
      <c r="U339" s="1" t="s">
        <v>56</v>
      </c>
    </row>
    <row r="340" spans="1:21" x14ac:dyDescent="0.3">
      <c r="A340" s="1" t="s">
        <v>35</v>
      </c>
      <c r="B340">
        <v>24</v>
      </c>
      <c r="C340" s="1" t="s">
        <v>31</v>
      </c>
      <c r="D340" s="1" t="s">
        <v>53</v>
      </c>
      <c r="E340">
        <v>4169</v>
      </c>
      <c r="F340" s="1" t="s">
        <v>32</v>
      </c>
      <c r="G340" s="1" t="s">
        <v>21</v>
      </c>
      <c r="H340">
        <v>4</v>
      </c>
      <c r="I340" s="1" t="s">
        <v>39</v>
      </c>
      <c r="J340" s="1" t="s">
        <v>23</v>
      </c>
      <c r="K340">
        <v>4</v>
      </c>
      <c r="L340" s="1" t="s">
        <v>48</v>
      </c>
      <c r="M340">
        <v>28</v>
      </c>
      <c r="N340" s="1" t="s">
        <v>23</v>
      </c>
      <c r="O340" s="1" t="s">
        <v>26</v>
      </c>
      <c r="P340">
        <v>1</v>
      </c>
      <c r="Q340" s="1" t="s">
        <v>41</v>
      </c>
      <c r="R340">
        <v>1</v>
      </c>
      <c r="S340" s="1" t="s">
        <v>23</v>
      </c>
      <c r="T340" s="1" t="s">
        <v>28</v>
      </c>
      <c r="U340" s="1" t="s">
        <v>29</v>
      </c>
    </row>
    <row r="341" spans="1:21" x14ac:dyDescent="0.3">
      <c r="A341" s="1" t="s">
        <v>30</v>
      </c>
      <c r="B341">
        <v>10</v>
      </c>
      <c r="C341" s="1" t="s">
        <v>31</v>
      </c>
      <c r="D341" s="1" t="s">
        <v>53</v>
      </c>
      <c r="E341">
        <v>1521</v>
      </c>
      <c r="F341" s="1" t="s">
        <v>32</v>
      </c>
      <c r="G341" s="1" t="s">
        <v>21</v>
      </c>
      <c r="H341">
        <v>4</v>
      </c>
      <c r="I341" s="1" t="s">
        <v>64</v>
      </c>
      <c r="J341" s="1" t="s">
        <v>23</v>
      </c>
      <c r="K341">
        <v>2</v>
      </c>
      <c r="L341" s="1" t="s">
        <v>40</v>
      </c>
      <c r="M341">
        <v>31</v>
      </c>
      <c r="N341" s="1" t="s">
        <v>23</v>
      </c>
      <c r="O341" s="1" t="s">
        <v>26</v>
      </c>
      <c r="P341">
        <v>1</v>
      </c>
      <c r="Q341" s="1" t="s">
        <v>27</v>
      </c>
      <c r="R341">
        <v>1</v>
      </c>
      <c r="S341" s="1" t="s">
        <v>23</v>
      </c>
      <c r="T341" s="1" t="s">
        <v>28</v>
      </c>
      <c r="U341" s="1" t="s">
        <v>29</v>
      </c>
    </row>
    <row r="342" spans="1:21" x14ac:dyDescent="0.3">
      <c r="A342" s="1" t="s">
        <v>30</v>
      </c>
      <c r="B342">
        <v>24</v>
      </c>
      <c r="C342" s="1" t="s">
        <v>18</v>
      </c>
      <c r="D342" s="1" t="s">
        <v>51</v>
      </c>
      <c r="E342">
        <v>5743</v>
      </c>
      <c r="F342" s="1" t="s">
        <v>32</v>
      </c>
      <c r="G342" s="1" t="s">
        <v>45</v>
      </c>
      <c r="H342">
        <v>2</v>
      </c>
      <c r="I342" s="1" t="s">
        <v>22</v>
      </c>
      <c r="J342" s="1" t="s">
        <v>23</v>
      </c>
      <c r="K342">
        <v>4</v>
      </c>
      <c r="L342" s="1" t="s">
        <v>65</v>
      </c>
      <c r="M342">
        <v>24</v>
      </c>
      <c r="N342" s="1" t="s">
        <v>23</v>
      </c>
      <c r="O342" s="1" t="s">
        <v>66</v>
      </c>
      <c r="P342">
        <v>2</v>
      </c>
      <c r="Q342" s="1" t="s">
        <v>41</v>
      </c>
      <c r="R342">
        <v>1</v>
      </c>
      <c r="S342" s="1" t="s">
        <v>28</v>
      </c>
      <c r="T342" s="1" t="s">
        <v>28</v>
      </c>
      <c r="U342" s="1" t="s">
        <v>29</v>
      </c>
    </row>
    <row r="343" spans="1:21" x14ac:dyDescent="0.3">
      <c r="A343" s="1" t="s">
        <v>35</v>
      </c>
      <c r="B343">
        <v>21</v>
      </c>
      <c r="C343" s="1" t="s">
        <v>31</v>
      </c>
      <c r="D343" s="1" t="s">
        <v>53</v>
      </c>
      <c r="E343">
        <v>3599</v>
      </c>
      <c r="F343" s="1" t="s">
        <v>32</v>
      </c>
      <c r="G343" s="1" t="s">
        <v>49</v>
      </c>
      <c r="H343">
        <v>1</v>
      </c>
      <c r="I343" s="1" t="s">
        <v>22</v>
      </c>
      <c r="J343" s="1" t="s">
        <v>23</v>
      </c>
      <c r="K343">
        <v>4</v>
      </c>
      <c r="L343" s="1" t="s">
        <v>40</v>
      </c>
      <c r="M343">
        <v>26</v>
      </c>
      <c r="N343" s="1" t="s">
        <v>23</v>
      </c>
      <c r="O343" s="1" t="s">
        <v>34</v>
      </c>
      <c r="P343">
        <v>1</v>
      </c>
      <c r="Q343" s="1" t="s">
        <v>27</v>
      </c>
      <c r="R343">
        <v>1</v>
      </c>
      <c r="S343" s="1" t="s">
        <v>23</v>
      </c>
      <c r="T343" s="1" t="s">
        <v>28</v>
      </c>
      <c r="U343" s="1" t="s">
        <v>29</v>
      </c>
    </row>
    <row r="344" spans="1:21" x14ac:dyDescent="0.3">
      <c r="A344" s="1" t="s">
        <v>30</v>
      </c>
      <c r="B344">
        <v>18</v>
      </c>
      <c r="C344" s="1" t="s">
        <v>31</v>
      </c>
      <c r="D344" s="1" t="s">
        <v>36</v>
      </c>
      <c r="E344">
        <v>3213</v>
      </c>
      <c r="F344" s="1" t="s">
        <v>37</v>
      </c>
      <c r="G344" s="1" t="s">
        <v>45</v>
      </c>
      <c r="H344">
        <v>1</v>
      </c>
      <c r="I344" s="1" t="s">
        <v>33</v>
      </c>
      <c r="J344" s="1" t="s">
        <v>23</v>
      </c>
      <c r="K344">
        <v>3</v>
      </c>
      <c r="L344" s="1" t="s">
        <v>24</v>
      </c>
      <c r="M344">
        <v>25</v>
      </c>
      <c r="N344" s="1" t="s">
        <v>23</v>
      </c>
      <c r="O344" s="1" t="s">
        <v>34</v>
      </c>
      <c r="P344">
        <v>1</v>
      </c>
      <c r="Q344" s="1" t="s">
        <v>41</v>
      </c>
      <c r="R344">
        <v>1</v>
      </c>
      <c r="S344" s="1" t="s">
        <v>23</v>
      </c>
      <c r="T344" s="1" t="s">
        <v>28</v>
      </c>
      <c r="U344" s="1" t="s">
        <v>29</v>
      </c>
    </row>
    <row r="345" spans="1:21" x14ac:dyDescent="0.3">
      <c r="A345" s="1" t="s">
        <v>30</v>
      </c>
      <c r="B345">
        <v>18</v>
      </c>
      <c r="C345" s="1" t="s">
        <v>31</v>
      </c>
      <c r="D345" s="1" t="s">
        <v>61</v>
      </c>
      <c r="E345">
        <v>4439</v>
      </c>
      <c r="F345" s="1" t="s">
        <v>32</v>
      </c>
      <c r="G345" s="1" t="s">
        <v>38</v>
      </c>
      <c r="H345">
        <v>1</v>
      </c>
      <c r="I345" s="1" t="s">
        <v>39</v>
      </c>
      <c r="J345" s="1" t="s">
        <v>55</v>
      </c>
      <c r="K345">
        <v>1</v>
      </c>
      <c r="L345" s="1" t="s">
        <v>24</v>
      </c>
      <c r="M345">
        <v>33</v>
      </c>
      <c r="N345" s="1" t="s">
        <v>25</v>
      </c>
      <c r="O345" s="1" t="s">
        <v>26</v>
      </c>
      <c r="P345">
        <v>1</v>
      </c>
      <c r="Q345" s="1" t="s">
        <v>63</v>
      </c>
      <c r="R345">
        <v>1</v>
      </c>
      <c r="S345" s="1" t="s">
        <v>28</v>
      </c>
      <c r="T345" s="1" t="s">
        <v>28</v>
      </c>
      <c r="U345" s="1" t="s">
        <v>29</v>
      </c>
    </row>
    <row r="346" spans="1:21" x14ac:dyDescent="0.3">
      <c r="A346" s="1" t="s">
        <v>50</v>
      </c>
      <c r="B346">
        <v>10</v>
      </c>
      <c r="C346" s="1" t="s">
        <v>31</v>
      </c>
      <c r="D346" s="1" t="s">
        <v>19</v>
      </c>
      <c r="E346">
        <v>3949</v>
      </c>
      <c r="F346" s="1" t="s">
        <v>32</v>
      </c>
      <c r="G346" s="1" t="s">
        <v>45</v>
      </c>
      <c r="H346">
        <v>1</v>
      </c>
      <c r="I346" s="1" t="s">
        <v>39</v>
      </c>
      <c r="J346" s="1" t="s">
        <v>58</v>
      </c>
      <c r="K346">
        <v>1</v>
      </c>
      <c r="L346" s="1" t="s">
        <v>48</v>
      </c>
      <c r="M346">
        <v>37</v>
      </c>
      <c r="N346" s="1" t="s">
        <v>23</v>
      </c>
      <c r="O346" s="1" t="s">
        <v>26</v>
      </c>
      <c r="P346">
        <v>1</v>
      </c>
      <c r="Q346" s="1" t="s">
        <v>27</v>
      </c>
      <c r="R346">
        <v>2</v>
      </c>
      <c r="S346" s="1" t="s">
        <v>23</v>
      </c>
      <c r="T346" s="1" t="s">
        <v>28</v>
      </c>
      <c r="U346" s="1" t="s">
        <v>29</v>
      </c>
    </row>
    <row r="347" spans="1:21" x14ac:dyDescent="0.3">
      <c r="A347" s="1" t="s">
        <v>17</v>
      </c>
      <c r="B347">
        <v>15</v>
      </c>
      <c r="C347" s="1" t="s">
        <v>18</v>
      </c>
      <c r="D347" s="1" t="s">
        <v>36</v>
      </c>
      <c r="E347">
        <v>1459</v>
      </c>
      <c r="F347" s="1" t="s">
        <v>32</v>
      </c>
      <c r="G347" s="1" t="s">
        <v>21</v>
      </c>
      <c r="H347">
        <v>4</v>
      </c>
      <c r="I347" s="1" t="s">
        <v>22</v>
      </c>
      <c r="J347" s="1" t="s">
        <v>23</v>
      </c>
      <c r="K347">
        <v>2</v>
      </c>
      <c r="L347" s="1" t="s">
        <v>40</v>
      </c>
      <c r="M347">
        <v>43</v>
      </c>
      <c r="N347" s="1" t="s">
        <v>23</v>
      </c>
      <c r="O347" s="1" t="s">
        <v>26</v>
      </c>
      <c r="P347">
        <v>1</v>
      </c>
      <c r="Q347" s="1" t="s">
        <v>27</v>
      </c>
      <c r="R347">
        <v>1</v>
      </c>
      <c r="S347" s="1" t="s">
        <v>23</v>
      </c>
      <c r="T347" s="1" t="s">
        <v>28</v>
      </c>
      <c r="U347" s="1" t="s">
        <v>29</v>
      </c>
    </row>
    <row r="348" spans="1:21" x14ac:dyDescent="0.3">
      <c r="A348" s="1" t="s">
        <v>30</v>
      </c>
      <c r="B348">
        <v>13</v>
      </c>
      <c r="C348" s="1" t="s">
        <v>18</v>
      </c>
      <c r="D348" s="1" t="s">
        <v>36</v>
      </c>
      <c r="E348">
        <v>882</v>
      </c>
      <c r="F348" s="1" t="s">
        <v>32</v>
      </c>
      <c r="G348" s="1" t="s">
        <v>45</v>
      </c>
      <c r="H348">
        <v>4</v>
      </c>
      <c r="I348" s="1" t="s">
        <v>39</v>
      </c>
      <c r="J348" s="1" t="s">
        <v>58</v>
      </c>
      <c r="K348">
        <v>4</v>
      </c>
      <c r="L348" s="1" t="s">
        <v>24</v>
      </c>
      <c r="M348">
        <v>23</v>
      </c>
      <c r="N348" s="1" t="s">
        <v>23</v>
      </c>
      <c r="O348" s="1" t="s">
        <v>26</v>
      </c>
      <c r="P348">
        <v>2</v>
      </c>
      <c r="Q348" s="1" t="s">
        <v>41</v>
      </c>
      <c r="R348">
        <v>1</v>
      </c>
      <c r="S348" s="1" t="s">
        <v>23</v>
      </c>
      <c r="T348" s="1" t="s">
        <v>28</v>
      </c>
      <c r="U348" s="1" t="s">
        <v>29</v>
      </c>
    </row>
    <row r="349" spans="1:21" x14ac:dyDescent="0.3">
      <c r="A349" s="1" t="s">
        <v>30</v>
      </c>
      <c r="B349">
        <v>24</v>
      </c>
      <c r="C349" s="1" t="s">
        <v>31</v>
      </c>
      <c r="D349" s="1" t="s">
        <v>36</v>
      </c>
      <c r="E349">
        <v>3758</v>
      </c>
      <c r="F349" s="1" t="s">
        <v>37</v>
      </c>
      <c r="G349" s="1" t="s">
        <v>54</v>
      </c>
      <c r="H349">
        <v>1</v>
      </c>
      <c r="I349" s="1" t="s">
        <v>22</v>
      </c>
      <c r="J349" s="1" t="s">
        <v>23</v>
      </c>
      <c r="K349">
        <v>4</v>
      </c>
      <c r="L349" s="1" t="s">
        <v>65</v>
      </c>
      <c r="M349">
        <v>23</v>
      </c>
      <c r="N349" s="1" t="s">
        <v>23</v>
      </c>
      <c r="O349" s="1" t="s">
        <v>34</v>
      </c>
      <c r="P349">
        <v>1</v>
      </c>
      <c r="Q349" s="1" t="s">
        <v>62</v>
      </c>
      <c r="R349">
        <v>1</v>
      </c>
      <c r="S349" s="1" t="s">
        <v>23</v>
      </c>
      <c r="T349" s="1" t="s">
        <v>28</v>
      </c>
      <c r="U349" s="1" t="s">
        <v>29</v>
      </c>
    </row>
    <row r="350" spans="1:21" x14ac:dyDescent="0.3">
      <c r="A350" s="1" t="s">
        <v>17</v>
      </c>
      <c r="B350">
        <v>6</v>
      </c>
      <c r="C350" s="1" t="s">
        <v>59</v>
      </c>
      <c r="D350" s="1" t="s">
        <v>61</v>
      </c>
      <c r="E350">
        <v>1743</v>
      </c>
      <c r="F350" s="1" t="s">
        <v>46</v>
      </c>
      <c r="G350" s="1" t="s">
        <v>21</v>
      </c>
      <c r="H350">
        <v>1</v>
      </c>
      <c r="I350" s="1" t="s">
        <v>39</v>
      </c>
      <c r="J350" s="1" t="s">
        <v>23</v>
      </c>
      <c r="K350">
        <v>2</v>
      </c>
      <c r="L350" s="1" t="s">
        <v>24</v>
      </c>
      <c r="M350">
        <v>34</v>
      </c>
      <c r="N350" s="1" t="s">
        <v>23</v>
      </c>
      <c r="O350" s="1" t="s">
        <v>26</v>
      </c>
      <c r="P350">
        <v>2</v>
      </c>
      <c r="Q350" s="1" t="s">
        <v>27</v>
      </c>
      <c r="R350">
        <v>1</v>
      </c>
      <c r="S350" s="1" t="s">
        <v>23</v>
      </c>
      <c r="T350" s="1" t="s">
        <v>28</v>
      </c>
      <c r="U350" s="1" t="s">
        <v>29</v>
      </c>
    </row>
    <row r="351" spans="1:21" x14ac:dyDescent="0.3">
      <c r="A351" s="1" t="s">
        <v>30</v>
      </c>
      <c r="B351">
        <v>9</v>
      </c>
      <c r="C351" s="1" t="s">
        <v>18</v>
      </c>
      <c r="D351" s="1" t="s">
        <v>51</v>
      </c>
      <c r="E351">
        <v>1136</v>
      </c>
      <c r="F351" s="1" t="s">
        <v>20</v>
      </c>
      <c r="G351" s="1" t="s">
        <v>38</v>
      </c>
      <c r="H351">
        <v>4</v>
      </c>
      <c r="I351" s="1" t="s">
        <v>39</v>
      </c>
      <c r="J351" s="1" t="s">
        <v>23</v>
      </c>
      <c r="K351">
        <v>3</v>
      </c>
      <c r="L351" s="1" t="s">
        <v>65</v>
      </c>
      <c r="M351">
        <v>32</v>
      </c>
      <c r="N351" s="1" t="s">
        <v>23</v>
      </c>
      <c r="O351" s="1" t="s">
        <v>66</v>
      </c>
      <c r="P351">
        <v>2</v>
      </c>
      <c r="Q351" s="1" t="s">
        <v>41</v>
      </c>
      <c r="R351">
        <v>2</v>
      </c>
      <c r="S351" s="1" t="s">
        <v>23</v>
      </c>
      <c r="T351" s="1" t="s">
        <v>28</v>
      </c>
      <c r="U351" s="1" t="s">
        <v>56</v>
      </c>
    </row>
    <row r="352" spans="1:21" x14ac:dyDescent="0.3">
      <c r="A352" s="1" t="s">
        <v>17</v>
      </c>
      <c r="B352">
        <v>9</v>
      </c>
      <c r="C352" s="1" t="s">
        <v>31</v>
      </c>
      <c r="D352" s="1" t="s">
        <v>44</v>
      </c>
      <c r="E352">
        <v>1236</v>
      </c>
      <c r="F352" s="1" t="s">
        <v>32</v>
      </c>
      <c r="G352" s="1" t="s">
        <v>45</v>
      </c>
      <c r="H352">
        <v>1</v>
      </c>
      <c r="I352" s="1" t="s">
        <v>22</v>
      </c>
      <c r="J352" s="1" t="s">
        <v>23</v>
      </c>
      <c r="K352">
        <v>4</v>
      </c>
      <c r="L352" s="1" t="s">
        <v>24</v>
      </c>
      <c r="M352">
        <v>23</v>
      </c>
      <c r="N352" s="1" t="s">
        <v>23</v>
      </c>
      <c r="O352" s="1" t="s">
        <v>34</v>
      </c>
      <c r="P352">
        <v>1</v>
      </c>
      <c r="Q352" s="1" t="s">
        <v>41</v>
      </c>
      <c r="R352">
        <v>1</v>
      </c>
      <c r="S352" s="1" t="s">
        <v>28</v>
      </c>
      <c r="T352" s="1" t="s">
        <v>28</v>
      </c>
      <c r="U352" s="1" t="s">
        <v>29</v>
      </c>
    </row>
    <row r="353" spans="1:21" x14ac:dyDescent="0.3">
      <c r="A353" s="1" t="s">
        <v>30</v>
      </c>
      <c r="B353">
        <v>9</v>
      </c>
      <c r="C353" s="1" t="s">
        <v>31</v>
      </c>
      <c r="D353" s="1" t="s">
        <v>53</v>
      </c>
      <c r="E353">
        <v>959</v>
      </c>
      <c r="F353" s="1" t="s">
        <v>32</v>
      </c>
      <c r="G353" s="1" t="s">
        <v>21</v>
      </c>
      <c r="H353">
        <v>1</v>
      </c>
      <c r="I353" s="1" t="s">
        <v>22</v>
      </c>
      <c r="J353" s="1" t="s">
        <v>23</v>
      </c>
      <c r="K353">
        <v>2</v>
      </c>
      <c r="L353" s="1" t="s">
        <v>40</v>
      </c>
      <c r="M353">
        <v>29</v>
      </c>
      <c r="N353" s="1" t="s">
        <v>23</v>
      </c>
      <c r="O353" s="1" t="s">
        <v>26</v>
      </c>
      <c r="P353">
        <v>1</v>
      </c>
      <c r="Q353" s="1" t="s">
        <v>41</v>
      </c>
      <c r="R353">
        <v>1</v>
      </c>
      <c r="S353" s="1" t="s">
        <v>23</v>
      </c>
      <c r="T353" s="1" t="s">
        <v>60</v>
      </c>
      <c r="U353" s="1" t="s">
        <v>56</v>
      </c>
    </row>
    <row r="354" spans="1:21" x14ac:dyDescent="0.3">
      <c r="A354" s="1" t="s">
        <v>17</v>
      </c>
      <c r="B354">
        <v>18</v>
      </c>
      <c r="C354" s="1" t="s">
        <v>18</v>
      </c>
      <c r="D354" s="1" t="s">
        <v>69</v>
      </c>
      <c r="E354">
        <v>3229</v>
      </c>
      <c r="F354" s="1" t="s">
        <v>47</v>
      </c>
      <c r="G354" s="1" t="s">
        <v>54</v>
      </c>
      <c r="H354">
        <v>2</v>
      </c>
      <c r="I354" s="1" t="s">
        <v>39</v>
      </c>
      <c r="J354" s="1" t="s">
        <v>23</v>
      </c>
      <c r="K354">
        <v>4</v>
      </c>
      <c r="L354" s="1" t="s">
        <v>65</v>
      </c>
      <c r="M354">
        <v>38</v>
      </c>
      <c r="N354" s="1" t="s">
        <v>23</v>
      </c>
      <c r="O354" s="1" t="s">
        <v>26</v>
      </c>
      <c r="P354">
        <v>1</v>
      </c>
      <c r="Q354" s="1" t="s">
        <v>63</v>
      </c>
      <c r="R354">
        <v>1</v>
      </c>
      <c r="S354" s="1" t="s">
        <v>28</v>
      </c>
      <c r="T354" s="1" t="s">
        <v>28</v>
      </c>
      <c r="U354" s="1" t="s">
        <v>29</v>
      </c>
    </row>
    <row r="355" spans="1:21" x14ac:dyDescent="0.3">
      <c r="A355" s="1" t="s">
        <v>35</v>
      </c>
      <c r="B355">
        <v>12</v>
      </c>
      <c r="C355" s="1" t="s">
        <v>52</v>
      </c>
      <c r="D355" s="1" t="s">
        <v>36</v>
      </c>
      <c r="E355">
        <v>6199</v>
      </c>
      <c r="F355" s="1" t="s">
        <v>32</v>
      </c>
      <c r="G355" s="1" t="s">
        <v>21</v>
      </c>
      <c r="H355">
        <v>4</v>
      </c>
      <c r="I355" s="1" t="s">
        <v>39</v>
      </c>
      <c r="J355" s="1" t="s">
        <v>23</v>
      </c>
      <c r="K355">
        <v>2</v>
      </c>
      <c r="L355" s="1" t="s">
        <v>48</v>
      </c>
      <c r="M355">
        <v>28</v>
      </c>
      <c r="N355" s="1" t="s">
        <v>23</v>
      </c>
      <c r="O355" s="1" t="s">
        <v>34</v>
      </c>
      <c r="P355">
        <v>2</v>
      </c>
      <c r="Q355" s="1" t="s">
        <v>41</v>
      </c>
      <c r="R355">
        <v>1</v>
      </c>
      <c r="S355" s="1" t="s">
        <v>28</v>
      </c>
      <c r="T355" s="1" t="s">
        <v>28</v>
      </c>
      <c r="U355" s="1" t="s">
        <v>56</v>
      </c>
    </row>
    <row r="356" spans="1:21" x14ac:dyDescent="0.3">
      <c r="A356" s="1" t="s">
        <v>17</v>
      </c>
      <c r="B356">
        <v>10</v>
      </c>
      <c r="C356" s="1" t="s">
        <v>31</v>
      </c>
      <c r="D356" s="1" t="s">
        <v>51</v>
      </c>
      <c r="E356">
        <v>727</v>
      </c>
      <c r="F356" s="1" t="s">
        <v>37</v>
      </c>
      <c r="G356" s="1" t="s">
        <v>38</v>
      </c>
      <c r="H356">
        <v>4</v>
      </c>
      <c r="I356" s="1" t="s">
        <v>39</v>
      </c>
      <c r="J356" s="1" t="s">
        <v>23</v>
      </c>
      <c r="K356">
        <v>4</v>
      </c>
      <c r="L356" s="1" t="s">
        <v>65</v>
      </c>
      <c r="M356">
        <v>46</v>
      </c>
      <c r="N356" s="1" t="s">
        <v>23</v>
      </c>
      <c r="O356" s="1" t="s">
        <v>66</v>
      </c>
      <c r="P356">
        <v>1</v>
      </c>
      <c r="Q356" s="1" t="s">
        <v>41</v>
      </c>
      <c r="R356">
        <v>1</v>
      </c>
      <c r="S356" s="1" t="s">
        <v>28</v>
      </c>
      <c r="T356" s="1" t="s">
        <v>28</v>
      </c>
      <c r="U356" s="1" t="s">
        <v>29</v>
      </c>
    </row>
    <row r="357" spans="1:21" x14ac:dyDescent="0.3">
      <c r="A357" s="1" t="s">
        <v>30</v>
      </c>
      <c r="B357">
        <v>24</v>
      </c>
      <c r="C357" s="1" t="s">
        <v>31</v>
      </c>
      <c r="D357" s="1" t="s">
        <v>19</v>
      </c>
      <c r="E357">
        <v>1246</v>
      </c>
      <c r="F357" s="1" t="s">
        <v>32</v>
      </c>
      <c r="G357" s="1" t="s">
        <v>45</v>
      </c>
      <c r="H357">
        <v>4</v>
      </c>
      <c r="I357" s="1" t="s">
        <v>39</v>
      </c>
      <c r="J357" s="1" t="s">
        <v>23</v>
      </c>
      <c r="K357">
        <v>2</v>
      </c>
      <c r="L357" s="1" t="s">
        <v>24</v>
      </c>
      <c r="M357">
        <v>23</v>
      </c>
      <c r="N357" s="1" t="s">
        <v>67</v>
      </c>
      <c r="O357" s="1" t="s">
        <v>26</v>
      </c>
      <c r="P357">
        <v>1</v>
      </c>
      <c r="Q357" s="1" t="s">
        <v>27</v>
      </c>
      <c r="R357">
        <v>1</v>
      </c>
      <c r="S357" s="1" t="s">
        <v>23</v>
      </c>
      <c r="T357" s="1" t="s">
        <v>28</v>
      </c>
      <c r="U357" s="1" t="s">
        <v>56</v>
      </c>
    </row>
    <row r="358" spans="1:21" x14ac:dyDescent="0.3">
      <c r="A358" s="1" t="s">
        <v>17</v>
      </c>
      <c r="B358">
        <v>12</v>
      </c>
      <c r="C358" s="1" t="s">
        <v>18</v>
      </c>
      <c r="D358" s="1" t="s">
        <v>36</v>
      </c>
      <c r="E358">
        <v>2331</v>
      </c>
      <c r="F358" s="1" t="s">
        <v>47</v>
      </c>
      <c r="G358" s="1" t="s">
        <v>38</v>
      </c>
      <c r="H358">
        <v>1</v>
      </c>
      <c r="I358" s="1" t="s">
        <v>39</v>
      </c>
      <c r="J358" s="1" t="s">
        <v>55</v>
      </c>
      <c r="K358">
        <v>4</v>
      </c>
      <c r="L358" s="1" t="s">
        <v>24</v>
      </c>
      <c r="M358">
        <v>49</v>
      </c>
      <c r="N358" s="1" t="s">
        <v>23</v>
      </c>
      <c r="O358" s="1" t="s">
        <v>26</v>
      </c>
      <c r="P358">
        <v>1</v>
      </c>
      <c r="Q358" s="1" t="s">
        <v>41</v>
      </c>
      <c r="R358">
        <v>1</v>
      </c>
      <c r="S358" s="1" t="s">
        <v>28</v>
      </c>
      <c r="T358" s="1" t="s">
        <v>28</v>
      </c>
      <c r="U358" s="1" t="s">
        <v>29</v>
      </c>
    </row>
    <row r="359" spans="1:21" x14ac:dyDescent="0.3">
      <c r="A359" s="1" t="s">
        <v>17</v>
      </c>
      <c r="B359">
        <v>36</v>
      </c>
      <c r="C359" s="1" t="s">
        <v>59</v>
      </c>
      <c r="D359" s="1" t="s">
        <v>36</v>
      </c>
      <c r="E359">
        <v>4463</v>
      </c>
      <c r="F359" s="1" t="s">
        <v>32</v>
      </c>
      <c r="G359" s="1" t="s">
        <v>21</v>
      </c>
      <c r="H359">
        <v>4</v>
      </c>
      <c r="I359" s="1" t="s">
        <v>39</v>
      </c>
      <c r="J359" s="1" t="s">
        <v>23</v>
      </c>
      <c r="K359">
        <v>2</v>
      </c>
      <c r="L359" s="1" t="s">
        <v>40</v>
      </c>
      <c r="M359">
        <v>26</v>
      </c>
      <c r="N359" s="1" t="s">
        <v>23</v>
      </c>
      <c r="O359" s="1" t="s">
        <v>26</v>
      </c>
      <c r="P359">
        <v>2</v>
      </c>
      <c r="Q359" s="1" t="s">
        <v>63</v>
      </c>
      <c r="R359">
        <v>1</v>
      </c>
      <c r="S359" s="1" t="s">
        <v>28</v>
      </c>
      <c r="T359" s="1" t="s">
        <v>28</v>
      </c>
      <c r="U359" s="1" t="s">
        <v>56</v>
      </c>
    </row>
    <row r="360" spans="1:21" x14ac:dyDescent="0.3">
      <c r="A360" s="1" t="s">
        <v>17</v>
      </c>
      <c r="B360">
        <v>12</v>
      </c>
      <c r="C360" s="1" t="s">
        <v>31</v>
      </c>
      <c r="D360" s="1" t="s">
        <v>36</v>
      </c>
      <c r="E360">
        <v>776</v>
      </c>
      <c r="F360" s="1" t="s">
        <v>32</v>
      </c>
      <c r="G360" s="1" t="s">
        <v>21</v>
      </c>
      <c r="H360">
        <v>4</v>
      </c>
      <c r="I360" s="1" t="s">
        <v>33</v>
      </c>
      <c r="J360" s="1" t="s">
        <v>23</v>
      </c>
      <c r="K360">
        <v>2</v>
      </c>
      <c r="L360" s="1" t="s">
        <v>24</v>
      </c>
      <c r="M360">
        <v>28</v>
      </c>
      <c r="N360" s="1" t="s">
        <v>23</v>
      </c>
      <c r="O360" s="1" t="s">
        <v>26</v>
      </c>
      <c r="P360">
        <v>1</v>
      </c>
      <c r="Q360" s="1" t="s">
        <v>41</v>
      </c>
      <c r="R360">
        <v>1</v>
      </c>
      <c r="S360" s="1" t="s">
        <v>23</v>
      </c>
      <c r="T360" s="1" t="s">
        <v>28</v>
      </c>
      <c r="U360" s="1" t="s">
        <v>29</v>
      </c>
    </row>
    <row r="361" spans="1:21" x14ac:dyDescent="0.3">
      <c r="A361" s="1" t="s">
        <v>35</v>
      </c>
      <c r="B361">
        <v>30</v>
      </c>
      <c r="C361" s="1" t="s">
        <v>31</v>
      </c>
      <c r="D361" s="1" t="s">
        <v>53</v>
      </c>
      <c r="E361">
        <v>2406</v>
      </c>
      <c r="F361" s="1" t="s">
        <v>32</v>
      </c>
      <c r="G361" s="1" t="s">
        <v>49</v>
      </c>
      <c r="H361">
        <v>4</v>
      </c>
      <c r="I361" s="1" t="s">
        <v>22</v>
      </c>
      <c r="J361" s="1" t="s">
        <v>23</v>
      </c>
      <c r="K361">
        <v>4</v>
      </c>
      <c r="L361" s="1" t="s">
        <v>24</v>
      </c>
      <c r="M361">
        <v>23</v>
      </c>
      <c r="N361" s="1" t="s">
        <v>23</v>
      </c>
      <c r="O361" s="1" t="s">
        <v>34</v>
      </c>
      <c r="P361">
        <v>1</v>
      </c>
      <c r="Q361" s="1" t="s">
        <v>41</v>
      </c>
      <c r="R361">
        <v>1</v>
      </c>
      <c r="S361" s="1" t="s">
        <v>23</v>
      </c>
      <c r="T361" s="1" t="s">
        <v>28</v>
      </c>
      <c r="U361" s="1" t="s">
        <v>56</v>
      </c>
    </row>
    <row r="362" spans="1:21" x14ac:dyDescent="0.3">
      <c r="A362" s="1" t="s">
        <v>30</v>
      </c>
      <c r="B362">
        <v>18</v>
      </c>
      <c r="C362" s="1" t="s">
        <v>31</v>
      </c>
      <c r="D362" s="1" t="s">
        <v>51</v>
      </c>
      <c r="E362">
        <v>1239</v>
      </c>
      <c r="F362" s="1" t="s">
        <v>47</v>
      </c>
      <c r="G362" s="1" t="s">
        <v>21</v>
      </c>
      <c r="H362">
        <v>4</v>
      </c>
      <c r="I362" s="1" t="s">
        <v>39</v>
      </c>
      <c r="J362" s="1" t="s">
        <v>23</v>
      </c>
      <c r="K362">
        <v>4</v>
      </c>
      <c r="L362" s="1" t="s">
        <v>65</v>
      </c>
      <c r="M362">
        <v>61</v>
      </c>
      <c r="N362" s="1" t="s">
        <v>23</v>
      </c>
      <c r="O362" s="1" t="s">
        <v>66</v>
      </c>
      <c r="P362">
        <v>1</v>
      </c>
      <c r="Q362" s="1" t="s">
        <v>41</v>
      </c>
      <c r="R362">
        <v>1</v>
      </c>
      <c r="S362" s="1" t="s">
        <v>23</v>
      </c>
      <c r="T362" s="1" t="s">
        <v>28</v>
      </c>
      <c r="U362" s="1" t="s">
        <v>29</v>
      </c>
    </row>
    <row r="363" spans="1:21" x14ac:dyDescent="0.3">
      <c r="A363" s="1" t="s">
        <v>50</v>
      </c>
      <c r="B363">
        <v>12</v>
      </c>
      <c r="C363" s="1" t="s">
        <v>31</v>
      </c>
      <c r="D363" s="1" t="s">
        <v>36</v>
      </c>
      <c r="E363">
        <v>3399</v>
      </c>
      <c r="F363" s="1" t="s">
        <v>47</v>
      </c>
      <c r="G363" s="1" t="s">
        <v>38</v>
      </c>
      <c r="H363">
        <v>2</v>
      </c>
      <c r="I363" s="1" t="s">
        <v>39</v>
      </c>
      <c r="J363" s="1" t="s">
        <v>23</v>
      </c>
      <c r="K363">
        <v>3</v>
      </c>
      <c r="L363" s="1" t="s">
        <v>40</v>
      </c>
      <c r="M363">
        <v>37</v>
      </c>
      <c r="N363" s="1" t="s">
        <v>23</v>
      </c>
      <c r="O363" s="1" t="s">
        <v>26</v>
      </c>
      <c r="P363">
        <v>1</v>
      </c>
      <c r="Q363" s="1" t="s">
        <v>63</v>
      </c>
      <c r="R363">
        <v>1</v>
      </c>
      <c r="S363" s="1" t="s">
        <v>23</v>
      </c>
      <c r="T363" s="1" t="s">
        <v>28</v>
      </c>
      <c r="U363" s="1" t="s">
        <v>29</v>
      </c>
    </row>
    <row r="364" spans="1:21" x14ac:dyDescent="0.3">
      <c r="A364" s="1" t="s">
        <v>50</v>
      </c>
      <c r="B364">
        <v>12</v>
      </c>
      <c r="C364" s="1" t="s">
        <v>59</v>
      </c>
      <c r="D364" s="1" t="s">
        <v>19</v>
      </c>
      <c r="E364">
        <v>2247</v>
      </c>
      <c r="F364" s="1" t="s">
        <v>32</v>
      </c>
      <c r="G364" s="1" t="s">
        <v>21</v>
      </c>
      <c r="H364">
        <v>2</v>
      </c>
      <c r="I364" s="1" t="s">
        <v>22</v>
      </c>
      <c r="J364" s="1" t="s">
        <v>23</v>
      </c>
      <c r="K364">
        <v>2</v>
      </c>
      <c r="L364" s="1" t="s">
        <v>40</v>
      </c>
      <c r="M364">
        <v>36</v>
      </c>
      <c r="N364" s="1" t="s">
        <v>67</v>
      </c>
      <c r="O364" s="1" t="s">
        <v>26</v>
      </c>
      <c r="P364">
        <v>2</v>
      </c>
      <c r="Q364" s="1" t="s">
        <v>41</v>
      </c>
      <c r="R364">
        <v>1</v>
      </c>
      <c r="S364" s="1" t="s">
        <v>28</v>
      </c>
      <c r="T364" s="1" t="s">
        <v>28</v>
      </c>
      <c r="U364" s="1" t="s">
        <v>29</v>
      </c>
    </row>
    <row r="365" spans="1:21" x14ac:dyDescent="0.3">
      <c r="A365" s="1" t="s">
        <v>17</v>
      </c>
      <c r="B365">
        <v>6</v>
      </c>
      <c r="C365" s="1" t="s">
        <v>31</v>
      </c>
      <c r="D365" s="1" t="s">
        <v>53</v>
      </c>
      <c r="E365">
        <v>1766</v>
      </c>
      <c r="F365" s="1" t="s">
        <v>32</v>
      </c>
      <c r="G365" s="1" t="s">
        <v>21</v>
      </c>
      <c r="H365">
        <v>1</v>
      </c>
      <c r="I365" s="1" t="s">
        <v>33</v>
      </c>
      <c r="J365" s="1" t="s">
        <v>23</v>
      </c>
      <c r="K365">
        <v>2</v>
      </c>
      <c r="L365" s="1" t="s">
        <v>48</v>
      </c>
      <c r="M365">
        <v>21</v>
      </c>
      <c r="N365" s="1" t="s">
        <v>23</v>
      </c>
      <c r="O365" s="1" t="s">
        <v>34</v>
      </c>
      <c r="P365">
        <v>1</v>
      </c>
      <c r="Q365" s="1" t="s">
        <v>41</v>
      </c>
      <c r="R365">
        <v>1</v>
      </c>
      <c r="S365" s="1" t="s">
        <v>23</v>
      </c>
      <c r="T365" s="1" t="s">
        <v>28</v>
      </c>
      <c r="U365" s="1" t="s">
        <v>29</v>
      </c>
    </row>
    <row r="366" spans="1:21" x14ac:dyDescent="0.3">
      <c r="A366" s="1" t="s">
        <v>35</v>
      </c>
      <c r="B366">
        <v>18</v>
      </c>
      <c r="C366" s="1" t="s">
        <v>31</v>
      </c>
      <c r="D366" s="1" t="s">
        <v>53</v>
      </c>
      <c r="E366">
        <v>2473</v>
      </c>
      <c r="F366" s="1" t="s">
        <v>32</v>
      </c>
      <c r="G366" s="1" t="s">
        <v>54</v>
      </c>
      <c r="H366">
        <v>4</v>
      </c>
      <c r="I366" s="1" t="s">
        <v>39</v>
      </c>
      <c r="J366" s="1" t="s">
        <v>23</v>
      </c>
      <c r="K366">
        <v>1</v>
      </c>
      <c r="L366" s="1" t="s">
        <v>40</v>
      </c>
      <c r="M366">
        <v>25</v>
      </c>
      <c r="N366" s="1" t="s">
        <v>23</v>
      </c>
      <c r="O366" s="1" t="s">
        <v>26</v>
      </c>
      <c r="P366">
        <v>1</v>
      </c>
      <c r="Q366" s="1" t="s">
        <v>62</v>
      </c>
      <c r="R366">
        <v>1</v>
      </c>
      <c r="S366" s="1" t="s">
        <v>23</v>
      </c>
      <c r="T366" s="1" t="s">
        <v>28</v>
      </c>
      <c r="U366" s="1" t="s">
        <v>56</v>
      </c>
    </row>
    <row r="367" spans="1:21" x14ac:dyDescent="0.3">
      <c r="A367" s="1" t="s">
        <v>17</v>
      </c>
      <c r="B367">
        <v>12</v>
      </c>
      <c r="C367" s="1" t="s">
        <v>31</v>
      </c>
      <c r="D367" s="1" t="s">
        <v>61</v>
      </c>
      <c r="E367">
        <v>1542</v>
      </c>
      <c r="F367" s="1" t="s">
        <v>32</v>
      </c>
      <c r="G367" s="1" t="s">
        <v>49</v>
      </c>
      <c r="H367">
        <v>2</v>
      </c>
      <c r="I367" s="1" t="s">
        <v>39</v>
      </c>
      <c r="J367" s="1" t="s">
        <v>23</v>
      </c>
      <c r="K367">
        <v>4</v>
      </c>
      <c r="L367" s="1" t="s">
        <v>40</v>
      </c>
      <c r="M367">
        <v>36</v>
      </c>
      <c r="N367" s="1" t="s">
        <v>23</v>
      </c>
      <c r="O367" s="1" t="s">
        <v>26</v>
      </c>
      <c r="P367">
        <v>1</v>
      </c>
      <c r="Q367" s="1" t="s">
        <v>41</v>
      </c>
      <c r="R367">
        <v>1</v>
      </c>
      <c r="S367" s="1" t="s">
        <v>28</v>
      </c>
      <c r="T367" s="1" t="s">
        <v>28</v>
      </c>
      <c r="U367" s="1" t="s">
        <v>29</v>
      </c>
    </row>
    <row r="368" spans="1:21" x14ac:dyDescent="0.3">
      <c r="A368" s="1" t="s">
        <v>17</v>
      </c>
      <c r="B368">
        <v>18</v>
      </c>
      <c r="C368" s="1" t="s">
        <v>18</v>
      </c>
      <c r="D368" s="1" t="s">
        <v>69</v>
      </c>
      <c r="E368">
        <v>3850</v>
      </c>
      <c r="F368" s="1" t="s">
        <v>32</v>
      </c>
      <c r="G368" s="1" t="s">
        <v>49</v>
      </c>
      <c r="H368">
        <v>3</v>
      </c>
      <c r="I368" s="1" t="s">
        <v>39</v>
      </c>
      <c r="J368" s="1" t="s">
        <v>23</v>
      </c>
      <c r="K368">
        <v>1</v>
      </c>
      <c r="L368" s="1" t="s">
        <v>40</v>
      </c>
      <c r="M368">
        <v>27</v>
      </c>
      <c r="N368" s="1" t="s">
        <v>23</v>
      </c>
      <c r="O368" s="1" t="s">
        <v>26</v>
      </c>
      <c r="P368">
        <v>2</v>
      </c>
      <c r="Q368" s="1" t="s">
        <v>41</v>
      </c>
      <c r="R368">
        <v>1</v>
      </c>
      <c r="S368" s="1" t="s">
        <v>23</v>
      </c>
      <c r="T368" s="1" t="s">
        <v>28</v>
      </c>
      <c r="U368" s="1" t="s">
        <v>29</v>
      </c>
    </row>
    <row r="369" spans="1:21" x14ac:dyDescent="0.3">
      <c r="A369" s="1" t="s">
        <v>35</v>
      </c>
      <c r="B369">
        <v>18</v>
      </c>
      <c r="C369" s="1" t="s">
        <v>31</v>
      </c>
      <c r="D369" s="1" t="s">
        <v>53</v>
      </c>
      <c r="E369">
        <v>3650</v>
      </c>
      <c r="F369" s="1" t="s">
        <v>32</v>
      </c>
      <c r="G369" s="1" t="s">
        <v>45</v>
      </c>
      <c r="H369">
        <v>1</v>
      </c>
      <c r="I369" s="1" t="s">
        <v>22</v>
      </c>
      <c r="J369" s="1" t="s">
        <v>23</v>
      </c>
      <c r="K369">
        <v>4</v>
      </c>
      <c r="L369" s="1" t="s">
        <v>40</v>
      </c>
      <c r="M369">
        <v>22</v>
      </c>
      <c r="N369" s="1" t="s">
        <v>23</v>
      </c>
      <c r="O369" s="1" t="s">
        <v>34</v>
      </c>
      <c r="P369">
        <v>1</v>
      </c>
      <c r="Q369" s="1" t="s">
        <v>41</v>
      </c>
      <c r="R369">
        <v>1</v>
      </c>
      <c r="S369" s="1" t="s">
        <v>23</v>
      </c>
      <c r="T369" s="1" t="s">
        <v>28</v>
      </c>
      <c r="U369" s="1" t="s">
        <v>29</v>
      </c>
    </row>
    <row r="370" spans="1:21" x14ac:dyDescent="0.3">
      <c r="A370" s="1" t="s">
        <v>35</v>
      </c>
      <c r="B370">
        <v>36</v>
      </c>
      <c r="C370" s="1" t="s">
        <v>31</v>
      </c>
      <c r="D370" s="1" t="s">
        <v>53</v>
      </c>
      <c r="E370">
        <v>3446</v>
      </c>
      <c r="F370" s="1" t="s">
        <v>32</v>
      </c>
      <c r="G370" s="1" t="s">
        <v>38</v>
      </c>
      <c r="H370">
        <v>4</v>
      </c>
      <c r="I370" s="1" t="s">
        <v>39</v>
      </c>
      <c r="J370" s="1" t="s">
        <v>23</v>
      </c>
      <c r="K370">
        <v>2</v>
      </c>
      <c r="L370" s="1" t="s">
        <v>40</v>
      </c>
      <c r="M370">
        <v>42</v>
      </c>
      <c r="N370" s="1" t="s">
        <v>23</v>
      </c>
      <c r="O370" s="1" t="s">
        <v>26</v>
      </c>
      <c r="P370">
        <v>1</v>
      </c>
      <c r="Q370" s="1" t="s">
        <v>41</v>
      </c>
      <c r="R370">
        <v>2</v>
      </c>
      <c r="S370" s="1" t="s">
        <v>23</v>
      </c>
      <c r="T370" s="1" t="s">
        <v>28</v>
      </c>
      <c r="U370" s="1" t="s">
        <v>56</v>
      </c>
    </row>
    <row r="371" spans="1:21" x14ac:dyDescent="0.3">
      <c r="A371" s="1" t="s">
        <v>30</v>
      </c>
      <c r="B371">
        <v>18</v>
      </c>
      <c r="C371" s="1" t="s">
        <v>31</v>
      </c>
      <c r="D371" s="1" t="s">
        <v>53</v>
      </c>
      <c r="E371">
        <v>3001</v>
      </c>
      <c r="F371" s="1" t="s">
        <v>32</v>
      </c>
      <c r="G371" s="1" t="s">
        <v>49</v>
      </c>
      <c r="H371">
        <v>2</v>
      </c>
      <c r="I371" s="1" t="s">
        <v>22</v>
      </c>
      <c r="J371" s="1" t="s">
        <v>23</v>
      </c>
      <c r="K371">
        <v>4</v>
      </c>
      <c r="L371" s="1" t="s">
        <v>24</v>
      </c>
      <c r="M371">
        <v>40</v>
      </c>
      <c r="N371" s="1" t="s">
        <v>23</v>
      </c>
      <c r="O371" s="1" t="s">
        <v>34</v>
      </c>
      <c r="P371">
        <v>1</v>
      </c>
      <c r="Q371" s="1" t="s">
        <v>41</v>
      </c>
      <c r="R371">
        <v>1</v>
      </c>
      <c r="S371" s="1" t="s">
        <v>23</v>
      </c>
      <c r="T371" s="1" t="s">
        <v>28</v>
      </c>
      <c r="U371" s="1" t="s">
        <v>29</v>
      </c>
    </row>
    <row r="372" spans="1:21" x14ac:dyDescent="0.3">
      <c r="A372" s="1" t="s">
        <v>17</v>
      </c>
      <c r="B372">
        <v>36</v>
      </c>
      <c r="C372" s="1" t="s">
        <v>31</v>
      </c>
      <c r="D372" s="1" t="s">
        <v>19</v>
      </c>
      <c r="E372">
        <v>3079</v>
      </c>
      <c r="F372" s="1" t="s">
        <v>47</v>
      </c>
      <c r="G372" s="1" t="s">
        <v>21</v>
      </c>
      <c r="H372">
        <v>4</v>
      </c>
      <c r="I372" s="1" t="s">
        <v>39</v>
      </c>
      <c r="J372" s="1" t="s">
        <v>23</v>
      </c>
      <c r="K372">
        <v>4</v>
      </c>
      <c r="L372" s="1" t="s">
        <v>24</v>
      </c>
      <c r="M372">
        <v>36</v>
      </c>
      <c r="N372" s="1" t="s">
        <v>23</v>
      </c>
      <c r="O372" s="1" t="s">
        <v>26</v>
      </c>
      <c r="P372">
        <v>1</v>
      </c>
      <c r="Q372" s="1" t="s">
        <v>41</v>
      </c>
      <c r="R372">
        <v>1</v>
      </c>
      <c r="S372" s="1" t="s">
        <v>23</v>
      </c>
      <c r="T372" s="1" t="s">
        <v>28</v>
      </c>
      <c r="U372" s="1" t="s">
        <v>29</v>
      </c>
    </row>
    <row r="373" spans="1:21" x14ac:dyDescent="0.3">
      <c r="A373" s="1" t="s">
        <v>17</v>
      </c>
      <c r="B373">
        <v>18</v>
      </c>
      <c r="C373" s="1" t="s">
        <v>18</v>
      </c>
      <c r="D373" s="1" t="s">
        <v>36</v>
      </c>
      <c r="E373">
        <v>6070</v>
      </c>
      <c r="F373" s="1" t="s">
        <v>32</v>
      </c>
      <c r="G373" s="1" t="s">
        <v>38</v>
      </c>
      <c r="H373">
        <v>3</v>
      </c>
      <c r="I373" s="1" t="s">
        <v>39</v>
      </c>
      <c r="J373" s="1" t="s">
        <v>23</v>
      </c>
      <c r="K373">
        <v>4</v>
      </c>
      <c r="L373" s="1" t="s">
        <v>40</v>
      </c>
      <c r="M373">
        <v>33</v>
      </c>
      <c r="N373" s="1" t="s">
        <v>23</v>
      </c>
      <c r="O373" s="1" t="s">
        <v>26</v>
      </c>
      <c r="P373">
        <v>2</v>
      </c>
      <c r="Q373" s="1" t="s">
        <v>41</v>
      </c>
      <c r="R373">
        <v>1</v>
      </c>
      <c r="S373" s="1" t="s">
        <v>28</v>
      </c>
      <c r="T373" s="1" t="s">
        <v>28</v>
      </c>
      <c r="U373" s="1" t="s">
        <v>29</v>
      </c>
    </row>
    <row r="374" spans="1:21" x14ac:dyDescent="0.3">
      <c r="A374" s="1" t="s">
        <v>17</v>
      </c>
      <c r="B374">
        <v>10</v>
      </c>
      <c r="C374" s="1" t="s">
        <v>18</v>
      </c>
      <c r="D374" s="1" t="s">
        <v>53</v>
      </c>
      <c r="E374">
        <v>2146</v>
      </c>
      <c r="F374" s="1" t="s">
        <v>32</v>
      </c>
      <c r="G374" s="1" t="s">
        <v>45</v>
      </c>
      <c r="H374">
        <v>1</v>
      </c>
      <c r="I374" s="1" t="s">
        <v>22</v>
      </c>
      <c r="J374" s="1" t="s">
        <v>23</v>
      </c>
      <c r="K374">
        <v>3</v>
      </c>
      <c r="L374" s="1" t="s">
        <v>24</v>
      </c>
      <c r="M374">
        <v>23</v>
      </c>
      <c r="N374" s="1" t="s">
        <v>23</v>
      </c>
      <c r="O374" s="1" t="s">
        <v>34</v>
      </c>
      <c r="P374">
        <v>2</v>
      </c>
      <c r="Q374" s="1" t="s">
        <v>41</v>
      </c>
      <c r="R374">
        <v>1</v>
      </c>
      <c r="S374" s="1" t="s">
        <v>23</v>
      </c>
      <c r="T374" s="1" t="s">
        <v>28</v>
      </c>
      <c r="U374" s="1" t="s">
        <v>29</v>
      </c>
    </row>
    <row r="375" spans="1:21" x14ac:dyDescent="0.3">
      <c r="A375" s="1" t="s">
        <v>17</v>
      </c>
      <c r="B375">
        <v>60</v>
      </c>
      <c r="C375" s="1" t="s">
        <v>18</v>
      </c>
      <c r="D375" s="1" t="s">
        <v>19</v>
      </c>
      <c r="E375">
        <v>13756</v>
      </c>
      <c r="F375" s="1" t="s">
        <v>47</v>
      </c>
      <c r="G375" s="1" t="s">
        <v>38</v>
      </c>
      <c r="H375">
        <v>2</v>
      </c>
      <c r="I375" s="1" t="s">
        <v>39</v>
      </c>
      <c r="J375" s="1" t="s">
        <v>23</v>
      </c>
      <c r="K375">
        <v>4</v>
      </c>
      <c r="L375" s="1" t="s">
        <v>65</v>
      </c>
      <c r="M375">
        <v>63</v>
      </c>
      <c r="N375" s="1" t="s">
        <v>25</v>
      </c>
      <c r="O375" s="1" t="s">
        <v>66</v>
      </c>
      <c r="P375">
        <v>1</v>
      </c>
      <c r="Q375" s="1" t="s">
        <v>63</v>
      </c>
      <c r="R375">
        <v>1</v>
      </c>
      <c r="S375" s="1" t="s">
        <v>28</v>
      </c>
      <c r="T375" s="1" t="s">
        <v>28</v>
      </c>
      <c r="U375" s="1" t="s">
        <v>29</v>
      </c>
    </row>
    <row r="376" spans="1:21" x14ac:dyDescent="0.3">
      <c r="A376" s="1" t="s">
        <v>30</v>
      </c>
      <c r="B376">
        <v>60</v>
      </c>
      <c r="C376" s="1" t="s">
        <v>42</v>
      </c>
      <c r="D376" s="1" t="s">
        <v>68</v>
      </c>
      <c r="E376">
        <v>14782</v>
      </c>
      <c r="F376" s="1" t="s">
        <v>46</v>
      </c>
      <c r="G376" s="1" t="s">
        <v>38</v>
      </c>
      <c r="H376">
        <v>3</v>
      </c>
      <c r="I376" s="1" t="s">
        <v>22</v>
      </c>
      <c r="J376" s="1" t="s">
        <v>23</v>
      </c>
      <c r="K376">
        <v>4</v>
      </c>
      <c r="L376" s="1" t="s">
        <v>65</v>
      </c>
      <c r="M376">
        <v>60</v>
      </c>
      <c r="N376" s="1" t="s">
        <v>25</v>
      </c>
      <c r="O376" s="1" t="s">
        <v>66</v>
      </c>
      <c r="P376">
        <v>2</v>
      </c>
      <c r="Q376" s="1" t="s">
        <v>63</v>
      </c>
      <c r="R376">
        <v>1</v>
      </c>
      <c r="S376" s="1" t="s">
        <v>28</v>
      </c>
      <c r="T376" s="1" t="s">
        <v>28</v>
      </c>
      <c r="U376" s="1" t="s">
        <v>56</v>
      </c>
    </row>
    <row r="377" spans="1:21" x14ac:dyDescent="0.3">
      <c r="A377" s="1" t="s">
        <v>35</v>
      </c>
      <c r="B377">
        <v>48</v>
      </c>
      <c r="C377" s="1" t="s">
        <v>42</v>
      </c>
      <c r="D377" s="1" t="s">
        <v>61</v>
      </c>
      <c r="E377">
        <v>7685</v>
      </c>
      <c r="F377" s="1" t="s">
        <v>32</v>
      </c>
      <c r="G377" s="1" t="s">
        <v>49</v>
      </c>
      <c r="H377">
        <v>2</v>
      </c>
      <c r="I377" s="1" t="s">
        <v>22</v>
      </c>
      <c r="J377" s="1" t="s">
        <v>58</v>
      </c>
      <c r="K377">
        <v>4</v>
      </c>
      <c r="L377" s="1" t="s">
        <v>40</v>
      </c>
      <c r="M377">
        <v>37</v>
      </c>
      <c r="N377" s="1" t="s">
        <v>23</v>
      </c>
      <c r="O377" s="1" t="s">
        <v>34</v>
      </c>
      <c r="P377">
        <v>1</v>
      </c>
      <c r="Q377" s="1" t="s">
        <v>41</v>
      </c>
      <c r="R377">
        <v>1</v>
      </c>
      <c r="S377" s="1" t="s">
        <v>23</v>
      </c>
      <c r="T377" s="1" t="s">
        <v>28</v>
      </c>
      <c r="U377" s="1" t="s">
        <v>56</v>
      </c>
    </row>
    <row r="378" spans="1:21" x14ac:dyDescent="0.3">
      <c r="A378" s="1" t="s">
        <v>17</v>
      </c>
      <c r="B378">
        <v>18</v>
      </c>
      <c r="C378" s="1" t="s">
        <v>59</v>
      </c>
      <c r="D378" s="1" t="s">
        <v>36</v>
      </c>
      <c r="E378">
        <v>2320</v>
      </c>
      <c r="F378" s="1" t="s">
        <v>32</v>
      </c>
      <c r="G378" s="1" t="s">
        <v>54</v>
      </c>
      <c r="H378">
        <v>2</v>
      </c>
      <c r="I378" s="1" t="s">
        <v>33</v>
      </c>
      <c r="J378" s="1" t="s">
        <v>23</v>
      </c>
      <c r="K378">
        <v>3</v>
      </c>
      <c r="L378" s="1" t="s">
        <v>24</v>
      </c>
      <c r="M378">
        <v>34</v>
      </c>
      <c r="N378" s="1" t="s">
        <v>23</v>
      </c>
      <c r="O378" s="1" t="s">
        <v>26</v>
      </c>
      <c r="P378">
        <v>2</v>
      </c>
      <c r="Q378" s="1" t="s">
        <v>41</v>
      </c>
      <c r="R378">
        <v>1</v>
      </c>
      <c r="S378" s="1" t="s">
        <v>23</v>
      </c>
      <c r="T378" s="1" t="s">
        <v>28</v>
      </c>
      <c r="U378" s="1" t="s">
        <v>29</v>
      </c>
    </row>
    <row r="379" spans="1:21" x14ac:dyDescent="0.3">
      <c r="A379" s="1" t="s">
        <v>17</v>
      </c>
      <c r="B379">
        <v>7</v>
      </c>
      <c r="C379" s="1" t="s">
        <v>59</v>
      </c>
      <c r="D379" s="1" t="s">
        <v>36</v>
      </c>
      <c r="E379">
        <v>846</v>
      </c>
      <c r="F379" s="1" t="s">
        <v>47</v>
      </c>
      <c r="G379" s="1" t="s">
        <v>38</v>
      </c>
      <c r="H379">
        <v>3</v>
      </c>
      <c r="I379" s="1" t="s">
        <v>39</v>
      </c>
      <c r="J379" s="1" t="s">
        <v>23</v>
      </c>
      <c r="K379">
        <v>4</v>
      </c>
      <c r="L379" s="1" t="s">
        <v>65</v>
      </c>
      <c r="M379">
        <v>36</v>
      </c>
      <c r="N379" s="1" t="s">
        <v>23</v>
      </c>
      <c r="O379" s="1" t="s">
        <v>66</v>
      </c>
      <c r="P379">
        <v>1</v>
      </c>
      <c r="Q379" s="1" t="s">
        <v>41</v>
      </c>
      <c r="R379">
        <v>1</v>
      </c>
      <c r="S379" s="1" t="s">
        <v>23</v>
      </c>
      <c r="T379" s="1" t="s">
        <v>28</v>
      </c>
      <c r="U379" s="1" t="s">
        <v>29</v>
      </c>
    </row>
    <row r="380" spans="1:21" x14ac:dyDescent="0.3">
      <c r="A380" s="1" t="s">
        <v>30</v>
      </c>
      <c r="B380">
        <v>36</v>
      </c>
      <c r="C380" s="1" t="s">
        <v>31</v>
      </c>
      <c r="D380" s="1" t="s">
        <v>19</v>
      </c>
      <c r="E380">
        <v>14318</v>
      </c>
      <c r="F380" s="1" t="s">
        <v>32</v>
      </c>
      <c r="G380" s="1" t="s">
        <v>38</v>
      </c>
      <c r="H380">
        <v>4</v>
      </c>
      <c r="I380" s="1" t="s">
        <v>39</v>
      </c>
      <c r="J380" s="1" t="s">
        <v>23</v>
      </c>
      <c r="K380">
        <v>2</v>
      </c>
      <c r="L380" s="1" t="s">
        <v>65</v>
      </c>
      <c r="M380">
        <v>57</v>
      </c>
      <c r="N380" s="1" t="s">
        <v>23</v>
      </c>
      <c r="O380" s="1" t="s">
        <v>66</v>
      </c>
      <c r="P380">
        <v>1</v>
      </c>
      <c r="Q380" s="1" t="s">
        <v>63</v>
      </c>
      <c r="R380">
        <v>1</v>
      </c>
      <c r="S380" s="1" t="s">
        <v>28</v>
      </c>
      <c r="T380" s="1" t="s">
        <v>28</v>
      </c>
      <c r="U380" s="1" t="s">
        <v>56</v>
      </c>
    </row>
    <row r="381" spans="1:21" x14ac:dyDescent="0.3">
      <c r="A381" s="1" t="s">
        <v>17</v>
      </c>
      <c r="B381">
        <v>6</v>
      </c>
      <c r="C381" s="1" t="s">
        <v>18</v>
      </c>
      <c r="D381" s="1" t="s">
        <v>19</v>
      </c>
      <c r="E381">
        <v>362</v>
      </c>
      <c r="F381" s="1" t="s">
        <v>46</v>
      </c>
      <c r="G381" s="1" t="s">
        <v>21</v>
      </c>
      <c r="H381">
        <v>4</v>
      </c>
      <c r="I381" s="1" t="s">
        <v>22</v>
      </c>
      <c r="J381" s="1" t="s">
        <v>23</v>
      </c>
      <c r="K381">
        <v>4</v>
      </c>
      <c r="L381" s="1" t="s">
        <v>40</v>
      </c>
      <c r="M381">
        <v>52</v>
      </c>
      <c r="N381" s="1" t="s">
        <v>23</v>
      </c>
      <c r="O381" s="1" t="s">
        <v>26</v>
      </c>
      <c r="P381">
        <v>2</v>
      </c>
      <c r="Q381" s="1" t="s">
        <v>27</v>
      </c>
      <c r="R381">
        <v>1</v>
      </c>
      <c r="S381" s="1" t="s">
        <v>23</v>
      </c>
      <c r="T381" s="1" t="s">
        <v>28</v>
      </c>
      <c r="U381" s="1" t="s">
        <v>29</v>
      </c>
    </row>
    <row r="382" spans="1:21" x14ac:dyDescent="0.3">
      <c r="A382" s="1" t="s">
        <v>35</v>
      </c>
      <c r="B382">
        <v>20</v>
      </c>
      <c r="C382" s="1" t="s">
        <v>31</v>
      </c>
      <c r="D382" s="1" t="s">
        <v>53</v>
      </c>
      <c r="E382">
        <v>2212</v>
      </c>
      <c r="F382" s="1" t="s">
        <v>47</v>
      </c>
      <c r="G382" s="1" t="s">
        <v>49</v>
      </c>
      <c r="H382">
        <v>4</v>
      </c>
      <c r="I382" s="1" t="s">
        <v>39</v>
      </c>
      <c r="J382" s="1" t="s">
        <v>23</v>
      </c>
      <c r="K382">
        <v>4</v>
      </c>
      <c r="L382" s="1" t="s">
        <v>40</v>
      </c>
      <c r="M382">
        <v>39</v>
      </c>
      <c r="N382" s="1" t="s">
        <v>23</v>
      </c>
      <c r="O382" s="1" t="s">
        <v>26</v>
      </c>
      <c r="P382">
        <v>1</v>
      </c>
      <c r="Q382" s="1" t="s">
        <v>41</v>
      </c>
      <c r="R382">
        <v>1</v>
      </c>
      <c r="S382" s="1" t="s">
        <v>28</v>
      </c>
      <c r="T382" s="1" t="s">
        <v>28</v>
      </c>
      <c r="U382" s="1" t="s">
        <v>29</v>
      </c>
    </row>
    <row r="383" spans="1:21" x14ac:dyDescent="0.3">
      <c r="A383" s="1" t="s">
        <v>30</v>
      </c>
      <c r="B383">
        <v>18</v>
      </c>
      <c r="C383" s="1" t="s">
        <v>31</v>
      </c>
      <c r="D383" s="1" t="s">
        <v>69</v>
      </c>
      <c r="E383">
        <v>12976</v>
      </c>
      <c r="F383" s="1" t="s">
        <v>32</v>
      </c>
      <c r="G383" s="1" t="s">
        <v>54</v>
      </c>
      <c r="H383">
        <v>3</v>
      </c>
      <c r="I383" s="1" t="s">
        <v>22</v>
      </c>
      <c r="J383" s="1" t="s">
        <v>23</v>
      </c>
      <c r="K383">
        <v>4</v>
      </c>
      <c r="L383" s="1" t="s">
        <v>65</v>
      </c>
      <c r="M383">
        <v>38</v>
      </c>
      <c r="N383" s="1" t="s">
        <v>23</v>
      </c>
      <c r="O383" s="1" t="s">
        <v>66</v>
      </c>
      <c r="P383">
        <v>1</v>
      </c>
      <c r="Q383" s="1" t="s">
        <v>63</v>
      </c>
      <c r="R383">
        <v>1</v>
      </c>
      <c r="S383" s="1" t="s">
        <v>28</v>
      </c>
      <c r="T383" s="1" t="s">
        <v>28</v>
      </c>
      <c r="U383" s="1" t="s">
        <v>56</v>
      </c>
    </row>
    <row r="384" spans="1:21" x14ac:dyDescent="0.3">
      <c r="A384" s="1" t="s">
        <v>17</v>
      </c>
      <c r="B384">
        <v>22</v>
      </c>
      <c r="C384" s="1" t="s">
        <v>31</v>
      </c>
      <c r="D384" s="1" t="s">
        <v>19</v>
      </c>
      <c r="E384">
        <v>1283</v>
      </c>
      <c r="F384" s="1" t="s">
        <v>47</v>
      </c>
      <c r="G384" s="1" t="s">
        <v>49</v>
      </c>
      <c r="H384">
        <v>4</v>
      </c>
      <c r="I384" s="1" t="s">
        <v>22</v>
      </c>
      <c r="J384" s="1" t="s">
        <v>23</v>
      </c>
      <c r="K384">
        <v>4</v>
      </c>
      <c r="L384" s="1" t="s">
        <v>48</v>
      </c>
      <c r="M384">
        <v>25</v>
      </c>
      <c r="N384" s="1" t="s">
        <v>23</v>
      </c>
      <c r="O384" s="1" t="s">
        <v>34</v>
      </c>
      <c r="P384">
        <v>1</v>
      </c>
      <c r="Q384" s="1" t="s">
        <v>41</v>
      </c>
      <c r="R384">
        <v>1</v>
      </c>
      <c r="S384" s="1" t="s">
        <v>23</v>
      </c>
      <c r="T384" s="1" t="s">
        <v>28</v>
      </c>
      <c r="U384" s="1" t="s">
        <v>29</v>
      </c>
    </row>
    <row r="385" spans="1:21" x14ac:dyDescent="0.3">
      <c r="A385" s="1" t="s">
        <v>50</v>
      </c>
      <c r="B385">
        <v>12</v>
      </c>
      <c r="C385" s="1" t="s">
        <v>31</v>
      </c>
      <c r="D385" s="1" t="s">
        <v>19</v>
      </c>
      <c r="E385">
        <v>1330</v>
      </c>
      <c r="F385" s="1" t="s">
        <v>32</v>
      </c>
      <c r="G385" s="1" t="s">
        <v>45</v>
      </c>
      <c r="H385">
        <v>4</v>
      </c>
      <c r="I385" s="1" t="s">
        <v>39</v>
      </c>
      <c r="J385" s="1" t="s">
        <v>23</v>
      </c>
      <c r="K385">
        <v>1</v>
      </c>
      <c r="L385" s="1" t="s">
        <v>24</v>
      </c>
      <c r="M385">
        <v>26</v>
      </c>
      <c r="N385" s="1" t="s">
        <v>23</v>
      </c>
      <c r="O385" s="1" t="s">
        <v>26</v>
      </c>
      <c r="P385">
        <v>1</v>
      </c>
      <c r="Q385" s="1" t="s">
        <v>41</v>
      </c>
      <c r="R385">
        <v>1</v>
      </c>
      <c r="S385" s="1" t="s">
        <v>23</v>
      </c>
      <c r="T385" s="1" t="s">
        <v>28</v>
      </c>
      <c r="U385" s="1" t="s">
        <v>29</v>
      </c>
    </row>
    <row r="386" spans="1:21" x14ac:dyDescent="0.3">
      <c r="A386" s="1" t="s">
        <v>17</v>
      </c>
      <c r="B386">
        <v>30</v>
      </c>
      <c r="C386" s="1" t="s">
        <v>59</v>
      </c>
      <c r="D386" s="1" t="s">
        <v>61</v>
      </c>
      <c r="E386">
        <v>4272</v>
      </c>
      <c r="F386" s="1" t="s">
        <v>46</v>
      </c>
      <c r="G386" s="1" t="s">
        <v>21</v>
      </c>
      <c r="H386">
        <v>2</v>
      </c>
      <c r="I386" s="1" t="s">
        <v>39</v>
      </c>
      <c r="J386" s="1" t="s">
        <v>23</v>
      </c>
      <c r="K386">
        <v>2</v>
      </c>
      <c r="L386" s="1" t="s">
        <v>48</v>
      </c>
      <c r="M386">
        <v>26</v>
      </c>
      <c r="N386" s="1" t="s">
        <v>23</v>
      </c>
      <c r="O386" s="1" t="s">
        <v>26</v>
      </c>
      <c r="P386">
        <v>2</v>
      </c>
      <c r="Q386" s="1" t="s">
        <v>27</v>
      </c>
      <c r="R386">
        <v>1</v>
      </c>
      <c r="S386" s="1" t="s">
        <v>23</v>
      </c>
      <c r="T386" s="1" t="s">
        <v>28</v>
      </c>
      <c r="U386" s="1" t="s">
        <v>29</v>
      </c>
    </row>
    <row r="387" spans="1:21" x14ac:dyDescent="0.3">
      <c r="A387" s="1" t="s">
        <v>17</v>
      </c>
      <c r="B387">
        <v>18</v>
      </c>
      <c r="C387" s="1" t="s">
        <v>18</v>
      </c>
      <c r="D387" s="1" t="s">
        <v>36</v>
      </c>
      <c r="E387">
        <v>2238</v>
      </c>
      <c r="F387" s="1" t="s">
        <v>32</v>
      </c>
      <c r="G387" s="1" t="s">
        <v>21</v>
      </c>
      <c r="H387">
        <v>2</v>
      </c>
      <c r="I387" s="1" t="s">
        <v>22</v>
      </c>
      <c r="J387" s="1" t="s">
        <v>23</v>
      </c>
      <c r="K387">
        <v>1</v>
      </c>
      <c r="L387" s="1" t="s">
        <v>40</v>
      </c>
      <c r="M387">
        <v>25</v>
      </c>
      <c r="N387" s="1" t="s">
        <v>23</v>
      </c>
      <c r="O387" s="1" t="s">
        <v>26</v>
      </c>
      <c r="P387">
        <v>2</v>
      </c>
      <c r="Q387" s="1" t="s">
        <v>41</v>
      </c>
      <c r="R387">
        <v>1</v>
      </c>
      <c r="S387" s="1" t="s">
        <v>23</v>
      </c>
      <c r="T387" s="1" t="s">
        <v>28</v>
      </c>
      <c r="U387" s="1" t="s">
        <v>29</v>
      </c>
    </row>
    <row r="388" spans="1:21" x14ac:dyDescent="0.3">
      <c r="A388" s="1" t="s">
        <v>17</v>
      </c>
      <c r="B388">
        <v>18</v>
      </c>
      <c r="C388" s="1" t="s">
        <v>31</v>
      </c>
      <c r="D388" s="1" t="s">
        <v>36</v>
      </c>
      <c r="E388">
        <v>1126</v>
      </c>
      <c r="F388" s="1" t="s">
        <v>47</v>
      </c>
      <c r="G388" s="1" t="s">
        <v>45</v>
      </c>
      <c r="H388">
        <v>4</v>
      </c>
      <c r="I388" s="1" t="s">
        <v>22</v>
      </c>
      <c r="J388" s="1" t="s">
        <v>23</v>
      </c>
      <c r="K388">
        <v>2</v>
      </c>
      <c r="L388" s="1" t="s">
        <v>24</v>
      </c>
      <c r="M388">
        <v>21</v>
      </c>
      <c r="N388" s="1" t="s">
        <v>23</v>
      </c>
      <c r="O388" s="1" t="s">
        <v>34</v>
      </c>
      <c r="P388">
        <v>1</v>
      </c>
      <c r="Q388" s="1" t="s">
        <v>41</v>
      </c>
      <c r="R388">
        <v>1</v>
      </c>
      <c r="S388" s="1" t="s">
        <v>28</v>
      </c>
      <c r="T388" s="1" t="s">
        <v>28</v>
      </c>
      <c r="U388" s="1" t="s">
        <v>29</v>
      </c>
    </row>
    <row r="389" spans="1:21" x14ac:dyDescent="0.3">
      <c r="A389" s="1" t="s">
        <v>30</v>
      </c>
      <c r="B389">
        <v>18</v>
      </c>
      <c r="C389" s="1" t="s">
        <v>18</v>
      </c>
      <c r="D389" s="1" t="s">
        <v>53</v>
      </c>
      <c r="E389">
        <v>7374</v>
      </c>
      <c r="F389" s="1" t="s">
        <v>32</v>
      </c>
      <c r="G389" s="1" t="s">
        <v>54</v>
      </c>
      <c r="H389">
        <v>4</v>
      </c>
      <c r="I389" s="1" t="s">
        <v>39</v>
      </c>
      <c r="J389" s="1" t="s">
        <v>23</v>
      </c>
      <c r="K389">
        <v>4</v>
      </c>
      <c r="L389" s="1" t="s">
        <v>48</v>
      </c>
      <c r="M389">
        <v>40</v>
      </c>
      <c r="N389" s="1" t="s">
        <v>67</v>
      </c>
      <c r="O389" s="1" t="s">
        <v>26</v>
      </c>
      <c r="P389">
        <v>2</v>
      </c>
      <c r="Q389" s="1" t="s">
        <v>63</v>
      </c>
      <c r="R389">
        <v>1</v>
      </c>
      <c r="S389" s="1" t="s">
        <v>28</v>
      </c>
      <c r="T389" s="1" t="s">
        <v>28</v>
      </c>
      <c r="U389" s="1" t="s">
        <v>29</v>
      </c>
    </row>
    <row r="390" spans="1:21" x14ac:dyDescent="0.3">
      <c r="A390" s="1" t="s">
        <v>30</v>
      </c>
      <c r="B390">
        <v>15</v>
      </c>
      <c r="C390" s="1" t="s">
        <v>18</v>
      </c>
      <c r="D390" s="1" t="s">
        <v>61</v>
      </c>
      <c r="E390">
        <v>2326</v>
      </c>
      <c r="F390" s="1" t="s">
        <v>37</v>
      </c>
      <c r="G390" s="1" t="s">
        <v>21</v>
      </c>
      <c r="H390">
        <v>2</v>
      </c>
      <c r="I390" s="1" t="s">
        <v>39</v>
      </c>
      <c r="J390" s="1" t="s">
        <v>23</v>
      </c>
      <c r="K390">
        <v>4</v>
      </c>
      <c r="L390" s="1" t="s">
        <v>40</v>
      </c>
      <c r="M390">
        <v>27</v>
      </c>
      <c r="N390" s="1" t="s">
        <v>25</v>
      </c>
      <c r="O390" s="1" t="s">
        <v>26</v>
      </c>
      <c r="P390">
        <v>1</v>
      </c>
      <c r="Q390" s="1" t="s">
        <v>41</v>
      </c>
      <c r="R390">
        <v>1</v>
      </c>
      <c r="S390" s="1" t="s">
        <v>23</v>
      </c>
      <c r="T390" s="1" t="s">
        <v>28</v>
      </c>
      <c r="U390" s="1" t="s">
        <v>29</v>
      </c>
    </row>
    <row r="391" spans="1:21" x14ac:dyDescent="0.3">
      <c r="A391" s="1" t="s">
        <v>17</v>
      </c>
      <c r="B391">
        <v>9</v>
      </c>
      <c r="C391" s="1" t="s">
        <v>31</v>
      </c>
      <c r="D391" s="1" t="s">
        <v>61</v>
      </c>
      <c r="E391">
        <v>1449</v>
      </c>
      <c r="F391" s="1" t="s">
        <v>32</v>
      </c>
      <c r="G391" s="1" t="s">
        <v>49</v>
      </c>
      <c r="H391">
        <v>3</v>
      </c>
      <c r="I391" s="1" t="s">
        <v>22</v>
      </c>
      <c r="J391" s="1" t="s">
        <v>23</v>
      </c>
      <c r="K391">
        <v>2</v>
      </c>
      <c r="L391" s="1" t="s">
        <v>40</v>
      </c>
      <c r="M391">
        <v>27</v>
      </c>
      <c r="N391" s="1" t="s">
        <v>23</v>
      </c>
      <c r="O391" s="1" t="s">
        <v>26</v>
      </c>
      <c r="P391">
        <v>2</v>
      </c>
      <c r="Q391" s="1" t="s">
        <v>41</v>
      </c>
      <c r="R391">
        <v>1</v>
      </c>
      <c r="S391" s="1" t="s">
        <v>23</v>
      </c>
      <c r="T391" s="1" t="s">
        <v>28</v>
      </c>
      <c r="U391" s="1" t="s">
        <v>29</v>
      </c>
    </row>
    <row r="392" spans="1:21" x14ac:dyDescent="0.3">
      <c r="A392" s="1" t="s">
        <v>17</v>
      </c>
      <c r="B392">
        <v>18</v>
      </c>
      <c r="C392" s="1" t="s">
        <v>31</v>
      </c>
      <c r="D392" s="1" t="s">
        <v>19</v>
      </c>
      <c r="E392">
        <v>1820</v>
      </c>
      <c r="F392" s="1" t="s">
        <v>32</v>
      </c>
      <c r="G392" s="1" t="s">
        <v>21</v>
      </c>
      <c r="H392">
        <v>2</v>
      </c>
      <c r="I392" s="1" t="s">
        <v>33</v>
      </c>
      <c r="J392" s="1" t="s">
        <v>23</v>
      </c>
      <c r="K392">
        <v>2</v>
      </c>
      <c r="L392" s="1" t="s">
        <v>48</v>
      </c>
      <c r="M392">
        <v>30</v>
      </c>
      <c r="N392" s="1" t="s">
        <v>23</v>
      </c>
      <c r="O392" s="1" t="s">
        <v>26</v>
      </c>
      <c r="P392">
        <v>1</v>
      </c>
      <c r="Q392" s="1" t="s">
        <v>63</v>
      </c>
      <c r="R392">
        <v>1</v>
      </c>
      <c r="S392" s="1" t="s">
        <v>28</v>
      </c>
      <c r="T392" s="1" t="s">
        <v>28</v>
      </c>
      <c r="U392" s="1" t="s">
        <v>29</v>
      </c>
    </row>
    <row r="393" spans="1:21" x14ac:dyDescent="0.3">
      <c r="A393" s="1" t="s">
        <v>30</v>
      </c>
      <c r="B393">
        <v>12</v>
      </c>
      <c r="C393" s="1" t="s">
        <v>31</v>
      </c>
      <c r="D393" s="1" t="s">
        <v>53</v>
      </c>
      <c r="E393">
        <v>983</v>
      </c>
      <c r="F393" s="1" t="s">
        <v>20</v>
      </c>
      <c r="G393" s="1" t="s">
        <v>45</v>
      </c>
      <c r="H393">
        <v>1</v>
      </c>
      <c r="I393" s="1" t="s">
        <v>22</v>
      </c>
      <c r="J393" s="1" t="s">
        <v>23</v>
      </c>
      <c r="K393">
        <v>4</v>
      </c>
      <c r="L393" s="1" t="s">
        <v>24</v>
      </c>
      <c r="M393">
        <v>19</v>
      </c>
      <c r="N393" s="1" t="s">
        <v>23</v>
      </c>
      <c r="O393" s="1" t="s">
        <v>34</v>
      </c>
      <c r="P393">
        <v>1</v>
      </c>
      <c r="Q393" s="1" t="s">
        <v>27</v>
      </c>
      <c r="R393">
        <v>1</v>
      </c>
      <c r="S393" s="1" t="s">
        <v>23</v>
      </c>
      <c r="T393" s="1" t="s">
        <v>28</v>
      </c>
      <c r="U393" s="1" t="s">
        <v>29</v>
      </c>
    </row>
    <row r="394" spans="1:21" x14ac:dyDescent="0.3">
      <c r="A394" s="1" t="s">
        <v>35</v>
      </c>
      <c r="B394">
        <v>36</v>
      </c>
      <c r="C394" s="1" t="s">
        <v>31</v>
      </c>
      <c r="D394" s="1" t="s">
        <v>19</v>
      </c>
      <c r="E394">
        <v>3249</v>
      </c>
      <c r="F394" s="1" t="s">
        <v>32</v>
      </c>
      <c r="G394" s="1" t="s">
        <v>49</v>
      </c>
      <c r="H394">
        <v>2</v>
      </c>
      <c r="I394" s="1" t="s">
        <v>39</v>
      </c>
      <c r="J394" s="1" t="s">
        <v>23</v>
      </c>
      <c r="K394">
        <v>4</v>
      </c>
      <c r="L394" s="1" t="s">
        <v>65</v>
      </c>
      <c r="M394">
        <v>39</v>
      </c>
      <c r="N394" s="1" t="s">
        <v>25</v>
      </c>
      <c r="O394" s="1" t="s">
        <v>66</v>
      </c>
      <c r="P394">
        <v>1</v>
      </c>
      <c r="Q394" s="1" t="s">
        <v>63</v>
      </c>
      <c r="R394">
        <v>2</v>
      </c>
      <c r="S394" s="1" t="s">
        <v>28</v>
      </c>
      <c r="T394" s="1" t="s">
        <v>28</v>
      </c>
      <c r="U394" s="1" t="s">
        <v>29</v>
      </c>
    </row>
    <row r="395" spans="1:21" x14ac:dyDescent="0.3">
      <c r="A395" s="1" t="s">
        <v>35</v>
      </c>
      <c r="B395">
        <v>6</v>
      </c>
      <c r="C395" s="1" t="s">
        <v>18</v>
      </c>
      <c r="D395" s="1" t="s">
        <v>36</v>
      </c>
      <c r="E395">
        <v>1957</v>
      </c>
      <c r="F395" s="1" t="s">
        <v>32</v>
      </c>
      <c r="G395" s="1" t="s">
        <v>49</v>
      </c>
      <c r="H395">
        <v>1</v>
      </c>
      <c r="I395" s="1" t="s">
        <v>22</v>
      </c>
      <c r="J395" s="1" t="s">
        <v>23</v>
      </c>
      <c r="K395">
        <v>4</v>
      </c>
      <c r="L395" s="1" t="s">
        <v>40</v>
      </c>
      <c r="M395">
        <v>31</v>
      </c>
      <c r="N395" s="1" t="s">
        <v>23</v>
      </c>
      <c r="O395" s="1" t="s">
        <v>26</v>
      </c>
      <c r="P395">
        <v>1</v>
      </c>
      <c r="Q395" s="1" t="s">
        <v>41</v>
      </c>
      <c r="R395">
        <v>1</v>
      </c>
      <c r="S395" s="1" t="s">
        <v>23</v>
      </c>
      <c r="T395" s="1" t="s">
        <v>28</v>
      </c>
      <c r="U395" s="1" t="s">
        <v>29</v>
      </c>
    </row>
    <row r="396" spans="1:21" x14ac:dyDescent="0.3">
      <c r="A396" s="1" t="s">
        <v>17</v>
      </c>
      <c r="B396">
        <v>9</v>
      </c>
      <c r="C396" s="1" t="s">
        <v>18</v>
      </c>
      <c r="D396" s="1" t="s">
        <v>53</v>
      </c>
      <c r="E396">
        <v>2406</v>
      </c>
      <c r="F396" s="1" t="s">
        <v>32</v>
      </c>
      <c r="G396" s="1" t="s">
        <v>54</v>
      </c>
      <c r="H396">
        <v>2</v>
      </c>
      <c r="I396" s="1" t="s">
        <v>39</v>
      </c>
      <c r="J396" s="1" t="s">
        <v>23</v>
      </c>
      <c r="K396">
        <v>3</v>
      </c>
      <c r="L396" s="1" t="s">
        <v>40</v>
      </c>
      <c r="M396">
        <v>31</v>
      </c>
      <c r="N396" s="1" t="s">
        <v>23</v>
      </c>
      <c r="O396" s="1" t="s">
        <v>26</v>
      </c>
      <c r="P396">
        <v>1</v>
      </c>
      <c r="Q396" s="1" t="s">
        <v>63</v>
      </c>
      <c r="R396">
        <v>1</v>
      </c>
      <c r="S396" s="1" t="s">
        <v>23</v>
      </c>
      <c r="T396" s="1" t="s">
        <v>28</v>
      </c>
      <c r="U396" s="1" t="s">
        <v>29</v>
      </c>
    </row>
    <row r="397" spans="1:21" x14ac:dyDescent="0.3">
      <c r="A397" s="1" t="s">
        <v>30</v>
      </c>
      <c r="B397">
        <v>39</v>
      </c>
      <c r="C397" s="1" t="s">
        <v>59</v>
      </c>
      <c r="D397" s="1" t="s">
        <v>51</v>
      </c>
      <c r="E397">
        <v>11760</v>
      </c>
      <c r="F397" s="1" t="s">
        <v>46</v>
      </c>
      <c r="G397" s="1" t="s">
        <v>49</v>
      </c>
      <c r="H397">
        <v>2</v>
      </c>
      <c r="I397" s="1" t="s">
        <v>39</v>
      </c>
      <c r="J397" s="1" t="s">
        <v>23</v>
      </c>
      <c r="K397">
        <v>3</v>
      </c>
      <c r="L397" s="1" t="s">
        <v>65</v>
      </c>
      <c r="M397">
        <v>32</v>
      </c>
      <c r="N397" s="1" t="s">
        <v>23</v>
      </c>
      <c r="O397" s="1" t="s">
        <v>34</v>
      </c>
      <c r="P397">
        <v>1</v>
      </c>
      <c r="Q397" s="1" t="s">
        <v>41</v>
      </c>
      <c r="R397">
        <v>1</v>
      </c>
      <c r="S397" s="1" t="s">
        <v>28</v>
      </c>
      <c r="T397" s="1" t="s">
        <v>28</v>
      </c>
      <c r="U397" s="1" t="s">
        <v>29</v>
      </c>
    </row>
    <row r="398" spans="1:21" x14ac:dyDescent="0.3">
      <c r="A398" s="1" t="s">
        <v>35</v>
      </c>
      <c r="B398">
        <v>12</v>
      </c>
      <c r="C398" s="1" t="s">
        <v>31</v>
      </c>
      <c r="D398" s="1" t="s">
        <v>53</v>
      </c>
      <c r="E398">
        <v>2578</v>
      </c>
      <c r="F398" s="1" t="s">
        <v>32</v>
      </c>
      <c r="G398" s="1" t="s">
        <v>54</v>
      </c>
      <c r="H398">
        <v>3</v>
      </c>
      <c r="I398" s="1" t="s">
        <v>22</v>
      </c>
      <c r="J398" s="1" t="s">
        <v>23</v>
      </c>
      <c r="K398">
        <v>4</v>
      </c>
      <c r="L398" s="1" t="s">
        <v>65</v>
      </c>
      <c r="M398">
        <v>55</v>
      </c>
      <c r="N398" s="1" t="s">
        <v>23</v>
      </c>
      <c r="O398" s="1" t="s">
        <v>66</v>
      </c>
      <c r="P398">
        <v>1</v>
      </c>
      <c r="Q398" s="1" t="s">
        <v>63</v>
      </c>
      <c r="R398">
        <v>1</v>
      </c>
      <c r="S398" s="1" t="s">
        <v>23</v>
      </c>
      <c r="T398" s="1" t="s">
        <v>28</v>
      </c>
      <c r="U398" s="1" t="s">
        <v>29</v>
      </c>
    </row>
    <row r="399" spans="1:21" x14ac:dyDescent="0.3">
      <c r="A399" s="1" t="s">
        <v>35</v>
      </c>
      <c r="B399">
        <v>36</v>
      </c>
      <c r="C399" s="1" t="s">
        <v>18</v>
      </c>
      <c r="D399" s="1" t="s">
        <v>53</v>
      </c>
      <c r="E399">
        <v>2348</v>
      </c>
      <c r="F399" s="1" t="s">
        <v>32</v>
      </c>
      <c r="G399" s="1" t="s">
        <v>21</v>
      </c>
      <c r="H399">
        <v>3</v>
      </c>
      <c r="I399" s="1" t="s">
        <v>33</v>
      </c>
      <c r="J399" s="1" t="s">
        <v>23</v>
      </c>
      <c r="K399">
        <v>2</v>
      </c>
      <c r="L399" s="1" t="s">
        <v>48</v>
      </c>
      <c r="M399">
        <v>46</v>
      </c>
      <c r="N399" s="1" t="s">
        <v>23</v>
      </c>
      <c r="O399" s="1" t="s">
        <v>26</v>
      </c>
      <c r="P399">
        <v>2</v>
      </c>
      <c r="Q399" s="1" t="s">
        <v>41</v>
      </c>
      <c r="R399">
        <v>1</v>
      </c>
      <c r="S399" s="1" t="s">
        <v>28</v>
      </c>
      <c r="T399" s="1" t="s">
        <v>28</v>
      </c>
      <c r="U399" s="1" t="s">
        <v>29</v>
      </c>
    </row>
    <row r="400" spans="1:21" x14ac:dyDescent="0.3">
      <c r="A400" s="1" t="s">
        <v>30</v>
      </c>
      <c r="B400">
        <v>12</v>
      </c>
      <c r="C400" s="1" t="s">
        <v>31</v>
      </c>
      <c r="D400" s="1" t="s">
        <v>19</v>
      </c>
      <c r="E400">
        <v>1223</v>
      </c>
      <c r="F400" s="1" t="s">
        <v>32</v>
      </c>
      <c r="G400" s="1" t="s">
        <v>38</v>
      </c>
      <c r="H400">
        <v>1</v>
      </c>
      <c r="I400" s="1" t="s">
        <v>64</v>
      </c>
      <c r="J400" s="1" t="s">
        <v>23</v>
      </c>
      <c r="K400">
        <v>1</v>
      </c>
      <c r="L400" s="1" t="s">
        <v>24</v>
      </c>
      <c r="M400">
        <v>46</v>
      </c>
      <c r="N400" s="1" t="s">
        <v>23</v>
      </c>
      <c r="O400" s="1" t="s">
        <v>34</v>
      </c>
      <c r="P400">
        <v>2</v>
      </c>
      <c r="Q400" s="1" t="s">
        <v>41</v>
      </c>
      <c r="R400">
        <v>1</v>
      </c>
      <c r="S400" s="1" t="s">
        <v>23</v>
      </c>
      <c r="T400" s="1" t="s">
        <v>28</v>
      </c>
      <c r="U400" s="1" t="s">
        <v>56</v>
      </c>
    </row>
    <row r="401" spans="1:21" x14ac:dyDescent="0.3">
      <c r="A401" s="1" t="s">
        <v>17</v>
      </c>
      <c r="B401">
        <v>24</v>
      </c>
      <c r="C401" s="1" t="s">
        <v>18</v>
      </c>
      <c r="D401" s="1" t="s">
        <v>36</v>
      </c>
      <c r="E401">
        <v>1516</v>
      </c>
      <c r="F401" s="1" t="s">
        <v>20</v>
      </c>
      <c r="G401" s="1" t="s">
        <v>21</v>
      </c>
      <c r="H401">
        <v>4</v>
      </c>
      <c r="I401" s="1" t="s">
        <v>22</v>
      </c>
      <c r="J401" s="1" t="s">
        <v>23</v>
      </c>
      <c r="K401">
        <v>1</v>
      </c>
      <c r="L401" s="1" t="s">
        <v>24</v>
      </c>
      <c r="M401">
        <v>43</v>
      </c>
      <c r="N401" s="1" t="s">
        <v>23</v>
      </c>
      <c r="O401" s="1" t="s">
        <v>26</v>
      </c>
      <c r="P401">
        <v>2</v>
      </c>
      <c r="Q401" s="1" t="s">
        <v>27</v>
      </c>
      <c r="R401">
        <v>1</v>
      </c>
      <c r="S401" s="1" t="s">
        <v>23</v>
      </c>
      <c r="T401" s="1" t="s">
        <v>28</v>
      </c>
      <c r="U401" s="1" t="s">
        <v>29</v>
      </c>
    </row>
    <row r="402" spans="1:21" x14ac:dyDescent="0.3">
      <c r="A402" s="1" t="s">
        <v>17</v>
      </c>
      <c r="B402">
        <v>18</v>
      </c>
      <c r="C402" s="1" t="s">
        <v>31</v>
      </c>
      <c r="D402" s="1" t="s">
        <v>36</v>
      </c>
      <c r="E402">
        <v>1473</v>
      </c>
      <c r="F402" s="1" t="s">
        <v>32</v>
      </c>
      <c r="G402" s="1" t="s">
        <v>45</v>
      </c>
      <c r="H402">
        <v>3</v>
      </c>
      <c r="I402" s="1" t="s">
        <v>33</v>
      </c>
      <c r="J402" s="1" t="s">
        <v>23</v>
      </c>
      <c r="K402">
        <v>4</v>
      </c>
      <c r="L402" s="1" t="s">
        <v>24</v>
      </c>
      <c r="M402">
        <v>39</v>
      </c>
      <c r="N402" s="1" t="s">
        <v>23</v>
      </c>
      <c r="O402" s="1" t="s">
        <v>26</v>
      </c>
      <c r="P402">
        <v>1</v>
      </c>
      <c r="Q402" s="1" t="s">
        <v>41</v>
      </c>
      <c r="R402">
        <v>1</v>
      </c>
      <c r="S402" s="1" t="s">
        <v>28</v>
      </c>
      <c r="T402" s="1" t="s">
        <v>28</v>
      </c>
      <c r="U402" s="1" t="s">
        <v>29</v>
      </c>
    </row>
    <row r="403" spans="1:21" x14ac:dyDescent="0.3">
      <c r="A403" s="1" t="s">
        <v>30</v>
      </c>
      <c r="B403">
        <v>18</v>
      </c>
      <c r="C403" s="1" t="s">
        <v>18</v>
      </c>
      <c r="D403" s="1" t="s">
        <v>61</v>
      </c>
      <c r="E403">
        <v>1887</v>
      </c>
      <c r="F403" s="1" t="s">
        <v>47</v>
      </c>
      <c r="G403" s="1" t="s">
        <v>21</v>
      </c>
      <c r="H403">
        <v>4</v>
      </c>
      <c r="I403" s="1" t="s">
        <v>33</v>
      </c>
      <c r="J403" s="1" t="s">
        <v>23</v>
      </c>
      <c r="K403">
        <v>4</v>
      </c>
      <c r="L403" s="1" t="s">
        <v>24</v>
      </c>
      <c r="M403">
        <v>28</v>
      </c>
      <c r="N403" s="1" t="s">
        <v>25</v>
      </c>
      <c r="O403" s="1" t="s">
        <v>26</v>
      </c>
      <c r="P403">
        <v>2</v>
      </c>
      <c r="Q403" s="1" t="s">
        <v>41</v>
      </c>
      <c r="R403">
        <v>1</v>
      </c>
      <c r="S403" s="1" t="s">
        <v>23</v>
      </c>
      <c r="T403" s="1" t="s">
        <v>28</v>
      </c>
      <c r="U403" s="1" t="s">
        <v>29</v>
      </c>
    </row>
    <row r="404" spans="1:21" x14ac:dyDescent="0.3">
      <c r="A404" s="1" t="s">
        <v>17</v>
      </c>
      <c r="B404">
        <v>24</v>
      </c>
      <c r="C404" s="1" t="s">
        <v>59</v>
      </c>
      <c r="D404" s="1" t="s">
        <v>61</v>
      </c>
      <c r="E404">
        <v>8648</v>
      </c>
      <c r="F404" s="1" t="s">
        <v>32</v>
      </c>
      <c r="G404" s="1" t="s">
        <v>45</v>
      </c>
      <c r="H404">
        <v>2</v>
      </c>
      <c r="I404" s="1" t="s">
        <v>39</v>
      </c>
      <c r="J404" s="1" t="s">
        <v>23</v>
      </c>
      <c r="K404">
        <v>2</v>
      </c>
      <c r="L404" s="1" t="s">
        <v>40</v>
      </c>
      <c r="M404">
        <v>27</v>
      </c>
      <c r="N404" s="1" t="s">
        <v>25</v>
      </c>
      <c r="O404" s="1" t="s">
        <v>26</v>
      </c>
      <c r="P404">
        <v>2</v>
      </c>
      <c r="Q404" s="1" t="s">
        <v>41</v>
      </c>
      <c r="R404">
        <v>1</v>
      </c>
      <c r="S404" s="1" t="s">
        <v>28</v>
      </c>
      <c r="T404" s="1" t="s">
        <v>28</v>
      </c>
      <c r="U404" s="1" t="s">
        <v>56</v>
      </c>
    </row>
    <row r="405" spans="1:21" x14ac:dyDescent="0.3">
      <c r="A405" s="1" t="s">
        <v>17</v>
      </c>
      <c r="B405">
        <v>14</v>
      </c>
      <c r="C405" s="1" t="s">
        <v>59</v>
      </c>
      <c r="D405" s="1" t="s">
        <v>19</v>
      </c>
      <c r="E405">
        <v>802</v>
      </c>
      <c r="F405" s="1" t="s">
        <v>32</v>
      </c>
      <c r="G405" s="1" t="s">
        <v>21</v>
      </c>
      <c r="H405">
        <v>4</v>
      </c>
      <c r="I405" s="1" t="s">
        <v>39</v>
      </c>
      <c r="J405" s="1" t="s">
        <v>23</v>
      </c>
      <c r="K405">
        <v>2</v>
      </c>
      <c r="L405" s="1" t="s">
        <v>40</v>
      </c>
      <c r="M405">
        <v>27</v>
      </c>
      <c r="N405" s="1" t="s">
        <v>23</v>
      </c>
      <c r="O405" s="1" t="s">
        <v>26</v>
      </c>
      <c r="P405">
        <v>2</v>
      </c>
      <c r="Q405" s="1" t="s">
        <v>27</v>
      </c>
      <c r="R405">
        <v>1</v>
      </c>
      <c r="S405" s="1" t="s">
        <v>23</v>
      </c>
      <c r="T405" s="1" t="s">
        <v>28</v>
      </c>
      <c r="U405" s="1" t="s">
        <v>29</v>
      </c>
    </row>
    <row r="406" spans="1:21" x14ac:dyDescent="0.3">
      <c r="A406" s="1" t="s">
        <v>30</v>
      </c>
      <c r="B406">
        <v>18</v>
      </c>
      <c r="C406" s="1" t="s">
        <v>59</v>
      </c>
      <c r="D406" s="1" t="s">
        <v>19</v>
      </c>
      <c r="E406">
        <v>2899</v>
      </c>
      <c r="F406" s="1" t="s">
        <v>47</v>
      </c>
      <c r="G406" s="1" t="s">
        <v>38</v>
      </c>
      <c r="H406">
        <v>4</v>
      </c>
      <c r="I406" s="1" t="s">
        <v>39</v>
      </c>
      <c r="J406" s="1" t="s">
        <v>23</v>
      </c>
      <c r="K406">
        <v>4</v>
      </c>
      <c r="L406" s="1" t="s">
        <v>40</v>
      </c>
      <c r="M406">
        <v>43</v>
      </c>
      <c r="N406" s="1" t="s">
        <v>23</v>
      </c>
      <c r="O406" s="1" t="s">
        <v>26</v>
      </c>
      <c r="P406">
        <v>1</v>
      </c>
      <c r="Q406" s="1" t="s">
        <v>41</v>
      </c>
      <c r="R406">
        <v>2</v>
      </c>
      <c r="S406" s="1" t="s">
        <v>23</v>
      </c>
      <c r="T406" s="1" t="s">
        <v>28</v>
      </c>
      <c r="U406" s="1" t="s">
        <v>29</v>
      </c>
    </row>
    <row r="407" spans="1:21" x14ac:dyDescent="0.3">
      <c r="A407" s="1" t="s">
        <v>30</v>
      </c>
      <c r="B407">
        <v>24</v>
      </c>
      <c r="C407" s="1" t="s">
        <v>31</v>
      </c>
      <c r="D407" s="1" t="s">
        <v>36</v>
      </c>
      <c r="E407">
        <v>2039</v>
      </c>
      <c r="F407" s="1" t="s">
        <v>32</v>
      </c>
      <c r="G407" s="1" t="s">
        <v>45</v>
      </c>
      <c r="H407">
        <v>1</v>
      </c>
      <c r="I407" s="1" t="s">
        <v>33</v>
      </c>
      <c r="J407" s="1" t="s">
        <v>23</v>
      </c>
      <c r="K407">
        <v>1</v>
      </c>
      <c r="L407" s="1" t="s">
        <v>48</v>
      </c>
      <c r="M407">
        <v>22</v>
      </c>
      <c r="N407" s="1" t="s">
        <v>23</v>
      </c>
      <c r="O407" s="1" t="s">
        <v>26</v>
      </c>
      <c r="P407">
        <v>1</v>
      </c>
      <c r="Q407" s="1" t="s">
        <v>41</v>
      </c>
      <c r="R407">
        <v>1</v>
      </c>
      <c r="S407" s="1" t="s">
        <v>28</v>
      </c>
      <c r="T407" s="1" t="s">
        <v>28</v>
      </c>
      <c r="U407" s="1" t="s">
        <v>56</v>
      </c>
    </row>
    <row r="408" spans="1:21" x14ac:dyDescent="0.3">
      <c r="A408" s="1" t="s">
        <v>17</v>
      </c>
      <c r="B408">
        <v>24</v>
      </c>
      <c r="C408" s="1" t="s">
        <v>18</v>
      </c>
      <c r="D408" s="1" t="s">
        <v>69</v>
      </c>
      <c r="E408">
        <v>2197</v>
      </c>
      <c r="F408" s="1" t="s">
        <v>47</v>
      </c>
      <c r="G408" s="1" t="s">
        <v>49</v>
      </c>
      <c r="H408">
        <v>4</v>
      </c>
      <c r="I408" s="1" t="s">
        <v>39</v>
      </c>
      <c r="J408" s="1" t="s">
        <v>23</v>
      </c>
      <c r="K408">
        <v>4</v>
      </c>
      <c r="L408" s="1" t="s">
        <v>40</v>
      </c>
      <c r="M408">
        <v>43</v>
      </c>
      <c r="N408" s="1" t="s">
        <v>23</v>
      </c>
      <c r="O408" s="1" t="s">
        <v>26</v>
      </c>
      <c r="P408">
        <v>2</v>
      </c>
      <c r="Q408" s="1" t="s">
        <v>41</v>
      </c>
      <c r="R408">
        <v>2</v>
      </c>
      <c r="S408" s="1" t="s">
        <v>28</v>
      </c>
      <c r="T408" s="1" t="s">
        <v>28</v>
      </c>
      <c r="U408" s="1" t="s">
        <v>29</v>
      </c>
    </row>
    <row r="409" spans="1:21" x14ac:dyDescent="0.3">
      <c r="A409" s="1" t="s">
        <v>35</v>
      </c>
      <c r="B409">
        <v>15</v>
      </c>
      <c r="C409" s="1" t="s">
        <v>31</v>
      </c>
      <c r="D409" s="1" t="s">
        <v>36</v>
      </c>
      <c r="E409">
        <v>1053</v>
      </c>
      <c r="F409" s="1" t="s">
        <v>32</v>
      </c>
      <c r="G409" s="1" t="s">
        <v>45</v>
      </c>
      <c r="H409">
        <v>4</v>
      </c>
      <c r="I409" s="1" t="s">
        <v>33</v>
      </c>
      <c r="J409" s="1" t="s">
        <v>23</v>
      </c>
      <c r="K409">
        <v>2</v>
      </c>
      <c r="L409" s="1" t="s">
        <v>24</v>
      </c>
      <c r="M409">
        <v>27</v>
      </c>
      <c r="N409" s="1" t="s">
        <v>23</v>
      </c>
      <c r="O409" s="1" t="s">
        <v>26</v>
      </c>
      <c r="P409">
        <v>1</v>
      </c>
      <c r="Q409" s="1" t="s">
        <v>41</v>
      </c>
      <c r="R409">
        <v>1</v>
      </c>
      <c r="S409" s="1" t="s">
        <v>23</v>
      </c>
      <c r="T409" s="1" t="s">
        <v>60</v>
      </c>
      <c r="U409" s="1" t="s">
        <v>29</v>
      </c>
    </row>
    <row r="410" spans="1:21" x14ac:dyDescent="0.3">
      <c r="A410" s="1" t="s">
        <v>17</v>
      </c>
      <c r="B410">
        <v>24</v>
      </c>
      <c r="C410" s="1" t="s">
        <v>31</v>
      </c>
      <c r="D410" s="1" t="s">
        <v>36</v>
      </c>
      <c r="E410">
        <v>3235</v>
      </c>
      <c r="F410" s="1" t="s">
        <v>37</v>
      </c>
      <c r="G410" s="1" t="s">
        <v>38</v>
      </c>
      <c r="H410">
        <v>3</v>
      </c>
      <c r="I410" s="1" t="s">
        <v>64</v>
      </c>
      <c r="J410" s="1" t="s">
        <v>23</v>
      </c>
      <c r="K410">
        <v>2</v>
      </c>
      <c r="L410" s="1" t="s">
        <v>40</v>
      </c>
      <c r="M410">
        <v>26</v>
      </c>
      <c r="N410" s="1" t="s">
        <v>23</v>
      </c>
      <c r="O410" s="1" t="s">
        <v>26</v>
      </c>
      <c r="P410">
        <v>1</v>
      </c>
      <c r="Q410" s="1" t="s">
        <v>63</v>
      </c>
      <c r="R410">
        <v>1</v>
      </c>
      <c r="S410" s="1" t="s">
        <v>28</v>
      </c>
      <c r="T410" s="1" t="s">
        <v>28</v>
      </c>
      <c r="U410" s="1" t="s">
        <v>29</v>
      </c>
    </row>
    <row r="411" spans="1:21" x14ac:dyDescent="0.3">
      <c r="A411" s="1" t="s">
        <v>50</v>
      </c>
      <c r="B411">
        <v>12</v>
      </c>
      <c r="C411" s="1" t="s">
        <v>18</v>
      </c>
      <c r="D411" s="1" t="s">
        <v>19</v>
      </c>
      <c r="E411">
        <v>939</v>
      </c>
      <c r="F411" s="1" t="s">
        <v>37</v>
      </c>
      <c r="G411" s="1" t="s">
        <v>49</v>
      </c>
      <c r="H411">
        <v>4</v>
      </c>
      <c r="I411" s="1" t="s">
        <v>33</v>
      </c>
      <c r="J411" s="1" t="s">
        <v>23</v>
      </c>
      <c r="K411">
        <v>2</v>
      </c>
      <c r="L411" s="1" t="s">
        <v>24</v>
      </c>
      <c r="M411">
        <v>28</v>
      </c>
      <c r="N411" s="1" t="s">
        <v>23</v>
      </c>
      <c r="O411" s="1" t="s">
        <v>26</v>
      </c>
      <c r="P411">
        <v>3</v>
      </c>
      <c r="Q411" s="1" t="s">
        <v>41</v>
      </c>
      <c r="R411">
        <v>1</v>
      </c>
      <c r="S411" s="1" t="s">
        <v>28</v>
      </c>
      <c r="T411" s="1" t="s">
        <v>28</v>
      </c>
      <c r="U411" s="1" t="s">
        <v>56</v>
      </c>
    </row>
    <row r="412" spans="1:21" x14ac:dyDescent="0.3">
      <c r="A412" s="1" t="s">
        <v>30</v>
      </c>
      <c r="B412">
        <v>24</v>
      </c>
      <c r="C412" s="1" t="s">
        <v>31</v>
      </c>
      <c r="D412" s="1" t="s">
        <v>36</v>
      </c>
      <c r="E412">
        <v>1967</v>
      </c>
      <c r="F412" s="1" t="s">
        <v>32</v>
      </c>
      <c r="G412" s="1" t="s">
        <v>38</v>
      </c>
      <c r="H412">
        <v>4</v>
      </c>
      <c r="I412" s="1" t="s">
        <v>22</v>
      </c>
      <c r="J412" s="1" t="s">
        <v>23</v>
      </c>
      <c r="K412">
        <v>4</v>
      </c>
      <c r="L412" s="1" t="s">
        <v>40</v>
      </c>
      <c r="M412">
        <v>20</v>
      </c>
      <c r="N412" s="1" t="s">
        <v>23</v>
      </c>
      <c r="O412" s="1" t="s">
        <v>26</v>
      </c>
      <c r="P412">
        <v>1</v>
      </c>
      <c r="Q412" s="1" t="s">
        <v>41</v>
      </c>
      <c r="R412">
        <v>1</v>
      </c>
      <c r="S412" s="1" t="s">
        <v>28</v>
      </c>
      <c r="T412" s="1" t="s">
        <v>28</v>
      </c>
      <c r="U412" s="1" t="s">
        <v>29</v>
      </c>
    </row>
    <row r="413" spans="1:21" x14ac:dyDescent="0.3">
      <c r="A413" s="1" t="s">
        <v>17</v>
      </c>
      <c r="B413">
        <v>33</v>
      </c>
      <c r="C413" s="1" t="s">
        <v>18</v>
      </c>
      <c r="D413" s="1" t="s">
        <v>69</v>
      </c>
      <c r="E413">
        <v>7253</v>
      </c>
      <c r="F413" s="1" t="s">
        <v>32</v>
      </c>
      <c r="G413" s="1" t="s">
        <v>49</v>
      </c>
      <c r="H413">
        <v>3</v>
      </c>
      <c r="I413" s="1" t="s">
        <v>39</v>
      </c>
      <c r="J413" s="1" t="s">
        <v>23</v>
      </c>
      <c r="K413">
        <v>2</v>
      </c>
      <c r="L413" s="1" t="s">
        <v>40</v>
      </c>
      <c r="M413">
        <v>35</v>
      </c>
      <c r="N413" s="1" t="s">
        <v>23</v>
      </c>
      <c r="O413" s="1" t="s">
        <v>26</v>
      </c>
      <c r="P413">
        <v>2</v>
      </c>
      <c r="Q413" s="1" t="s">
        <v>63</v>
      </c>
      <c r="R413">
        <v>1</v>
      </c>
      <c r="S413" s="1" t="s">
        <v>28</v>
      </c>
      <c r="T413" s="1" t="s">
        <v>28</v>
      </c>
      <c r="U413" s="1" t="s">
        <v>29</v>
      </c>
    </row>
    <row r="414" spans="1:21" x14ac:dyDescent="0.3">
      <c r="A414" s="1" t="s">
        <v>17</v>
      </c>
      <c r="B414">
        <v>12</v>
      </c>
      <c r="C414" s="1" t="s">
        <v>18</v>
      </c>
      <c r="D414" s="1" t="s">
        <v>61</v>
      </c>
      <c r="E414">
        <v>2292</v>
      </c>
      <c r="F414" s="1" t="s">
        <v>32</v>
      </c>
      <c r="G414" s="1" t="s">
        <v>54</v>
      </c>
      <c r="H414">
        <v>4</v>
      </c>
      <c r="I414" s="1" t="s">
        <v>39</v>
      </c>
      <c r="J414" s="1" t="s">
        <v>23</v>
      </c>
      <c r="K414">
        <v>2</v>
      </c>
      <c r="L414" s="1" t="s">
        <v>40</v>
      </c>
      <c r="M414">
        <v>42</v>
      </c>
      <c r="N414" s="1" t="s">
        <v>67</v>
      </c>
      <c r="O414" s="1" t="s">
        <v>26</v>
      </c>
      <c r="P414">
        <v>2</v>
      </c>
      <c r="Q414" s="1" t="s">
        <v>63</v>
      </c>
      <c r="R414">
        <v>1</v>
      </c>
      <c r="S414" s="1" t="s">
        <v>28</v>
      </c>
      <c r="T414" s="1" t="s">
        <v>28</v>
      </c>
      <c r="U414" s="1" t="s">
        <v>56</v>
      </c>
    </row>
    <row r="415" spans="1:21" x14ac:dyDescent="0.3">
      <c r="A415" s="1" t="s">
        <v>17</v>
      </c>
      <c r="B415">
        <v>10</v>
      </c>
      <c r="C415" s="1" t="s">
        <v>31</v>
      </c>
      <c r="D415" s="1" t="s">
        <v>19</v>
      </c>
      <c r="E415">
        <v>1597</v>
      </c>
      <c r="F415" s="1" t="s">
        <v>37</v>
      </c>
      <c r="G415" s="1" t="s">
        <v>21</v>
      </c>
      <c r="H415">
        <v>3</v>
      </c>
      <c r="I415" s="1" t="s">
        <v>39</v>
      </c>
      <c r="J415" s="1" t="s">
        <v>23</v>
      </c>
      <c r="K415">
        <v>2</v>
      </c>
      <c r="L415" s="1" t="s">
        <v>65</v>
      </c>
      <c r="M415">
        <v>40</v>
      </c>
      <c r="N415" s="1" t="s">
        <v>23</v>
      </c>
      <c r="O415" s="1" t="s">
        <v>34</v>
      </c>
      <c r="P415">
        <v>1</v>
      </c>
      <c r="Q415" s="1" t="s">
        <v>27</v>
      </c>
      <c r="R415">
        <v>2</v>
      </c>
      <c r="S415" s="1" t="s">
        <v>23</v>
      </c>
      <c r="T415" s="1" t="s">
        <v>60</v>
      </c>
      <c r="U415" s="1" t="s">
        <v>29</v>
      </c>
    </row>
    <row r="416" spans="1:21" x14ac:dyDescent="0.3">
      <c r="A416" s="1" t="s">
        <v>35</v>
      </c>
      <c r="B416">
        <v>24</v>
      </c>
      <c r="C416" s="1" t="s">
        <v>31</v>
      </c>
      <c r="D416" s="1" t="s">
        <v>19</v>
      </c>
      <c r="E416">
        <v>1381</v>
      </c>
      <c r="F416" s="1" t="s">
        <v>47</v>
      </c>
      <c r="G416" s="1" t="s">
        <v>21</v>
      </c>
      <c r="H416">
        <v>4</v>
      </c>
      <c r="I416" s="1" t="s">
        <v>22</v>
      </c>
      <c r="J416" s="1" t="s">
        <v>23</v>
      </c>
      <c r="K416">
        <v>2</v>
      </c>
      <c r="L416" s="1" t="s">
        <v>48</v>
      </c>
      <c r="M416">
        <v>35</v>
      </c>
      <c r="N416" s="1" t="s">
        <v>23</v>
      </c>
      <c r="O416" s="1" t="s">
        <v>26</v>
      </c>
      <c r="P416">
        <v>1</v>
      </c>
      <c r="Q416" s="1" t="s">
        <v>41</v>
      </c>
      <c r="R416">
        <v>1</v>
      </c>
      <c r="S416" s="1" t="s">
        <v>23</v>
      </c>
      <c r="T416" s="1" t="s">
        <v>28</v>
      </c>
      <c r="U416" s="1" t="s">
        <v>56</v>
      </c>
    </row>
    <row r="417" spans="1:21" x14ac:dyDescent="0.3">
      <c r="A417" s="1" t="s">
        <v>17</v>
      </c>
      <c r="B417">
        <v>36</v>
      </c>
      <c r="C417" s="1" t="s">
        <v>18</v>
      </c>
      <c r="D417" s="1" t="s">
        <v>69</v>
      </c>
      <c r="E417">
        <v>5842</v>
      </c>
      <c r="F417" s="1" t="s">
        <v>32</v>
      </c>
      <c r="G417" s="1" t="s">
        <v>38</v>
      </c>
      <c r="H417">
        <v>2</v>
      </c>
      <c r="I417" s="1" t="s">
        <v>39</v>
      </c>
      <c r="J417" s="1" t="s">
        <v>23</v>
      </c>
      <c r="K417">
        <v>2</v>
      </c>
      <c r="L417" s="1" t="s">
        <v>48</v>
      </c>
      <c r="M417">
        <v>35</v>
      </c>
      <c r="N417" s="1" t="s">
        <v>23</v>
      </c>
      <c r="O417" s="1" t="s">
        <v>26</v>
      </c>
      <c r="P417">
        <v>2</v>
      </c>
      <c r="Q417" s="1" t="s">
        <v>41</v>
      </c>
      <c r="R417">
        <v>2</v>
      </c>
      <c r="S417" s="1" t="s">
        <v>28</v>
      </c>
      <c r="T417" s="1" t="s">
        <v>28</v>
      </c>
      <c r="U417" s="1" t="s">
        <v>29</v>
      </c>
    </row>
    <row r="418" spans="1:21" x14ac:dyDescent="0.3">
      <c r="A418" s="1" t="s">
        <v>35</v>
      </c>
      <c r="B418">
        <v>12</v>
      </c>
      <c r="C418" s="1" t="s">
        <v>31</v>
      </c>
      <c r="D418" s="1" t="s">
        <v>19</v>
      </c>
      <c r="E418">
        <v>2579</v>
      </c>
      <c r="F418" s="1" t="s">
        <v>32</v>
      </c>
      <c r="G418" s="1" t="s">
        <v>45</v>
      </c>
      <c r="H418">
        <v>4</v>
      </c>
      <c r="I418" s="1" t="s">
        <v>39</v>
      </c>
      <c r="J418" s="1" t="s">
        <v>23</v>
      </c>
      <c r="K418">
        <v>1</v>
      </c>
      <c r="L418" s="1" t="s">
        <v>24</v>
      </c>
      <c r="M418">
        <v>33</v>
      </c>
      <c r="N418" s="1" t="s">
        <v>23</v>
      </c>
      <c r="O418" s="1" t="s">
        <v>26</v>
      </c>
      <c r="P418">
        <v>1</v>
      </c>
      <c r="Q418" s="1" t="s">
        <v>27</v>
      </c>
      <c r="R418">
        <v>2</v>
      </c>
      <c r="S418" s="1" t="s">
        <v>23</v>
      </c>
      <c r="T418" s="1" t="s">
        <v>28</v>
      </c>
      <c r="U418" s="1" t="s">
        <v>56</v>
      </c>
    </row>
    <row r="419" spans="1:21" x14ac:dyDescent="0.3">
      <c r="A419" s="1" t="s">
        <v>35</v>
      </c>
      <c r="B419">
        <v>18</v>
      </c>
      <c r="C419" s="1" t="s">
        <v>59</v>
      </c>
      <c r="D419" s="1" t="s">
        <v>51</v>
      </c>
      <c r="E419">
        <v>8471</v>
      </c>
      <c r="F419" s="1" t="s">
        <v>47</v>
      </c>
      <c r="G419" s="1" t="s">
        <v>21</v>
      </c>
      <c r="H419">
        <v>1</v>
      </c>
      <c r="I419" s="1" t="s">
        <v>22</v>
      </c>
      <c r="J419" s="1" t="s">
        <v>23</v>
      </c>
      <c r="K419">
        <v>2</v>
      </c>
      <c r="L419" s="1" t="s">
        <v>40</v>
      </c>
      <c r="M419">
        <v>23</v>
      </c>
      <c r="N419" s="1" t="s">
        <v>23</v>
      </c>
      <c r="O419" s="1" t="s">
        <v>34</v>
      </c>
      <c r="P419">
        <v>2</v>
      </c>
      <c r="Q419" s="1" t="s">
        <v>41</v>
      </c>
      <c r="R419">
        <v>1</v>
      </c>
      <c r="S419" s="1" t="s">
        <v>28</v>
      </c>
      <c r="T419" s="1" t="s">
        <v>28</v>
      </c>
      <c r="U419" s="1" t="s">
        <v>29</v>
      </c>
    </row>
    <row r="420" spans="1:21" x14ac:dyDescent="0.3">
      <c r="A420" s="1" t="s">
        <v>17</v>
      </c>
      <c r="B420">
        <v>21</v>
      </c>
      <c r="C420" s="1" t="s">
        <v>31</v>
      </c>
      <c r="D420" s="1" t="s">
        <v>19</v>
      </c>
      <c r="E420">
        <v>2782</v>
      </c>
      <c r="F420" s="1" t="s">
        <v>37</v>
      </c>
      <c r="G420" s="1" t="s">
        <v>49</v>
      </c>
      <c r="H420">
        <v>1</v>
      </c>
      <c r="I420" s="1" t="s">
        <v>22</v>
      </c>
      <c r="J420" s="1" t="s">
        <v>23</v>
      </c>
      <c r="K420">
        <v>2</v>
      </c>
      <c r="L420" s="1" t="s">
        <v>40</v>
      </c>
      <c r="M420">
        <v>31</v>
      </c>
      <c r="N420" s="1" t="s">
        <v>25</v>
      </c>
      <c r="O420" s="1" t="s">
        <v>26</v>
      </c>
      <c r="P420">
        <v>1</v>
      </c>
      <c r="Q420" s="1" t="s">
        <v>63</v>
      </c>
      <c r="R420">
        <v>1</v>
      </c>
      <c r="S420" s="1" t="s">
        <v>23</v>
      </c>
      <c r="T420" s="1" t="s">
        <v>28</v>
      </c>
      <c r="U420" s="1" t="s">
        <v>29</v>
      </c>
    </row>
    <row r="421" spans="1:21" x14ac:dyDescent="0.3">
      <c r="A421" s="1" t="s">
        <v>30</v>
      </c>
      <c r="B421">
        <v>18</v>
      </c>
      <c r="C421" s="1" t="s">
        <v>31</v>
      </c>
      <c r="D421" s="1" t="s">
        <v>19</v>
      </c>
      <c r="E421">
        <v>1042</v>
      </c>
      <c r="F421" s="1" t="s">
        <v>47</v>
      </c>
      <c r="G421" s="1" t="s">
        <v>21</v>
      </c>
      <c r="H421">
        <v>4</v>
      </c>
      <c r="I421" s="1" t="s">
        <v>22</v>
      </c>
      <c r="J421" s="1" t="s">
        <v>23</v>
      </c>
      <c r="K421">
        <v>2</v>
      </c>
      <c r="L421" s="1" t="s">
        <v>48</v>
      </c>
      <c r="M421">
        <v>33</v>
      </c>
      <c r="N421" s="1" t="s">
        <v>23</v>
      </c>
      <c r="O421" s="1" t="s">
        <v>26</v>
      </c>
      <c r="P421">
        <v>1</v>
      </c>
      <c r="Q421" s="1" t="s">
        <v>41</v>
      </c>
      <c r="R421">
        <v>1</v>
      </c>
      <c r="S421" s="1" t="s">
        <v>23</v>
      </c>
      <c r="T421" s="1" t="s">
        <v>28</v>
      </c>
      <c r="U421" s="1" t="s">
        <v>56</v>
      </c>
    </row>
    <row r="422" spans="1:21" x14ac:dyDescent="0.3">
      <c r="A422" s="1" t="s">
        <v>17</v>
      </c>
      <c r="B422">
        <v>15</v>
      </c>
      <c r="C422" s="1" t="s">
        <v>31</v>
      </c>
      <c r="D422" s="1" t="s">
        <v>19</v>
      </c>
      <c r="E422">
        <v>3186</v>
      </c>
      <c r="F422" s="1" t="s">
        <v>20</v>
      </c>
      <c r="G422" s="1" t="s">
        <v>49</v>
      </c>
      <c r="H422">
        <v>2</v>
      </c>
      <c r="I422" s="1" t="s">
        <v>22</v>
      </c>
      <c r="J422" s="1" t="s">
        <v>23</v>
      </c>
      <c r="K422">
        <v>3</v>
      </c>
      <c r="L422" s="1" t="s">
        <v>40</v>
      </c>
      <c r="M422">
        <v>20</v>
      </c>
      <c r="N422" s="1" t="s">
        <v>23</v>
      </c>
      <c r="O422" s="1" t="s">
        <v>34</v>
      </c>
      <c r="P422">
        <v>1</v>
      </c>
      <c r="Q422" s="1" t="s">
        <v>41</v>
      </c>
      <c r="R422">
        <v>1</v>
      </c>
      <c r="S422" s="1" t="s">
        <v>23</v>
      </c>
      <c r="T422" s="1" t="s">
        <v>28</v>
      </c>
      <c r="U422" s="1" t="s">
        <v>29</v>
      </c>
    </row>
    <row r="423" spans="1:21" x14ac:dyDescent="0.3">
      <c r="A423" s="1" t="s">
        <v>30</v>
      </c>
      <c r="B423">
        <v>12</v>
      </c>
      <c r="C423" s="1" t="s">
        <v>31</v>
      </c>
      <c r="D423" s="1" t="s">
        <v>69</v>
      </c>
      <c r="E423">
        <v>2028</v>
      </c>
      <c r="F423" s="1" t="s">
        <v>47</v>
      </c>
      <c r="G423" s="1" t="s">
        <v>21</v>
      </c>
      <c r="H423">
        <v>4</v>
      </c>
      <c r="I423" s="1" t="s">
        <v>39</v>
      </c>
      <c r="J423" s="1" t="s">
        <v>23</v>
      </c>
      <c r="K423">
        <v>2</v>
      </c>
      <c r="L423" s="1" t="s">
        <v>40</v>
      </c>
      <c r="M423">
        <v>30</v>
      </c>
      <c r="N423" s="1" t="s">
        <v>23</v>
      </c>
      <c r="O423" s="1" t="s">
        <v>26</v>
      </c>
      <c r="P423">
        <v>1</v>
      </c>
      <c r="Q423" s="1" t="s">
        <v>41</v>
      </c>
      <c r="R423">
        <v>1</v>
      </c>
      <c r="S423" s="1" t="s">
        <v>23</v>
      </c>
      <c r="T423" s="1" t="s">
        <v>28</v>
      </c>
      <c r="U423" s="1" t="s">
        <v>29</v>
      </c>
    </row>
    <row r="424" spans="1:21" x14ac:dyDescent="0.3">
      <c r="A424" s="1" t="s">
        <v>30</v>
      </c>
      <c r="B424">
        <v>12</v>
      </c>
      <c r="C424" s="1" t="s">
        <v>18</v>
      </c>
      <c r="D424" s="1" t="s">
        <v>19</v>
      </c>
      <c r="E424">
        <v>958</v>
      </c>
      <c r="F424" s="1" t="s">
        <v>32</v>
      </c>
      <c r="G424" s="1" t="s">
        <v>49</v>
      </c>
      <c r="H424">
        <v>2</v>
      </c>
      <c r="I424" s="1" t="s">
        <v>39</v>
      </c>
      <c r="J424" s="1" t="s">
        <v>23</v>
      </c>
      <c r="K424">
        <v>3</v>
      </c>
      <c r="L424" s="1" t="s">
        <v>24</v>
      </c>
      <c r="M424">
        <v>47</v>
      </c>
      <c r="N424" s="1" t="s">
        <v>23</v>
      </c>
      <c r="O424" s="1" t="s">
        <v>26</v>
      </c>
      <c r="P424">
        <v>2</v>
      </c>
      <c r="Q424" s="1" t="s">
        <v>27</v>
      </c>
      <c r="R424">
        <v>2</v>
      </c>
      <c r="S424" s="1" t="s">
        <v>23</v>
      </c>
      <c r="T424" s="1" t="s">
        <v>28</v>
      </c>
      <c r="U424" s="1" t="s">
        <v>29</v>
      </c>
    </row>
    <row r="425" spans="1:21" x14ac:dyDescent="0.3">
      <c r="A425" s="1" t="s">
        <v>17</v>
      </c>
      <c r="B425">
        <v>21</v>
      </c>
      <c r="C425" s="1" t="s">
        <v>59</v>
      </c>
      <c r="D425" s="1" t="s">
        <v>53</v>
      </c>
      <c r="E425">
        <v>1591</v>
      </c>
      <c r="F425" s="1" t="s">
        <v>46</v>
      </c>
      <c r="G425" s="1" t="s">
        <v>49</v>
      </c>
      <c r="H425">
        <v>4</v>
      </c>
      <c r="I425" s="1" t="s">
        <v>39</v>
      </c>
      <c r="J425" s="1" t="s">
        <v>23</v>
      </c>
      <c r="K425">
        <v>3</v>
      </c>
      <c r="L425" s="1" t="s">
        <v>24</v>
      </c>
      <c r="M425">
        <v>34</v>
      </c>
      <c r="N425" s="1" t="s">
        <v>23</v>
      </c>
      <c r="O425" s="1" t="s">
        <v>26</v>
      </c>
      <c r="P425">
        <v>2</v>
      </c>
      <c r="Q425" s="1" t="s">
        <v>63</v>
      </c>
      <c r="R425">
        <v>1</v>
      </c>
      <c r="S425" s="1" t="s">
        <v>23</v>
      </c>
      <c r="T425" s="1" t="s">
        <v>28</v>
      </c>
      <c r="U425" s="1" t="s">
        <v>29</v>
      </c>
    </row>
    <row r="426" spans="1:21" x14ac:dyDescent="0.3">
      <c r="A426" s="1" t="s">
        <v>30</v>
      </c>
      <c r="B426">
        <v>12</v>
      </c>
      <c r="C426" s="1" t="s">
        <v>31</v>
      </c>
      <c r="D426" s="1" t="s">
        <v>53</v>
      </c>
      <c r="E426">
        <v>2762</v>
      </c>
      <c r="F426" s="1" t="s">
        <v>47</v>
      </c>
      <c r="G426" s="1" t="s">
        <v>38</v>
      </c>
      <c r="H426">
        <v>1</v>
      </c>
      <c r="I426" s="1" t="s">
        <v>22</v>
      </c>
      <c r="J426" s="1" t="s">
        <v>23</v>
      </c>
      <c r="K426">
        <v>2</v>
      </c>
      <c r="L426" s="1" t="s">
        <v>48</v>
      </c>
      <c r="M426">
        <v>25</v>
      </c>
      <c r="N426" s="1" t="s">
        <v>25</v>
      </c>
      <c r="O426" s="1" t="s">
        <v>26</v>
      </c>
      <c r="P426">
        <v>1</v>
      </c>
      <c r="Q426" s="1" t="s">
        <v>41</v>
      </c>
      <c r="R426">
        <v>1</v>
      </c>
      <c r="S426" s="1" t="s">
        <v>28</v>
      </c>
      <c r="T426" s="1" t="s">
        <v>28</v>
      </c>
      <c r="U426" s="1" t="s">
        <v>56</v>
      </c>
    </row>
    <row r="427" spans="1:21" x14ac:dyDescent="0.3">
      <c r="A427" s="1" t="s">
        <v>30</v>
      </c>
      <c r="B427">
        <v>18</v>
      </c>
      <c r="C427" s="1" t="s">
        <v>31</v>
      </c>
      <c r="D427" s="1" t="s">
        <v>69</v>
      </c>
      <c r="E427">
        <v>2779</v>
      </c>
      <c r="F427" s="1" t="s">
        <v>32</v>
      </c>
      <c r="G427" s="1" t="s">
        <v>21</v>
      </c>
      <c r="H427">
        <v>1</v>
      </c>
      <c r="I427" s="1" t="s">
        <v>33</v>
      </c>
      <c r="J427" s="1" t="s">
        <v>23</v>
      </c>
      <c r="K427">
        <v>3</v>
      </c>
      <c r="L427" s="1" t="s">
        <v>40</v>
      </c>
      <c r="M427">
        <v>21</v>
      </c>
      <c r="N427" s="1" t="s">
        <v>23</v>
      </c>
      <c r="O427" s="1" t="s">
        <v>34</v>
      </c>
      <c r="P427">
        <v>1</v>
      </c>
      <c r="Q427" s="1" t="s">
        <v>41</v>
      </c>
      <c r="R427">
        <v>1</v>
      </c>
      <c r="S427" s="1" t="s">
        <v>28</v>
      </c>
      <c r="T427" s="1" t="s">
        <v>28</v>
      </c>
      <c r="U427" s="1" t="s">
        <v>29</v>
      </c>
    </row>
    <row r="428" spans="1:21" x14ac:dyDescent="0.3">
      <c r="A428" s="1" t="s">
        <v>17</v>
      </c>
      <c r="B428">
        <v>28</v>
      </c>
      <c r="C428" s="1" t="s">
        <v>18</v>
      </c>
      <c r="D428" s="1" t="s">
        <v>36</v>
      </c>
      <c r="E428">
        <v>2743</v>
      </c>
      <c r="F428" s="1" t="s">
        <v>32</v>
      </c>
      <c r="G428" s="1" t="s">
        <v>38</v>
      </c>
      <c r="H428">
        <v>4</v>
      </c>
      <c r="I428" s="1" t="s">
        <v>39</v>
      </c>
      <c r="J428" s="1" t="s">
        <v>23</v>
      </c>
      <c r="K428">
        <v>2</v>
      </c>
      <c r="L428" s="1" t="s">
        <v>40</v>
      </c>
      <c r="M428">
        <v>29</v>
      </c>
      <c r="N428" s="1" t="s">
        <v>23</v>
      </c>
      <c r="O428" s="1" t="s">
        <v>26</v>
      </c>
      <c r="P428">
        <v>2</v>
      </c>
      <c r="Q428" s="1" t="s">
        <v>41</v>
      </c>
      <c r="R428">
        <v>1</v>
      </c>
      <c r="S428" s="1" t="s">
        <v>23</v>
      </c>
      <c r="T428" s="1" t="s">
        <v>28</v>
      </c>
      <c r="U428" s="1" t="s">
        <v>29</v>
      </c>
    </row>
    <row r="429" spans="1:21" x14ac:dyDescent="0.3">
      <c r="A429" s="1" t="s">
        <v>17</v>
      </c>
      <c r="B429">
        <v>18</v>
      </c>
      <c r="C429" s="1" t="s">
        <v>18</v>
      </c>
      <c r="D429" s="1" t="s">
        <v>36</v>
      </c>
      <c r="E429">
        <v>1149</v>
      </c>
      <c r="F429" s="1" t="s">
        <v>20</v>
      </c>
      <c r="G429" s="1" t="s">
        <v>21</v>
      </c>
      <c r="H429">
        <v>4</v>
      </c>
      <c r="I429" s="1" t="s">
        <v>39</v>
      </c>
      <c r="J429" s="1" t="s">
        <v>23</v>
      </c>
      <c r="K429">
        <v>3</v>
      </c>
      <c r="L429" s="1" t="s">
        <v>24</v>
      </c>
      <c r="M429">
        <v>46</v>
      </c>
      <c r="N429" s="1" t="s">
        <v>23</v>
      </c>
      <c r="O429" s="1" t="s">
        <v>26</v>
      </c>
      <c r="P429">
        <v>2</v>
      </c>
      <c r="Q429" s="1" t="s">
        <v>41</v>
      </c>
      <c r="R429">
        <v>1</v>
      </c>
      <c r="S429" s="1" t="s">
        <v>23</v>
      </c>
      <c r="T429" s="1" t="s">
        <v>28</v>
      </c>
      <c r="U429" s="1" t="s">
        <v>29</v>
      </c>
    </row>
    <row r="430" spans="1:21" x14ac:dyDescent="0.3">
      <c r="A430" s="1" t="s">
        <v>17</v>
      </c>
      <c r="B430">
        <v>9</v>
      </c>
      <c r="C430" s="1" t="s">
        <v>31</v>
      </c>
      <c r="D430" s="1" t="s">
        <v>53</v>
      </c>
      <c r="E430">
        <v>1313</v>
      </c>
      <c r="F430" s="1" t="s">
        <v>32</v>
      </c>
      <c r="G430" s="1" t="s">
        <v>38</v>
      </c>
      <c r="H430">
        <v>1</v>
      </c>
      <c r="I430" s="1" t="s">
        <v>39</v>
      </c>
      <c r="J430" s="1" t="s">
        <v>23</v>
      </c>
      <c r="K430">
        <v>4</v>
      </c>
      <c r="L430" s="1" t="s">
        <v>40</v>
      </c>
      <c r="M430">
        <v>20</v>
      </c>
      <c r="N430" s="1" t="s">
        <v>23</v>
      </c>
      <c r="O430" s="1" t="s">
        <v>26</v>
      </c>
      <c r="P430">
        <v>1</v>
      </c>
      <c r="Q430" s="1" t="s">
        <v>41</v>
      </c>
      <c r="R430">
        <v>1</v>
      </c>
      <c r="S430" s="1" t="s">
        <v>23</v>
      </c>
      <c r="T430" s="1" t="s">
        <v>28</v>
      </c>
      <c r="U430" s="1" t="s">
        <v>29</v>
      </c>
    </row>
    <row r="431" spans="1:21" x14ac:dyDescent="0.3">
      <c r="A431" s="1" t="s">
        <v>35</v>
      </c>
      <c r="B431">
        <v>18</v>
      </c>
      <c r="C431" s="1" t="s">
        <v>18</v>
      </c>
      <c r="D431" s="1" t="s">
        <v>57</v>
      </c>
      <c r="E431">
        <v>1190</v>
      </c>
      <c r="F431" s="1" t="s">
        <v>32</v>
      </c>
      <c r="G431" s="1" t="s">
        <v>54</v>
      </c>
      <c r="H431">
        <v>2</v>
      </c>
      <c r="I431" s="1" t="s">
        <v>22</v>
      </c>
      <c r="J431" s="1" t="s">
        <v>23</v>
      </c>
      <c r="K431">
        <v>4</v>
      </c>
      <c r="L431" s="1" t="s">
        <v>65</v>
      </c>
      <c r="M431">
        <v>55</v>
      </c>
      <c r="N431" s="1" t="s">
        <v>23</v>
      </c>
      <c r="O431" s="1" t="s">
        <v>66</v>
      </c>
      <c r="P431">
        <v>3</v>
      </c>
      <c r="Q431" s="1" t="s">
        <v>62</v>
      </c>
      <c r="R431">
        <v>2</v>
      </c>
      <c r="S431" s="1" t="s">
        <v>23</v>
      </c>
      <c r="T431" s="1" t="s">
        <v>28</v>
      </c>
      <c r="U431" s="1" t="s">
        <v>56</v>
      </c>
    </row>
    <row r="432" spans="1:21" x14ac:dyDescent="0.3">
      <c r="A432" s="1" t="s">
        <v>17</v>
      </c>
      <c r="B432">
        <v>5</v>
      </c>
      <c r="C432" s="1" t="s">
        <v>31</v>
      </c>
      <c r="D432" s="1" t="s">
        <v>61</v>
      </c>
      <c r="E432">
        <v>3448</v>
      </c>
      <c r="F432" s="1" t="s">
        <v>32</v>
      </c>
      <c r="G432" s="1" t="s">
        <v>49</v>
      </c>
      <c r="H432">
        <v>1</v>
      </c>
      <c r="I432" s="1" t="s">
        <v>39</v>
      </c>
      <c r="J432" s="1" t="s">
        <v>23</v>
      </c>
      <c r="K432">
        <v>4</v>
      </c>
      <c r="L432" s="1" t="s">
        <v>24</v>
      </c>
      <c r="M432">
        <v>74</v>
      </c>
      <c r="N432" s="1" t="s">
        <v>23</v>
      </c>
      <c r="O432" s="1" t="s">
        <v>26</v>
      </c>
      <c r="P432">
        <v>1</v>
      </c>
      <c r="Q432" s="1" t="s">
        <v>27</v>
      </c>
      <c r="R432">
        <v>1</v>
      </c>
      <c r="S432" s="1" t="s">
        <v>23</v>
      </c>
      <c r="T432" s="1" t="s">
        <v>28</v>
      </c>
      <c r="U432" s="1" t="s">
        <v>29</v>
      </c>
    </row>
    <row r="433" spans="1:21" x14ac:dyDescent="0.3">
      <c r="A433" s="1" t="s">
        <v>30</v>
      </c>
      <c r="B433">
        <v>24</v>
      </c>
      <c r="C433" s="1" t="s">
        <v>31</v>
      </c>
      <c r="D433" s="1" t="s">
        <v>68</v>
      </c>
      <c r="E433">
        <v>11328</v>
      </c>
      <c r="F433" s="1" t="s">
        <v>32</v>
      </c>
      <c r="G433" s="1" t="s">
        <v>21</v>
      </c>
      <c r="H433">
        <v>2</v>
      </c>
      <c r="I433" s="1" t="s">
        <v>39</v>
      </c>
      <c r="J433" s="1" t="s">
        <v>55</v>
      </c>
      <c r="K433">
        <v>3</v>
      </c>
      <c r="L433" s="1" t="s">
        <v>40</v>
      </c>
      <c r="M433">
        <v>29</v>
      </c>
      <c r="N433" s="1" t="s">
        <v>25</v>
      </c>
      <c r="O433" s="1" t="s">
        <v>26</v>
      </c>
      <c r="P433">
        <v>2</v>
      </c>
      <c r="Q433" s="1" t="s">
        <v>63</v>
      </c>
      <c r="R433">
        <v>1</v>
      </c>
      <c r="S433" s="1" t="s">
        <v>28</v>
      </c>
      <c r="T433" s="1" t="s">
        <v>28</v>
      </c>
      <c r="U433" s="1" t="s">
        <v>56</v>
      </c>
    </row>
    <row r="434" spans="1:21" x14ac:dyDescent="0.3">
      <c r="A434" s="1" t="s">
        <v>35</v>
      </c>
      <c r="B434">
        <v>6</v>
      </c>
      <c r="C434" s="1" t="s">
        <v>18</v>
      </c>
      <c r="D434" s="1" t="s">
        <v>53</v>
      </c>
      <c r="E434">
        <v>1872</v>
      </c>
      <c r="F434" s="1" t="s">
        <v>32</v>
      </c>
      <c r="G434" s="1" t="s">
        <v>54</v>
      </c>
      <c r="H434">
        <v>4</v>
      </c>
      <c r="I434" s="1" t="s">
        <v>39</v>
      </c>
      <c r="J434" s="1" t="s">
        <v>23</v>
      </c>
      <c r="K434">
        <v>4</v>
      </c>
      <c r="L434" s="1" t="s">
        <v>65</v>
      </c>
      <c r="M434">
        <v>36</v>
      </c>
      <c r="N434" s="1" t="s">
        <v>23</v>
      </c>
      <c r="O434" s="1" t="s">
        <v>66</v>
      </c>
      <c r="P434">
        <v>3</v>
      </c>
      <c r="Q434" s="1" t="s">
        <v>63</v>
      </c>
      <c r="R434">
        <v>1</v>
      </c>
      <c r="S434" s="1" t="s">
        <v>28</v>
      </c>
      <c r="T434" s="1" t="s">
        <v>28</v>
      </c>
      <c r="U434" s="1" t="s">
        <v>29</v>
      </c>
    </row>
    <row r="435" spans="1:21" x14ac:dyDescent="0.3">
      <c r="A435" s="1" t="s">
        <v>17</v>
      </c>
      <c r="B435">
        <v>24</v>
      </c>
      <c r="C435" s="1" t="s">
        <v>18</v>
      </c>
      <c r="D435" s="1" t="s">
        <v>57</v>
      </c>
      <c r="E435">
        <v>2058</v>
      </c>
      <c r="F435" s="1" t="s">
        <v>32</v>
      </c>
      <c r="G435" s="1" t="s">
        <v>21</v>
      </c>
      <c r="H435">
        <v>4</v>
      </c>
      <c r="I435" s="1" t="s">
        <v>64</v>
      </c>
      <c r="J435" s="1" t="s">
        <v>23</v>
      </c>
      <c r="K435">
        <v>2</v>
      </c>
      <c r="L435" s="1" t="s">
        <v>24</v>
      </c>
      <c r="M435">
        <v>33</v>
      </c>
      <c r="N435" s="1" t="s">
        <v>23</v>
      </c>
      <c r="O435" s="1" t="s">
        <v>26</v>
      </c>
      <c r="P435">
        <v>2</v>
      </c>
      <c r="Q435" s="1" t="s">
        <v>41</v>
      </c>
      <c r="R435">
        <v>1</v>
      </c>
      <c r="S435" s="1" t="s">
        <v>28</v>
      </c>
      <c r="T435" s="1" t="s">
        <v>28</v>
      </c>
      <c r="U435" s="1" t="s">
        <v>29</v>
      </c>
    </row>
    <row r="436" spans="1:21" x14ac:dyDescent="0.3">
      <c r="A436" s="1" t="s">
        <v>35</v>
      </c>
      <c r="B436">
        <v>9</v>
      </c>
      <c r="C436" s="1" t="s">
        <v>31</v>
      </c>
      <c r="D436" s="1" t="s">
        <v>53</v>
      </c>
      <c r="E436">
        <v>2136</v>
      </c>
      <c r="F436" s="1" t="s">
        <v>32</v>
      </c>
      <c r="G436" s="1" t="s">
        <v>21</v>
      </c>
      <c r="H436">
        <v>3</v>
      </c>
      <c r="I436" s="1" t="s">
        <v>39</v>
      </c>
      <c r="J436" s="1" t="s">
        <v>23</v>
      </c>
      <c r="K436">
        <v>2</v>
      </c>
      <c r="L436" s="1" t="s">
        <v>24</v>
      </c>
      <c r="M436">
        <v>25</v>
      </c>
      <c r="N436" s="1" t="s">
        <v>23</v>
      </c>
      <c r="O436" s="1" t="s">
        <v>26</v>
      </c>
      <c r="P436">
        <v>1</v>
      </c>
      <c r="Q436" s="1" t="s">
        <v>41</v>
      </c>
      <c r="R436">
        <v>1</v>
      </c>
      <c r="S436" s="1" t="s">
        <v>23</v>
      </c>
      <c r="T436" s="1" t="s">
        <v>28</v>
      </c>
      <c r="U436" s="1" t="s">
        <v>29</v>
      </c>
    </row>
    <row r="437" spans="1:21" x14ac:dyDescent="0.3">
      <c r="A437" s="1" t="s">
        <v>30</v>
      </c>
      <c r="B437">
        <v>12</v>
      </c>
      <c r="C437" s="1" t="s">
        <v>31</v>
      </c>
      <c r="D437" s="1" t="s">
        <v>36</v>
      </c>
      <c r="E437">
        <v>1484</v>
      </c>
      <c r="F437" s="1" t="s">
        <v>47</v>
      </c>
      <c r="G437" s="1" t="s">
        <v>21</v>
      </c>
      <c r="H437">
        <v>2</v>
      </c>
      <c r="I437" s="1" t="s">
        <v>33</v>
      </c>
      <c r="J437" s="1" t="s">
        <v>23</v>
      </c>
      <c r="K437">
        <v>1</v>
      </c>
      <c r="L437" s="1" t="s">
        <v>24</v>
      </c>
      <c r="M437">
        <v>25</v>
      </c>
      <c r="N437" s="1" t="s">
        <v>23</v>
      </c>
      <c r="O437" s="1" t="s">
        <v>26</v>
      </c>
      <c r="P437">
        <v>1</v>
      </c>
      <c r="Q437" s="1" t="s">
        <v>41</v>
      </c>
      <c r="R437">
        <v>1</v>
      </c>
      <c r="S437" s="1" t="s">
        <v>28</v>
      </c>
      <c r="T437" s="1" t="s">
        <v>28</v>
      </c>
      <c r="U437" s="1" t="s">
        <v>56</v>
      </c>
    </row>
    <row r="438" spans="1:21" x14ac:dyDescent="0.3">
      <c r="A438" s="1" t="s">
        <v>17</v>
      </c>
      <c r="B438">
        <v>6</v>
      </c>
      <c r="C438" s="1" t="s">
        <v>31</v>
      </c>
      <c r="D438" s="1" t="s">
        <v>57</v>
      </c>
      <c r="E438">
        <v>660</v>
      </c>
      <c r="F438" s="1" t="s">
        <v>37</v>
      </c>
      <c r="G438" s="1" t="s">
        <v>49</v>
      </c>
      <c r="H438">
        <v>2</v>
      </c>
      <c r="I438" s="1" t="s">
        <v>33</v>
      </c>
      <c r="J438" s="1" t="s">
        <v>23</v>
      </c>
      <c r="K438">
        <v>4</v>
      </c>
      <c r="L438" s="1" t="s">
        <v>24</v>
      </c>
      <c r="M438">
        <v>23</v>
      </c>
      <c r="N438" s="1" t="s">
        <v>23</v>
      </c>
      <c r="O438" s="1" t="s">
        <v>34</v>
      </c>
      <c r="P438">
        <v>1</v>
      </c>
      <c r="Q438" s="1" t="s">
        <v>27</v>
      </c>
      <c r="R438">
        <v>1</v>
      </c>
      <c r="S438" s="1" t="s">
        <v>23</v>
      </c>
      <c r="T438" s="1" t="s">
        <v>28</v>
      </c>
      <c r="U438" s="1" t="s">
        <v>29</v>
      </c>
    </row>
    <row r="439" spans="1:21" x14ac:dyDescent="0.3">
      <c r="A439" s="1" t="s">
        <v>17</v>
      </c>
      <c r="B439">
        <v>24</v>
      </c>
      <c r="C439" s="1" t="s">
        <v>18</v>
      </c>
      <c r="D439" s="1" t="s">
        <v>19</v>
      </c>
      <c r="E439">
        <v>1287</v>
      </c>
      <c r="F439" s="1" t="s">
        <v>20</v>
      </c>
      <c r="G439" s="1" t="s">
        <v>38</v>
      </c>
      <c r="H439">
        <v>4</v>
      </c>
      <c r="I439" s="1" t="s">
        <v>22</v>
      </c>
      <c r="J439" s="1" t="s">
        <v>23</v>
      </c>
      <c r="K439">
        <v>4</v>
      </c>
      <c r="L439" s="1" t="s">
        <v>24</v>
      </c>
      <c r="M439">
        <v>37</v>
      </c>
      <c r="N439" s="1" t="s">
        <v>23</v>
      </c>
      <c r="O439" s="1" t="s">
        <v>26</v>
      </c>
      <c r="P439">
        <v>2</v>
      </c>
      <c r="Q439" s="1" t="s">
        <v>41</v>
      </c>
      <c r="R439">
        <v>1</v>
      </c>
      <c r="S439" s="1" t="s">
        <v>28</v>
      </c>
      <c r="T439" s="1" t="s">
        <v>28</v>
      </c>
      <c r="U439" s="1" t="s">
        <v>29</v>
      </c>
    </row>
    <row r="440" spans="1:21" x14ac:dyDescent="0.3">
      <c r="A440" s="1" t="s">
        <v>35</v>
      </c>
      <c r="B440">
        <v>42</v>
      </c>
      <c r="C440" s="1" t="s">
        <v>18</v>
      </c>
      <c r="D440" s="1" t="s">
        <v>57</v>
      </c>
      <c r="E440">
        <v>3394</v>
      </c>
      <c r="F440" s="1" t="s">
        <v>32</v>
      </c>
      <c r="G440" s="1" t="s">
        <v>54</v>
      </c>
      <c r="H440">
        <v>4</v>
      </c>
      <c r="I440" s="1" t="s">
        <v>39</v>
      </c>
      <c r="J440" s="1" t="s">
        <v>55</v>
      </c>
      <c r="K440">
        <v>4</v>
      </c>
      <c r="L440" s="1" t="s">
        <v>40</v>
      </c>
      <c r="M440">
        <v>65</v>
      </c>
      <c r="N440" s="1" t="s">
        <v>23</v>
      </c>
      <c r="O440" s="1" t="s">
        <v>26</v>
      </c>
      <c r="P440">
        <v>2</v>
      </c>
      <c r="Q440" s="1" t="s">
        <v>62</v>
      </c>
      <c r="R440">
        <v>1</v>
      </c>
      <c r="S440" s="1" t="s">
        <v>23</v>
      </c>
      <c r="T440" s="1" t="s">
        <v>28</v>
      </c>
      <c r="U440" s="1" t="s">
        <v>29</v>
      </c>
    </row>
    <row r="441" spans="1:21" x14ac:dyDescent="0.3">
      <c r="A441" s="1" t="s">
        <v>50</v>
      </c>
      <c r="B441">
        <v>12</v>
      </c>
      <c r="C441" s="1" t="s">
        <v>42</v>
      </c>
      <c r="D441" s="1" t="s">
        <v>61</v>
      </c>
      <c r="E441">
        <v>609</v>
      </c>
      <c r="F441" s="1" t="s">
        <v>32</v>
      </c>
      <c r="G441" s="1" t="s">
        <v>45</v>
      </c>
      <c r="H441">
        <v>4</v>
      </c>
      <c r="I441" s="1" t="s">
        <v>22</v>
      </c>
      <c r="J441" s="1" t="s">
        <v>23</v>
      </c>
      <c r="K441">
        <v>1</v>
      </c>
      <c r="L441" s="1" t="s">
        <v>24</v>
      </c>
      <c r="M441">
        <v>26</v>
      </c>
      <c r="N441" s="1" t="s">
        <v>23</v>
      </c>
      <c r="O441" s="1" t="s">
        <v>26</v>
      </c>
      <c r="P441">
        <v>1</v>
      </c>
      <c r="Q441" s="1" t="s">
        <v>62</v>
      </c>
      <c r="R441">
        <v>1</v>
      </c>
      <c r="S441" s="1" t="s">
        <v>23</v>
      </c>
      <c r="T441" s="1" t="s">
        <v>28</v>
      </c>
      <c r="U441" s="1" t="s">
        <v>56</v>
      </c>
    </row>
    <row r="442" spans="1:21" x14ac:dyDescent="0.3">
      <c r="A442" s="1" t="s">
        <v>17</v>
      </c>
      <c r="B442">
        <v>12</v>
      </c>
      <c r="C442" s="1" t="s">
        <v>31</v>
      </c>
      <c r="D442" s="1" t="s">
        <v>19</v>
      </c>
      <c r="E442">
        <v>1884</v>
      </c>
      <c r="F442" s="1" t="s">
        <v>32</v>
      </c>
      <c r="G442" s="1" t="s">
        <v>38</v>
      </c>
      <c r="H442">
        <v>4</v>
      </c>
      <c r="I442" s="1" t="s">
        <v>39</v>
      </c>
      <c r="J442" s="1" t="s">
        <v>23</v>
      </c>
      <c r="K442">
        <v>4</v>
      </c>
      <c r="L442" s="1" t="s">
        <v>40</v>
      </c>
      <c r="M442">
        <v>39</v>
      </c>
      <c r="N442" s="1" t="s">
        <v>23</v>
      </c>
      <c r="O442" s="1" t="s">
        <v>26</v>
      </c>
      <c r="P442">
        <v>1</v>
      </c>
      <c r="Q442" s="1" t="s">
        <v>63</v>
      </c>
      <c r="R442">
        <v>1</v>
      </c>
      <c r="S442" s="1" t="s">
        <v>28</v>
      </c>
      <c r="T442" s="1" t="s">
        <v>28</v>
      </c>
      <c r="U442" s="1" t="s">
        <v>29</v>
      </c>
    </row>
    <row r="443" spans="1:21" x14ac:dyDescent="0.3">
      <c r="A443" s="1" t="s">
        <v>35</v>
      </c>
      <c r="B443">
        <v>12</v>
      </c>
      <c r="C443" s="1" t="s">
        <v>31</v>
      </c>
      <c r="D443" s="1" t="s">
        <v>53</v>
      </c>
      <c r="E443">
        <v>1620</v>
      </c>
      <c r="F443" s="1" t="s">
        <v>32</v>
      </c>
      <c r="G443" s="1" t="s">
        <v>21</v>
      </c>
      <c r="H443">
        <v>2</v>
      </c>
      <c r="I443" s="1" t="s">
        <v>22</v>
      </c>
      <c r="J443" s="1" t="s">
        <v>55</v>
      </c>
      <c r="K443">
        <v>3</v>
      </c>
      <c r="L443" s="1" t="s">
        <v>48</v>
      </c>
      <c r="M443">
        <v>30</v>
      </c>
      <c r="N443" s="1" t="s">
        <v>23</v>
      </c>
      <c r="O443" s="1" t="s">
        <v>26</v>
      </c>
      <c r="P443">
        <v>1</v>
      </c>
      <c r="Q443" s="1" t="s">
        <v>41</v>
      </c>
      <c r="R443">
        <v>1</v>
      </c>
      <c r="S443" s="1" t="s">
        <v>23</v>
      </c>
      <c r="T443" s="1" t="s">
        <v>28</v>
      </c>
      <c r="U443" s="1" t="s">
        <v>29</v>
      </c>
    </row>
    <row r="444" spans="1:21" x14ac:dyDescent="0.3">
      <c r="A444" s="1" t="s">
        <v>30</v>
      </c>
      <c r="B444">
        <v>20</v>
      </c>
      <c r="C444" s="1" t="s">
        <v>59</v>
      </c>
      <c r="D444" s="1" t="s">
        <v>68</v>
      </c>
      <c r="E444">
        <v>2629</v>
      </c>
      <c r="F444" s="1" t="s">
        <v>32</v>
      </c>
      <c r="G444" s="1" t="s">
        <v>21</v>
      </c>
      <c r="H444">
        <v>2</v>
      </c>
      <c r="I444" s="1" t="s">
        <v>39</v>
      </c>
      <c r="J444" s="1" t="s">
        <v>23</v>
      </c>
      <c r="K444">
        <v>3</v>
      </c>
      <c r="L444" s="1" t="s">
        <v>40</v>
      </c>
      <c r="M444">
        <v>29</v>
      </c>
      <c r="N444" s="1" t="s">
        <v>25</v>
      </c>
      <c r="O444" s="1" t="s">
        <v>26</v>
      </c>
      <c r="P444">
        <v>2</v>
      </c>
      <c r="Q444" s="1" t="s">
        <v>41</v>
      </c>
      <c r="R444">
        <v>1</v>
      </c>
      <c r="S444" s="1" t="s">
        <v>28</v>
      </c>
      <c r="T444" s="1" t="s">
        <v>28</v>
      </c>
      <c r="U444" s="1" t="s">
        <v>29</v>
      </c>
    </row>
    <row r="445" spans="1:21" x14ac:dyDescent="0.3">
      <c r="A445" s="1" t="s">
        <v>17</v>
      </c>
      <c r="B445">
        <v>12</v>
      </c>
      <c r="C445" s="1" t="s">
        <v>31</v>
      </c>
      <c r="D445" s="1" t="s">
        <v>51</v>
      </c>
      <c r="E445">
        <v>719</v>
      </c>
      <c r="F445" s="1" t="s">
        <v>32</v>
      </c>
      <c r="G445" s="1" t="s">
        <v>38</v>
      </c>
      <c r="H445">
        <v>4</v>
      </c>
      <c r="I445" s="1" t="s">
        <v>39</v>
      </c>
      <c r="J445" s="1" t="s">
        <v>23</v>
      </c>
      <c r="K445">
        <v>4</v>
      </c>
      <c r="L445" s="1" t="s">
        <v>40</v>
      </c>
      <c r="M445">
        <v>41</v>
      </c>
      <c r="N445" s="1" t="s">
        <v>25</v>
      </c>
      <c r="O445" s="1" t="s">
        <v>26</v>
      </c>
      <c r="P445">
        <v>1</v>
      </c>
      <c r="Q445" s="1" t="s">
        <v>27</v>
      </c>
      <c r="R445">
        <v>2</v>
      </c>
      <c r="S445" s="1" t="s">
        <v>23</v>
      </c>
      <c r="T445" s="1" t="s">
        <v>28</v>
      </c>
      <c r="U445" s="1" t="s">
        <v>56</v>
      </c>
    </row>
    <row r="446" spans="1:21" x14ac:dyDescent="0.3">
      <c r="A446" s="1" t="s">
        <v>30</v>
      </c>
      <c r="B446">
        <v>48</v>
      </c>
      <c r="C446" s="1" t="s">
        <v>18</v>
      </c>
      <c r="D446" s="1" t="s">
        <v>53</v>
      </c>
      <c r="E446">
        <v>5096</v>
      </c>
      <c r="F446" s="1" t="s">
        <v>32</v>
      </c>
      <c r="G446" s="1" t="s">
        <v>21</v>
      </c>
      <c r="H446">
        <v>2</v>
      </c>
      <c r="I446" s="1" t="s">
        <v>22</v>
      </c>
      <c r="J446" s="1" t="s">
        <v>23</v>
      </c>
      <c r="K446">
        <v>3</v>
      </c>
      <c r="L446" s="1" t="s">
        <v>40</v>
      </c>
      <c r="M446">
        <v>30</v>
      </c>
      <c r="N446" s="1" t="s">
        <v>23</v>
      </c>
      <c r="O446" s="1" t="s">
        <v>26</v>
      </c>
      <c r="P446">
        <v>1</v>
      </c>
      <c r="Q446" s="1" t="s">
        <v>63</v>
      </c>
      <c r="R446">
        <v>1</v>
      </c>
      <c r="S446" s="1" t="s">
        <v>28</v>
      </c>
      <c r="T446" s="1" t="s">
        <v>28</v>
      </c>
      <c r="U446" s="1" t="s">
        <v>56</v>
      </c>
    </row>
    <row r="447" spans="1:21" x14ac:dyDescent="0.3">
      <c r="A447" s="1" t="s">
        <v>17</v>
      </c>
      <c r="B447">
        <v>9</v>
      </c>
      <c r="C447" s="1" t="s">
        <v>18</v>
      </c>
      <c r="D447" s="1" t="s">
        <v>51</v>
      </c>
      <c r="E447">
        <v>1244</v>
      </c>
      <c r="F447" s="1" t="s">
        <v>47</v>
      </c>
      <c r="G447" s="1" t="s">
        <v>38</v>
      </c>
      <c r="H447">
        <v>4</v>
      </c>
      <c r="I447" s="1" t="s">
        <v>22</v>
      </c>
      <c r="J447" s="1" t="s">
        <v>23</v>
      </c>
      <c r="K447">
        <v>4</v>
      </c>
      <c r="L447" s="1" t="s">
        <v>48</v>
      </c>
      <c r="M447">
        <v>41</v>
      </c>
      <c r="N447" s="1" t="s">
        <v>23</v>
      </c>
      <c r="O447" s="1" t="s">
        <v>34</v>
      </c>
      <c r="P447">
        <v>2</v>
      </c>
      <c r="Q447" s="1" t="s">
        <v>27</v>
      </c>
      <c r="R447">
        <v>1</v>
      </c>
      <c r="S447" s="1" t="s">
        <v>23</v>
      </c>
      <c r="T447" s="1" t="s">
        <v>28</v>
      </c>
      <c r="U447" s="1" t="s">
        <v>29</v>
      </c>
    </row>
    <row r="448" spans="1:21" x14ac:dyDescent="0.3">
      <c r="A448" s="1" t="s">
        <v>35</v>
      </c>
      <c r="B448">
        <v>36</v>
      </c>
      <c r="C448" s="1" t="s">
        <v>31</v>
      </c>
      <c r="D448" s="1" t="s">
        <v>19</v>
      </c>
      <c r="E448">
        <v>1842</v>
      </c>
      <c r="F448" s="1" t="s">
        <v>32</v>
      </c>
      <c r="G448" s="1" t="s">
        <v>45</v>
      </c>
      <c r="H448">
        <v>4</v>
      </c>
      <c r="I448" s="1" t="s">
        <v>22</v>
      </c>
      <c r="J448" s="1" t="s">
        <v>23</v>
      </c>
      <c r="K448">
        <v>4</v>
      </c>
      <c r="L448" s="1" t="s">
        <v>40</v>
      </c>
      <c r="M448">
        <v>34</v>
      </c>
      <c r="N448" s="1" t="s">
        <v>23</v>
      </c>
      <c r="O448" s="1" t="s">
        <v>26</v>
      </c>
      <c r="P448">
        <v>1</v>
      </c>
      <c r="Q448" s="1" t="s">
        <v>41</v>
      </c>
      <c r="R448">
        <v>1</v>
      </c>
      <c r="S448" s="1" t="s">
        <v>28</v>
      </c>
      <c r="T448" s="1" t="s">
        <v>28</v>
      </c>
      <c r="U448" s="1" t="s">
        <v>56</v>
      </c>
    </row>
    <row r="449" spans="1:21" x14ac:dyDescent="0.3">
      <c r="A449" s="1" t="s">
        <v>30</v>
      </c>
      <c r="B449">
        <v>7</v>
      </c>
      <c r="C449" s="1" t="s">
        <v>31</v>
      </c>
      <c r="D449" s="1" t="s">
        <v>36</v>
      </c>
      <c r="E449">
        <v>2576</v>
      </c>
      <c r="F449" s="1" t="s">
        <v>32</v>
      </c>
      <c r="G449" s="1" t="s">
        <v>21</v>
      </c>
      <c r="H449">
        <v>2</v>
      </c>
      <c r="I449" s="1" t="s">
        <v>39</v>
      </c>
      <c r="J449" s="1" t="s">
        <v>58</v>
      </c>
      <c r="K449">
        <v>2</v>
      </c>
      <c r="L449" s="1" t="s">
        <v>24</v>
      </c>
      <c r="M449">
        <v>35</v>
      </c>
      <c r="N449" s="1" t="s">
        <v>23</v>
      </c>
      <c r="O449" s="1" t="s">
        <v>26</v>
      </c>
      <c r="P449">
        <v>1</v>
      </c>
      <c r="Q449" s="1" t="s">
        <v>41</v>
      </c>
      <c r="R449">
        <v>1</v>
      </c>
      <c r="S449" s="1" t="s">
        <v>23</v>
      </c>
      <c r="T449" s="1" t="s">
        <v>28</v>
      </c>
      <c r="U449" s="1" t="s">
        <v>29</v>
      </c>
    </row>
    <row r="450" spans="1:21" x14ac:dyDescent="0.3">
      <c r="A450" s="1" t="s">
        <v>50</v>
      </c>
      <c r="B450">
        <v>12</v>
      </c>
      <c r="C450" s="1" t="s">
        <v>31</v>
      </c>
      <c r="D450" s="1" t="s">
        <v>53</v>
      </c>
      <c r="E450">
        <v>1424</v>
      </c>
      <c r="F450" s="1" t="s">
        <v>47</v>
      </c>
      <c r="G450" s="1" t="s">
        <v>38</v>
      </c>
      <c r="H450">
        <v>3</v>
      </c>
      <c r="I450" s="1" t="s">
        <v>22</v>
      </c>
      <c r="J450" s="1" t="s">
        <v>23</v>
      </c>
      <c r="K450">
        <v>4</v>
      </c>
      <c r="L450" s="1" t="s">
        <v>24</v>
      </c>
      <c r="M450">
        <v>55</v>
      </c>
      <c r="N450" s="1" t="s">
        <v>23</v>
      </c>
      <c r="O450" s="1" t="s">
        <v>26</v>
      </c>
      <c r="P450">
        <v>1</v>
      </c>
      <c r="Q450" s="1" t="s">
        <v>63</v>
      </c>
      <c r="R450">
        <v>1</v>
      </c>
      <c r="S450" s="1" t="s">
        <v>28</v>
      </c>
      <c r="T450" s="1" t="s">
        <v>28</v>
      </c>
      <c r="U450" s="1" t="s">
        <v>29</v>
      </c>
    </row>
    <row r="451" spans="1:21" x14ac:dyDescent="0.3">
      <c r="A451" s="1" t="s">
        <v>30</v>
      </c>
      <c r="B451">
        <v>15</v>
      </c>
      <c r="C451" s="1" t="s">
        <v>59</v>
      </c>
      <c r="D451" s="1" t="s">
        <v>57</v>
      </c>
      <c r="E451">
        <v>1512</v>
      </c>
      <c r="F451" s="1" t="s">
        <v>20</v>
      </c>
      <c r="G451" s="1" t="s">
        <v>21</v>
      </c>
      <c r="H451">
        <v>3</v>
      </c>
      <c r="I451" s="1" t="s">
        <v>33</v>
      </c>
      <c r="J451" s="1" t="s">
        <v>23</v>
      </c>
      <c r="K451">
        <v>3</v>
      </c>
      <c r="L451" s="1" t="s">
        <v>48</v>
      </c>
      <c r="M451">
        <v>61</v>
      </c>
      <c r="N451" s="1" t="s">
        <v>67</v>
      </c>
      <c r="O451" s="1" t="s">
        <v>26</v>
      </c>
      <c r="P451">
        <v>2</v>
      </c>
      <c r="Q451" s="1" t="s">
        <v>41</v>
      </c>
      <c r="R451">
        <v>1</v>
      </c>
      <c r="S451" s="1" t="s">
        <v>23</v>
      </c>
      <c r="T451" s="1" t="s">
        <v>28</v>
      </c>
      <c r="U451" s="1" t="s">
        <v>56</v>
      </c>
    </row>
    <row r="452" spans="1:21" x14ac:dyDescent="0.3">
      <c r="A452" s="1" t="s">
        <v>17</v>
      </c>
      <c r="B452">
        <v>36</v>
      </c>
      <c r="C452" s="1" t="s">
        <v>18</v>
      </c>
      <c r="D452" s="1" t="s">
        <v>69</v>
      </c>
      <c r="E452">
        <v>11054</v>
      </c>
      <c r="F452" s="1" t="s">
        <v>47</v>
      </c>
      <c r="G452" s="1" t="s">
        <v>21</v>
      </c>
      <c r="H452">
        <v>4</v>
      </c>
      <c r="I452" s="1" t="s">
        <v>39</v>
      </c>
      <c r="J452" s="1" t="s">
        <v>23</v>
      </c>
      <c r="K452">
        <v>2</v>
      </c>
      <c r="L452" s="1" t="s">
        <v>40</v>
      </c>
      <c r="M452">
        <v>30</v>
      </c>
      <c r="N452" s="1" t="s">
        <v>23</v>
      </c>
      <c r="O452" s="1" t="s">
        <v>26</v>
      </c>
      <c r="P452">
        <v>1</v>
      </c>
      <c r="Q452" s="1" t="s">
        <v>63</v>
      </c>
      <c r="R452">
        <v>1</v>
      </c>
      <c r="S452" s="1" t="s">
        <v>28</v>
      </c>
      <c r="T452" s="1" t="s">
        <v>28</v>
      </c>
      <c r="U452" s="1" t="s">
        <v>29</v>
      </c>
    </row>
    <row r="453" spans="1:21" x14ac:dyDescent="0.3">
      <c r="A453" s="1" t="s">
        <v>17</v>
      </c>
      <c r="B453">
        <v>6</v>
      </c>
      <c r="C453" s="1" t="s">
        <v>31</v>
      </c>
      <c r="D453" s="1" t="s">
        <v>36</v>
      </c>
      <c r="E453">
        <v>518</v>
      </c>
      <c r="F453" s="1" t="s">
        <v>32</v>
      </c>
      <c r="G453" s="1" t="s">
        <v>21</v>
      </c>
      <c r="H453">
        <v>3</v>
      </c>
      <c r="I453" s="1" t="s">
        <v>22</v>
      </c>
      <c r="J453" s="1" t="s">
        <v>23</v>
      </c>
      <c r="K453">
        <v>1</v>
      </c>
      <c r="L453" s="1" t="s">
        <v>24</v>
      </c>
      <c r="M453">
        <v>29</v>
      </c>
      <c r="N453" s="1" t="s">
        <v>23</v>
      </c>
      <c r="O453" s="1" t="s">
        <v>26</v>
      </c>
      <c r="P453">
        <v>1</v>
      </c>
      <c r="Q453" s="1" t="s">
        <v>41</v>
      </c>
      <c r="R453">
        <v>1</v>
      </c>
      <c r="S453" s="1" t="s">
        <v>23</v>
      </c>
      <c r="T453" s="1" t="s">
        <v>28</v>
      </c>
      <c r="U453" s="1" t="s">
        <v>29</v>
      </c>
    </row>
    <row r="454" spans="1:21" x14ac:dyDescent="0.3">
      <c r="A454" s="1" t="s">
        <v>17</v>
      </c>
      <c r="B454">
        <v>12</v>
      </c>
      <c r="C454" s="1" t="s">
        <v>52</v>
      </c>
      <c r="D454" s="1" t="s">
        <v>53</v>
      </c>
      <c r="E454">
        <v>2759</v>
      </c>
      <c r="F454" s="1" t="s">
        <v>32</v>
      </c>
      <c r="G454" s="1" t="s">
        <v>38</v>
      </c>
      <c r="H454">
        <v>2</v>
      </c>
      <c r="I454" s="1" t="s">
        <v>39</v>
      </c>
      <c r="J454" s="1" t="s">
        <v>23</v>
      </c>
      <c r="K454">
        <v>4</v>
      </c>
      <c r="L454" s="1" t="s">
        <v>48</v>
      </c>
      <c r="M454">
        <v>34</v>
      </c>
      <c r="N454" s="1" t="s">
        <v>23</v>
      </c>
      <c r="O454" s="1" t="s">
        <v>26</v>
      </c>
      <c r="P454">
        <v>2</v>
      </c>
      <c r="Q454" s="1" t="s">
        <v>41</v>
      </c>
      <c r="R454">
        <v>1</v>
      </c>
      <c r="S454" s="1" t="s">
        <v>23</v>
      </c>
      <c r="T454" s="1" t="s">
        <v>28</v>
      </c>
      <c r="U454" s="1" t="s">
        <v>29</v>
      </c>
    </row>
    <row r="455" spans="1:21" x14ac:dyDescent="0.3">
      <c r="A455" s="1" t="s">
        <v>17</v>
      </c>
      <c r="B455">
        <v>24</v>
      </c>
      <c r="C455" s="1" t="s">
        <v>31</v>
      </c>
      <c r="D455" s="1" t="s">
        <v>69</v>
      </c>
      <c r="E455">
        <v>2670</v>
      </c>
      <c r="F455" s="1" t="s">
        <v>32</v>
      </c>
      <c r="G455" s="1" t="s">
        <v>38</v>
      </c>
      <c r="H455">
        <v>4</v>
      </c>
      <c r="I455" s="1" t="s">
        <v>39</v>
      </c>
      <c r="J455" s="1" t="s">
        <v>23</v>
      </c>
      <c r="K455">
        <v>4</v>
      </c>
      <c r="L455" s="1" t="s">
        <v>40</v>
      </c>
      <c r="M455">
        <v>35</v>
      </c>
      <c r="N455" s="1" t="s">
        <v>23</v>
      </c>
      <c r="O455" s="1" t="s">
        <v>26</v>
      </c>
      <c r="P455">
        <v>1</v>
      </c>
      <c r="Q455" s="1" t="s">
        <v>63</v>
      </c>
      <c r="R455">
        <v>1</v>
      </c>
      <c r="S455" s="1" t="s">
        <v>28</v>
      </c>
      <c r="T455" s="1" t="s">
        <v>28</v>
      </c>
      <c r="U455" s="1" t="s">
        <v>29</v>
      </c>
    </row>
    <row r="456" spans="1:21" x14ac:dyDescent="0.3">
      <c r="A456" s="1" t="s">
        <v>35</v>
      </c>
      <c r="B456">
        <v>24</v>
      </c>
      <c r="C456" s="1" t="s">
        <v>31</v>
      </c>
      <c r="D456" s="1" t="s">
        <v>19</v>
      </c>
      <c r="E456">
        <v>4817</v>
      </c>
      <c r="F456" s="1" t="s">
        <v>32</v>
      </c>
      <c r="G456" s="1" t="s">
        <v>49</v>
      </c>
      <c r="H456">
        <v>2</v>
      </c>
      <c r="I456" s="1" t="s">
        <v>39</v>
      </c>
      <c r="J456" s="1" t="s">
        <v>55</v>
      </c>
      <c r="K456">
        <v>3</v>
      </c>
      <c r="L456" s="1" t="s">
        <v>48</v>
      </c>
      <c r="M456">
        <v>31</v>
      </c>
      <c r="N456" s="1" t="s">
        <v>23</v>
      </c>
      <c r="O456" s="1" t="s">
        <v>26</v>
      </c>
      <c r="P456">
        <v>1</v>
      </c>
      <c r="Q456" s="1" t="s">
        <v>41</v>
      </c>
      <c r="R456">
        <v>1</v>
      </c>
      <c r="S456" s="1" t="s">
        <v>28</v>
      </c>
      <c r="T456" s="1" t="s">
        <v>28</v>
      </c>
      <c r="U456" s="1" t="s">
        <v>56</v>
      </c>
    </row>
    <row r="457" spans="1:21" x14ac:dyDescent="0.3">
      <c r="A457" s="1" t="s">
        <v>17</v>
      </c>
      <c r="B457">
        <v>24</v>
      </c>
      <c r="C457" s="1" t="s">
        <v>31</v>
      </c>
      <c r="D457" s="1" t="s">
        <v>69</v>
      </c>
      <c r="E457">
        <v>2679</v>
      </c>
      <c r="F457" s="1" t="s">
        <v>32</v>
      </c>
      <c r="G457" s="1" t="s">
        <v>45</v>
      </c>
      <c r="H457">
        <v>4</v>
      </c>
      <c r="I457" s="1" t="s">
        <v>22</v>
      </c>
      <c r="J457" s="1" t="s">
        <v>23</v>
      </c>
      <c r="K457">
        <v>1</v>
      </c>
      <c r="L457" s="1" t="s">
        <v>65</v>
      </c>
      <c r="M457">
        <v>29</v>
      </c>
      <c r="N457" s="1" t="s">
        <v>23</v>
      </c>
      <c r="O457" s="1" t="s">
        <v>26</v>
      </c>
      <c r="P457">
        <v>1</v>
      </c>
      <c r="Q457" s="1" t="s">
        <v>63</v>
      </c>
      <c r="R457">
        <v>1</v>
      </c>
      <c r="S457" s="1" t="s">
        <v>28</v>
      </c>
      <c r="T457" s="1" t="s">
        <v>28</v>
      </c>
      <c r="U457" s="1" t="s">
        <v>29</v>
      </c>
    </row>
    <row r="458" spans="1:21" x14ac:dyDescent="0.3">
      <c r="A458" s="1" t="s">
        <v>35</v>
      </c>
      <c r="B458">
        <v>11</v>
      </c>
      <c r="C458" s="1" t="s">
        <v>18</v>
      </c>
      <c r="D458" s="1" t="s">
        <v>19</v>
      </c>
      <c r="E458">
        <v>3905</v>
      </c>
      <c r="F458" s="1" t="s">
        <v>32</v>
      </c>
      <c r="G458" s="1" t="s">
        <v>21</v>
      </c>
      <c r="H458">
        <v>2</v>
      </c>
      <c r="I458" s="1" t="s">
        <v>39</v>
      </c>
      <c r="J458" s="1" t="s">
        <v>23</v>
      </c>
      <c r="K458">
        <v>2</v>
      </c>
      <c r="L458" s="1" t="s">
        <v>24</v>
      </c>
      <c r="M458">
        <v>36</v>
      </c>
      <c r="N458" s="1" t="s">
        <v>23</v>
      </c>
      <c r="O458" s="1" t="s">
        <v>34</v>
      </c>
      <c r="P458">
        <v>2</v>
      </c>
      <c r="Q458" s="1" t="s">
        <v>41</v>
      </c>
      <c r="R458">
        <v>2</v>
      </c>
      <c r="S458" s="1" t="s">
        <v>23</v>
      </c>
      <c r="T458" s="1" t="s">
        <v>28</v>
      </c>
      <c r="U458" s="1" t="s">
        <v>29</v>
      </c>
    </row>
    <row r="459" spans="1:21" x14ac:dyDescent="0.3">
      <c r="A459" s="1" t="s">
        <v>35</v>
      </c>
      <c r="B459">
        <v>12</v>
      </c>
      <c r="C459" s="1" t="s">
        <v>31</v>
      </c>
      <c r="D459" s="1" t="s">
        <v>69</v>
      </c>
      <c r="E459">
        <v>3386</v>
      </c>
      <c r="F459" s="1" t="s">
        <v>32</v>
      </c>
      <c r="G459" s="1" t="s">
        <v>38</v>
      </c>
      <c r="H459">
        <v>3</v>
      </c>
      <c r="I459" s="1" t="s">
        <v>39</v>
      </c>
      <c r="J459" s="1" t="s">
        <v>23</v>
      </c>
      <c r="K459">
        <v>4</v>
      </c>
      <c r="L459" s="1" t="s">
        <v>65</v>
      </c>
      <c r="M459">
        <v>35</v>
      </c>
      <c r="N459" s="1" t="s">
        <v>23</v>
      </c>
      <c r="O459" s="1" t="s">
        <v>66</v>
      </c>
      <c r="P459">
        <v>1</v>
      </c>
      <c r="Q459" s="1" t="s">
        <v>41</v>
      </c>
      <c r="R459">
        <v>1</v>
      </c>
      <c r="S459" s="1" t="s">
        <v>28</v>
      </c>
      <c r="T459" s="1" t="s">
        <v>28</v>
      </c>
      <c r="U459" s="1" t="s">
        <v>56</v>
      </c>
    </row>
    <row r="460" spans="1:21" x14ac:dyDescent="0.3">
      <c r="A460" s="1" t="s">
        <v>35</v>
      </c>
      <c r="B460">
        <v>6</v>
      </c>
      <c r="C460" s="1" t="s">
        <v>31</v>
      </c>
      <c r="D460" s="1" t="s">
        <v>44</v>
      </c>
      <c r="E460">
        <v>343</v>
      </c>
      <c r="F460" s="1" t="s">
        <v>32</v>
      </c>
      <c r="G460" s="1" t="s">
        <v>45</v>
      </c>
      <c r="H460">
        <v>4</v>
      </c>
      <c r="I460" s="1" t="s">
        <v>22</v>
      </c>
      <c r="J460" s="1" t="s">
        <v>23</v>
      </c>
      <c r="K460">
        <v>1</v>
      </c>
      <c r="L460" s="1" t="s">
        <v>24</v>
      </c>
      <c r="M460">
        <v>27</v>
      </c>
      <c r="N460" s="1" t="s">
        <v>23</v>
      </c>
      <c r="O460" s="1" t="s">
        <v>26</v>
      </c>
      <c r="P460">
        <v>1</v>
      </c>
      <c r="Q460" s="1" t="s">
        <v>41</v>
      </c>
      <c r="R460">
        <v>1</v>
      </c>
      <c r="S460" s="1" t="s">
        <v>23</v>
      </c>
      <c r="T460" s="1" t="s">
        <v>28</v>
      </c>
      <c r="U460" s="1" t="s">
        <v>29</v>
      </c>
    </row>
    <row r="461" spans="1:21" x14ac:dyDescent="0.3">
      <c r="A461" s="1" t="s">
        <v>17</v>
      </c>
      <c r="B461">
        <v>18</v>
      </c>
      <c r="C461" s="1" t="s">
        <v>31</v>
      </c>
      <c r="D461" s="1" t="s">
        <v>36</v>
      </c>
      <c r="E461">
        <v>4594</v>
      </c>
      <c r="F461" s="1" t="s">
        <v>32</v>
      </c>
      <c r="G461" s="1" t="s">
        <v>45</v>
      </c>
      <c r="H461">
        <v>3</v>
      </c>
      <c r="I461" s="1" t="s">
        <v>39</v>
      </c>
      <c r="J461" s="1" t="s">
        <v>23</v>
      </c>
      <c r="K461">
        <v>2</v>
      </c>
      <c r="L461" s="1" t="s">
        <v>40</v>
      </c>
      <c r="M461">
        <v>32</v>
      </c>
      <c r="N461" s="1" t="s">
        <v>23</v>
      </c>
      <c r="O461" s="1" t="s">
        <v>26</v>
      </c>
      <c r="P461">
        <v>1</v>
      </c>
      <c r="Q461" s="1" t="s">
        <v>41</v>
      </c>
      <c r="R461">
        <v>1</v>
      </c>
      <c r="S461" s="1" t="s">
        <v>28</v>
      </c>
      <c r="T461" s="1" t="s">
        <v>28</v>
      </c>
      <c r="U461" s="1" t="s">
        <v>29</v>
      </c>
    </row>
    <row r="462" spans="1:21" x14ac:dyDescent="0.3">
      <c r="A462" s="1" t="s">
        <v>35</v>
      </c>
      <c r="B462">
        <v>36</v>
      </c>
      <c r="C462" s="1" t="s">
        <v>31</v>
      </c>
      <c r="D462" s="1" t="s">
        <v>53</v>
      </c>
      <c r="E462">
        <v>3620</v>
      </c>
      <c r="F462" s="1" t="s">
        <v>32</v>
      </c>
      <c r="G462" s="1" t="s">
        <v>21</v>
      </c>
      <c r="H462">
        <v>1</v>
      </c>
      <c r="I462" s="1" t="s">
        <v>39</v>
      </c>
      <c r="J462" s="1" t="s">
        <v>58</v>
      </c>
      <c r="K462">
        <v>2</v>
      </c>
      <c r="L462" s="1" t="s">
        <v>48</v>
      </c>
      <c r="M462">
        <v>37</v>
      </c>
      <c r="N462" s="1" t="s">
        <v>23</v>
      </c>
      <c r="O462" s="1" t="s">
        <v>26</v>
      </c>
      <c r="P462">
        <v>1</v>
      </c>
      <c r="Q462" s="1" t="s">
        <v>41</v>
      </c>
      <c r="R462">
        <v>2</v>
      </c>
      <c r="S462" s="1" t="s">
        <v>23</v>
      </c>
      <c r="T462" s="1" t="s">
        <v>28</v>
      </c>
      <c r="U462" s="1" t="s">
        <v>29</v>
      </c>
    </row>
    <row r="463" spans="1:21" x14ac:dyDescent="0.3">
      <c r="A463" s="1" t="s">
        <v>35</v>
      </c>
      <c r="B463">
        <v>15</v>
      </c>
      <c r="C463" s="1" t="s">
        <v>31</v>
      </c>
      <c r="D463" s="1" t="s">
        <v>19</v>
      </c>
      <c r="E463">
        <v>1721</v>
      </c>
      <c r="F463" s="1" t="s">
        <v>32</v>
      </c>
      <c r="G463" s="1" t="s">
        <v>45</v>
      </c>
      <c r="H463">
        <v>2</v>
      </c>
      <c r="I463" s="1" t="s">
        <v>39</v>
      </c>
      <c r="J463" s="1" t="s">
        <v>23</v>
      </c>
      <c r="K463">
        <v>3</v>
      </c>
      <c r="L463" s="1" t="s">
        <v>24</v>
      </c>
      <c r="M463">
        <v>36</v>
      </c>
      <c r="N463" s="1" t="s">
        <v>23</v>
      </c>
      <c r="O463" s="1" t="s">
        <v>26</v>
      </c>
      <c r="P463">
        <v>1</v>
      </c>
      <c r="Q463" s="1" t="s">
        <v>41</v>
      </c>
      <c r="R463">
        <v>1</v>
      </c>
      <c r="S463" s="1" t="s">
        <v>23</v>
      </c>
      <c r="T463" s="1" t="s">
        <v>28</v>
      </c>
      <c r="U463" s="1" t="s">
        <v>29</v>
      </c>
    </row>
    <row r="464" spans="1:21" x14ac:dyDescent="0.3">
      <c r="A464" s="1" t="s">
        <v>30</v>
      </c>
      <c r="B464">
        <v>12</v>
      </c>
      <c r="C464" s="1" t="s">
        <v>31</v>
      </c>
      <c r="D464" s="1" t="s">
        <v>53</v>
      </c>
      <c r="E464">
        <v>3017</v>
      </c>
      <c r="F464" s="1" t="s">
        <v>32</v>
      </c>
      <c r="G464" s="1" t="s">
        <v>45</v>
      </c>
      <c r="H464">
        <v>3</v>
      </c>
      <c r="I464" s="1" t="s">
        <v>22</v>
      </c>
      <c r="J464" s="1" t="s">
        <v>23</v>
      </c>
      <c r="K464">
        <v>1</v>
      </c>
      <c r="L464" s="1" t="s">
        <v>24</v>
      </c>
      <c r="M464">
        <v>34</v>
      </c>
      <c r="N464" s="1" t="s">
        <v>23</v>
      </c>
      <c r="O464" s="1" t="s">
        <v>34</v>
      </c>
      <c r="P464">
        <v>1</v>
      </c>
      <c r="Q464" s="1" t="s">
        <v>63</v>
      </c>
      <c r="R464">
        <v>1</v>
      </c>
      <c r="S464" s="1" t="s">
        <v>23</v>
      </c>
      <c r="T464" s="1" t="s">
        <v>28</v>
      </c>
      <c r="U464" s="1" t="s">
        <v>29</v>
      </c>
    </row>
    <row r="465" spans="1:21" x14ac:dyDescent="0.3">
      <c r="A465" s="1" t="s">
        <v>30</v>
      </c>
      <c r="B465">
        <v>12</v>
      </c>
      <c r="C465" s="1" t="s">
        <v>31</v>
      </c>
      <c r="D465" s="1" t="s">
        <v>43</v>
      </c>
      <c r="E465">
        <v>754</v>
      </c>
      <c r="F465" s="1" t="s">
        <v>47</v>
      </c>
      <c r="G465" s="1" t="s">
        <v>38</v>
      </c>
      <c r="H465">
        <v>4</v>
      </c>
      <c r="I465" s="1" t="s">
        <v>39</v>
      </c>
      <c r="J465" s="1" t="s">
        <v>23</v>
      </c>
      <c r="K465">
        <v>4</v>
      </c>
      <c r="L465" s="1" t="s">
        <v>48</v>
      </c>
      <c r="M465">
        <v>38</v>
      </c>
      <c r="N465" s="1" t="s">
        <v>23</v>
      </c>
      <c r="O465" s="1" t="s">
        <v>26</v>
      </c>
      <c r="P465">
        <v>2</v>
      </c>
      <c r="Q465" s="1" t="s">
        <v>41</v>
      </c>
      <c r="R465">
        <v>1</v>
      </c>
      <c r="S465" s="1" t="s">
        <v>23</v>
      </c>
      <c r="T465" s="1" t="s">
        <v>28</v>
      </c>
      <c r="U465" s="1" t="s">
        <v>29</v>
      </c>
    </row>
    <row r="466" spans="1:21" x14ac:dyDescent="0.3">
      <c r="A466" s="1" t="s">
        <v>17</v>
      </c>
      <c r="B466">
        <v>18</v>
      </c>
      <c r="C466" s="1" t="s">
        <v>31</v>
      </c>
      <c r="D466" s="1" t="s">
        <v>61</v>
      </c>
      <c r="E466">
        <v>1950</v>
      </c>
      <c r="F466" s="1" t="s">
        <v>32</v>
      </c>
      <c r="G466" s="1" t="s">
        <v>49</v>
      </c>
      <c r="H466">
        <v>4</v>
      </c>
      <c r="I466" s="1" t="s">
        <v>39</v>
      </c>
      <c r="J466" s="1" t="s">
        <v>23</v>
      </c>
      <c r="K466">
        <v>1</v>
      </c>
      <c r="L466" s="1" t="s">
        <v>40</v>
      </c>
      <c r="M466">
        <v>34</v>
      </c>
      <c r="N466" s="1" t="s">
        <v>67</v>
      </c>
      <c r="O466" s="1" t="s">
        <v>26</v>
      </c>
      <c r="P466">
        <v>2</v>
      </c>
      <c r="Q466" s="1" t="s">
        <v>41</v>
      </c>
      <c r="R466">
        <v>1</v>
      </c>
      <c r="S466" s="1" t="s">
        <v>28</v>
      </c>
      <c r="T466" s="1" t="s">
        <v>28</v>
      </c>
      <c r="U466" s="1" t="s">
        <v>29</v>
      </c>
    </row>
    <row r="467" spans="1:21" x14ac:dyDescent="0.3">
      <c r="A467" s="1" t="s">
        <v>35</v>
      </c>
      <c r="B467">
        <v>24</v>
      </c>
      <c r="C467" s="1" t="s">
        <v>31</v>
      </c>
      <c r="D467" s="1" t="s">
        <v>69</v>
      </c>
      <c r="E467">
        <v>2924</v>
      </c>
      <c r="F467" s="1" t="s">
        <v>32</v>
      </c>
      <c r="G467" s="1" t="s">
        <v>21</v>
      </c>
      <c r="H467">
        <v>3</v>
      </c>
      <c r="I467" s="1" t="s">
        <v>39</v>
      </c>
      <c r="J467" s="1" t="s">
        <v>58</v>
      </c>
      <c r="K467">
        <v>4</v>
      </c>
      <c r="L467" s="1" t="s">
        <v>65</v>
      </c>
      <c r="M467">
        <v>63</v>
      </c>
      <c r="N467" s="1" t="s">
        <v>25</v>
      </c>
      <c r="O467" s="1" t="s">
        <v>26</v>
      </c>
      <c r="P467">
        <v>1</v>
      </c>
      <c r="Q467" s="1" t="s">
        <v>41</v>
      </c>
      <c r="R467">
        <v>2</v>
      </c>
      <c r="S467" s="1" t="s">
        <v>28</v>
      </c>
      <c r="T467" s="1" t="s">
        <v>28</v>
      </c>
      <c r="U467" s="1" t="s">
        <v>29</v>
      </c>
    </row>
    <row r="468" spans="1:21" x14ac:dyDescent="0.3">
      <c r="A468" s="1" t="s">
        <v>35</v>
      </c>
      <c r="B468">
        <v>24</v>
      </c>
      <c r="C468" s="1" t="s">
        <v>59</v>
      </c>
      <c r="D468" s="1" t="s">
        <v>36</v>
      </c>
      <c r="E468">
        <v>1659</v>
      </c>
      <c r="F468" s="1" t="s">
        <v>32</v>
      </c>
      <c r="G468" s="1" t="s">
        <v>45</v>
      </c>
      <c r="H468">
        <v>4</v>
      </c>
      <c r="I468" s="1" t="s">
        <v>22</v>
      </c>
      <c r="J468" s="1" t="s">
        <v>23</v>
      </c>
      <c r="K468">
        <v>2</v>
      </c>
      <c r="L468" s="1" t="s">
        <v>40</v>
      </c>
      <c r="M468">
        <v>29</v>
      </c>
      <c r="N468" s="1" t="s">
        <v>23</v>
      </c>
      <c r="O468" s="1" t="s">
        <v>34</v>
      </c>
      <c r="P468">
        <v>1</v>
      </c>
      <c r="Q468" s="1" t="s">
        <v>27</v>
      </c>
      <c r="R468">
        <v>1</v>
      </c>
      <c r="S468" s="1" t="s">
        <v>28</v>
      </c>
      <c r="T468" s="1" t="s">
        <v>28</v>
      </c>
      <c r="U468" s="1" t="s">
        <v>56</v>
      </c>
    </row>
    <row r="469" spans="1:21" x14ac:dyDescent="0.3">
      <c r="A469" s="1" t="s">
        <v>17</v>
      </c>
      <c r="B469">
        <v>48</v>
      </c>
      <c r="C469" s="1" t="s">
        <v>59</v>
      </c>
      <c r="D469" s="1" t="s">
        <v>36</v>
      </c>
      <c r="E469">
        <v>7238</v>
      </c>
      <c r="F469" s="1" t="s">
        <v>47</v>
      </c>
      <c r="G469" s="1" t="s">
        <v>38</v>
      </c>
      <c r="H469">
        <v>3</v>
      </c>
      <c r="I469" s="1" t="s">
        <v>39</v>
      </c>
      <c r="J469" s="1" t="s">
        <v>23</v>
      </c>
      <c r="K469">
        <v>3</v>
      </c>
      <c r="L469" s="1" t="s">
        <v>40</v>
      </c>
      <c r="M469">
        <v>32</v>
      </c>
      <c r="N469" s="1" t="s">
        <v>25</v>
      </c>
      <c r="O469" s="1" t="s">
        <v>26</v>
      </c>
      <c r="P469">
        <v>2</v>
      </c>
      <c r="Q469" s="1" t="s">
        <v>41</v>
      </c>
      <c r="R469">
        <v>2</v>
      </c>
      <c r="S469" s="1" t="s">
        <v>23</v>
      </c>
      <c r="T469" s="1" t="s">
        <v>28</v>
      </c>
      <c r="U469" s="1" t="s">
        <v>29</v>
      </c>
    </row>
    <row r="470" spans="1:21" x14ac:dyDescent="0.3">
      <c r="A470" s="1" t="s">
        <v>17</v>
      </c>
      <c r="B470">
        <v>33</v>
      </c>
      <c r="C470" s="1" t="s">
        <v>59</v>
      </c>
      <c r="D470" s="1" t="s">
        <v>61</v>
      </c>
      <c r="E470">
        <v>2764</v>
      </c>
      <c r="F470" s="1" t="s">
        <v>32</v>
      </c>
      <c r="G470" s="1" t="s">
        <v>21</v>
      </c>
      <c r="H470">
        <v>2</v>
      </c>
      <c r="I470" s="1" t="s">
        <v>22</v>
      </c>
      <c r="J470" s="1" t="s">
        <v>23</v>
      </c>
      <c r="K470">
        <v>2</v>
      </c>
      <c r="L470" s="1" t="s">
        <v>40</v>
      </c>
      <c r="M470">
        <v>26</v>
      </c>
      <c r="N470" s="1" t="s">
        <v>23</v>
      </c>
      <c r="O470" s="1" t="s">
        <v>26</v>
      </c>
      <c r="P470">
        <v>2</v>
      </c>
      <c r="Q470" s="1" t="s">
        <v>41</v>
      </c>
      <c r="R470">
        <v>1</v>
      </c>
      <c r="S470" s="1" t="s">
        <v>28</v>
      </c>
      <c r="T470" s="1" t="s">
        <v>28</v>
      </c>
      <c r="U470" s="1" t="s">
        <v>29</v>
      </c>
    </row>
    <row r="471" spans="1:21" x14ac:dyDescent="0.3">
      <c r="A471" s="1" t="s">
        <v>17</v>
      </c>
      <c r="B471">
        <v>24</v>
      </c>
      <c r="C471" s="1" t="s">
        <v>59</v>
      </c>
      <c r="D471" s="1" t="s">
        <v>69</v>
      </c>
      <c r="E471">
        <v>4679</v>
      </c>
      <c r="F471" s="1" t="s">
        <v>32</v>
      </c>
      <c r="G471" s="1" t="s">
        <v>49</v>
      </c>
      <c r="H471">
        <v>3</v>
      </c>
      <c r="I471" s="1" t="s">
        <v>39</v>
      </c>
      <c r="J471" s="1" t="s">
        <v>23</v>
      </c>
      <c r="K471">
        <v>3</v>
      </c>
      <c r="L471" s="1" t="s">
        <v>40</v>
      </c>
      <c r="M471">
        <v>35</v>
      </c>
      <c r="N471" s="1" t="s">
        <v>23</v>
      </c>
      <c r="O471" s="1" t="s">
        <v>26</v>
      </c>
      <c r="P471">
        <v>2</v>
      </c>
      <c r="Q471" s="1" t="s">
        <v>27</v>
      </c>
      <c r="R471">
        <v>1</v>
      </c>
      <c r="S471" s="1" t="s">
        <v>28</v>
      </c>
      <c r="T471" s="1" t="s">
        <v>28</v>
      </c>
      <c r="U471" s="1" t="s">
        <v>29</v>
      </c>
    </row>
    <row r="472" spans="1:21" x14ac:dyDescent="0.3">
      <c r="A472" s="1" t="s">
        <v>30</v>
      </c>
      <c r="B472">
        <v>24</v>
      </c>
      <c r="C472" s="1" t="s">
        <v>31</v>
      </c>
      <c r="D472" s="1" t="s">
        <v>36</v>
      </c>
      <c r="E472">
        <v>3092</v>
      </c>
      <c r="F472" s="1" t="s">
        <v>46</v>
      </c>
      <c r="G472" s="1" t="s">
        <v>45</v>
      </c>
      <c r="H472">
        <v>3</v>
      </c>
      <c r="I472" s="1" t="s">
        <v>33</v>
      </c>
      <c r="J472" s="1" t="s">
        <v>23</v>
      </c>
      <c r="K472">
        <v>2</v>
      </c>
      <c r="L472" s="1" t="s">
        <v>40</v>
      </c>
      <c r="M472">
        <v>22</v>
      </c>
      <c r="N472" s="1" t="s">
        <v>23</v>
      </c>
      <c r="O472" s="1" t="s">
        <v>34</v>
      </c>
      <c r="P472">
        <v>1</v>
      </c>
      <c r="Q472" s="1" t="s">
        <v>41</v>
      </c>
      <c r="R472">
        <v>1</v>
      </c>
      <c r="S472" s="1" t="s">
        <v>28</v>
      </c>
      <c r="T472" s="1" t="s">
        <v>28</v>
      </c>
      <c r="U472" s="1" t="s">
        <v>56</v>
      </c>
    </row>
    <row r="473" spans="1:21" x14ac:dyDescent="0.3">
      <c r="A473" s="1" t="s">
        <v>35</v>
      </c>
      <c r="B473">
        <v>6</v>
      </c>
      <c r="C473" s="1" t="s">
        <v>31</v>
      </c>
      <c r="D473" s="1" t="s">
        <v>51</v>
      </c>
      <c r="E473">
        <v>448</v>
      </c>
      <c r="F473" s="1" t="s">
        <v>32</v>
      </c>
      <c r="G473" s="1" t="s">
        <v>45</v>
      </c>
      <c r="H473">
        <v>4</v>
      </c>
      <c r="I473" s="1" t="s">
        <v>22</v>
      </c>
      <c r="J473" s="1" t="s">
        <v>23</v>
      </c>
      <c r="K473">
        <v>4</v>
      </c>
      <c r="L473" s="1" t="s">
        <v>48</v>
      </c>
      <c r="M473">
        <v>23</v>
      </c>
      <c r="N473" s="1" t="s">
        <v>23</v>
      </c>
      <c r="O473" s="1" t="s">
        <v>26</v>
      </c>
      <c r="P473">
        <v>1</v>
      </c>
      <c r="Q473" s="1" t="s">
        <v>41</v>
      </c>
      <c r="R473">
        <v>1</v>
      </c>
      <c r="S473" s="1" t="s">
        <v>23</v>
      </c>
      <c r="T473" s="1" t="s">
        <v>28</v>
      </c>
      <c r="U473" s="1" t="s">
        <v>56</v>
      </c>
    </row>
    <row r="474" spans="1:21" x14ac:dyDescent="0.3">
      <c r="A474" s="1" t="s">
        <v>35</v>
      </c>
      <c r="B474">
        <v>9</v>
      </c>
      <c r="C474" s="1" t="s">
        <v>31</v>
      </c>
      <c r="D474" s="1" t="s">
        <v>19</v>
      </c>
      <c r="E474">
        <v>654</v>
      </c>
      <c r="F474" s="1" t="s">
        <v>32</v>
      </c>
      <c r="G474" s="1" t="s">
        <v>21</v>
      </c>
      <c r="H474">
        <v>4</v>
      </c>
      <c r="I474" s="1" t="s">
        <v>39</v>
      </c>
      <c r="J474" s="1" t="s">
        <v>23</v>
      </c>
      <c r="K474">
        <v>3</v>
      </c>
      <c r="L474" s="1" t="s">
        <v>40</v>
      </c>
      <c r="M474">
        <v>28</v>
      </c>
      <c r="N474" s="1" t="s">
        <v>23</v>
      </c>
      <c r="O474" s="1" t="s">
        <v>26</v>
      </c>
      <c r="P474">
        <v>1</v>
      </c>
      <c r="Q474" s="1" t="s">
        <v>27</v>
      </c>
      <c r="R474">
        <v>1</v>
      </c>
      <c r="S474" s="1" t="s">
        <v>23</v>
      </c>
      <c r="T474" s="1" t="s">
        <v>28</v>
      </c>
      <c r="U474" s="1" t="s">
        <v>56</v>
      </c>
    </row>
    <row r="475" spans="1:21" x14ac:dyDescent="0.3">
      <c r="A475" s="1" t="s">
        <v>17</v>
      </c>
      <c r="B475">
        <v>6</v>
      </c>
      <c r="C475" s="1" t="s">
        <v>31</v>
      </c>
      <c r="D475" s="1" t="s">
        <v>43</v>
      </c>
      <c r="E475">
        <v>1238</v>
      </c>
      <c r="F475" s="1" t="s">
        <v>47</v>
      </c>
      <c r="G475" s="1" t="s">
        <v>54</v>
      </c>
      <c r="H475">
        <v>4</v>
      </c>
      <c r="I475" s="1" t="s">
        <v>39</v>
      </c>
      <c r="J475" s="1" t="s">
        <v>23</v>
      </c>
      <c r="K475">
        <v>4</v>
      </c>
      <c r="L475" s="1" t="s">
        <v>48</v>
      </c>
      <c r="M475">
        <v>36</v>
      </c>
      <c r="N475" s="1" t="s">
        <v>23</v>
      </c>
      <c r="O475" s="1" t="s">
        <v>26</v>
      </c>
      <c r="P475">
        <v>1</v>
      </c>
      <c r="Q475" s="1" t="s">
        <v>63</v>
      </c>
      <c r="R475">
        <v>2</v>
      </c>
      <c r="S475" s="1" t="s">
        <v>28</v>
      </c>
      <c r="T475" s="1" t="s">
        <v>28</v>
      </c>
      <c r="U475" s="1" t="s">
        <v>29</v>
      </c>
    </row>
    <row r="476" spans="1:21" x14ac:dyDescent="0.3">
      <c r="A476" s="1" t="s">
        <v>30</v>
      </c>
      <c r="B476">
        <v>18</v>
      </c>
      <c r="C476" s="1" t="s">
        <v>18</v>
      </c>
      <c r="D476" s="1" t="s">
        <v>36</v>
      </c>
      <c r="E476">
        <v>1245</v>
      </c>
      <c r="F476" s="1" t="s">
        <v>32</v>
      </c>
      <c r="G476" s="1" t="s">
        <v>21</v>
      </c>
      <c r="H476">
        <v>4</v>
      </c>
      <c r="I476" s="1" t="s">
        <v>33</v>
      </c>
      <c r="J476" s="1" t="s">
        <v>23</v>
      </c>
      <c r="K476">
        <v>2</v>
      </c>
      <c r="L476" s="1" t="s">
        <v>40</v>
      </c>
      <c r="M476">
        <v>33</v>
      </c>
      <c r="N476" s="1" t="s">
        <v>23</v>
      </c>
      <c r="O476" s="1" t="s">
        <v>26</v>
      </c>
      <c r="P476">
        <v>1</v>
      </c>
      <c r="Q476" s="1" t="s">
        <v>41</v>
      </c>
      <c r="R476">
        <v>1</v>
      </c>
      <c r="S476" s="1" t="s">
        <v>23</v>
      </c>
      <c r="T476" s="1" t="s">
        <v>28</v>
      </c>
      <c r="U476" s="1" t="s">
        <v>56</v>
      </c>
    </row>
    <row r="477" spans="1:21" x14ac:dyDescent="0.3">
      <c r="A477" s="1" t="s">
        <v>35</v>
      </c>
      <c r="B477">
        <v>18</v>
      </c>
      <c r="C477" s="1" t="s">
        <v>52</v>
      </c>
      <c r="D477" s="1" t="s">
        <v>53</v>
      </c>
      <c r="E477">
        <v>3114</v>
      </c>
      <c r="F477" s="1" t="s">
        <v>32</v>
      </c>
      <c r="G477" s="1" t="s">
        <v>45</v>
      </c>
      <c r="H477">
        <v>1</v>
      </c>
      <c r="I477" s="1" t="s">
        <v>22</v>
      </c>
      <c r="J477" s="1" t="s">
        <v>23</v>
      </c>
      <c r="K477">
        <v>4</v>
      </c>
      <c r="L477" s="1" t="s">
        <v>48</v>
      </c>
      <c r="M477">
        <v>26</v>
      </c>
      <c r="N477" s="1" t="s">
        <v>23</v>
      </c>
      <c r="O477" s="1" t="s">
        <v>34</v>
      </c>
      <c r="P477">
        <v>1</v>
      </c>
      <c r="Q477" s="1" t="s">
        <v>41</v>
      </c>
      <c r="R477">
        <v>1</v>
      </c>
      <c r="S477" s="1" t="s">
        <v>23</v>
      </c>
      <c r="T477" s="1" t="s">
        <v>28</v>
      </c>
      <c r="U477" s="1" t="s">
        <v>56</v>
      </c>
    </row>
    <row r="478" spans="1:21" x14ac:dyDescent="0.3">
      <c r="A478" s="1" t="s">
        <v>17</v>
      </c>
      <c r="B478">
        <v>39</v>
      </c>
      <c r="C478" s="1" t="s">
        <v>31</v>
      </c>
      <c r="D478" s="1" t="s">
        <v>69</v>
      </c>
      <c r="E478">
        <v>2569</v>
      </c>
      <c r="F478" s="1" t="s">
        <v>37</v>
      </c>
      <c r="G478" s="1" t="s">
        <v>21</v>
      </c>
      <c r="H478">
        <v>4</v>
      </c>
      <c r="I478" s="1" t="s">
        <v>39</v>
      </c>
      <c r="J478" s="1" t="s">
        <v>23</v>
      </c>
      <c r="K478">
        <v>4</v>
      </c>
      <c r="L478" s="1" t="s">
        <v>40</v>
      </c>
      <c r="M478">
        <v>24</v>
      </c>
      <c r="N478" s="1" t="s">
        <v>23</v>
      </c>
      <c r="O478" s="1" t="s">
        <v>26</v>
      </c>
      <c r="P478">
        <v>1</v>
      </c>
      <c r="Q478" s="1" t="s">
        <v>41</v>
      </c>
      <c r="R478">
        <v>1</v>
      </c>
      <c r="S478" s="1" t="s">
        <v>23</v>
      </c>
      <c r="T478" s="1" t="s">
        <v>28</v>
      </c>
      <c r="U478" s="1" t="s">
        <v>29</v>
      </c>
    </row>
    <row r="479" spans="1:21" x14ac:dyDescent="0.3">
      <c r="A479" s="1" t="s">
        <v>50</v>
      </c>
      <c r="B479">
        <v>24</v>
      </c>
      <c r="C479" s="1" t="s">
        <v>31</v>
      </c>
      <c r="D479" s="1" t="s">
        <v>36</v>
      </c>
      <c r="E479">
        <v>5152</v>
      </c>
      <c r="F479" s="1" t="s">
        <v>32</v>
      </c>
      <c r="G479" s="1" t="s">
        <v>49</v>
      </c>
      <c r="H479">
        <v>4</v>
      </c>
      <c r="I479" s="1" t="s">
        <v>39</v>
      </c>
      <c r="J479" s="1" t="s">
        <v>23</v>
      </c>
      <c r="K479">
        <v>2</v>
      </c>
      <c r="L479" s="1" t="s">
        <v>40</v>
      </c>
      <c r="M479">
        <v>25</v>
      </c>
      <c r="N479" s="1" t="s">
        <v>25</v>
      </c>
      <c r="O479" s="1" t="s">
        <v>26</v>
      </c>
      <c r="P479">
        <v>1</v>
      </c>
      <c r="Q479" s="1" t="s">
        <v>41</v>
      </c>
      <c r="R479">
        <v>1</v>
      </c>
      <c r="S479" s="1" t="s">
        <v>23</v>
      </c>
      <c r="T479" s="1" t="s">
        <v>28</v>
      </c>
      <c r="U479" s="1" t="s">
        <v>29</v>
      </c>
    </row>
    <row r="480" spans="1:21" x14ac:dyDescent="0.3">
      <c r="A480" s="1" t="s">
        <v>30</v>
      </c>
      <c r="B480">
        <v>12</v>
      </c>
      <c r="C480" s="1" t="s">
        <v>31</v>
      </c>
      <c r="D480" s="1" t="s">
        <v>61</v>
      </c>
      <c r="E480">
        <v>1037</v>
      </c>
      <c r="F480" s="1" t="s">
        <v>46</v>
      </c>
      <c r="G480" s="1" t="s">
        <v>49</v>
      </c>
      <c r="H480">
        <v>3</v>
      </c>
      <c r="I480" s="1" t="s">
        <v>39</v>
      </c>
      <c r="J480" s="1" t="s">
        <v>23</v>
      </c>
      <c r="K480">
        <v>4</v>
      </c>
      <c r="L480" s="1" t="s">
        <v>24</v>
      </c>
      <c r="M480">
        <v>39</v>
      </c>
      <c r="N480" s="1" t="s">
        <v>23</v>
      </c>
      <c r="O480" s="1" t="s">
        <v>26</v>
      </c>
      <c r="P480">
        <v>1</v>
      </c>
      <c r="Q480" s="1" t="s">
        <v>27</v>
      </c>
      <c r="R480">
        <v>1</v>
      </c>
      <c r="S480" s="1" t="s">
        <v>23</v>
      </c>
      <c r="T480" s="1" t="s">
        <v>28</v>
      </c>
      <c r="U480" s="1" t="s">
        <v>29</v>
      </c>
    </row>
    <row r="481" spans="1:21" x14ac:dyDescent="0.3">
      <c r="A481" s="1" t="s">
        <v>35</v>
      </c>
      <c r="B481">
        <v>15</v>
      </c>
      <c r="C481" s="1" t="s">
        <v>18</v>
      </c>
      <c r="D481" s="1" t="s">
        <v>53</v>
      </c>
      <c r="E481">
        <v>1478</v>
      </c>
      <c r="F481" s="1" t="s">
        <v>32</v>
      </c>
      <c r="G481" s="1" t="s">
        <v>38</v>
      </c>
      <c r="H481">
        <v>4</v>
      </c>
      <c r="I481" s="1" t="s">
        <v>39</v>
      </c>
      <c r="J481" s="1" t="s">
        <v>23</v>
      </c>
      <c r="K481">
        <v>4</v>
      </c>
      <c r="L481" s="1" t="s">
        <v>40</v>
      </c>
      <c r="M481">
        <v>44</v>
      </c>
      <c r="N481" s="1" t="s">
        <v>23</v>
      </c>
      <c r="O481" s="1" t="s">
        <v>26</v>
      </c>
      <c r="P481">
        <v>2</v>
      </c>
      <c r="Q481" s="1" t="s">
        <v>41</v>
      </c>
      <c r="R481">
        <v>2</v>
      </c>
      <c r="S481" s="1" t="s">
        <v>28</v>
      </c>
      <c r="T481" s="1" t="s">
        <v>28</v>
      </c>
      <c r="U481" s="1" t="s">
        <v>29</v>
      </c>
    </row>
    <row r="482" spans="1:21" x14ac:dyDescent="0.3">
      <c r="A482" s="1" t="s">
        <v>30</v>
      </c>
      <c r="B482">
        <v>12</v>
      </c>
      <c r="C482" s="1" t="s">
        <v>18</v>
      </c>
      <c r="D482" s="1" t="s">
        <v>36</v>
      </c>
      <c r="E482">
        <v>3573</v>
      </c>
      <c r="F482" s="1" t="s">
        <v>32</v>
      </c>
      <c r="G482" s="1" t="s">
        <v>21</v>
      </c>
      <c r="H482">
        <v>1</v>
      </c>
      <c r="I482" s="1" t="s">
        <v>22</v>
      </c>
      <c r="J482" s="1" t="s">
        <v>23</v>
      </c>
      <c r="K482">
        <v>1</v>
      </c>
      <c r="L482" s="1" t="s">
        <v>24</v>
      </c>
      <c r="M482">
        <v>23</v>
      </c>
      <c r="N482" s="1" t="s">
        <v>23</v>
      </c>
      <c r="O482" s="1" t="s">
        <v>26</v>
      </c>
      <c r="P482">
        <v>1</v>
      </c>
      <c r="Q482" s="1" t="s">
        <v>27</v>
      </c>
      <c r="R482">
        <v>1</v>
      </c>
      <c r="S482" s="1" t="s">
        <v>23</v>
      </c>
      <c r="T482" s="1" t="s">
        <v>28</v>
      </c>
      <c r="U482" s="1" t="s">
        <v>29</v>
      </c>
    </row>
    <row r="483" spans="1:21" x14ac:dyDescent="0.3">
      <c r="A483" s="1" t="s">
        <v>30</v>
      </c>
      <c r="B483">
        <v>24</v>
      </c>
      <c r="C483" s="1" t="s">
        <v>31</v>
      </c>
      <c r="D483" s="1" t="s">
        <v>19</v>
      </c>
      <c r="E483">
        <v>1201</v>
      </c>
      <c r="F483" s="1" t="s">
        <v>32</v>
      </c>
      <c r="G483" s="1" t="s">
        <v>45</v>
      </c>
      <c r="H483">
        <v>4</v>
      </c>
      <c r="I483" s="1" t="s">
        <v>39</v>
      </c>
      <c r="J483" s="1" t="s">
        <v>23</v>
      </c>
      <c r="K483">
        <v>1</v>
      </c>
      <c r="L483" s="1" t="s">
        <v>48</v>
      </c>
      <c r="M483">
        <v>26</v>
      </c>
      <c r="N483" s="1" t="s">
        <v>23</v>
      </c>
      <c r="O483" s="1" t="s">
        <v>26</v>
      </c>
      <c r="P483">
        <v>1</v>
      </c>
      <c r="Q483" s="1" t="s">
        <v>41</v>
      </c>
      <c r="R483">
        <v>1</v>
      </c>
      <c r="S483" s="1" t="s">
        <v>23</v>
      </c>
      <c r="T483" s="1" t="s">
        <v>28</v>
      </c>
      <c r="U483" s="1" t="s">
        <v>29</v>
      </c>
    </row>
    <row r="484" spans="1:21" x14ac:dyDescent="0.3">
      <c r="A484" s="1" t="s">
        <v>35</v>
      </c>
      <c r="B484">
        <v>30</v>
      </c>
      <c r="C484" s="1" t="s">
        <v>31</v>
      </c>
      <c r="D484" s="1" t="s">
        <v>53</v>
      </c>
      <c r="E484">
        <v>3622</v>
      </c>
      <c r="F484" s="1" t="s">
        <v>20</v>
      </c>
      <c r="G484" s="1" t="s">
        <v>38</v>
      </c>
      <c r="H484">
        <v>4</v>
      </c>
      <c r="I484" s="1" t="s">
        <v>22</v>
      </c>
      <c r="J484" s="1" t="s">
        <v>23</v>
      </c>
      <c r="K484">
        <v>4</v>
      </c>
      <c r="L484" s="1" t="s">
        <v>48</v>
      </c>
      <c r="M484">
        <v>57</v>
      </c>
      <c r="N484" s="1" t="s">
        <v>23</v>
      </c>
      <c r="O484" s="1" t="s">
        <v>34</v>
      </c>
      <c r="P484">
        <v>2</v>
      </c>
      <c r="Q484" s="1" t="s">
        <v>41</v>
      </c>
      <c r="R484">
        <v>1</v>
      </c>
      <c r="S484" s="1" t="s">
        <v>28</v>
      </c>
      <c r="T484" s="1" t="s">
        <v>28</v>
      </c>
      <c r="U484" s="1" t="s">
        <v>29</v>
      </c>
    </row>
    <row r="485" spans="1:21" x14ac:dyDescent="0.3">
      <c r="A485" s="1" t="s">
        <v>17</v>
      </c>
      <c r="B485">
        <v>15</v>
      </c>
      <c r="C485" s="1" t="s">
        <v>59</v>
      </c>
      <c r="D485" s="1" t="s">
        <v>53</v>
      </c>
      <c r="E485">
        <v>960</v>
      </c>
      <c r="F485" s="1" t="s">
        <v>20</v>
      </c>
      <c r="G485" s="1" t="s">
        <v>49</v>
      </c>
      <c r="H485">
        <v>3</v>
      </c>
      <c r="I485" s="1" t="s">
        <v>22</v>
      </c>
      <c r="J485" s="1" t="s">
        <v>23</v>
      </c>
      <c r="K485">
        <v>2</v>
      </c>
      <c r="L485" s="1" t="s">
        <v>48</v>
      </c>
      <c r="M485">
        <v>30</v>
      </c>
      <c r="N485" s="1" t="s">
        <v>23</v>
      </c>
      <c r="O485" s="1" t="s">
        <v>26</v>
      </c>
      <c r="P485">
        <v>2</v>
      </c>
      <c r="Q485" s="1" t="s">
        <v>41</v>
      </c>
      <c r="R485">
        <v>1</v>
      </c>
      <c r="S485" s="1" t="s">
        <v>23</v>
      </c>
      <c r="T485" s="1" t="s">
        <v>28</v>
      </c>
      <c r="U485" s="1" t="s">
        <v>29</v>
      </c>
    </row>
    <row r="486" spans="1:21" x14ac:dyDescent="0.3">
      <c r="A486" s="1" t="s">
        <v>17</v>
      </c>
      <c r="B486">
        <v>12</v>
      </c>
      <c r="C486" s="1" t="s">
        <v>18</v>
      </c>
      <c r="D486" s="1" t="s">
        <v>19</v>
      </c>
      <c r="E486">
        <v>1163</v>
      </c>
      <c r="F486" s="1" t="s">
        <v>37</v>
      </c>
      <c r="G486" s="1" t="s">
        <v>21</v>
      </c>
      <c r="H486">
        <v>4</v>
      </c>
      <c r="I486" s="1" t="s">
        <v>39</v>
      </c>
      <c r="J486" s="1" t="s">
        <v>23</v>
      </c>
      <c r="K486">
        <v>4</v>
      </c>
      <c r="L486" s="1" t="s">
        <v>24</v>
      </c>
      <c r="M486">
        <v>44</v>
      </c>
      <c r="N486" s="1" t="s">
        <v>23</v>
      </c>
      <c r="O486" s="1" t="s">
        <v>26</v>
      </c>
      <c r="P486">
        <v>1</v>
      </c>
      <c r="Q486" s="1" t="s">
        <v>41</v>
      </c>
      <c r="R486">
        <v>1</v>
      </c>
      <c r="S486" s="1" t="s">
        <v>28</v>
      </c>
      <c r="T486" s="1" t="s">
        <v>28</v>
      </c>
      <c r="U486" s="1" t="s">
        <v>29</v>
      </c>
    </row>
    <row r="487" spans="1:21" x14ac:dyDescent="0.3">
      <c r="A487" s="1" t="s">
        <v>30</v>
      </c>
      <c r="B487">
        <v>6</v>
      </c>
      <c r="C487" s="1" t="s">
        <v>59</v>
      </c>
      <c r="D487" s="1" t="s">
        <v>19</v>
      </c>
      <c r="E487">
        <v>1209</v>
      </c>
      <c r="F487" s="1" t="s">
        <v>32</v>
      </c>
      <c r="G487" s="1" t="s">
        <v>54</v>
      </c>
      <c r="H487">
        <v>4</v>
      </c>
      <c r="I487" s="1" t="s">
        <v>39</v>
      </c>
      <c r="J487" s="1" t="s">
        <v>23</v>
      </c>
      <c r="K487">
        <v>4</v>
      </c>
      <c r="L487" s="1" t="s">
        <v>48</v>
      </c>
      <c r="M487">
        <v>47</v>
      </c>
      <c r="N487" s="1" t="s">
        <v>23</v>
      </c>
      <c r="O487" s="1" t="s">
        <v>26</v>
      </c>
      <c r="P487">
        <v>1</v>
      </c>
      <c r="Q487" s="1" t="s">
        <v>63</v>
      </c>
      <c r="R487">
        <v>1</v>
      </c>
      <c r="S487" s="1" t="s">
        <v>28</v>
      </c>
      <c r="T487" s="1" t="s">
        <v>28</v>
      </c>
      <c r="U487" s="1" t="s">
        <v>56</v>
      </c>
    </row>
    <row r="488" spans="1:21" x14ac:dyDescent="0.3">
      <c r="A488" s="1" t="s">
        <v>17</v>
      </c>
      <c r="B488">
        <v>12</v>
      </c>
      <c r="C488" s="1" t="s">
        <v>31</v>
      </c>
      <c r="D488" s="1" t="s">
        <v>36</v>
      </c>
      <c r="E488">
        <v>3077</v>
      </c>
      <c r="F488" s="1" t="s">
        <v>32</v>
      </c>
      <c r="G488" s="1" t="s">
        <v>21</v>
      </c>
      <c r="H488">
        <v>2</v>
      </c>
      <c r="I488" s="1" t="s">
        <v>39</v>
      </c>
      <c r="J488" s="1" t="s">
        <v>23</v>
      </c>
      <c r="K488">
        <v>4</v>
      </c>
      <c r="L488" s="1" t="s">
        <v>40</v>
      </c>
      <c r="M488">
        <v>52</v>
      </c>
      <c r="N488" s="1" t="s">
        <v>23</v>
      </c>
      <c r="O488" s="1" t="s">
        <v>26</v>
      </c>
      <c r="P488">
        <v>1</v>
      </c>
      <c r="Q488" s="1" t="s">
        <v>41</v>
      </c>
      <c r="R488">
        <v>1</v>
      </c>
      <c r="S488" s="1" t="s">
        <v>28</v>
      </c>
      <c r="T488" s="1" t="s">
        <v>28</v>
      </c>
      <c r="U488" s="1" t="s">
        <v>29</v>
      </c>
    </row>
    <row r="489" spans="1:21" x14ac:dyDescent="0.3">
      <c r="A489" s="1" t="s">
        <v>17</v>
      </c>
      <c r="B489">
        <v>24</v>
      </c>
      <c r="C489" s="1" t="s">
        <v>31</v>
      </c>
      <c r="D489" s="1" t="s">
        <v>19</v>
      </c>
      <c r="E489">
        <v>3757</v>
      </c>
      <c r="F489" s="1" t="s">
        <v>32</v>
      </c>
      <c r="G489" s="1" t="s">
        <v>38</v>
      </c>
      <c r="H489">
        <v>4</v>
      </c>
      <c r="I489" s="1" t="s">
        <v>22</v>
      </c>
      <c r="J489" s="1" t="s">
        <v>55</v>
      </c>
      <c r="K489">
        <v>4</v>
      </c>
      <c r="L489" s="1" t="s">
        <v>65</v>
      </c>
      <c r="M489">
        <v>62</v>
      </c>
      <c r="N489" s="1" t="s">
        <v>23</v>
      </c>
      <c r="O489" s="1" t="s">
        <v>66</v>
      </c>
      <c r="P489">
        <v>1</v>
      </c>
      <c r="Q489" s="1" t="s">
        <v>41</v>
      </c>
      <c r="R489">
        <v>1</v>
      </c>
      <c r="S489" s="1" t="s">
        <v>28</v>
      </c>
      <c r="T489" s="1" t="s">
        <v>28</v>
      </c>
      <c r="U489" s="1" t="s">
        <v>29</v>
      </c>
    </row>
    <row r="490" spans="1:21" x14ac:dyDescent="0.3">
      <c r="A490" s="1" t="s">
        <v>17</v>
      </c>
      <c r="B490">
        <v>10</v>
      </c>
      <c r="C490" s="1" t="s">
        <v>31</v>
      </c>
      <c r="D490" s="1" t="s">
        <v>19</v>
      </c>
      <c r="E490">
        <v>1418</v>
      </c>
      <c r="F490" s="1" t="s">
        <v>46</v>
      </c>
      <c r="G490" s="1" t="s">
        <v>21</v>
      </c>
      <c r="H490">
        <v>3</v>
      </c>
      <c r="I490" s="1" t="s">
        <v>39</v>
      </c>
      <c r="J490" s="1" t="s">
        <v>23</v>
      </c>
      <c r="K490">
        <v>2</v>
      </c>
      <c r="L490" s="1" t="s">
        <v>24</v>
      </c>
      <c r="M490">
        <v>35</v>
      </c>
      <c r="N490" s="1" t="s">
        <v>23</v>
      </c>
      <c r="O490" s="1" t="s">
        <v>34</v>
      </c>
      <c r="P490">
        <v>1</v>
      </c>
      <c r="Q490" s="1" t="s">
        <v>27</v>
      </c>
      <c r="R490">
        <v>1</v>
      </c>
      <c r="S490" s="1" t="s">
        <v>23</v>
      </c>
      <c r="T490" s="1" t="s">
        <v>60</v>
      </c>
      <c r="U490" s="1" t="s">
        <v>29</v>
      </c>
    </row>
    <row r="491" spans="1:21" x14ac:dyDescent="0.3">
      <c r="A491" s="1" t="s">
        <v>17</v>
      </c>
      <c r="B491">
        <v>6</v>
      </c>
      <c r="C491" s="1" t="s">
        <v>31</v>
      </c>
      <c r="D491" s="1" t="s">
        <v>19</v>
      </c>
      <c r="E491">
        <v>3518</v>
      </c>
      <c r="F491" s="1" t="s">
        <v>32</v>
      </c>
      <c r="G491" s="1" t="s">
        <v>21</v>
      </c>
      <c r="H491">
        <v>2</v>
      </c>
      <c r="I491" s="1" t="s">
        <v>39</v>
      </c>
      <c r="J491" s="1" t="s">
        <v>58</v>
      </c>
      <c r="K491">
        <v>3</v>
      </c>
      <c r="L491" s="1" t="s">
        <v>48</v>
      </c>
      <c r="M491">
        <v>26</v>
      </c>
      <c r="N491" s="1" t="s">
        <v>23</v>
      </c>
      <c r="O491" s="1" t="s">
        <v>34</v>
      </c>
      <c r="P491">
        <v>1</v>
      </c>
      <c r="Q491" s="1" t="s">
        <v>41</v>
      </c>
      <c r="R491">
        <v>1</v>
      </c>
      <c r="S491" s="1" t="s">
        <v>23</v>
      </c>
      <c r="T491" s="1" t="s">
        <v>28</v>
      </c>
      <c r="U491" s="1" t="s">
        <v>29</v>
      </c>
    </row>
    <row r="492" spans="1:21" x14ac:dyDescent="0.3">
      <c r="A492" s="1" t="s">
        <v>17</v>
      </c>
      <c r="B492">
        <v>12</v>
      </c>
      <c r="C492" s="1" t="s">
        <v>18</v>
      </c>
      <c r="D492" s="1" t="s">
        <v>36</v>
      </c>
      <c r="E492">
        <v>1934</v>
      </c>
      <c r="F492" s="1" t="s">
        <v>32</v>
      </c>
      <c r="G492" s="1" t="s">
        <v>38</v>
      </c>
      <c r="H492">
        <v>2</v>
      </c>
      <c r="I492" s="1" t="s">
        <v>39</v>
      </c>
      <c r="J492" s="1" t="s">
        <v>23</v>
      </c>
      <c r="K492">
        <v>2</v>
      </c>
      <c r="L492" s="1" t="s">
        <v>65</v>
      </c>
      <c r="M492">
        <v>26</v>
      </c>
      <c r="N492" s="1" t="s">
        <v>23</v>
      </c>
      <c r="O492" s="1" t="s">
        <v>26</v>
      </c>
      <c r="P492">
        <v>2</v>
      </c>
      <c r="Q492" s="1" t="s">
        <v>41</v>
      </c>
      <c r="R492">
        <v>1</v>
      </c>
      <c r="S492" s="1" t="s">
        <v>23</v>
      </c>
      <c r="T492" s="1" t="s">
        <v>28</v>
      </c>
      <c r="U492" s="1" t="s">
        <v>29</v>
      </c>
    </row>
    <row r="493" spans="1:21" x14ac:dyDescent="0.3">
      <c r="A493" s="1" t="s">
        <v>30</v>
      </c>
      <c r="B493">
        <v>27</v>
      </c>
      <c r="C493" s="1" t="s">
        <v>52</v>
      </c>
      <c r="D493" s="1" t="s">
        <v>61</v>
      </c>
      <c r="E493">
        <v>8318</v>
      </c>
      <c r="F493" s="1" t="s">
        <v>32</v>
      </c>
      <c r="G493" s="1" t="s">
        <v>38</v>
      </c>
      <c r="H493">
        <v>2</v>
      </c>
      <c r="I493" s="1" t="s">
        <v>22</v>
      </c>
      <c r="J493" s="1" t="s">
        <v>23</v>
      </c>
      <c r="K493">
        <v>4</v>
      </c>
      <c r="L493" s="1" t="s">
        <v>65</v>
      </c>
      <c r="M493">
        <v>42</v>
      </c>
      <c r="N493" s="1" t="s">
        <v>23</v>
      </c>
      <c r="O493" s="1" t="s">
        <v>66</v>
      </c>
      <c r="P493">
        <v>2</v>
      </c>
      <c r="Q493" s="1" t="s">
        <v>63</v>
      </c>
      <c r="R493">
        <v>1</v>
      </c>
      <c r="S493" s="1" t="s">
        <v>28</v>
      </c>
      <c r="T493" s="1" t="s">
        <v>28</v>
      </c>
      <c r="U493" s="1" t="s">
        <v>56</v>
      </c>
    </row>
    <row r="494" spans="1:21" x14ac:dyDescent="0.3">
      <c r="A494" s="1" t="s">
        <v>17</v>
      </c>
      <c r="B494">
        <v>6</v>
      </c>
      <c r="C494" s="1" t="s">
        <v>18</v>
      </c>
      <c r="D494" s="1" t="s">
        <v>36</v>
      </c>
      <c r="E494">
        <v>1237</v>
      </c>
      <c r="F494" s="1" t="s">
        <v>46</v>
      </c>
      <c r="G494" s="1" t="s">
        <v>21</v>
      </c>
      <c r="H494">
        <v>1</v>
      </c>
      <c r="I494" s="1" t="s">
        <v>22</v>
      </c>
      <c r="J494" s="1" t="s">
        <v>23</v>
      </c>
      <c r="K494">
        <v>1</v>
      </c>
      <c r="L494" s="1" t="s">
        <v>48</v>
      </c>
      <c r="M494">
        <v>27</v>
      </c>
      <c r="N494" s="1" t="s">
        <v>23</v>
      </c>
      <c r="O494" s="1" t="s">
        <v>26</v>
      </c>
      <c r="P494">
        <v>2</v>
      </c>
      <c r="Q494" s="1" t="s">
        <v>41</v>
      </c>
      <c r="R494">
        <v>1</v>
      </c>
      <c r="S494" s="1" t="s">
        <v>23</v>
      </c>
      <c r="T494" s="1" t="s">
        <v>28</v>
      </c>
      <c r="U494" s="1" t="s">
        <v>29</v>
      </c>
    </row>
    <row r="495" spans="1:21" x14ac:dyDescent="0.3">
      <c r="A495" s="1" t="s">
        <v>30</v>
      </c>
      <c r="B495">
        <v>6</v>
      </c>
      <c r="C495" s="1" t="s">
        <v>31</v>
      </c>
      <c r="D495" s="1" t="s">
        <v>36</v>
      </c>
      <c r="E495">
        <v>368</v>
      </c>
      <c r="F495" s="1" t="s">
        <v>47</v>
      </c>
      <c r="G495" s="1" t="s">
        <v>38</v>
      </c>
      <c r="H495">
        <v>4</v>
      </c>
      <c r="I495" s="1" t="s">
        <v>39</v>
      </c>
      <c r="J495" s="1" t="s">
        <v>23</v>
      </c>
      <c r="K495">
        <v>4</v>
      </c>
      <c r="L495" s="1" t="s">
        <v>48</v>
      </c>
      <c r="M495">
        <v>38</v>
      </c>
      <c r="N495" s="1" t="s">
        <v>23</v>
      </c>
      <c r="O495" s="1" t="s">
        <v>26</v>
      </c>
      <c r="P495">
        <v>1</v>
      </c>
      <c r="Q495" s="1" t="s">
        <v>41</v>
      </c>
      <c r="R495">
        <v>1</v>
      </c>
      <c r="S495" s="1" t="s">
        <v>23</v>
      </c>
      <c r="T495" s="1" t="s">
        <v>28</v>
      </c>
      <c r="U495" s="1" t="s">
        <v>29</v>
      </c>
    </row>
    <row r="496" spans="1:21" x14ac:dyDescent="0.3">
      <c r="A496" s="1" t="s">
        <v>35</v>
      </c>
      <c r="B496">
        <v>12</v>
      </c>
      <c r="C496" s="1" t="s">
        <v>18</v>
      </c>
      <c r="D496" s="1" t="s">
        <v>19</v>
      </c>
      <c r="E496">
        <v>2122</v>
      </c>
      <c r="F496" s="1" t="s">
        <v>32</v>
      </c>
      <c r="G496" s="1" t="s">
        <v>21</v>
      </c>
      <c r="H496">
        <v>3</v>
      </c>
      <c r="I496" s="1" t="s">
        <v>39</v>
      </c>
      <c r="J496" s="1" t="s">
        <v>23</v>
      </c>
      <c r="K496">
        <v>2</v>
      </c>
      <c r="L496" s="1" t="s">
        <v>24</v>
      </c>
      <c r="M496">
        <v>39</v>
      </c>
      <c r="N496" s="1" t="s">
        <v>23</v>
      </c>
      <c r="O496" s="1" t="s">
        <v>34</v>
      </c>
      <c r="P496">
        <v>2</v>
      </c>
      <c r="Q496" s="1" t="s">
        <v>27</v>
      </c>
      <c r="R496">
        <v>2</v>
      </c>
      <c r="S496" s="1" t="s">
        <v>23</v>
      </c>
      <c r="T496" s="1" t="s">
        <v>60</v>
      </c>
      <c r="U496" s="1" t="s">
        <v>29</v>
      </c>
    </row>
    <row r="497" spans="1:21" x14ac:dyDescent="0.3">
      <c r="A497" s="1" t="s">
        <v>35</v>
      </c>
      <c r="B497">
        <v>24</v>
      </c>
      <c r="C497" s="1" t="s">
        <v>31</v>
      </c>
      <c r="D497" s="1" t="s">
        <v>53</v>
      </c>
      <c r="E497">
        <v>2996</v>
      </c>
      <c r="F497" s="1" t="s">
        <v>47</v>
      </c>
      <c r="G497" s="1" t="s">
        <v>21</v>
      </c>
      <c r="H497">
        <v>2</v>
      </c>
      <c r="I497" s="1" t="s">
        <v>33</v>
      </c>
      <c r="J497" s="1" t="s">
        <v>23</v>
      </c>
      <c r="K497">
        <v>4</v>
      </c>
      <c r="L497" s="1" t="s">
        <v>40</v>
      </c>
      <c r="M497">
        <v>20</v>
      </c>
      <c r="N497" s="1" t="s">
        <v>23</v>
      </c>
      <c r="O497" s="1" t="s">
        <v>26</v>
      </c>
      <c r="P497">
        <v>1</v>
      </c>
      <c r="Q497" s="1" t="s">
        <v>41</v>
      </c>
      <c r="R497">
        <v>1</v>
      </c>
      <c r="S497" s="1" t="s">
        <v>23</v>
      </c>
      <c r="T497" s="1" t="s">
        <v>28</v>
      </c>
      <c r="U497" s="1" t="s">
        <v>56</v>
      </c>
    </row>
    <row r="498" spans="1:21" x14ac:dyDescent="0.3">
      <c r="A498" s="1" t="s">
        <v>30</v>
      </c>
      <c r="B498">
        <v>36</v>
      </c>
      <c r="C498" s="1" t="s">
        <v>31</v>
      </c>
      <c r="D498" s="1" t="s">
        <v>53</v>
      </c>
      <c r="E498">
        <v>9034</v>
      </c>
      <c r="F498" s="1" t="s">
        <v>46</v>
      </c>
      <c r="G498" s="1" t="s">
        <v>45</v>
      </c>
      <c r="H498">
        <v>4</v>
      </c>
      <c r="I498" s="1" t="s">
        <v>39</v>
      </c>
      <c r="J498" s="1" t="s">
        <v>55</v>
      </c>
      <c r="K498">
        <v>1</v>
      </c>
      <c r="L498" s="1" t="s">
        <v>65</v>
      </c>
      <c r="M498">
        <v>29</v>
      </c>
      <c r="N498" s="1" t="s">
        <v>23</v>
      </c>
      <c r="O498" s="1" t="s">
        <v>34</v>
      </c>
      <c r="P498">
        <v>1</v>
      </c>
      <c r="Q498" s="1" t="s">
        <v>63</v>
      </c>
      <c r="R498">
        <v>1</v>
      </c>
      <c r="S498" s="1" t="s">
        <v>28</v>
      </c>
      <c r="T498" s="1" t="s">
        <v>28</v>
      </c>
      <c r="U498" s="1" t="s">
        <v>56</v>
      </c>
    </row>
    <row r="499" spans="1:21" x14ac:dyDescent="0.3">
      <c r="A499" s="1" t="s">
        <v>17</v>
      </c>
      <c r="B499">
        <v>24</v>
      </c>
      <c r="C499" s="1" t="s">
        <v>18</v>
      </c>
      <c r="D499" s="1" t="s">
        <v>53</v>
      </c>
      <c r="E499">
        <v>1585</v>
      </c>
      <c r="F499" s="1" t="s">
        <v>32</v>
      </c>
      <c r="G499" s="1" t="s">
        <v>49</v>
      </c>
      <c r="H499">
        <v>4</v>
      </c>
      <c r="I499" s="1" t="s">
        <v>39</v>
      </c>
      <c r="J499" s="1" t="s">
        <v>23</v>
      </c>
      <c r="K499">
        <v>3</v>
      </c>
      <c r="L499" s="1" t="s">
        <v>48</v>
      </c>
      <c r="M499">
        <v>40</v>
      </c>
      <c r="N499" s="1" t="s">
        <v>23</v>
      </c>
      <c r="O499" s="1" t="s">
        <v>26</v>
      </c>
      <c r="P499">
        <v>2</v>
      </c>
      <c r="Q499" s="1" t="s">
        <v>41</v>
      </c>
      <c r="R499">
        <v>1</v>
      </c>
      <c r="S499" s="1" t="s">
        <v>23</v>
      </c>
      <c r="T499" s="1" t="s">
        <v>28</v>
      </c>
      <c r="U499" s="1" t="s">
        <v>29</v>
      </c>
    </row>
    <row r="500" spans="1:21" x14ac:dyDescent="0.3">
      <c r="A500" s="1" t="s">
        <v>30</v>
      </c>
      <c r="B500">
        <v>18</v>
      </c>
      <c r="C500" s="1" t="s">
        <v>31</v>
      </c>
      <c r="D500" s="1" t="s">
        <v>36</v>
      </c>
      <c r="E500">
        <v>1301</v>
      </c>
      <c r="F500" s="1" t="s">
        <v>32</v>
      </c>
      <c r="G500" s="1" t="s">
        <v>38</v>
      </c>
      <c r="H500">
        <v>4</v>
      </c>
      <c r="I500" s="1" t="s">
        <v>33</v>
      </c>
      <c r="J500" s="1" t="s">
        <v>58</v>
      </c>
      <c r="K500">
        <v>2</v>
      </c>
      <c r="L500" s="1" t="s">
        <v>24</v>
      </c>
      <c r="M500">
        <v>32</v>
      </c>
      <c r="N500" s="1" t="s">
        <v>23</v>
      </c>
      <c r="O500" s="1" t="s">
        <v>26</v>
      </c>
      <c r="P500">
        <v>1</v>
      </c>
      <c r="Q500" s="1" t="s">
        <v>27</v>
      </c>
      <c r="R500">
        <v>1</v>
      </c>
      <c r="S500" s="1" t="s">
        <v>23</v>
      </c>
      <c r="T500" s="1" t="s">
        <v>28</v>
      </c>
      <c r="U500" s="1" t="s">
        <v>29</v>
      </c>
    </row>
    <row r="501" spans="1:21" x14ac:dyDescent="0.3">
      <c r="A501" s="1" t="s">
        <v>50</v>
      </c>
      <c r="B501">
        <v>6</v>
      </c>
      <c r="C501" s="1" t="s">
        <v>18</v>
      </c>
      <c r="D501" s="1" t="s">
        <v>19</v>
      </c>
      <c r="E501">
        <v>1323</v>
      </c>
      <c r="F501" s="1" t="s">
        <v>46</v>
      </c>
      <c r="G501" s="1" t="s">
        <v>38</v>
      </c>
      <c r="H501">
        <v>2</v>
      </c>
      <c r="I501" s="1" t="s">
        <v>64</v>
      </c>
      <c r="J501" s="1" t="s">
        <v>23</v>
      </c>
      <c r="K501">
        <v>4</v>
      </c>
      <c r="L501" s="1" t="s">
        <v>40</v>
      </c>
      <c r="M501">
        <v>28</v>
      </c>
      <c r="N501" s="1" t="s">
        <v>23</v>
      </c>
      <c r="O501" s="1" t="s">
        <v>26</v>
      </c>
      <c r="P501">
        <v>2</v>
      </c>
      <c r="Q501" s="1" t="s">
        <v>41</v>
      </c>
      <c r="R501">
        <v>2</v>
      </c>
      <c r="S501" s="1" t="s">
        <v>28</v>
      </c>
      <c r="T501" s="1" t="s">
        <v>28</v>
      </c>
      <c r="U501" s="1" t="s">
        <v>29</v>
      </c>
    </row>
    <row r="502" spans="1:21" x14ac:dyDescent="0.3">
      <c r="A502" s="1" t="s">
        <v>35</v>
      </c>
      <c r="B502">
        <v>24</v>
      </c>
      <c r="C502" s="1" t="s">
        <v>31</v>
      </c>
      <c r="D502" s="1" t="s">
        <v>19</v>
      </c>
      <c r="E502">
        <v>3123</v>
      </c>
      <c r="F502" s="1" t="s">
        <v>32</v>
      </c>
      <c r="G502" s="1" t="s">
        <v>45</v>
      </c>
      <c r="H502">
        <v>4</v>
      </c>
      <c r="I502" s="1" t="s">
        <v>22</v>
      </c>
      <c r="J502" s="1" t="s">
        <v>23</v>
      </c>
      <c r="K502">
        <v>1</v>
      </c>
      <c r="L502" s="1" t="s">
        <v>48</v>
      </c>
      <c r="M502">
        <v>27</v>
      </c>
      <c r="N502" s="1" t="s">
        <v>23</v>
      </c>
      <c r="O502" s="1" t="s">
        <v>26</v>
      </c>
      <c r="P502">
        <v>1</v>
      </c>
      <c r="Q502" s="1" t="s">
        <v>41</v>
      </c>
      <c r="R502">
        <v>1</v>
      </c>
      <c r="S502" s="1" t="s">
        <v>23</v>
      </c>
      <c r="T502" s="1" t="s">
        <v>28</v>
      </c>
      <c r="U502" s="1" t="s">
        <v>56</v>
      </c>
    </row>
    <row r="503" spans="1:21" x14ac:dyDescent="0.3">
      <c r="A503" s="1" t="s">
        <v>35</v>
      </c>
      <c r="B503">
        <v>36</v>
      </c>
      <c r="C503" s="1" t="s">
        <v>31</v>
      </c>
      <c r="D503" s="1" t="s">
        <v>69</v>
      </c>
      <c r="E503">
        <v>5493</v>
      </c>
      <c r="F503" s="1" t="s">
        <v>32</v>
      </c>
      <c r="G503" s="1" t="s">
        <v>38</v>
      </c>
      <c r="H503">
        <v>2</v>
      </c>
      <c r="I503" s="1" t="s">
        <v>39</v>
      </c>
      <c r="J503" s="1" t="s">
        <v>23</v>
      </c>
      <c r="K503">
        <v>4</v>
      </c>
      <c r="L503" s="1" t="s">
        <v>65</v>
      </c>
      <c r="M503">
        <v>42</v>
      </c>
      <c r="N503" s="1" t="s">
        <v>23</v>
      </c>
      <c r="O503" s="1" t="s">
        <v>66</v>
      </c>
      <c r="P503">
        <v>1</v>
      </c>
      <c r="Q503" s="1" t="s">
        <v>41</v>
      </c>
      <c r="R503">
        <v>2</v>
      </c>
      <c r="S503" s="1" t="s">
        <v>23</v>
      </c>
      <c r="T503" s="1" t="s">
        <v>28</v>
      </c>
      <c r="U503" s="1" t="s">
        <v>29</v>
      </c>
    </row>
    <row r="504" spans="1:21" x14ac:dyDescent="0.3">
      <c r="A504" s="1" t="s">
        <v>50</v>
      </c>
      <c r="B504">
        <v>9</v>
      </c>
      <c r="C504" s="1" t="s">
        <v>31</v>
      </c>
      <c r="D504" s="1" t="s">
        <v>36</v>
      </c>
      <c r="E504">
        <v>1126</v>
      </c>
      <c r="F504" s="1" t="s">
        <v>46</v>
      </c>
      <c r="G504" s="1" t="s">
        <v>38</v>
      </c>
      <c r="H504">
        <v>2</v>
      </c>
      <c r="I504" s="1" t="s">
        <v>64</v>
      </c>
      <c r="J504" s="1" t="s">
        <v>23</v>
      </c>
      <c r="K504">
        <v>4</v>
      </c>
      <c r="L504" s="1" t="s">
        <v>24</v>
      </c>
      <c r="M504">
        <v>49</v>
      </c>
      <c r="N504" s="1" t="s">
        <v>23</v>
      </c>
      <c r="O504" s="1" t="s">
        <v>26</v>
      </c>
      <c r="P504">
        <v>1</v>
      </c>
      <c r="Q504" s="1" t="s">
        <v>41</v>
      </c>
      <c r="R504">
        <v>1</v>
      </c>
      <c r="S504" s="1" t="s">
        <v>23</v>
      </c>
      <c r="T504" s="1" t="s">
        <v>28</v>
      </c>
      <c r="U504" s="1" t="s">
        <v>29</v>
      </c>
    </row>
    <row r="505" spans="1:21" x14ac:dyDescent="0.3">
      <c r="A505" s="1" t="s">
        <v>30</v>
      </c>
      <c r="B505">
        <v>24</v>
      </c>
      <c r="C505" s="1" t="s">
        <v>18</v>
      </c>
      <c r="D505" s="1" t="s">
        <v>36</v>
      </c>
      <c r="E505">
        <v>1216</v>
      </c>
      <c r="F505" s="1" t="s">
        <v>46</v>
      </c>
      <c r="G505" s="1" t="s">
        <v>45</v>
      </c>
      <c r="H505">
        <v>4</v>
      </c>
      <c r="I505" s="1" t="s">
        <v>39</v>
      </c>
      <c r="J505" s="1" t="s">
        <v>23</v>
      </c>
      <c r="K505">
        <v>4</v>
      </c>
      <c r="L505" s="1" t="s">
        <v>65</v>
      </c>
      <c r="M505">
        <v>38</v>
      </c>
      <c r="N505" s="1" t="s">
        <v>25</v>
      </c>
      <c r="O505" s="1" t="s">
        <v>26</v>
      </c>
      <c r="P505">
        <v>2</v>
      </c>
      <c r="Q505" s="1" t="s">
        <v>41</v>
      </c>
      <c r="R505">
        <v>2</v>
      </c>
      <c r="S505" s="1" t="s">
        <v>23</v>
      </c>
      <c r="T505" s="1" t="s">
        <v>28</v>
      </c>
      <c r="U505" s="1" t="s">
        <v>56</v>
      </c>
    </row>
    <row r="506" spans="1:21" x14ac:dyDescent="0.3">
      <c r="A506" s="1" t="s">
        <v>35</v>
      </c>
      <c r="B506">
        <v>24</v>
      </c>
      <c r="C506" s="1" t="s">
        <v>31</v>
      </c>
      <c r="D506" s="1" t="s">
        <v>19</v>
      </c>
      <c r="E506">
        <v>1207</v>
      </c>
      <c r="F506" s="1" t="s">
        <v>32</v>
      </c>
      <c r="G506" s="1" t="s">
        <v>45</v>
      </c>
      <c r="H506">
        <v>4</v>
      </c>
      <c r="I506" s="1" t="s">
        <v>22</v>
      </c>
      <c r="J506" s="1" t="s">
        <v>23</v>
      </c>
      <c r="K506">
        <v>4</v>
      </c>
      <c r="L506" s="1" t="s">
        <v>48</v>
      </c>
      <c r="M506">
        <v>24</v>
      </c>
      <c r="N506" s="1" t="s">
        <v>23</v>
      </c>
      <c r="O506" s="1" t="s">
        <v>34</v>
      </c>
      <c r="P506">
        <v>1</v>
      </c>
      <c r="Q506" s="1" t="s">
        <v>41</v>
      </c>
      <c r="R506">
        <v>1</v>
      </c>
      <c r="S506" s="1" t="s">
        <v>23</v>
      </c>
      <c r="T506" s="1" t="s">
        <v>28</v>
      </c>
      <c r="U506" s="1" t="s">
        <v>56</v>
      </c>
    </row>
    <row r="507" spans="1:21" x14ac:dyDescent="0.3">
      <c r="A507" s="1" t="s">
        <v>17</v>
      </c>
      <c r="B507">
        <v>10</v>
      </c>
      <c r="C507" s="1" t="s">
        <v>31</v>
      </c>
      <c r="D507" s="1" t="s">
        <v>19</v>
      </c>
      <c r="E507">
        <v>1309</v>
      </c>
      <c r="F507" s="1" t="s">
        <v>47</v>
      </c>
      <c r="G507" s="1" t="s">
        <v>21</v>
      </c>
      <c r="H507">
        <v>4</v>
      </c>
      <c r="I507" s="1" t="s">
        <v>39</v>
      </c>
      <c r="J507" s="1" t="s">
        <v>58</v>
      </c>
      <c r="K507">
        <v>4</v>
      </c>
      <c r="L507" s="1" t="s">
        <v>48</v>
      </c>
      <c r="M507">
        <v>27</v>
      </c>
      <c r="N507" s="1" t="s">
        <v>23</v>
      </c>
      <c r="O507" s="1" t="s">
        <v>26</v>
      </c>
      <c r="P507">
        <v>1</v>
      </c>
      <c r="Q507" s="1" t="s">
        <v>27</v>
      </c>
      <c r="R507">
        <v>1</v>
      </c>
      <c r="S507" s="1" t="s">
        <v>23</v>
      </c>
      <c r="T507" s="1" t="s">
        <v>28</v>
      </c>
      <c r="U507" s="1" t="s">
        <v>56</v>
      </c>
    </row>
    <row r="508" spans="1:21" x14ac:dyDescent="0.3">
      <c r="A508" s="1" t="s">
        <v>50</v>
      </c>
      <c r="B508">
        <v>15</v>
      </c>
      <c r="C508" s="1" t="s">
        <v>18</v>
      </c>
      <c r="D508" s="1" t="s">
        <v>69</v>
      </c>
      <c r="E508">
        <v>2360</v>
      </c>
      <c r="F508" s="1" t="s">
        <v>37</v>
      </c>
      <c r="G508" s="1" t="s">
        <v>21</v>
      </c>
      <c r="H508">
        <v>2</v>
      </c>
      <c r="I508" s="1" t="s">
        <v>39</v>
      </c>
      <c r="J508" s="1" t="s">
        <v>23</v>
      </c>
      <c r="K508">
        <v>2</v>
      </c>
      <c r="L508" s="1" t="s">
        <v>40</v>
      </c>
      <c r="M508">
        <v>36</v>
      </c>
      <c r="N508" s="1" t="s">
        <v>23</v>
      </c>
      <c r="O508" s="1" t="s">
        <v>26</v>
      </c>
      <c r="P508">
        <v>1</v>
      </c>
      <c r="Q508" s="1" t="s">
        <v>41</v>
      </c>
      <c r="R508">
        <v>1</v>
      </c>
      <c r="S508" s="1" t="s">
        <v>28</v>
      </c>
      <c r="T508" s="1" t="s">
        <v>28</v>
      </c>
      <c r="U508" s="1" t="s">
        <v>29</v>
      </c>
    </row>
    <row r="509" spans="1:21" x14ac:dyDescent="0.3">
      <c r="A509" s="1" t="s">
        <v>30</v>
      </c>
      <c r="B509">
        <v>15</v>
      </c>
      <c r="C509" s="1" t="s">
        <v>42</v>
      </c>
      <c r="D509" s="1" t="s">
        <v>19</v>
      </c>
      <c r="E509">
        <v>6850</v>
      </c>
      <c r="F509" s="1" t="s">
        <v>46</v>
      </c>
      <c r="G509" s="1" t="s">
        <v>54</v>
      </c>
      <c r="H509">
        <v>1</v>
      </c>
      <c r="I509" s="1" t="s">
        <v>39</v>
      </c>
      <c r="J509" s="1" t="s">
        <v>23</v>
      </c>
      <c r="K509">
        <v>2</v>
      </c>
      <c r="L509" s="1" t="s">
        <v>48</v>
      </c>
      <c r="M509">
        <v>34</v>
      </c>
      <c r="N509" s="1" t="s">
        <v>23</v>
      </c>
      <c r="O509" s="1" t="s">
        <v>26</v>
      </c>
      <c r="P509">
        <v>1</v>
      </c>
      <c r="Q509" s="1" t="s">
        <v>63</v>
      </c>
      <c r="R509">
        <v>2</v>
      </c>
      <c r="S509" s="1" t="s">
        <v>28</v>
      </c>
      <c r="T509" s="1" t="s">
        <v>28</v>
      </c>
      <c r="U509" s="1" t="s">
        <v>56</v>
      </c>
    </row>
    <row r="510" spans="1:21" x14ac:dyDescent="0.3">
      <c r="A510" s="1" t="s">
        <v>17</v>
      </c>
      <c r="B510">
        <v>24</v>
      </c>
      <c r="C510" s="1" t="s">
        <v>31</v>
      </c>
      <c r="D510" s="1" t="s">
        <v>36</v>
      </c>
      <c r="E510">
        <v>1413</v>
      </c>
      <c r="F510" s="1" t="s">
        <v>32</v>
      </c>
      <c r="G510" s="1" t="s">
        <v>21</v>
      </c>
      <c r="H510">
        <v>4</v>
      </c>
      <c r="I510" s="1" t="s">
        <v>33</v>
      </c>
      <c r="J510" s="1" t="s">
        <v>23</v>
      </c>
      <c r="K510">
        <v>2</v>
      </c>
      <c r="L510" s="1" t="s">
        <v>48</v>
      </c>
      <c r="M510">
        <v>28</v>
      </c>
      <c r="N510" s="1" t="s">
        <v>23</v>
      </c>
      <c r="O510" s="1" t="s">
        <v>26</v>
      </c>
      <c r="P510">
        <v>1</v>
      </c>
      <c r="Q510" s="1" t="s">
        <v>41</v>
      </c>
      <c r="R510">
        <v>1</v>
      </c>
      <c r="S510" s="1" t="s">
        <v>23</v>
      </c>
      <c r="T510" s="1" t="s">
        <v>28</v>
      </c>
      <c r="U510" s="1" t="s">
        <v>29</v>
      </c>
    </row>
    <row r="511" spans="1:21" x14ac:dyDescent="0.3">
      <c r="A511" s="1" t="s">
        <v>17</v>
      </c>
      <c r="B511">
        <v>39</v>
      </c>
      <c r="C511" s="1" t="s">
        <v>31</v>
      </c>
      <c r="D511" s="1" t="s">
        <v>69</v>
      </c>
      <c r="E511">
        <v>8588</v>
      </c>
      <c r="F511" s="1" t="s">
        <v>46</v>
      </c>
      <c r="G511" s="1" t="s">
        <v>38</v>
      </c>
      <c r="H511">
        <v>4</v>
      </c>
      <c r="I511" s="1" t="s">
        <v>39</v>
      </c>
      <c r="J511" s="1" t="s">
        <v>23</v>
      </c>
      <c r="K511">
        <v>2</v>
      </c>
      <c r="L511" s="1" t="s">
        <v>40</v>
      </c>
      <c r="M511">
        <v>45</v>
      </c>
      <c r="N511" s="1" t="s">
        <v>23</v>
      </c>
      <c r="O511" s="1" t="s">
        <v>26</v>
      </c>
      <c r="P511">
        <v>1</v>
      </c>
      <c r="Q511" s="1" t="s">
        <v>63</v>
      </c>
      <c r="R511">
        <v>1</v>
      </c>
      <c r="S511" s="1" t="s">
        <v>28</v>
      </c>
      <c r="T511" s="1" t="s">
        <v>28</v>
      </c>
      <c r="U511" s="1" t="s">
        <v>29</v>
      </c>
    </row>
    <row r="512" spans="1:21" x14ac:dyDescent="0.3">
      <c r="A512" s="1" t="s">
        <v>35</v>
      </c>
      <c r="B512">
        <v>12</v>
      </c>
      <c r="C512" s="1" t="s">
        <v>31</v>
      </c>
      <c r="D512" s="1" t="s">
        <v>19</v>
      </c>
      <c r="E512">
        <v>759</v>
      </c>
      <c r="F512" s="1" t="s">
        <v>32</v>
      </c>
      <c r="G512" s="1" t="s">
        <v>49</v>
      </c>
      <c r="H512">
        <v>4</v>
      </c>
      <c r="I512" s="1" t="s">
        <v>39</v>
      </c>
      <c r="J512" s="1" t="s">
        <v>23</v>
      </c>
      <c r="K512">
        <v>2</v>
      </c>
      <c r="L512" s="1" t="s">
        <v>24</v>
      </c>
      <c r="M512">
        <v>26</v>
      </c>
      <c r="N512" s="1" t="s">
        <v>23</v>
      </c>
      <c r="O512" s="1" t="s">
        <v>26</v>
      </c>
      <c r="P512">
        <v>1</v>
      </c>
      <c r="Q512" s="1" t="s">
        <v>41</v>
      </c>
      <c r="R512">
        <v>1</v>
      </c>
      <c r="S512" s="1" t="s">
        <v>23</v>
      </c>
      <c r="T512" s="1" t="s">
        <v>28</v>
      </c>
      <c r="U512" s="1" t="s">
        <v>56</v>
      </c>
    </row>
    <row r="513" spans="1:21" x14ac:dyDescent="0.3">
      <c r="A513" s="1" t="s">
        <v>17</v>
      </c>
      <c r="B513">
        <v>36</v>
      </c>
      <c r="C513" s="1" t="s">
        <v>31</v>
      </c>
      <c r="D513" s="1" t="s">
        <v>69</v>
      </c>
      <c r="E513">
        <v>4686</v>
      </c>
      <c r="F513" s="1" t="s">
        <v>32</v>
      </c>
      <c r="G513" s="1" t="s">
        <v>21</v>
      </c>
      <c r="H513">
        <v>2</v>
      </c>
      <c r="I513" s="1" t="s">
        <v>39</v>
      </c>
      <c r="J513" s="1" t="s">
        <v>23</v>
      </c>
      <c r="K513">
        <v>2</v>
      </c>
      <c r="L513" s="1" t="s">
        <v>65</v>
      </c>
      <c r="M513">
        <v>32</v>
      </c>
      <c r="N513" s="1" t="s">
        <v>23</v>
      </c>
      <c r="O513" s="1" t="s">
        <v>66</v>
      </c>
      <c r="P513">
        <v>1</v>
      </c>
      <c r="Q513" s="1" t="s">
        <v>63</v>
      </c>
      <c r="R513">
        <v>1</v>
      </c>
      <c r="S513" s="1" t="s">
        <v>28</v>
      </c>
      <c r="T513" s="1" t="s">
        <v>28</v>
      </c>
      <c r="U513" s="1" t="s">
        <v>29</v>
      </c>
    </row>
    <row r="514" spans="1:21" x14ac:dyDescent="0.3">
      <c r="A514" s="1" t="s">
        <v>50</v>
      </c>
      <c r="B514">
        <v>15</v>
      </c>
      <c r="C514" s="1" t="s">
        <v>31</v>
      </c>
      <c r="D514" s="1" t="s">
        <v>61</v>
      </c>
      <c r="E514">
        <v>2687</v>
      </c>
      <c r="F514" s="1" t="s">
        <v>32</v>
      </c>
      <c r="G514" s="1" t="s">
        <v>49</v>
      </c>
      <c r="H514">
        <v>2</v>
      </c>
      <c r="I514" s="1" t="s">
        <v>39</v>
      </c>
      <c r="J514" s="1" t="s">
        <v>23</v>
      </c>
      <c r="K514">
        <v>4</v>
      </c>
      <c r="L514" s="1" t="s">
        <v>48</v>
      </c>
      <c r="M514">
        <v>26</v>
      </c>
      <c r="N514" s="1" t="s">
        <v>23</v>
      </c>
      <c r="O514" s="1" t="s">
        <v>34</v>
      </c>
      <c r="P514">
        <v>1</v>
      </c>
      <c r="Q514" s="1" t="s">
        <v>41</v>
      </c>
      <c r="R514">
        <v>1</v>
      </c>
      <c r="S514" s="1" t="s">
        <v>28</v>
      </c>
      <c r="T514" s="1" t="s">
        <v>28</v>
      </c>
      <c r="U514" s="1" t="s">
        <v>29</v>
      </c>
    </row>
    <row r="515" spans="1:21" x14ac:dyDescent="0.3">
      <c r="A515" s="1" t="s">
        <v>30</v>
      </c>
      <c r="B515">
        <v>12</v>
      </c>
      <c r="C515" s="1" t="s">
        <v>59</v>
      </c>
      <c r="D515" s="1" t="s">
        <v>36</v>
      </c>
      <c r="E515">
        <v>585</v>
      </c>
      <c r="F515" s="1" t="s">
        <v>32</v>
      </c>
      <c r="G515" s="1" t="s">
        <v>21</v>
      </c>
      <c r="H515">
        <v>4</v>
      </c>
      <c r="I515" s="1" t="s">
        <v>33</v>
      </c>
      <c r="J515" s="1" t="s">
        <v>55</v>
      </c>
      <c r="K515">
        <v>4</v>
      </c>
      <c r="L515" s="1" t="s">
        <v>24</v>
      </c>
      <c r="M515">
        <v>20</v>
      </c>
      <c r="N515" s="1" t="s">
        <v>23</v>
      </c>
      <c r="O515" s="1" t="s">
        <v>34</v>
      </c>
      <c r="P515">
        <v>2</v>
      </c>
      <c r="Q515" s="1" t="s">
        <v>41</v>
      </c>
      <c r="R515">
        <v>1</v>
      </c>
      <c r="S515" s="1" t="s">
        <v>23</v>
      </c>
      <c r="T515" s="1" t="s">
        <v>28</v>
      </c>
      <c r="U515" s="1" t="s">
        <v>29</v>
      </c>
    </row>
    <row r="516" spans="1:21" x14ac:dyDescent="0.3">
      <c r="A516" s="1" t="s">
        <v>17</v>
      </c>
      <c r="B516">
        <v>24</v>
      </c>
      <c r="C516" s="1" t="s">
        <v>31</v>
      </c>
      <c r="D516" s="1" t="s">
        <v>19</v>
      </c>
      <c r="E516">
        <v>2255</v>
      </c>
      <c r="F516" s="1" t="s">
        <v>47</v>
      </c>
      <c r="G516" s="1" t="s">
        <v>45</v>
      </c>
      <c r="H516">
        <v>4</v>
      </c>
      <c r="I516" s="1" t="s">
        <v>39</v>
      </c>
      <c r="J516" s="1" t="s">
        <v>23</v>
      </c>
      <c r="K516">
        <v>1</v>
      </c>
      <c r="L516" s="1" t="s">
        <v>48</v>
      </c>
      <c r="M516">
        <v>54</v>
      </c>
      <c r="N516" s="1" t="s">
        <v>23</v>
      </c>
      <c r="O516" s="1" t="s">
        <v>26</v>
      </c>
      <c r="P516">
        <v>1</v>
      </c>
      <c r="Q516" s="1" t="s">
        <v>41</v>
      </c>
      <c r="R516">
        <v>1</v>
      </c>
      <c r="S516" s="1" t="s">
        <v>23</v>
      </c>
      <c r="T516" s="1" t="s">
        <v>28</v>
      </c>
      <c r="U516" s="1" t="s">
        <v>29</v>
      </c>
    </row>
    <row r="517" spans="1:21" x14ac:dyDescent="0.3">
      <c r="A517" s="1" t="s">
        <v>35</v>
      </c>
      <c r="B517">
        <v>6</v>
      </c>
      <c r="C517" s="1" t="s">
        <v>18</v>
      </c>
      <c r="D517" s="1" t="s">
        <v>19</v>
      </c>
      <c r="E517">
        <v>609</v>
      </c>
      <c r="F517" s="1" t="s">
        <v>32</v>
      </c>
      <c r="G517" s="1" t="s">
        <v>49</v>
      </c>
      <c r="H517">
        <v>4</v>
      </c>
      <c r="I517" s="1" t="s">
        <v>22</v>
      </c>
      <c r="J517" s="1" t="s">
        <v>23</v>
      </c>
      <c r="K517">
        <v>3</v>
      </c>
      <c r="L517" s="1" t="s">
        <v>48</v>
      </c>
      <c r="M517">
        <v>37</v>
      </c>
      <c r="N517" s="1" t="s">
        <v>23</v>
      </c>
      <c r="O517" s="1" t="s">
        <v>26</v>
      </c>
      <c r="P517">
        <v>2</v>
      </c>
      <c r="Q517" s="1" t="s">
        <v>41</v>
      </c>
      <c r="R517">
        <v>1</v>
      </c>
      <c r="S517" s="1" t="s">
        <v>23</v>
      </c>
      <c r="T517" s="1" t="s">
        <v>60</v>
      </c>
      <c r="U517" s="1" t="s">
        <v>29</v>
      </c>
    </row>
    <row r="518" spans="1:21" x14ac:dyDescent="0.3">
      <c r="A518" s="1" t="s">
        <v>35</v>
      </c>
      <c r="B518">
        <v>6</v>
      </c>
      <c r="C518" s="1" t="s">
        <v>18</v>
      </c>
      <c r="D518" s="1" t="s">
        <v>19</v>
      </c>
      <c r="E518">
        <v>1361</v>
      </c>
      <c r="F518" s="1" t="s">
        <v>32</v>
      </c>
      <c r="G518" s="1" t="s">
        <v>45</v>
      </c>
      <c r="H518">
        <v>2</v>
      </c>
      <c r="I518" s="1" t="s">
        <v>39</v>
      </c>
      <c r="J518" s="1" t="s">
        <v>23</v>
      </c>
      <c r="K518">
        <v>4</v>
      </c>
      <c r="L518" s="1" t="s">
        <v>24</v>
      </c>
      <c r="M518">
        <v>40</v>
      </c>
      <c r="N518" s="1" t="s">
        <v>23</v>
      </c>
      <c r="O518" s="1" t="s">
        <v>26</v>
      </c>
      <c r="P518">
        <v>1</v>
      </c>
      <c r="Q518" s="1" t="s">
        <v>27</v>
      </c>
      <c r="R518">
        <v>2</v>
      </c>
      <c r="S518" s="1" t="s">
        <v>23</v>
      </c>
      <c r="T518" s="1" t="s">
        <v>60</v>
      </c>
      <c r="U518" s="1" t="s">
        <v>29</v>
      </c>
    </row>
    <row r="519" spans="1:21" x14ac:dyDescent="0.3">
      <c r="A519" s="1" t="s">
        <v>17</v>
      </c>
      <c r="B519">
        <v>36</v>
      </c>
      <c r="C519" s="1" t="s">
        <v>18</v>
      </c>
      <c r="D519" s="1" t="s">
        <v>53</v>
      </c>
      <c r="E519">
        <v>7127</v>
      </c>
      <c r="F519" s="1" t="s">
        <v>32</v>
      </c>
      <c r="G519" s="1" t="s">
        <v>45</v>
      </c>
      <c r="H519">
        <v>2</v>
      </c>
      <c r="I519" s="1" t="s">
        <v>22</v>
      </c>
      <c r="J519" s="1" t="s">
        <v>23</v>
      </c>
      <c r="K519">
        <v>4</v>
      </c>
      <c r="L519" s="1" t="s">
        <v>48</v>
      </c>
      <c r="M519">
        <v>23</v>
      </c>
      <c r="N519" s="1" t="s">
        <v>23</v>
      </c>
      <c r="O519" s="1" t="s">
        <v>34</v>
      </c>
      <c r="P519">
        <v>2</v>
      </c>
      <c r="Q519" s="1" t="s">
        <v>41</v>
      </c>
      <c r="R519">
        <v>1</v>
      </c>
      <c r="S519" s="1" t="s">
        <v>28</v>
      </c>
      <c r="T519" s="1" t="s">
        <v>28</v>
      </c>
      <c r="U519" s="1" t="s">
        <v>56</v>
      </c>
    </row>
    <row r="520" spans="1:21" x14ac:dyDescent="0.3">
      <c r="A520" s="1" t="s">
        <v>35</v>
      </c>
      <c r="B520">
        <v>6</v>
      </c>
      <c r="C520" s="1" t="s">
        <v>31</v>
      </c>
      <c r="D520" s="1" t="s">
        <v>19</v>
      </c>
      <c r="E520">
        <v>1203</v>
      </c>
      <c r="F520" s="1" t="s">
        <v>46</v>
      </c>
      <c r="G520" s="1" t="s">
        <v>38</v>
      </c>
      <c r="H520">
        <v>3</v>
      </c>
      <c r="I520" s="1" t="s">
        <v>39</v>
      </c>
      <c r="J520" s="1" t="s">
        <v>23</v>
      </c>
      <c r="K520">
        <v>2</v>
      </c>
      <c r="L520" s="1" t="s">
        <v>48</v>
      </c>
      <c r="M520">
        <v>43</v>
      </c>
      <c r="N520" s="1" t="s">
        <v>23</v>
      </c>
      <c r="O520" s="1" t="s">
        <v>26</v>
      </c>
      <c r="P520">
        <v>1</v>
      </c>
      <c r="Q520" s="1" t="s">
        <v>41</v>
      </c>
      <c r="R520">
        <v>1</v>
      </c>
      <c r="S520" s="1" t="s">
        <v>28</v>
      </c>
      <c r="T520" s="1" t="s">
        <v>28</v>
      </c>
      <c r="U520" s="1" t="s">
        <v>29</v>
      </c>
    </row>
    <row r="521" spans="1:21" x14ac:dyDescent="0.3">
      <c r="A521" s="1" t="s">
        <v>17</v>
      </c>
      <c r="B521">
        <v>6</v>
      </c>
      <c r="C521" s="1" t="s">
        <v>18</v>
      </c>
      <c r="D521" s="1" t="s">
        <v>36</v>
      </c>
      <c r="E521">
        <v>700</v>
      </c>
      <c r="F521" s="1" t="s">
        <v>47</v>
      </c>
      <c r="G521" s="1" t="s">
        <v>38</v>
      </c>
      <c r="H521">
        <v>4</v>
      </c>
      <c r="I521" s="1" t="s">
        <v>39</v>
      </c>
      <c r="J521" s="1" t="s">
        <v>23</v>
      </c>
      <c r="K521">
        <v>4</v>
      </c>
      <c r="L521" s="1" t="s">
        <v>65</v>
      </c>
      <c r="M521">
        <v>36</v>
      </c>
      <c r="N521" s="1" t="s">
        <v>23</v>
      </c>
      <c r="O521" s="1" t="s">
        <v>66</v>
      </c>
      <c r="P521">
        <v>2</v>
      </c>
      <c r="Q521" s="1" t="s">
        <v>41</v>
      </c>
      <c r="R521">
        <v>1</v>
      </c>
      <c r="S521" s="1" t="s">
        <v>23</v>
      </c>
      <c r="T521" s="1" t="s">
        <v>28</v>
      </c>
      <c r="U521" s="1" t="s">
        <v>29</v>
      </c>
    </row>
    <row r="522" spans="1:21" x14ac:dyDescent="0.3">
      <c r="A522" s="1" t="s">
        <v>17</v>
      </c>
      <c r="B522">
        <v>24</v>
      </c>
      <c r="C522" s="1" t="s">
        <v>18</v>
      </c>
      <c r="D522" s="1" t="s">
        <v>57</v>
      </c>
      <c r="E522">
        <v>5507</v>
      </c>
      <c r="F522" s="1" t="s">
        <v>32</v>
      </c>
      <c r="G522" s="1" t="s">
        <v>38</v>
      </c>
      <c r="H522">
        <v>3</v>
      </c>
      <c r="I522" s="1" t="s">
        <v>39</v>
      </c>
      <c r="J522" s="1" t="s">
        <v>23</v>
      </c>
      <c r="K522">
        <v>4</v>
      </c>
      <c r="L522" s="1" t="s">
        <v>65</v>
      </c>
      <c r="M522">
        <v>44</v>
      </c>
      <c r="N522" s="1" t="s">
        <v>23</v>
      </c>
      <c r="O522" s="1" t="s">
        <v>66</v>
      </c>
      <c r="P522">
        <v>2</v>
      </c>
      <c r="Q522" s="1" t="s">
        <v>41</v>
      </c>
      <c r="R522">
        <v>1</v>
      </c>
      <c r="S522" s="1" t="s">
        <v>23</v>
      </c>
      <c r="T522" s="1" t="s">
        <v>28</v>
      </c>
      <c r="U522" s="1" t="s">
        <v>29</v>
      </c>
    </row>
    <row r="523" spans="1:21" x14ac:dyDescent="0.3">
      <c r="A523" s="1" t="s">
        <v>35</v>
      </c>
      <c r="B523">
        <v>18</v>
      </c>
      <c r="C523" s="1" t="s">
        <v>31</v>
      </c>
      <c r="D523" s="1" t="s">
        <v>36</v>
      </c>
      <c r="E523">
        <v>3190</v>
      </c>
      <c r="F523" s="1" t="s">
        <v>32</v>
      </c>
      <c r="G523" s="1" t="s">
        <v>21</v>
      </c>
      <c r="H523">
        <v>2</v>
      </c>
      <c r="I523" s="1" t="s">
        <v>22</v>
      </c>
      <c r="J523" s="1" t="s">
        <v>23</v>
      </c>
      <c r="K523">
        <v>2</v>
      </c>
      <c r="L523" s="1" t="s">
        <v>24</v>
      </c>
      <c r="M523">
        <v>24</v>
      </c>
      <c r="N523" s="1" t="s">
        <v>23</v>
      </c>
      <c r="O523" s="1" t="s">
        <v>26</v>
      </c>
      <c r="P523">
        <v>1</v>
      </c>
      <c r="Q523" s="1" t="s">
        <v>41</v>
      </c>
      <c r="R523">
        <v>1</v>
      </c>
      <c r="S523" s="1" t="s">
        <v>23</v>
      </c>
      <c r="T523" s="1" t="s">
        <v>28</v>
      </c>
      <c r="U523" s="1" t="s">
        <v>56</v>
      </c>
    </row>
    <row r="524" spans="1:21" x14ac:dyDescent="0.3">
      <c r="A524" s="1" t="s">
        <v>35</v>
      </c>
      <c r="B524">
        <v>48</v>
      </c>
      <c r="C524" s="1" t="s">
        <v>52</v>
      </c>
      <c r="D524" s="1" t="s">
        <v>53</v>
      </c>
      <c r="E524">
        <v>7119</v>
      </c>
      <c r="F524" s="1" t="s">
        <v>32</v>
      </c>
      <c r="G524" s="1" t="s">
        <v>21</v>
      </c>
      <c r="H524">
        <v>3</v>
      </c>
      <c r="I524" s="1" t="s">
        <v>39</v>
      </c>
      <c r="J524" s="1" t="s">
        <v>23</v>
      </c>
      <c r="K524">
        <v>4</v>
      </c>
      <c r="L524" s="1" t="s">
        <v>65</v>
      </c>
      <c r="M524">
        <v>53</v>
      </c>
      <c r="N524" s="1" t="s">
        <v>23</v>
      </c>
      <c r="O524" s="1" t="s">
        <v>66</v>
      </c>
      <c r="P524">
        <v>2</v>
      </c>
      <c r="Q524" s="1" t="s">
        <v>41</v>
      </c>
      <c r="R524">
        <v>2</v>
      </c>
      <c r="S524" s="1" t="s">
        <v>23</v>
      </c>
      <c r="T524" s="1" t="s">
        <v>28</v>
      </c>
      <c r="U524" s="1" t="s">
        <v>56</v>
      </c>
    </row>
    <row r="525" spans="1:21" x14ac:dyDescent="0.3">
      <c r="A525" s="1" t="s">
        <v>17</v>
      </c>
      <c r="B525">
        <v>24</v>
      </c>
      <c r="C525" s="1" t="s">
        <v>31</v>
      </c>
      <c r="D525" s="1" t="s">
        <v>69</v>
      </c>
      <c r="E525">
        <v>3488</v>
      </c>
      <c r="F525" s="1" t="s">
        <v>46</v>
      </c>
      <c r="G525" s="1" t="s">
        <v>49</v>
      </c>
      <c r="H525">
        <v>3</v>
      </c>
      <c r="I525" s="1" t="s">
        <v>22</v>
      </c>
      <c r="J525" s="1" t="s">
        <v>23</v>
      </c>
      <c r="K525">
        <v>4</v>
      </c>
      <c r="L525" s="1" t="s">
        <v>40</v>
      </c>
      <c r="M525">
        <v>23</v>
      </c>
      <c r="N525" s="1" t="s">
        <v>23</v>
      </c>
      <c r="O525" s="1" t="s">
        <v>26</v>
      </c>
      <c r="P525">
        <v>1</v>
      </c>
      <c r="Q525" s="1" t="s">
        <v>41</v>
      </c>
      <c r="R525">
        <v>1</v>
      </c>
      <c r="S525" s="1" t="s">
        <v>23</v>
      </c>
      <c r="T525" s="1" t="s">
        <v>28</v>
      </c>
      <c r="U525" s="1" t="s">
        <v>29</v>
      </c>
    </row>
    <row r="526" spans="1:21" x14ac:dyDescent="0.3">
      <c r="A526" s="1" t="s">
        <v>30</v>
      </c>
      <c r="B526">
        <v>18</v>
      </c>
      <c r="C526" s="1" t="s">
        <v>31</v>
      </c>
      <c r="D526" s="1" t="s">
        <v>36</v>
      </c>
      <c r="E526">
        <v>1113</v>
      </c>
      <c r="F526" s="1" t="s">
        <v>32</v>
      </c>
      <c r="G526" s="1" t="s">
        <v>21</v>
      </c>
      <c r="H526">
        <v>4</v>
      </c>
      <c r="I526" s="1" t="s">
        <v>22</v>
      </c>
      <c r="J526" s="1" t="s">
        <v>58</v>
      </c>
      <c r="K526">
        <v>4</v>
      </c>
      <c r="L526" s="1" t="s">
        <v>24</v>
      </c>
      <c r="M526">
        <v>26</v>
      </c>
      <c r="N526" s="1" t="s">
        <v>23</v>
      </c>
      <c r="O526" s="1" t="s">
        <v>26</v>
      </c>
      <c r="P526">
        <v>1</v>
      </c>
      <c r="Q526" s="1" t="s">
        <v>27</v>
      </c>
      <c r="R526">
        <v>2</v>
      </c>
      <c r="S526" s="1" t="s">
        <v>23</v>
      </c>
      <c r="T526" s="1" t="s">
        <v>28</v>
      </c>
      <c r="U526" s="1" t="s">
        <v>29</v>
      </c>
    </row>
    <row r="527" spans="1:21" x14ac:dyDescent="0.3">
      <c r="A527" s="1" t="s">
        <v>30</v>
      </c>
      <c r="B527">
        <v>26</v>
      </c>
      <c r="C527" s="1" t="s">
        <v>31</v>
      </c>
      <c r="D527" s="1" t="s">
        <v>69</v>
      </c>
      <c r="E527">
        <v>7966</v>
      </c>
      <c r="F527" s="1" t="s">
        <v>32</v>
      </c>
      <c r="G527" s="1" t="s">
        <v>45</v>
      </c>
      <c r="H527">
        <v>2</v>
      </c>
      <c r="I527" s="1" t="s">
        <v>39</v>
      </c>
      <c r="J527" s="1" t="s">
        <v>23</v>
      </c>
      <c r="K527">
        <v>3</v>
      </c>
      <c r="L527" s="1" t="s">
        <v>40</v>
      </c>
      <c r="M527">
        <v>30</v>
      </c>
      <c r="N527" s="1" t="s">
        <v>23</v>
      </c>
      <c r="O527" s="1" t="s">
        <v>26</v>
      </c>
      <c r="P527">
        <v>2</v>
      </c>
      <c r="Q527" s="1" t="s">
        <v>41</v>
      </c>
      <c r="R527">
        <v>1</v>
      </c>
      <c r="S527" s="1" t="s">
        <v>23</v>
      </c>
      <c r="T527" s="1" t="s">
        <v>28</v>
      </c>
      <c r="U527" s="1" t="s">
        <v>29</v>
      </c>
    </row>
    <row r="528" spans="1:21" x14ac:dyDescent="0.3">
      <c r="A528" s="1" t="s">
        <v>17</v>
      </c>
      <c r="B528">
        <v>15</v>
      </c>
      <c r="C528" s="1" t="s">
        <v>18</v>
      </c>
      <c r="D528" s="1" t="s">
        <v>51</v>
      </c>
      <c r="E528">
        <v>1532</v>
      </c>
      <c r="F528" s="1" t="s">
        <v>46</v>
      </c>
      <c r="G528" s="1" t="s">
        <v>21</v>
      </c>
      <c r="H528">
        <v>4</v>
      </c>
      <c r="I528" s="1" t="s">
        <v>22</v>
      </c>
      <c r="J528" s="1" t="s">
        <v>23</v>
      </c>
      <c r="K528">
        <v>3</v>
      </c>
      <c r="L528" s="1" t="s">
        <v>40</v>
      </c>
      <c r="M528">
        <v>31</v>
      </c>
      <c r="N528" s="1" t="s">
        <v>23</v>
      </c>
      <c r="O528" s="1" t="s">
        <v>26</v>
      </c>
      <c r="P528">
        <v>1</v>
      </c>
      <c r="Q528" s="1" t="s">
        <v>41</v>
      </c>
      <c r="R528">
        <v>1</v>
      </c>
      <c r="S528" s="1" t="s">
        <v>23</v>
      </c>
      <c r="T528" s="1" t="s">
        <v>28</v>
      </c>
      <c r="U528" s="1" t="s">
        <v>29</v>
      </c>
    </row>
    <row r="529" spans="1:21" x14ac:dyDescent="0.3">
      <c r="A529" s="1" t="s">
        <v>17</v>
      </c>
      <c r="B529">
        <v>4</v>
      </c>
      <c r="C529" s="1" t="s">
        <v>18</v>
      </c>
      <c r="D529" s="1" t="s">
        <v>36</v>
      </c>
      <c r="E529">
        <v>1503</v>
      </c>
      <c r="F529" s="1" t="s">
        <v>32</v>
      </c>
      <c r="G529" s="1" t="s">
        <v>49</v>
      </c>
      <c r="H529">
        <v>2</v>
      </c>
      <c r="I529" s="1" t="s">
        <v>39</v>
      </c>
      <c r="J529" s="1" t="s">
        <v>23</v>
      </c>
      <c r="K529">
        <v>1</v>
      </c>
      <c r="L529" s="1" t="s">
        <v>24</v>
      </c>
      <c r="M529">
        <v>42</v>
      </c>
      <c r="N529" s="1" t="s">
        <v>23</v>
      </c>
      <c r="O529" s="1" t="s">
        <v>26</v>
      </c>
      <c r="P529">
        <v>2</v>
      </c>
      <c r="Q529" s="1" t="s">
        <v>27</v>
      </c>
      <c r="R529">
        <v>2</v>
      </c>
      <c r="S529" s="1" t="s">
        <v>23</v>
      </c>
      <c r="T529" s="1" t="s">
        <v>28</v>
      </c>
      <c r="U529" s="1" t="s">
        <v>29</v>
      </c>
    </row>
    <row r="530" spans="1:21" x14ac:dyDescent="0.3">
      <c r="A530" s="1" t="s">
        <v>35</v>
      </c>
      <c r="B530">
        <v>36</v>
      </c>
      <c r="C530" s="1" t="s">
        <v>31</v>
      </c>
      <c r="D530" s="1" t="s">
        <v>36</v>
      </c>
      <c r="E530">
        <v>2302</v>
      </c>
      <c r="F530" s="1" t="s">
        <v>32</v>
      </c>
      <c r="G530" s="1" t="s">
        <v>21</v>
      </c>
      <c r="H530">
        <v>4</v>
      </c>
      <c r="I530" s="1" t="s">
        <v>64</v>
      </c>
      <c r="J530" s="1" t="s">
        <v>23</v>
      </c>
      <c r="K530">
        <v>4</v>
      </c>
      <c r="L530" s="1" t="s">
        <v>40</v>
      </c>
      <c r="M530">
        <v>31</v>
      </c>
      <c r="N530" s="1" t="s">
        <v>23</v>
      </c>
      <c r="O530" s="1" t="s">
        <v>34</v>
      </c>
      <c r="P530">
        <v>1</v>
      </c>
      <c r="Q530" s="1" t="s">
        <v>41</v>
      </c>
      <c r="R530">
        <v>1</v>
      </c>
      <c r="S530" s="1" t="s">
        <v>23</v>
      </c>
      <c r="T530" s="1" t="s">
        <v>28</v>
      </c>
      <c r="U530" s="1" t="s">
        <v>56</v>
      </c>
    </row>
    <row r="531" spans="1:21" x14ac:dyDescent="0.3">
      <c r="A531" s="1" t="s">
        <v>35</v>
      </c>
      <c r="B531">
        <v>6</v>
      </c>
      <c r="C531" s="1" t="s">
        <v>31</v>
      </c>
      <c r="D531" s="1" t="s">
        <v>19</v>
      </c>
      <c r="E531">
        <v>662</v>
      </c>
      <c r="F531" s="1" t="s">
        <v>32</v>
      </c>
      <c r="G531" s="1" t="s">
        <v>45</v>
      </c>
      <c r="H531">
        <v>3</v>
      </c>
      <c r="I531" s="1" t="s">
        <v>39</v>
      </c>
      <c r="J531" s="1" t="s">
        <v>23</v>
      </c>
      <c r="K531">
        <v>4</v>
      </c>
      <c r="L531" s="1" t="s">
        <v>24</v>
      </c>
      <c r="M531">
        <v>41</v>
      </c>
      <c r="N531" s="1" t="s">
        <v>23</v>
      </c>
      <c r="O531" s="1" t="s">
        <v>26</v>
      </c>
      <c r="P531">
        <v>1</v>
      </c>
      <c r="Q531" s="1" t="s">
        <v>27</v>
      </c>
      <c r="R531">
        <v>2</v>
      </c>
      <c r="S531" s="1" t="s">
        <v>28</v>
      </c>
      <c r="T531" s="1" t="s">
        <v>28</v>
      </c>
      <c r="U531" s="1" t="s">
        <v>29</v>
      </c>
    </row>
    <row r="532" spans="1:21" x14ac:dyDescent="0.3">
      <c r="A532" s="1" t="s">
        <v>30</v>
      </c>
      <c r="B532">
        <v>36</v>
      </c>
      <c r="C532" s="1" t="s">
        <v>31</v>
      </c>
      <c r="D532" s="1" t="s">
        <v>51</v>
      </c>
      <c r="E532">
        <v>2273</v>
      </c>
      <c r="F532" s="1" t="s">
        <v>32</v>
      </c>
      <c r="G532" s="1" t="s">
        <v>49</v>
      </c>
      <c r="H532">
        <v>3</v>
      </c>
      <c r="I532" s="1" t="s">
        <v>39</v>
      </c>
      <c r="J532" s="1" t="s">
        <v>23</v>
      </c>
      <c r="K532">
        <v>1</v>
      </c>
      <c r="L532" s="1" t="s">
        <v>40</v>
      </c>
      <c r="M532">
        <v>32</v>
      </c>
      <c r="N532" s="1" t="s">
        <v>23</v>
      </c>
      <c r="O532" s="1" t="s">
        <v>26</v>
      </c>
      <c r="P532">
        <v>2</v>
      </c>
      <c r="Q532" s="1" t="s">
        <v>41</v>
      </c>
      <c r="R532">
        <v>2</v>
      </c>
      <c r="S532" s="1" t="s">
        <v>23</v>
      </c>
      <c r="T532" s="1" t="s">
        <v>28</v>
      </c>
      <c r="U532" s="1" t="s">
        <v>29</v>
      </c>
    </row>
    <row r="533" spans="1:21" x14ac:dyDescent="0.3">
      <c r="A533" s="1" t="s">
        <v>30</v>
      </c>
      <c r="B533">
        <v>15</v>
      </c>
      <c r="C533" s="1" t="s">
        <v>31</v>
      </c>
      <c r="D533" s="1" t="s">
        <v>19</v>
      </c>
      <c r="E533">
        <v>2631</v>
      </c>
      <c r="F533" s="1" t="s">
        <v>46</v>
      </c>
      <c r="G533" s="1" t="s">
        <v>21</v>
      </c>
      <c r="H533">
        <v>2</v>
      </c>
      <c r="I533" s="1" t="s">
        <v>22</v>
      </c>
      <c r="J533" s="1" t="s">
        <v>23</v>
      </c>
      <c r="K533">
        <v>4</v>
      </c>
      <c r="L533" s="1" t="s">
        <v>40</v>
      </c>
      <c r="M533">
        <v>28</v>
      </c>
      <c r="N533" s="1" t="s">
        <v>23</v>
      </c>
      <c r="O533" s="1" t="s">
        <v>34</v>
      </c>
      <c r="P533">
        <v>2</v>
      </c>
      <c r="Q533" s="1" t="s">
        <v>41</v>
      </c>
      <c r="R533">
        <v>1</v>
      </c>
      <c r="S533" s="1" t="s">
        <v>28</v>
      </c>
      <c r="T533" s="1" t="s">
        <v>28</v>
      </c>
      <c r="U533" s="1" t="s">
        <v>56</v>
      </c>
    </row>
    <row r="534" spans="1:21" x14ac:dyDescent="0.3">
      <c r="A534" s="1" t="s">
        <v>17</v>
      </c>
      <c r="B534">
        <v>12</v>
      </c>
      <c r="C534" s="1" t="s">
        <v>59</v>
      </c>
      <c r="D534" s="1" t="s">
        <v>69</v>
      </c>
      <c r="E534">
        <v>1503</v>
      </c>
      <c r="F534" s="1" t="s">
        <v>32</v>
      </c>
      <c r="G534" s="1" t="s">
        <v>21</v>
      </c>
      <c r="H534">
        <v>4</v>
      </c>
      <c r="I534" s="1" t="s">
        <v>33</v>
      </c>
      <c r="J534" s="1" t="s">
        <v>23</v>
      </c>
      <c r="K534">
        <v>4</v>
      </c>
      <c r="L534" s="1" t="s">
        <v>24</v>
      </c>
      <c r="M534">
        <v>41</v>
      </c>
      <c r="N534" s="1" t="s">
        <v>23</v>
      </c>
      <c r="O534" s="1" t="s">
        <v>34</v>
      </c>
      <c r="P534">
        <v>1</v>
      </c>
      <c r="Q534" s="1" t="s">
        <v>41</v>
      </c>
      <c r="R534">
        <v>1</v>
      </c>
      <c r="S534" s="1" t="s">
        <v>23</v>
      </c>
      <c r="T534" s="1" t="s">
        <v>28</v>
      </c>
      <c r="U534" s="1" t="s">
        <v>29</v>
      </c>
    </row>
    <row r="535" spans="1:21" x14ac:dyDescent="0.3">
      <c r="A535" s="1" t="s">
        <v>17</v>
      </c>
      <c r="B535">
        <v>24</v>
      </c>
      <c r="C535" s="1" t="s">
        <v>31</v>
      </c>
      <c r="D535" s="1" t="s">
        <v>36</v>
      </c>
      <c r="E535">
        <v>1311</v>
      </c>
      <c r="F535" s="1" t="s">
        <v>46</v>
      </c>
      <c r="G535" s="1" t="s">
        <v>49</v>
      </c>
      <c r="H535">
        <v>4</v>
      </c>
      <c r="I535" s="1" t="s">
        <v>33</v>
      </c>
      <c r="J535" s="1" t="s">
        <v>23</v>
      </c>
      <c r="K535">
        <v>3</v>
      </c>
      <c r="L535" s="1" t="s">
        <v>48</v>
      </c>
      <c r="M535">
        <v>26</v>
      </c>
      <c r="N535" s="1" t="s">
        <v>23</v>
      </c>
      <c r="O535" s="1" t="s">
        <v>26</v>
      </c>
      <c r="P535">
        <v>1</v>
      </c>
      <c r="Q535" s="1" t="s">
        <v>41</v>
      </c>
      <c r="R535">
        <v>1</v>
      </c>
      <c r="S535" s="1" t="s">
        <v>28</v>
      </c>
      <c r="T535" s="1" t="s">
        <v>28</v>
      </c>
      <c r="U535" s="1" t="s">
        <v>29</v>
      </c>
    </row>
    <row r="536" spans="1:21" x14ac:dyDescent="0.3">
      <c r="A536" s="1" t="s">
        <v>17</v>
      </c>
      <c r="B536">
        <v>24</v>
      </c>
      <c r="C536" s="1" t="s">
        <v>31</v>
      </c>
      <c r="D536" s="1" t="s">
        <v>36</v>
      </c>
      <c r="E536">
        <v>3105</v>
      </c>
      <c r="F536" s="1" t="s">
        <v>47</v>
      </c>
      <c r="G536" s="1" t="s">
        <v>45</v>
      </c>
      <c r="H536">
        <v>4</v>
      </c>
      <c r="I536" s="1" t="s">
        <v>39</v>
      </c>
      <c r="J536" s="1" t="s">
        <v>23</v>
      </c>
      <c r="K536">
        <v>2</v>
      </c>
      <c r="L536" s="1" t="s">
        <v>40</v>
      </c>
      <c r="M536">
        <v>25</v>
      </c>
      <c r="N536" s="1" t="s">
        <v>23</v>
      </c>
      <c r="O536" s="1" t="s">
        <v>26</v>
      </c>
      <c r="P536">
        <v>2</v>
      </c>
      <c r="Q536" s="1" t="s">
        <v>41</v>
      </c>
      <c r="R536">
        <v>1</v>
      </c>
      <c r="S536" s="1" t="s">
        <v>23</v>
      </c>
      <c r="T536" s="1" t="s">
        <v>28</v>
      </c>
      <c r="U536" s="1" t="s">
        <v>29</v>
      </c>
    </row>
    <row r="537" spans="1:21" x14ac:dyDescent="0.3">
      <c r="A537" s="1" t="s">
        <v>50</v>
      </c>
      <c r="B537">
        <v>21</v>
      </c>
      <c r="C537" s="1" t="s">
        <v>18</v>
      </c>
      <c r="D537" s="1" t="s">
        <v>51</v>
      </c>
      <c r="E537">
        <v>2319</v>
      </c>
      <c r="F537" s="1" t="s">
        <v>32</v>
      </c>
      <c r="G537" s="1" t="s">
        <v>45</v>
      </c>
      <c r="H537">
        <v>2</v>
      </c>
      <c r="I537" s="1" t="s">
        <v>64</v>
      </c>
      <c r="J537" s="1" t="s">
        <v>23</v>
      </c>
      <c r="K537">
        <v>1</v>
      </c>
      <c r="L537" s="1" t="s">
        <v>40</v>
      </c>
      <c r="M537">
        <v>33</v>
      </c>
      <c r="N537" s="1" t="s">
        <v>23</v>
      </c>
      <c r="O537" s="1" t="s">
        <v>34</v>
      </c>
      <c r="P537">
        <v>1</v>
      </c>
      <c r="Q537" s="1" t="s">
        <v>41</v>
      </c>
      <c r="R537">
        <v>1</v>
      </c>
      <c r="S537" s="1" t="s">
        <v>23</v>
      </c>
      <c r="T537" s="1" t="s">
        <v>28</v>
      </c>
      <c r="U537" s="1" t="s">
        <v>56</v>
      </c>
    </row>
    <row r="538" spans="1:21" x14ac:dyDescent="0.3">
      <c r="A538" s="1" t="s">
        <v>35</v>
      </c>
      <c r="B538">
        <v>6</v>
      </c>
      <c r="C538" s="1" t="s">
        <v>31</v>
      </c>
      <c r="D538" s="1" t="s">
        <v>19</v>
      </c>
      <c r="E538">
        <v>1374</v>
      </c>
      <c r="F538" s="1" t="s">
        <v>47</v>
      </c>
      <c r="G538" s="1" t="s">
        <v>54</v>
      </c>
      <c r="H538">
        <v>4</v>
      </c>
      <c r="I538" s="1" t="s">
        <v>22</v>
      </c>
      <c r="J538" s="1" t="s">
        <v>23</v>
      </c>
      <c r="K538">
        <v>3</v>
      </c>
      <c r="L538" s="1" t="s">
        <v>48</v>
      </c>
      <c r="M538">
        <v>75</v>
      </c>
      <c r="N538" s="1" t="s">
        <v>23</v>
      </c>
      <c r="O538" s="1" t="s">
        <v>26</v>
      </c>
      <c r="P538">
        <v>1</v>
      </c>
      <c r="Q538" s="1" t="s">
        <v>63</v>
      </c>
      <c r="R538">
        <v>1</v>
      </c>
      <c r="S538" s="1" t="s">
        <v>28</v>
      </c>
      <c r="T538" s="1" t="s">
        <v>28</v>
      </c>
      <c r="U538" s="1" t="s">
        <v>29</v>
      </c>
    </row>
    <row r="539" spans="1:21" x14ac:dyDescent="0.3">
      <c r="A539" s="1" t="s">
        <v>30</v>
      </c>
      <c r="B539">
        <v>18</v>
      </c>
      <c r="C539" s="1" t="s">
        <v>18</v>
      </c>
      <c r="D539" s="1" t="s">
        <v>53</v>
      </c>
      <c r="E539">
        <v>3612</v>
      </c>
      <c r="F539" s="1" t="s">
        <v>32</v>
      </c>
      <c r="G539" s="1" t="s">
        <v>38</v>
      </c>
      <c r="H539">
        <v>3</v>
      </c>
      <c r="I539" s="1" t="s">
        <v>22</v>
      </c>
      <c r="J539" s="1" t="s">
        <v>23</v>
      </c>
      <c r="K539">
        <v>4</v>
      </c>
      <c r="L539" s="1" t="s">
        <v>48</v>
      </c>
      <c r="M539">
        <v>37</v>
      </c>
      <c r="N539" s="1" t="s">
        <v>23</v>
      </c>
      <c r="O539" s="1" t="s">
        <v>26</v>
      </c>
      <c r="P539">
        <v>1</v>
      </c>
      <c r="Q539" s="1" t="s">
        <v>41</v>
      </c>
      <c r="R539">
        <v>1</v>
      </c>
      <c r="S539" s="1" t="s">
        <v>28</v>
      </c>
      <c r="T539" s="1" t="s">
        <v>28</v>
      </c>
      <c r="U539" s="1" t="s">
        <v>29</v>
      </c>
    </row>
    <row r="540" spans="1:21" x14ac:dyDescent="0.3">
      <c r="A540" s="1" t="s">
        <v>35</v>
      </c>
      <c r="B540">
        <v>48</v>
      </c>
      <c r="C540" s="1" t="s">
        <v>31</v>
      </c>
      <c r="D540" s="1" t="s">
        <v>19</v>
      </c>
      <c r="E540">
        <v>7763</v>
      </c>
      <c r="F540" s="1" t="s">
        <v>32</v>
      </c>
      <c r="G540" s="1" t="s">
        <v>38</v>
      </c>
      <c r="H540">
        <v>4</v>
      </c>
      <c r="I540" s="1" t="s">
        <v>39</v>
      </c>
      <c r="J540" s="1" t="s">
        <v>23</v>
      </c>
      <c r="K540">
        <v>4</v>
      </c>
      <c r="L540" s="1" t="s">
        <v>65</v>
      </c>
      <c r="M540">
        <v>42</v>
      </c>
      <c r="N540" s="1" t="s">
        <v>25</v>
      </c>
      <c r="O540" s="1" t="s">
        <v>66</v>
      </c>
      <c r="P540">
        <v>1</v>
      </c>
      <c r="Q540" s="1" t="s">
        <v>63</v>
      </c>
      <c r="R540">
        <v>1</v>
      </c>
      <c r="S540" s="1" t="s">
        <v>23</v>
      </c>
      <c r="T540" s="1" t="s">
        <v>28</v>
      </c>
      <c r="U540" s="1" t="s">
        <v>56</v>
      </c>
    </row>
    <row r="541" spans="1:21" x14ac:dyDescent="0.3">
      <c r="A541" s="1" t="s">
        <v>50</v>
      </c>
      <c r="B541">
        <v>18</v>
      </c>
      <c r="C541" s="1" t="s">
        <v>31</v>
      </c>
      <c r="D541" s="1" t="s">
        <v>53</v>
      </c>
      <c r="E541">
        <v>3049</v>
      </c>
      <c r="F541" s="1" t="s">
        <v>32</v>
      </c>
      <c r="G541" s="1" t="s">
        <v>45</v>
      </c>
      <c r="H541">
        <v>1</v>
      </c>
      <c r="I541" s="1" t="s">
        <v>22</v>
      </c>
      <c r="J541" s="1" t="s">
        <v>23</v>
      </c>
      <c r="K541">
        <v>1</v>
      </c>
      <c r="L541" s="1" t="s">
        <v>48</v>
      </c>
      <c r="M541">
        <v>45</v>
      </c>
      <c r="N541" s="1" t="s">
        <v>67</v>
      </c>
      <c r="O541" s="1" t="s">
        <v>26</v>
      </c>
      <c r="P541">
        <v>1</v>
      </c>
      <c r="Q541" s="1" t="s">
        <v>27</v>
      </c>
      <c r="R541">
        <v>1</v>
      </c>
      <c r="S541" s="1" t="s">
        <v>23</v>
      </c>
      <c r="T541" s="1" t="s">
        <v>28</v>
      </c>
      <c r="U541" s="1" t="s">
        <v>29</v>
      </c>
    </row>
    <row r="542" spans="1:21" x14ac:dyDescent="0.3">
      <c r="A542" s="1" t="s">
        <v>30</v>
      </c>
      <c r="B542">
        <v>12</v>
      </c>
      <c r="C542" s="1" t="s">
        <v>31</v>
      </c>
      <c r="D542" s="1" t="s">
        <v>36</v>
      </c>
      <c r="E542">
        <v>1534</v>
      </c>
      <c r="F542" s="1" t="s">
        <v>32</v>
      </c>
      <c r="G542" s="1" t="s">
        <v>45</v>
      </c>
      <c r="H542">
        <v>1</v>
      </c>
      <c r="I542" s="1" t="s">
        <v>33</v>
      </c>
      <c r="J542" s="1" t="s">
        <v>23</v>
      </c>
      <c r="K542">
        <v>1</v>
      </c>
      <c r="L542" s="1" t="s">
        <v>24</v>
      </c>
      <c r="M542">
        <v>23</v>
      </c>
      <c r="N542" s="1" t="s">
        <v>23</v>
      </c>
      <c r="O542" s="1" t="s">
        <v>34</v>
      </c>
      <c r="P542">
        <v>1</v>
      </c>
      <c r="Q542" s="1" t="s">
        <v>41</v>
      </c>
      <c r="R542">
        <v>1</v>
      </c>
      <c r="S542" s="1" t="s">
        <v>23</v>
      </c>
      <c r="T542" s="1" t="s">
        <v>28</v>
      </c>
      <c r="U542" s="1" t="s">
        <v>56</v>
      </c>
    </row>
    <row r="543" spans="1:21" x14ac:dyDescent="0.3">
      <c r="A543" s="1" t="s">
        <v>17</v>
      </c>
      <c r="B543">
        <v>24</v>
      </c>
      <c r="C543" s="1" t="s">
        <v>59</v>
      </c>
      <c r="D543" s="1" t="s">
        <v>19</v>
      </c>
      <c r="E543">
        <v>2032</v>
      </c>
      <c r="F543" s="1" t="s">
        <v>32</v>
      </c>
      <c r="G543" s="1" t="s">
        <v>38</v>
      </c>
      <c r="H543">
        <v>4</v>
      </c>
      <c r="I543" s="1" t="s">
        <v>39</v>
      </c>
      <c r="J543" s="1" t="s">
        <v>23</v>
      </c>
      <c r="K543">
        <v>4</v>
      </c>
      <c r="L543" s="1" t="s">
        <v>65</v>
      </c>
      <c r="M543">
        <v>60</v>
      </c>
      <c r="N543" s="1" t="s">
        <v>23</v>
      </c>
      <c r="O543" s="1" t="s">
        <v>66</v>
      </c>
      <c r="P543">
        <v>2</v>
      </c>
      <c r="Q543" s="1" t="s">
        <v>41</v>
      </c>
      <c r="R543">
        <v>1</v>
      </c>
      <c r="S543" s="1" t="s">
        <v>28</v>
      </c>
      <c r="T543" s="1" t="s">
        <v>28</v>
      </c>
      <c r="U543" s="1" t="s">
        <v>29</v>
      </c>
    </row>
    <row r="544" spans="1:21" x14ac:dyDescent="0.3">
      <c r="A544" s="1" t="s">
        <v>35</v>
      </c>
      <c r="B544">
        <v>30</v>
      </c>
      <c r="C544" s="1" t="s">
        <v>31</v>
      </c>
      <c r="D544" s="1" t="s">
        <v>53</v>
      </c>
      <c r="E544">
        <v>6350</v>
      </c>
      <c r="F544" s="1" t="s">
        <v>47</v>
      </c>
      <c r="G544" s="1" t="s">
        <v>38</v>
      </c>
      <c r="H544">
        <v>4</v>
      </c>
      <c r="I544" s="1" t="s">
        <v>39</v>
      </c>
      <c r="J544" s="1" t="s">
        <v>23</v>
      </c>
      <c r="K544">
        <v>4</v>
      </c>
      <c r="L544" s="1" t="s">
        <v>48</v>
      </c>
      <c r="M544">
        <v>31</v>
      </c>
      <c r="N544" s="1" t="s">
        <v>23</v>
      </c>
      <c r="O544" s="1" t="s">
        <v>26</v>
      </c>
      <c r="P544">
        <v>1</v>
      </c>
      <c r="Q544" s="1" t="s">
        <v>41</v>
      </c>
      <c r="R544">
        <v>1</v>
      </c>
      <c r="S544" s="1" t="s">
        <v>23</v>
      </c>
      <c r="T544" s="1" t="s">
        <v>28</v>
      </c>
      <c r="U544" s="1" t="s">
        <v>56</v>
      </c>
    </row>
    <row r="545" spans="1:21" x14ac:dyDescent="0.3">
      <c r="A545" s="1" t="s">
        <v>50</v>
      </c>
      <c r="B545">
        <v>18</v>
      </c>
      <c r="C545" s="1" t="s">
        <v>31</v>
      </c>
      <c r="D545" s="1" t="s">
        <v>53</v>
      </c>
      <c r="E545">
        <v>2864</v>
      </c>
      <c r="F545" s="1" t="s">
        <v>32</v>
      </c>
      <c r="G545" s="1" t="s">
        <v>21</v>
      </c>
      <c r="H545">
        <v>2</v>
      </c>
      <c r="I545" s="1" t="s">
        <v>39</v>
      </c>
      <c r="J545" s="1" t="s">
        <v>23</v>
      </c>
      <c r="K545">
        <v>1</v>
      </c>
      <c r="L545" s="1" t="s">
        <v>24</v>
      </c>
      <c r="M545">
        <v>34</v>
      </c>
      <c r="N545" s="1" t="s">
        <v>23</v>
      </c>
      <c r="O545" s="1" t="s">
        <v>26</v>
      </c>
      <c r="P545">
        <v>1</v>
      </c>
      <c r="Q545" s="1" t="s">
        <v>27</v>
      </c>
      <c r="R545">
        <v>2</v>
      </c>
      <c r="S545" s="1" t="s">
        <v>23</v>
      </c>
      <c r="T545" s="1" t="s">
        <v>28</v>
      </c>
      <c r="U545" s="1" t="s">
        <v>56</v>
      </c>
    </row>
    <row r="546" spans="1:21" x14ac:dyDescent="0.3">
      <c r="A546" s="1" t="s">
        <v>17</v>
      </c>
      <c r="B546">
        <v>12</v>
      </c>
      <c r="C546" s="1" t="s">
        <v>18</v>
      </c>
      <c r="D546" s="1" t="s">
        <v>19</v>
      </c>
      <c r="E546">
        <v>1255</v>
      </c>
      <c r="F546" s="1" t="s">
        <v>32</v>
      </c>
      <c r="G546" s="1" t="s">
        <v>38</v>
      </c>
      <c r="H546">
        <v>4</v>
      </c>
      <c r="I546" s="1" t="s">
        <v>39</v>
      </c>
      <c r="J546" s="1" t="s">
        <v>23</v>
      </c>
      <c r="K546">
        <v>4</v>
      </c>
      <c r="L546" s="1" t="s">
        <v>24</v>
      </c>
      <c r="M546">
        <v>61</v>
      </c>
      <c r="N546" s="1" t="s">
        <v>23</v>
      </c>
      <c r="O546" s="1" t="s">
        <v>26</v>
      </c>
      <c r="P546">
        <v>2</v>
      </c>
      <c r="Q546" s="1" t="s">
        <v>27</v>
      </c>
      <c r="R546">
        <v>1</v>
      </c>
      <c r="S546" s="1" t="s">
        <v>23</v>
      </c>
      <c r="T546" s="1" t="s">
        <v>28</v>
      </c>
      <c r="U546" s="1" t="s">
        <v>29</v>
      </c>
    </row>
    <row r="547" spans="1:21" x14ac:dyDescent="0.3">
      <c r="A547" s="1" t="s">
        <v>35</v>
      </c>
      <c r="B547">
        <v>24</v>
      </c>
      <c r="C547" s="1" t="s">
        <v>59</v>
      </c>
      <c r="D547" s="1" t="s">
        <v>19</v>
      </c>
      <c r="E547">
        <v>1333</v>
      </c>
      <c r="F547" s="1" t="s">
        <v>32</v>
      </c>
      <c r="G547" s="1" t="s">
        <v>54</v>
      </c>
      <c r="H547">
        <v>4</v>
      </c>
      <c r="I547" s="1" t="s">
        <v>39</v>
      </c>
      <c r="J547" s="1" t="s">
        <v>23</v>
      </c>
      <c r="K547">
        <v>2</v>
      </c>
      <c r="L547" s="1" t="s">
        <v>24</v>
      </c>
      <c r="M547">
        <v>43</v>
      </c>
      <c r="N547" s="1" t="s">
        <v>23</v>
      </c>
      <c r="O547" s="1" t="s">
        <v>66</v>
      </c>
      <c r="P547">
        <v>2</v>
      </c>
      <c r="Q547" s="1" t="s">
        <v>41</v>
      </c>
      <c r="R547">
        <v>2</v>
      </c>
      <c r="S547" s="1" t="s">
        <v>23</v>
      </c>
      <c r="T547" s="1" t="s">
        <v>28</v>
      </c>
      <c r="U547" s="1" t="s">
        <v>56</v>
      </c>
    </row>
    <row r="548" spans="1:21" x14ac:dyDescent="0.3">
      <c r="A548" s="1" t="s">
        <v>17</v>
      </c>
      <c r="B548">
        <v>24</v>
      </c>
      <c r="C548" s="1" t="s">
        <v>18</v>
      </c>
      <c r="D548" s="1" t="s">
        <v>19</v>
      </c>
      <c r="E548">
        <v>2022</v>
      </c>
      <c r="F548" s="1" t="s">
        <v>32</v>
      </c>
      <c r="G548" s="1" t="s">
        <v>21</v>
      </c>
      <c r="H548">
        <v>4</v>
      </c>
      <c r="I548" s="1" t="s">
        <v>22</v>
      </c>
      <c r="J548" s="1" t="s">
        <v>23</v>
      </c>
      <c r="K548">
        <v>4</v>
      </c>
      <c r="L548" s="1" t="s">
        <v>40</v>
      </c>
      <c r="M548">
        <v>37</v>
      </c>
      <c r="N548" s="1" t="s">
        <v>23</v>
      </c>
      <c r="O548" s="1" t="s">
        <v>26</v>
      </c>
      <c r="P548">
        <v>1</v>
      </c>
      <c r="Q548" s="1" t="s">
        <v>41</v>
      </c>
      <c r="R548">
        <v>1</v>
      </c>
      <c r="S548" s="1" t="s">
        <v>28</v>
      </c>
      <c r="T548" s="1" t="s">
        <v>28</v>
      </c>
      <c r="U548" s="1" t="s">
        <v>29</v>
      </c>
    </row>
    <row r="549" spans="1:21" x14ac:dyDescent="0.3">
      <c r="A549" s="1" t="s">
        <v>17</v>
      </c>
      <c r="B549">
        <v>24</v>
      </c>
      <c r="C549" s="1" t="s">
        <v>31</v>
      </c>
      <c r="D549" s="1" t="s">
        <v>36</v>
      </c>
      <c r="E549">
        <v>1552</v>
      </c>
      <c r="F549" s="1" t="s">
        <v>32</v>
      </c>
      <c r="G549" s="1" t="s">
        <v>49</v>
      </c>
      <c r="H549">
        <v>3</v>
      </c>
      <c r="I549" s="1" t="s">
        <v>39</v>
      </c>
      <c r="J549" s="1" t="s">
        <v>23</v>
      </c>
      <c r="K549">
        <v>1</v>
      </c>
      <c r="L549" s="1" t="s">
        <v>40</v>
      </c>
      <c r="M549">
        <v>32</v>
      </c>
      <c r="N549" s="1" t="s">
        <v>25</v>
      </c>
      <c r="O549" s="1" t="s">
        <v>26</v>
      </c>
      <c r="P549">
        <v>1</v>
      </c>
      <c r="Q549" s="1" t="s">
        <v>41</v>
      </c>
      <c r="R549">
        <v>2</v>
      </c>
      <c r="S549" s="1" t="s">
        <v>23</v>
      </c>
      <c r="T549" s="1" t="s">
        <v>28</v>
      </c>
      <c r="U549" s="1" t="s">
        <v>29</v>
      </c>
    </row>
    <row r="550" spans="1:21" x14ac:dyDescent="0.3">
      <c r="A550" s="1" t="s">
        <v>35</v>
      </c>
      <c r="B550">
        <v>12</v>
      </c>
      <c r="C550" s="1" t="s">
        <v>42</v>
      </c>
      <c r="D550" s="1" t="s">
        <v>36</v>
      </c>
      <c r="E550">
        <v>626</v>
      </c>
      <c r="F550" s="1" t="s">
        <v>32</v>
      </c>
      <c r="G550" s="1" t="s">
        <v>21</v>
      </c>
      <c r="H550">
        <v>4</v>
      </c>
      <c r="I550" s="1" t="s">
        <v>22</v>
      </c>
      <c r="J550" s="1" t="s">
        <v>23</v>
      </c>
      <c r="K550">
        <v>4</v>
      </c>
      <c r="L550" s="1" t="s">
        <v>24</v>
      </c>
      <c r="M550">
        <v>24</v>
      </c>
      <c r="N550" s="1" t="s">
        <v>25</v>
      </c>
      <c r="O550" s="1" t="s">
        <v>26</v>
      </c>
      <c r="P550">
        <v>1</v>
      </c>
      <c r="Q550" s="1" t="s">
        <v>27</v>
      </c>
      <c r="R550">
        <v>1</v>
      </c>
      <c r="S550" s="1" t="s">
        <v>23</v>
      </c>
      <c r="T550" s="1" t="s">
        <v>28</v>
      </c>
      <c r="U550" s="1" t="s">
        <v>56</v>
      </c>
    </row>
    <row r="551" spans="1:21" x14ac:dyDescent="0.3">
      <c r="A551" s="1" t="s">
        <v>17</v>
      </c>
      <c r="B551">
        <v>48</v>
      </c>
      <c r="C551" s="1" t="s">
        <v>18</v>
      </c>
      <c r="D551" s="1" t="s">
        <v>69</v>
      </c>
      <c r="E551">
        <v>8858</v>
      </c>
      <c r="F551" s="1" t="s">
        <v>47</v>
      </c>
      <c r="G551" s="1" t="s">
        <v>49</v>
      </c>
      <c r="H551">
        <v>2</v>
      </c>
      <c r="I551" s="1" t="s">
        <v>39</v>
      </c>
      <c r="J551" s="1" t="s">
        <v>23</v>
      </c>
      <c r="K551">
        <v>1</v>
      </c>
      <c r="L551" s="1" t="s">
        <v>65</v>
      </c>
      <c r="M551">
        <v>35</v>
      </c>
      <c r="N551" s="1" t="s">
        <v>23</v>
      </c>
      <c r="O551" s="1" t="s">
        <v>66</v>
      </c>
      <c r="P551">
        <v>2</v>
      </c>
      <c r="Q551" s="1" t="s">
        <v>41</v>
      </c>
      <c r="R551">
        <v>1</v>
      </c>
      <c r="S551" s="1" t="s">
        <v>28</v>
      </c>
      <c r="T551" s="1" t="s">
        <v>28</v>
      </c>
      <c r="U551" s="1" t="s">
        <v>29</v>
      </c>
    </row>
    <row r="552" spans="1:21" x14ac:dyDescent="0.3">
      <c r="A552" s="1" t="s">
        <v>17</v>
      </c>
      <c r="B552">
        <v>12</v>
      </c>
      <c r="C552" s="1" t="s">
        <v>18</v>
      </c>
      <c r="D552" s="1" t="s">
        <v>57</v>
      </c>
      <c r="E552">
        <v>996</v>
      </c>
      <c r="F552" s="1" t="s">
        <v>47</v>
      </c>
      <c r="G552" s="1" t="s">
        <v>49</v>
      </c>
      <c r="H552">
        <v>4</v>
      </c>
      <c r="I552" s="1" t="s">
        <v>22</v>
      </c>
      <c r="J552" s="1" t="s">
        <v>23</v>
      </c>
      <c r="K552">
        <v>4</v>
      </c>
      <c r="L552" s="1" t="s">
        <v>24</v>
      </c>
      <c r="M552">
        <v>23</v>
      </c>
      <c r="N552" s="1" t="s">
        <v>23</v>
      </c>
      <c r="O552" s="1" t="s">
        <v>26</v>
      </c>
      <c r="P552">
        <v>2</v>
      </c>
      <c r="Q552" s="1" t="s">
        <v>41</v>
      </c>
      <c r="R552">
        <v>1</v>
      </c>
      <c r="S552" s="1" t="s">
        <v>23</v>
      </c>
      <c r="T552" s="1" t="s">
        <v>28</v>
      </c>
      <c r="U552" s="1" t="s">
        <v>29</v>
      </c>
    </row>
    <row r="553" spans="1:21" x14ac:dyDescent="0.3">
      <c r="A553" s="1" t="s">
        <v>17</v>
      </c>
      <c r="B553">
        <v>6</v>
      </c>
      <c r="C553" s="1" t="s">
        <v>42</v>
      </c>
      <c r="D553" s="1" t="s">
        <v>36</v>
      </c>
      <c r="E553">
        <v>1750</v>
      </c>
      <c r="F553" s="1" t="s">
        <v>37</v>
      </c>
      <c r="G553" s="1" t="s">
        <v>38</v>
      </c>
      <c r="H553">
        <v>2</v>
      </c>
      <c r="I553" s="1" t="s">
        <v>39</v>
      </c>
      <c r="J553" s="1" t="s">
        <v>23</v>
      </c>
      <c r="K553">
        <v>4</v>
      </c>
      <c r="L553" s="1" t="s">
        <v>48</v>
      </c>
      <c r="M553">
        <v>45</v>
      </c>
      <c r="N553" s="1" t="s">
        <v>25</v>
      </c>
      <c r="O553" s="1" t="s">
        <v>26</v>
      </c>
      <c r="P553">
        <v>1</v>
      </c>
      <c r="Q553" s="1" t="s">
        <v>27</v>
      </c>
      <c r="R553">
        <v>2</v>
      </c>
      <c r="S553" s="1" t="s">
        <v>23</v>
      </c>
      <c r="T553" s="1" t="s">
        <v>28</v>
      </c>
      <c r="U553" s="1" t="s">
        <v>29</v>
      </c>
    </row>
    <row r="554" spans="1:21" x14ac:dyDescent="0.3">
      <c r="A554" s="1" t="s">
        <v>35</v>
      </c>
      <c r="B554">
        <v>48</v>
      </c>
      <c r="C554" s="1" t="s">
        <v>31</v>
      </c>
      <c r="D554" s="1" t="s">
        <v>36</v>
      </c>
      <c r="E554">
        <v>6999</v>
      </c>
      <c r="F554" s="1" t="s">
        <v>32</v>
      </c>
      <c r="G554" s="1" t="s">
        <v>49</v>
      </c>
      <c r="H554">
        <v>1</v>
      </c>
      <c r="I554" s="1" t="s">
        <v>33</v>
      </c>
      <c r="J554" s="1" t="s">
        <v>58</v>
      </c>
      <c r="K554">
        <v>1</v>
      </c>
      <c r="L554" s="1" t="s">
        <v>24</v>
      </c>
      <c r="M554">
        <v>34</v>
      </c>
      <c r="N554" s="1" t="s">
        <v>23</v>
      </c>
      <c r="O554" s="1" t="s">
        <v>26</v>
      </c>
      <c r="P554">
        <v>2</v>
      </c>
      <c r="Q554" s="1" t="s">
        <v>41</v>
      </c>
      <c r="R554">
        <v>1</v>
      </c>
      <c r="S554" s="1" t="s">
        <v>28</v>
      </c>
      <c r="T554" s="1" t="s">
        <v>28</v>
      </c>
      <c r="U554" s="1" t="s">
        <v>56</v>
      </c>
    </row>
    <row r="555" spans="1:21" x14ac:dyDescent="0.3">
      <c r="A555" s="1" t="s">
        <v>30</v>
      </c>
      <c r="B555">
        <v>12</v>
      </c>
      <c r="C555" s="1" t="s">
        <v>18</v>
      </c>
      <c r="D555" s="1" t="s">
        <v>19</v>
      </c>
      <c r="E555">
        <v>1995</v>
      </c>
      <c r="F555" s="1" t="s">
        <v>46</v>
      </c>
      <c r="G555" s="1" t="s">
        <v>45</v>
      </c>
      <c r="H555">
        <v>4</v>
      </c>
      <c r="I555" s="1" t="s">
        <v>39</v>
      </c>
      <c r="J555" s="1" t="s">
        <v>23</v>
      </c>
      <c r="K555">
        <v>1</v>
      </c>
      <c r="L555" s="1" t="s">
        <v>40</v>
      </c>
      <c r="M555">
        <v>27</v>
      </c>
      <c r="N555" s="1" t="s">
        <v>23</v>
      </c>
      <c r="O555" s="1" t="s">
        <v>26</v>
      </c>
      <c r="P555">
        <v>1</v>
      </c>
      <c r="Q555" s="1" t="s">
        <v>41</v>
      </c>
      <c r="R555">
        <v>1</v>
      </c>
      <c r="S555" s="1" t="s">
        <v>23</v>
      </c>
      <c r="T555" s="1" t="s">
        <v>28</v>
      </c>
      <c r="U555" s="1" t="s">
        <v>29</v>
      </c>
    </row>
    <row r="556" spans="1:21" x14ac:dyDescent="0.3">
      <c r="A556" s="1" t="s">
        <v>30</v>
      </c>
      <c r="B556">
        <v>9</v>
      </c>
      <c r="C556" s="1" t="s">
        <v>31</v>
      </c>
      <c r="D556" s="1" t="s">
        <v>51</v>
      </c>
      <c r="E556">
        <v>1199</v>
      </c>
      <c r="F556" s="1" t="s">
        <v>32</v>
      </c>
      <c r="G556" s="1" t="s">
        <v>49</v>
      </c>
      <c r="H556">
        <v>4</v>
      </c>
      <c r="I556" s="1" t="s">
        <v>22</v>
      </c>
      <c r="J556" s="1" t="s">
        <v>23</v>
      </c>
      <c r="K556">
        <v>4</v>
      </c>
      <c r="L556" s="1" t="s">
        <v>48</v>
      </c>
      <c r="M556">
        <v>67</v>
      </c>
      <c r="N556" s="1" t="s">
        <v>23</v>
      </c>
      <c r="O556" s="1" t="s">
        <v>26</v>
      </c>
      <c r="P556">
        <v>2</v>
      </c>
      <c r="Q556" s="1" t="s">
        <v>63</v>
      </c>
      <c r="R556">
        <v>1</v>
      </c>
      <c r="S556" s="1" t="s">
        <v>28</v>
      </c>
      <c r="T556" s="1" t="s">
        <v>28</v>
      </c>
      <c r="U556" s="1" t="s">
        <v>29</v>
      </c>
    </row>
    <row r="557" spans="1:21" x14ac:dyDescent="0.3">
      <c r="A557" s="1" t="s">
        <v>30</v>
      </c>
      <c r="B557">
        <v>12</v>
      </c>
      <c r="C557" s="1" t="s">
        <v>31</v>
      </c>
      <c r="D557" s="1" t="s">
        <v>36</v>
      </c>
      <c r="E557">
        <v>1331</v>
      </c>
      <c r="F557" s="1" t="s">
        <v>32</v>
      </c>
      <c r="G557" s="1" t="s">
        <v>45</v>
      </c>
      <c r="H557">
        <v>2</v>
      </c>
      <c r="I557" s="1" t="s">
        <v>39</v>
      </c>
      <c r="J557" s="1" t="s">
        <v>23</v>
      </c>
      <c r="K557">
        <v>1</v>
      </c>
      <c r="L557" s="1" t="s">
        <v>40</v>
      </c>
      <c r="M557">
        <v>22</v>
      </c>
      <c r="N557" s="1" t="s">
        <v>67</v>
      </c>
      <c r="O557" s="1" t="s">
        <v>26</v>
      </c>
      <c r="P557">
        <v>1</v>
      </c>
      <c r="Q557" s="1" t="s">
        <v>41</v>
      </c>
      <c r="R557">
        <v>1</v>
      </c>
      <c r="S557" s="1" t="s">
        <v>23</v>
      </c>
      <c r="T557" s="1" t="s">
        <v>28</v>
      </c>
      <c r="U557" s="1" t="s">
        <v>56</v>
      </c>
    </row>
    <row r="558" spans="1:21" x14ac:dyDescent="0.3">
      <c r="A558" s="1" t="s">
        <v>30</v>
      </c>
      <c r="B558">
        <v>18</v>
      </c>
      <c r="C558" s="1" t="s">
        <v>52</v>
      </c>
      <c r="D558" s="1" t="s">
        <v>19</v>
      </c>
      <c r="E558">
        <v>2278</v>
      </c>
      <c r="F558" s="1" t="s">
        <v>46</v>
      </c>
      <c r="G558" s="1" t="s">
        <v>45</v>
      </c>
      <c r="H558">
        <v>3</v>
      </c>
      <c r="I558" s="1" t="s">
        <v>22</v>
      </c>
      <c r="J558" s="1" t="s">
        <v>23</v>
      </c>
      <c r="K558">
        <v>3</v>
      </c>
      <c r="L558" s="1" t="s">
        <v>40</v>
      </c>
      <c r="M558">
        <v>28</v>
      </c>
      <c r="N558" s="1" t="s">
        <v>23</v>
      </c>
      <c r="O558" s="1" t="s">
        <v>26</v>
      </c>
      <c r="P558">
        <v>2</v>
      </c>
      <c r="Q558" s="1" t="s">
        <v>41</v>
      </c>
      <c r="R558">
        <v>1</v>
      </c>
      <c r="S558" s="1" t="s">
        <v>23</v>
      </c>
      <c r="T558" s="1" t="s">
        <v>28</v>
      </c>
      <c r="U558" s="1" t="s">
        <v>56</v>
      </c>
    </row>
    <row r="559" spans="1:21" x14ac:dyDescent="0.3">
      <c r="A559" s="1" t="s">
        <v>17</v>
      </c>
      <c r="B559">
        <v>21</v>
      </c>
      <c r="C559" s="1" t="s">
        <v>52</v>
      </c>
      <c r="D559" s="1" t="s">
        <v>19</v>
      </c>
      <c r="E559">
        <v>5003</v>
      </c>
      <c r="F559" s="1" t="s">
        <v>47</v>
      </c>
      <c r="G559" s="1" t="s">
        <v>21</v>
      </c>
      <c r="H559">
        <v>1</v>
      </c>
      <c r="I559" s="1" t="s">
        <v>22</v>
      </c>
      <c r="J559" s="1" t="s">
        <v>23</v>
      </c>
      <c r="K559">
        <v>4</v>
      </c>
      <c r="L559" s="1" t="s">
        <v>48</v>
      </c>
      <c r="M559">
        <v>29</v>
      </c>
      <c r="N559" s="1" t="s">
        <v>25</v>
      </c>
      <c r="O559" s="1" t="s">
        <v>26</v>
      </c>
      <c r="P559">
        <v>2</v>
      </c>
      <c r="Q559" s="1" t="s">
        <v>41</v>
      </c>
      <c r="R559">
        <v>1</v>
      </c>
      <c r="S559" s="1" t="s">
        <v>28</v>
      </c>
      <c r="T559" s="1" t="s">
        <v>28</v>
      </c>
      <c r="U559" s="1" t="s">
        <v>56</v>
      </c>
    </row>
    <row r="560" spans="1:21" x14ac:dyDescent="0.3">
      <c r="A560" s="1" t="s">
        <v>35</v>
      </c>
      <c r="B560">
        <v>24</v>
      </c>
      <c r="C560" s="1" t="s">
        <v>42</v>
      </c>
      <c r="D560" s="1" t="s">
        <v>53</v>
      </c>
      <c r="E560">
        <v>3552</v>
      </c>
      <c r="F560" s="1" t="s">
        <v>32</v>
      </c>
      <c r="G560" s="1" t="s">
        <v>49</v>
      </c>
      <c r="H560">
        <v>3</v>
      </c>
      <c r="I560" s="1" t="s">
        <v>39</v>
      </c>
      <c r="J560" s="1" t="s">
        <v>23</v>
      </c>
      <c r="K560">
        <v>4</v>
      </c>
      <c r="L560" s="1" t="s">
        <v>40</v>
      </c>
      <c r="M560">
        <v>27</v>
      </c>
      <c r="N560" s="1" t="s">
        <v>25</v>
      </c>
      <c r="O560" s="1" t="s">
        <v>26</v>
      </c>
      <c r="P560">
        <v>1</v>
      </c>
      <c r="Q560" s="1" t="s">
        <v>41</v>
      </c>
      <c r="R560">
        <v>1</v>
      </c>
      <c r="S560" s="1" t="s">
        <v>23</v>
      </c>
      <c r="T560" s="1" t="s">
        <v>28</v>
      </c>
      <c r="U560" s="1" t="s">
        <v>56</v>
      </c>
    </row>
    <row r="561" spans="1:21" x14ac:dyDescent="0.3">
      <c r="A561" s="1" t="s">
        <v>30</v>
      </c>
      <c r="B561">
        <v>18</v>
      </c>
      <c r="C561" s="1" t="s">
        <v>18</v>
      </c>
      <c r="D561" s="1" t="s">
        <v>53</v>
      </c>
      <c r="E561">
        <v>1928</v>
      </c>
      <c r="F561" s="1" t="s">
        <v>32</v>
      </c>
      <c r="G561" s="1" t="s">
        <v>45</v>
      </c>
      <c r="H561">
        <v>2</v>
      </c>
      <c r="I561" s="1" t="s">
        <v>39</v>
      </c>
      <c r="J561" s="1" t="s">
        <v>23</v>
      </c>
      <c r="K561">
        <v>2</v>
      </c>
      <c r="L561" s="1" t="s">
        <v>24</v>
      </c>
      <c r="M561">
        <v>31</v>
      </c>
      <c r="N561" s="1" t="s">
        <v>23</v>
      </c>
      <c r="O561" s="1" t="s">
        <v>26</v>
      </c>
      <c r="P561">
        <v>2</v>
      </c>
      <c r="Q561" s="1" t="s">
        <v>27</v>
      </c>
      <c r="R561">
        <v>1</v>
      </c>
      <c r="S561" s="1" t="s">
        <v>23</v>
      </c>
      <c r="T561" s="1" t="s">
        <v>28</v>
      </c>
      <c r="U561" s="1" t="s">
        <v>56</v>
      </c>
    </row>
    <row r="562" spans="1:21" x14ac:dyDescent="0.3">
      <c r="A562" s="1" t="s">
        <v>35</v>
      </c>
      <c r="B562">
        <v>24</v>
      </c>
      <c r="C562" s="1" t="s">
        <v>31</v>
      </c>
      <c r="D562" s="1" t="s">
        <v>69</v>
      </c>
      <c r="E562">
        <v>2964</v>
      </c>
      <c r="F562" s="1" t="s">
        <v>47</v>
      </c>
      <c r="G562" s="1" t="s">
        <v>38</v>
      </c>
      <c r="H562">
        <v>4</v>
      </c>
      <c r="I562" s="1" t="s">
        <v>39</v>
      </c>
      <c r="J562" s="1" t="s">
        <v>23</v>
      </c>
      <c r="K562">
        <v>4</v>
      </c>
      <c r="L562" s="1" t="s">
        <v>65</v>
      </c>
      <c r="M562">
        <v>49</v>
      </c>
      <c r="N562" s="1" t="s">
        <v>25</v>
      </c>
      <c r="O562" s="1" t="s">
        <v>66</v>
      </c>
      <c r="P562">
        <v>1</v>
      </c>
      <c r="Q562" s="1" t="s">
        <v>41</v>
      </c>
      <c r="R562">
        <v>2</v>
      </c>
      <c r="S562" s="1" t="s">
        <v>28</v>
      </c>
      <c r="T562" s="1" t="s">
        <v>28</v>
      </c>
      <c r="U562" s="1" t="s">
        <v>29</v>
      </c>
    </row>
    <row r="563" spans="1:21" x14ac:dyDescent="0.3">
      <c r="A563" s="1" t="s">
        <v>35</v>
      </c>
      <c r="B563">
        <v>24</v>
      </c>
      <c r="C563" s="1" t="s">
        <v>42</v>
      </c>
      <c r="D563" s="1" t="s">
        <v>36</v>
      </c>
      <c r="E563">
        <v>1546</v>
      </c>
      <c r="F563" s="1" t="s">
        <v>32</v>
      </c>
      <c r="G563" s="1" t="s">
        <v>49</v>
      </c>
      <c r="H563">
        <v>4</v>
      </c>
      <c r="I563" s="1" t="s">
        <v>39</v>
      </c>
      <c r="J563" s="1" t="s">
        <v>58</v>
      </c>
      <c r="K563">
        <v>4</v>
      </c>
      <c r="L563" s="1" t="s">
        <v>40</v>
      </c>
      <c r="M563">
        <v>24</v>
      </c>
      <c r="N563" s="1" t="s">
        <v>25</v>
      </c>
      <c r="O563" s="1" t="s">
        <v>34</v>
      </c>
      <c r="P563">
        <v>1</v>
      </c>
      <c r="Q563" s="1" t="s">
        <v>27</v>
      </c>
      <c r="R563">
        <v>1</v>
      </c>
      <c r="S563" s="1" t="s">
        <v>23</v>
      </c>
      <c r="T563" s="1" t="s">
        <v>28</v>
      </c>
      <c r="U563" s="1" t="s">
        <v>56</v>
      </c>
    </row>
    <row r="564" spans="1:21" x14ac:dyDescent="0.3">
      <c r="A564" s="1" t="s">
        <v>50</v>
      </c>
      <c r="B564">
        <v>6</v>
      </c>
      <c r="C564" s="1" t="s">
        <v>59</v>
      </c>
      <c r="D564" s="1" t="s">
        <v>36</v>
      </c>
      <c r="E564">
        <v>683</v>
      </c>
      <c r="F564" s="1" t="s">
        <v>32</v>
      </c>
      <c r="G564" s="1" t="s">
        <v>45</v>
      </c>
      <c r="H564">
        <v>2</v>
      </c>
      <c r="I564" s="1" t="s">
        <v>22</v>
      </c>
      <c r="J564" s="1" t="s">
        <v>23</v>
      </c>
      <c r="K564">
        <v>1</v>
      </c>
      <c r="L564" s="1" t="s">
        <v>48</v>
      </c>
      <c r="M564">
        <v>29</v>
      </c>
      <c r="N564" s="1" t="s">
        <v>25</v>
      </c>
      <c r="O564" s="1" t="s">
        <v>26</v>
      </c>
      <c r="P564">
        <v>1</v>
      </c>
      <c r="Q564" s="1" t="s">
        <v>41</v>
      </c>
      <c r="R564">
        <v>1</v>
      </c>
      <c r="S564" s="1" t="s">
        <v>23</v>
      </c>
      <c r="T564" s="1" t="s">
        <v>28</v>
      </c>
      <c r="U564" s="1" t="s">
        <v>29</v>
      </c>
    </row>
    <row r="565" spans="1:21" x14ac:dyDescent="0.3">
      <c r="A565" s="1" t="s">
        <v>30</v>
      </c>
      <c r="B565">
        <v>36</v>
      </c>
      <c r="C565" s="1" t="s">
        <v>31</v>
      </c>
      <c r="D565" s="1" t="s">
        <v>19</v>
      </c>
      <c r="E565">
        <v>12389</v>
      </c>
      <c r="F565" s="1" t="s">
        <v>47</v>
      </c>
      <c r="G565" s="1" t="s">
        <v>21</v>
      </c>
      <c r="H565">
        <v>1</v>
      </c>
      <c r="I565" s="1" t="s">
        <v>39</v>
      </c>
      <c r="J565" s="1" t="s">
        <v>23</v>
      </c>
      <c r="K565">
        <v>4</v>
      </c>
      <c r="L565" s="1" t="s">
        <v>65</v>
      </c>
      <c r="M565">
        <v>37</v>
      </c>
      <c r="N565" s="1" t="s">
        <v>23</v>
      </c>
      <c r="O565" s="1" t="s">
        <v>66</v>
      </c>
      <c r="P565">
        <v>1</v>
      </c>
      <c r="Q565" s="1" t="s">
        <v>41</v>
      </c>
      <c r="R565">
        <v>1</v>
      </c>
      <c r="S565" s="1" t="s">
        <v>28</v>
      </c>
      <c r="T565" s="1" t="s">
        <v>28</v>
      </c>
      <c r="U565" s="1" t="s">
        <v>56</v>
      </c>
    </row>
    <row r="566" spans="1:21" x14ac:dyDescent="0.3">
      <c r="A566" s="1" t="s">
        <v>30</v>
      </c>
      <c r="B566">
        <v>24</v>
      </c>
      <c r="C566" s="1" t="s">
        <v>59</v>
      </c>
      <c r="D566" s="1" t="s">
        <v>61</v>
      </c>
      <c r="E566">
        <v>4712</v>
      </c>
      <c r="F566" s="1" t="s">
        <v>47</v>
      </c>
      <c r="G566" s="1" t="s">
        <v>21</v>
      </c>
      <c r="H566">
        <v>4</v>
      </c>
      <c r="I566" s="1" t="s">
        <v>39</v>
      </c>
      <c r="J566" s="1" t="s">
        <v>23</v>
      </c>
      <c r="K566">
        <v>2</v>
      </c>
      <c r="L566" s="1" t="s">
        <v>48</v>
      </c>
      <c r="M566">
        <v>37</v>
      </c>
      <c r="N566" s="1" t="s">
        <v>25</v>
      </c>
      <c r="O566" s="1" t="s">
        <v>26</v>
      </c>
      <c r="P566">
        <v>2</v>
      </c>
      <c r="Q566" s="1" t="s">
        <v>63</v>
      </c>
      <c r="R566">
        <v>1</v>
      </c>
      <c r="S566" s="1" t="s">
        <v>28</v>
      </c>
      <c r="T566" s="1" t="s">
        <v>28</v>
      </c>
      <c r="U566" s="1" t="s">
        <v>29</v>
      </c>
    </row>
    <row r="567" spans="1:21" x14ac:dyDescent="0.3">
      <c r="A567" s="1" t="s">
        <v>30</v>
      </c>
      <c r="B567">
        <v>24</v>
      </c>
      <c r="C567" s="1" t="s">
        <v>59</v>
      </c>
      <c r="D567" s="1" t="s">
        <v>36</v>
      </c>
      <c r="E567">
        <v>1553</v>
      </c>
      <c r="F567" s="1" t="s">
        <v>46</v>
      </c>
      <c r="G567" s="1" t="s">
        <v>49</v>
      </c>
      <c r="H567">
        <v>3</v>
      </c>
      <c r="I567" s="1" t="s">
        <v>22</v>
      </c>
      <c r="J567" s="1" t="s">
        <v>23</v>
      </c>
      <c r="K567">
        <v>2</v>
      </c>
      <c r="L567" s="1" t="s">
        <v>48</v>
      </c>
      <c r="M567">
        <v>23</v>
      </c>
      <c r="N567" s="1" t="s">
        <v>23</v>
      </c>
      <c r="O567" s="1" t="s">
        <v>34</v>
      </c>
      <c r="P567">
        <v>2</v>
      </c>
      <c r="Q567" s="1" t="s">
        <v>41</v>
      </c>
      <c r="R567">
        <v>1</v>
      </c>
      <c r="S567" s="1" t="s">
        <v>28</v>
      </c>
      <c r="T567" s="1" t="s">
        <v>28</v>
      </c>
      <c r="U567" s="1" t="s">
        <v>29</v>
      </c>
    </row>
    <row r="568" spans="1:21" x14ac:dyDescent="0.3">
      <c r="A568" s="1" t="s">
        <v>35</v>
      </c>
      <c r="B568">
        <v>12</v>
      </c>
      <c r="C568" s="1" t="s">
        <v>31</v>
      </c>
      <c r="D568" s="1" t="s">
        <v>19</v>
      </c>
      <c r="E568">
        <v>1372</v>
      </c>
      <c r="F568" s="1" t="s">
        <v>32</v>
      </c>
      <c r="G568" s="1" t="s">
        <v>49</v>
      </c>
      <c r="H568">
        <v>2</v>
      </c>
      <c r="I568" s="1" t="s">
        <v>64</v>
      </c>
      <c r="J568" s="1" t="s">
        <v>23</v>
      </c>
      <c r="K568">
        <v>3</v>
      </c>
      <c r="L568" s="1" t="s">
        <v>40</v>
      </c>
      <c r="M568">
        <v>36</v>
      </c>
      <c r="N568" s="1" t="s">
        <v>23</v>
      </c>
      <c r="O568" s="1" t="s">
        <v>26</v>
      </c>
      <c r="P568">
        <v>1</v>
      </c>
      <c r="Q568" s="1" t="s">
        <v>41</v>
      </c>
      <c r="R568">
        <v>1</v>
      </c>
      <c r="S568" s="1" t="s">
        <v>23</v>
      </c>
      <c r="T568" s="1" t="s">
        <v>28</v>
      </c>
      <c r="U568" s="1" t="s">
        <v>56</v>
      </c>
    </row>
    <row r="569" spans="1:21" x14ac:dyDescent="0.3">
      <c r="A569" s="1" t="s">
        <v>17</v>
      </c>
      <c r="B569">
        <v>24</v>
      </c>
      <c r="C569" s="1" t="s">
        <v>18</v>
      </c>
      <c r="D569" s="1" t="s">
        <v>36</v>
      </c>
      <c r="E569">
        <v>2578</v>
      </c>
      <c r="F569" s="1" t="s">
        <v>20</v>
      </c>
      <c r="G569" s="1" t="s">
        <v>38</v>
      </c>
      <c r="H569">
        <v>2</v>
      </c>
      <c r="I569" s="1" t="s">
        <v>39</v>
      </c>
      <c r="J569" s="1" t="s">
        <v>23</v>
      </c>
      <c r="K569">
        <v>2</v>
      </c>
      <c r="L569" s="1" t="s">
        <v>40</v>
      </c>
      <c r="M569">
        <v>34</v>
      </c>
      <c r="N569" s="1" t="s">
        <v>23</v>
      </c>
      <c r="O569" s="1" t="s">
        <v>26</v>
      </c>
      <c r="P569">
        <v>1</v>
      </c>
      <c r="Q569" s="1" t="s">
        <v>41</v>
      </c>
      <c r="R569">
        <v>1</v>
      </c>
      <c r="S569" s="1" t="s">
        <v>23</v>
      </c>
      <c r="T569" s="1" t="s">
        <v>28</v>
      </c>
      <c r="U569" s="1" t="s">
        <v>29</v>
      </c>
    </row>
    <row r="570" spans="1:21" x14ac:dyDescent="0.3">
      <c r="A570" s="1" t="s">
        <v>30</v>
      </c>
      <c r="B570">
        <v>48</v>
      </c>
      <c r="C570" s="1" t="s">
        <v>31</v>
      </c>
      <c r="D570" s="1" t="s">
        <v>36</v>
      </c>
      <c r="E570">
        <v>3979</v>
      </c>
      <c r="F570" s="1" t="s">
        <v>47</v>
      </c>
      <c r="G570" s="1" t="s">
        <v>49</v>
      </c>
      <c r="H570">
        <v>4</v>
      </c>
      <c r="I570" s="1" t="s">
        <v>39</v>
      </c>
      <c r="J570" s="1" t="s">
        <v>23</v>
      </c>
      <c r="K570">
        <v>1</v>
      </c>
      <c r="L570" s="1" t="s">
        <v>40</v>
      </c>
      <c r="M570">
        <v>41</v>
      </c>
      <c r="N570" s="1" t="s">
        <v>23</v>
      </c>
      <c r="O570" s="1" t="s">
        <v>26</v>
      </c>
      <c r="P570">
        <v>2</v>
      </c>
      <c r="Q570" s="1" t="s">
        <v>41</v>
      </c>
      <c r="R570">
        <v>2</v>
      </c>
      <c r="S570" s="1" t="s">
        <v>28</v>
      </c>
      <c r="T570" s="1" t="s">
        <v>28</v>
      </c>
      <c r="U570" s="1" t="s">
        <v>29</v>
      </c>
    </row>
    <row r="571" spans="1:21" x14ac:dyDescent="0.3">
      <c r="A571" s="1" t="s">
        <v>35</v>
      </c>
      <c r="B571">
        <v>48</v>
      </c>
      <c r="C571" s="1" t="s">
        <v>31</v>
      </c>
      <c r="D571" s="1" t="s">
        <v>36</v>
      </c>
      <c r="E571">
        <v>6758</v>
      </c>
      <c r="F571" s="1" t="s">
        <v>32</v>
      </c>
      <c r="G571" s="1" t="s">
        <v>21</v>
      </c>
      <c r="H571">
        <v>3</v>
      </c>
      <c r="I571" s="1" t="s">
        <v>22</v>
      </c>
      <c r="J571" s="1" t="s">
        <v>23</v>
      </c>
      <c r="K571">
        <v>2</v>
      </c>
      <c r="L571" s="1" t="s">
        <v>40</v>
      </c>
      <c r="M571">
        <v>31</v>
      </c>
      <c r="N571" s="1" t="s">
        <v>23</v>
      </c>
      <c r="O571" s="1" t="s">
        <v>26</v>
      </c>
      <c r="P571">
        <v>1</v>
      </c>
      <c r="Q571" s="1" t="s">
        <v>41</v>
      </c>
      <c r="R571">
        <v>1</v>
      </c>
      <c r="S571" s="1" t="s">
        <v>28</v>
      </c>
      <c r="T571" s="1" t="s">
        <v>28</v>
      </c>
      <c r="U571" s="1" t="s">
        <v>56</v>
      </c>
    </row>
    <row r="572" spans="1:21" x14ac:dyDescent="0.3">
      <c r="A572" s="1" t="s">
        <v>35</v>
      </c>
      <c r="B572">
        <v>24</v>
      </c>
      <c r="C572" s="1" t="s">
        <v>31</v>
      </c>
      <c r="D572" s="1" t="s">
        <v>53</v>
      </c>
      <c r="E572">
        <v>3234</v>
      </c>
      <c r="F572" s="1" t="s">
        <v>32</v>
      </c>
      <c r="G572" s="1" t="s">
        <v>45</v>
      </c>
      <c r="H572">
        <v>4</v>
      </c>
      <c r="I572" s="1" t="s">
        <v>22</v>
      </c>
      <c r="J572" s="1" t="s">
        <v>23</v>
      </c>
      <c r="K572">
        <v>4</v>
      </c>
      <c r="L572" s="1" t="s">
        <v>24</v>
      </c>
      <c r="M572">
        <v>23</v>
      </c>
      <c r="N572" s="1" t="s">
        <v>23</v>
      </c>
      <c r="O572" s="1" t="s">
        <v>34</v>
      </c>
      <c r="P572">
        <v>1</v>
      </c>
      <c r="Q572" s="1" t="s">
        <v>27</v>
      </c>
      <c r="R572">
        <v>1</v>
      </c>
      <c r="S572" s="1" t="s">
        <v>28</v>
      </c>
      <c r="T572" s="1" t="s">
        <v>28</v>
      </c>
      <c r="U572" s="1" t="s">
        <v>56</v>
      </c>
    </row>
    <row r="573" spans="1:21" x14ac:dyDescent="0.3">
      <c r="A573" s="1" t="s">
        <v>17</v>
      </c>
      <c r="B573">
        <v>30</v>
      </c>
      <c r="C573" s="1" t="s">
        <v>18</v>
      </c>
      <c r="D573" s="1" t="s">
        <v>36</v>
      </c>
      <c r="E573">
        <v>5954</v>
      </c>
      <c r="F573" s="1" t="s">
        <v>32</v>
      </c>
      <c r="G573" s="1" t="s">
        <v>49</v>
      </c>
      <c r="H573">
        <v>3</v>
      </c>
      <c r="I573" s="1" t="s">
        <v>39</v>
      </c>
      <c r="J573" s="1" t="s">
        <v>55</v>
      </c>
      <c r="K573">
        <v>2</v>
      </c>
      <c r="L573" s="1" t="s">
        <v>40</v>
      </c>
      <c r="M573">
        <v>38</v>
      </c>
      <c r="N573" s="1" t="s">
        <v>23</v>
      </c>
      <c r="O573" s="1" t="s">
        <v>26</v>
      </c>
      <c r="P573">
        <v>1</v>
      </c>
      <c r="Q573" s="1" t="s">
        <v>41</v>
      </c>
      <c r="R573">
        <v>1</v>
      </c>
      <c r="S573" s="1" t="s">
        <v>23</v>
      </c>
      <c r="T573" s="1" t="s">
        <v>28</v>
      </c>
      <c r="U573" s="1" t="s">
        <v>29</v>
      </c>
    </row>
    <row r="574" spans="1:21" x14ac:dyDescent="0.3">
      <c r="A574" s="1" t="s">
        <v>17</v>
      </c>
      <c r="B574">
        <v>24</v>
      </c>
      <c r="C574" s="1" t="s">
        <v>31</v>
      </c>
      <c r="D574" s="1" t="s">
        <v>69</v>
      </c>
      <c r="E574">
        <v>5433</v>
      </c>
      <c r="F574" s="1" t="s">
        <v>47</v>
      </c>
      <c r="G574" s="1" t="s">
        <v>54</v>
      </c>
      <c r="H574">
        <v>2</v>
      </c>
      <c r="I574" s="1" t="s">
        <v>22</v>
      </c>
      <c r="J574" s="1" t="s">
        <v>23</v>
      </c>
      <c r="K574">
        <v>4</v>
      </c>
      <c r="L574" s="1" t="s">
        <v>48</v>
      </c>
      <c r="M574">
        <v>26</v>
      </c>
      <c r="N574" s="1" t="s">
        <v>23</v>
      </c>
      <c r="O574" s="1" t="s">
        <v>34</v>
      </c>
      <c r="P574">
        <v>1</v>
      </c>
      <c r="Q574" s="1" t="s">
        <v>63</v>
      </c>
      <c r="R574">
        <v>1</v>
      </c>
      <c r="S574" s="1" t="s">
        <v>28</v>
      </c>
      <c r="T574" s="1" t="s">
        <v>28</v>
      </c>
      <c r="U574" s="1" t="s">
        <v>29</v>
      </c>
    </row>
    <row r="575" spans="1:21" x14ac:dyDescent="0.3">
      <c r="A575" s="1" t="s">
        <v>35</v>
      </c>
      <c r="B575">
        <v>15</v>
      </c>
      <c r="C575" s="1" t="s">
        <v>31</v>
      </c>
      <c r="D575" s="1" t="s">
        <v>61</v>
      </c>
      <c r="E575">
        <v>806</v>
      </c>
      <c r="F575" s="1" t="s">
        <v>32</v>
      </c>
      <c r="G575" s="1" t="s">
        <v>21</v>
      </c>
      <c r="H575">
        <v>4</v>
      </c>
      <c r="I575" s="1" t="s">
        <v>22</v>
      </c>
      <c r="J575" s="1" t="s">
        <v>23</v>
      </c>
      <c r="K575">
        <v>4</v>
      </c>
      <c r="L575" s="1" t="s">
        <v>48</v>
      </c>
      <c r="M575">
        <v>22</v>
      </c>
      <c r="N575" s="1" t="s">
        <v>23</v>
      </c>
      <c r="O575" s="1" t="s">
        <v>26</v>
      </c>
      <c r="P575">
        <v>1</v>
      </c>
      <c r="Q575" s="1" t="s">
        <v>27</v>
      </c>
      <c r="R575">
        <v>1</v>
      </c>
      <c r="S575" s="1" t="s">
        <v>23</v>
      </c>
      <c r="T575" s="1" t="s">
        <v>28</v>
      </c>
      <c r="U575" s="1" t="s">
        <v>29</v>
      </c>
    </row>
    <row r="576" spans="1:21" x14ac:dyDescent="0.3">
      <c r="A576" s="1" t="s">
        <v>30</v>
      </c>
      <c r="B576">
        <v>9</v>
      </c>
      <c r="C576" s="1" t="s">
        <v>31</v>
      </c>
      <c r="D576" s="1" t="s">
        <v>36</v>
      </c>
      <c r="E576">
        <v>1082</v>
      </c>
      <c r="F576" s="1" t="s">
        <v>32</v>
      </c>
      <c r="G576" s="1" t="s">
        <v>38</v>
      </c>
      <c r="H576">
        <v>4</v>
      </c>
      <c r="I576" s="1" t="s">
        <v>39</v>
      </c>
      <c r="J576" s="1" t="s">
        <v>23</v>
      </c>
      <c r="K576">
        <v>4</v>
      </c>
      <c r="L576" s="1" t="s">
        <v>40</v>
      </c>
      <c r="M576">
        <v>27</v>
      </c>
      <c r="N576" s="1" t="s">
        <v>23</v>
      </c>
      <c r="O576" s="1" t="s">
        <v>26</v>
      </c>
      <c r="P576">
        <v>2</v>
      </c>
      <c r="Q576" s="1" t="s">
        <v>27</v>
      </c>
      <c r="R576">
        <v>1</v>
      </c>
      <c r="S576" s="1" t="s">
        <v>23</v>
      </c>
      <c r="T576" s="1" t="s">
        <v>28</v>
      </c>
      <c r="U576" s="1" t="s">
        <v>29</v>
      </c>
    </row>
    <row r="577" spans="1:21" x14ac:dyDescent="0.3">
      <c r="A577" s="1" t="s">
        <v>17</v>
      </c>
      <c r="B577">
        <v>15</v>
      </c>
      <c r="C577" s="1" t="s">
        <v>18</v>
      </c>
      <c r="D577" s="1" t="s">
        <v>53</v>
      </c>
      <c r="E577">
        <v>2788</v>
      </c>
      <c r="F577" s="1" t="s">
        <v>32</v>
      </c>
      <c r="G577" s="1" t="s">
        <v>49</v>
      </c>
      <c r="H577">
        <v>2</v>
      </c>
      <c r="I577" s="1" t="s">
        <v>22</v>
      </c>
      <c r="J577" s="1" t="s">
        <v>55</v>
      </c>
      <c r="K577">
        <v>3</v>
      </c>
      <c r="L577" s="1" t="s">
        <v>40</v>
      </c>
      <c r="M577">
        <v>24</v>
      </c>
      <c r="N577" s="1" t="s">
        <v>25</v>
      </c>
      <c r="O577" s="1" t="s">
        <v>26</v>
      </c>
      <c r="P577">
        <v>2</v>
      </c>
      <c r="Q577" s="1" t="s">
        <v>41</v>
      </c>
      <c r="R577">
        <v>1</v>
      </c>
      <c r="S577" s="1" t="s">
        <v>23</v>
      </c>
      <c r="T577" s="1" t="s">
        <v>28</v>
      </c>
      <c r="U577" s="1" t="s">
        <v>29</v>
      </c>
    </row>
    <row r="578" spans="1:21" x14ac:dyDescent="0.3">
      <c r="A578" s="1" t="s">
        <v>30</v>
      </c>
      <c r="B578">
        <v>12</v>
      </c>
      <c r="C578" s="1" t="s">
        <v>31</v>
      </c>
      <c r="D578" s="1" t="s">
        <v>36</v>
      </c>
      <c r="E578">
        <v>2930</v>
      </c>
      <c r="F578" s="1" t="s">
        <v>32</v>
      </c>
      <c r="G578" s="1" t="s">
        <v>49</v>
      </c>
      <c r="H578">
        <v>2</v>
      </c>
      <c r="I578" s="1" t="s">
        <v>22</v>
      </c>
      <c r="J578" s="1" t="s">
        <v>23</v>
      </c>
      <c r="K578">
        <v>1</v>
      </c>
      <c r="L578" s="1" t="s">
        <v>24</v>
      </c>
      <c r="M578">
        <v>27</v>
      </c>
      <c r="N578" s="1" t="s">
        <v>23</v>
      </c>
      <c r="O578" s="1" t="s">
        <v>26</v>
      </c>
      <c r="P578">
        <v>1</v>
      </c>
      <c r="Q578" s="1" t="s">
        <v>41</v>
      </c>
      <c r="R578">
        <v>1</v>
      </c>
      <c r="S578" s="1" t="s">
        <v>23</v>
      </c>
      <c r="T578" s="1" t="s">
        <v>28</v>
      </c>
      <c r="U578" s="1" t="s">
        <v>29</v>
      </c>
    </row>
    <row r="579" spans="1:21" x14ac:dyDescent="0.3">
      <c r="A579" s="1" t="s">
        <v>17</v>
      </c>
      <c r="B579">
        <v>24</v>
      </c>
      <c r="C579" s="1" t="s">
        <v>18</v>
      </c>
      <c r="D579" s="1" t="s">
        <v>51</v>
      </c>
      <c r="E579">
        <v>1927</v>
      </c>
      <c r="F579" s="1" t="s">
        <v>47</v>
      </c>
      <c r="G579" s="1" t="s">
        <v>21</v>
      </c>
      <c r="H579">
        <v>3</v>
      </c>
      <c r="I579" s="1" t="s">
        <v>22</v>
      </c>
      <c r="J579" s="1" t="s">
        <v>23</v>
      </c>
      <c r="K579">
        <v>2</v>
      </c>
      <c r="L579" s="1" t="s">
        <v>40</v>
      </c>
      <c r="M579">
        <v>33</v>
      </c>
      <c r="N579" s="1" t="s">
        <v>23</v>
      </c>
      <c r="O579" s="1" t="s">
        <v>26</v>
      </c>
      <c r="P579">
        <v>2</v>
      </c>
      <c r="Q579" s="1" t="s">
        <v>41</v>
      </c>
      <c r="R579">
        <v>1</v>
      </c>
      <c r="S579" s="1" t="s">
        <v>28</v>
      </c>
      <c r="T579" s="1" t="s">
        <v>28</v>
      </c>
      <c r="U579" s="1" t="s">
        <v>29</v>
      </c>
    </row>
    <row r="580" spans="1:21" x14ac:dyDescent="0.3">
      <c r="A580" s="1" t="s">
        <v>30</v>
      </c>
      <c r="B580">
        <v>36</v>
      </c>
      <c r="C580" s="1" t="s">
        <v>18</v>
      </c>
      <c r="D580" s="1" t="s">
        <v>19</v>
      </c>
      <c r="E580">
        <v>2820</v>
      </c>
      <c r="F580" s="1" t="s">
        <v>32</v>
      </c>
      <c r="G580" s="1" t="s">
        <v>45</v>
      </c>
      <c r="H580">
        <v>4</v>
      </c>
      <c r="I580" s="1" t="s">
        <v>64</v>
      </c>
      <c r="J580" s="1" t="s">
        <v>23</v>
      </c>
      <c r="K580">
        <v>4</v>
      </c>
      <c r="L580" s="1" t="s">
        <v>40</v>
      </c>
      <c r="M580">
        <v>27</v>
      </c>
      <c r="N580" s="1" t="s">
        <v>23</v>
      </c>
      <c r="O580" s="1" t="s">
        <v>26</v>
      </c>
      <c r="P580">
        <v>2</v>
      </c>
      <c r="Q580" s="1" t="s">
        <v>41</v>
      </c>
      <c r="R580">
        <v>1</v>
      </c>
      <c r="S580" s="1" t="s">
        <v>23</v>
      </c>
      <c r="T580" s="1" t="s">
        <v>28</v>
      </c>
      <c r="U580" s="1" t="s">
        <v>56</v>
      </c>
    </row>
    <row r="581" spans="1:21" x14ac:dyDescent="0.3">
      <c r="A581" s="1" t="s">
        <v>17</v>
      </c>
      <c r="B581">
        <v>24</v>
      </c>
      <c r="C581" s="1" t="s">
        <v>31</v>
      </c>
      <c r="D581" s="1" t="s">
        <v>43</v>
      </c>
      <c r="E581">
        <v>937</v>
      </c>
      <c r="F581" s="1" t="s">
        <v>32</v>
      </c>
      <c r="G581" s="1" t="s">
        <v>45</v>
      </c>
      <c r="H581">
        <v>4</v>
      </c>
      <c r="I581" s="1" t="s">
        <v>33</v>
      </c>
      <c r="J581" s="1" t="s">
        <v>23</v>
      </c>
      <c r="K581">
        <v>3</v>
      </c>
      <c r="L581" s="1" t="s">
        <v>40</v>
      </c>
      <c r="M581">
        <v>27</v>
      </c>
      <c r="N581" s="1" t="s">
        <v>23</v>
      </c>
      <c r="O581" s="1" t="s">
        <v>26</v>
      </c>
      <c r="P581">
        <v>2</v>
      </c>
      <c r="Q581" s="1" t="s">
        <v>27</v>
      </c>
      <c r="R581">
        <v>1</v>
      </c>
      <c r="S581" s="1" t="s">
        <v>23</v>
      </c>
      <c r="T581" s="1" t="s">
        <v>28</v>
      </c>
      <c r="U581" s="1" t="s">
        <v>29</v>
      </c>
    </row>
    <row r="582" spans="1:21" x14ac:dyDescent="0.3">
      <c r="A582" s="1" t="s">
        <v>30</v>
      </c>
      <c r="B582">
        <v>18</v>
      </c>
      <c r="C582" s="1" t="s">
        <v>18</v>
      </c>
      <c r="D582" s="1" t="s">
        <v>19</v>
      </c>
      <c r="E582">
        <v>1056</v>
      </c>
      <c r="F582" s="1" t="s">
        <v>32</v>
      </c>
      <c r="G582" s="1" t="s">
        <v>38</v>
      </c>
      <c r="H582">
        <v>3</v>
      </c>
      <c r="I582" s="1" t="s">
        <v>39</v>
      </c>
      <c r="J582" s="1" t="s">
        <v>58</v>
      </c>
      <c r="K582">
        <v>3</v>
      </c>
      <c r="L582" s="1" t="s">
        <v>24</v>
      </c>
      <c r="M582">
        <v>30</v>
      </c>
      <c r="N582" s="1" t="s">
        <v>25</v>
      </c>
      <c r="O582" s="1" t="s">
        <v>26</v>
      </c>
      <c r="P582">
        <v>2</v>
      </c>
      <c r="Q582" s="1" t="s">
        <v>41</v>
      </c>
      <c r="R582">
        <v>1</v>
      </c>
      <c r="S582" s="1" t="s">
        <v>23</v>
      </c>
      <c r="T582" s="1" t="s">
        <v>28</v>
      </c>
      <c r="U582" s="1" t="s">
        <v>56</v>
      </c>
    </row>
    <row r="583" spans="1:21" x14ac:dyDescent="0.3">
      <c r="A583" s="1" t="s">
        <v>30</v>
      </c>
      <c r="B583">
        <v>12</v>
      </c>
      <c r="C583" s="1" t="s">
        <v>18</v>
      </c>
      <c r="D583" s="1" t="s">
        <v>19</v>
      </c>
      <c r="E583">
        <v>3124</v>
      </c>
      <c r="F583" s="1" t="s">
        <v>32</v>
      </c>
      <c r="G583" s="1" t="s">
        <v>45</v>
      </c>
      <c r="H583">
        <v>1</v>
      </c>
      <c r="I583" s="1" t="s">
        <v>39</v>
      </c>
      <c r="J583" s="1" t="s">
        <v>23</v>
      </c>
      <c r="K583">
        <v>3</v>
      </c>
      <c r="L583" s="1" t="s">
        <v>24</v>
      </c>
      <c r="M583">
        <v>49</v>
      </c>
      <c r="N583" s="1" t="s">
        <v>25</v>
      </c>
      <c r="O583" s="1" t="s">
        <v>26</v>
      </c>
      <c r="P583">
        <v>2</v>
      </c>
      <c r="Q583" s="1" t="s">
        <v>27</v>
      </c>
      <c r="R583">
        <v>2</v>
      </c>
      <c r="S583" s="1" t="s">
        <v>23</v>
      </c>
      <c r="T583" s="1" t="s">
        <v>28</v>
      </c>
      <c r="U583" s="1" t="s">
        <v>29</v>
      </c>
    </row>
    <row r="584" spans="1:21" x14ac:dyDescent="0.3">
      <c r="A584" s="1" t="s">
        <v>17</v>
      </c>
      <c r="B584">
        <v>9</v>
      </c>
      <c r="C584" s="1" t="s">
        <v>31</v>
      </c>
      <c r="D584" s="1" t="s">
        <v>53</v>
      </c>
      <c r="E584">
        <v>1388</v>
      </c>
      <c r="F584" s="1" t="s">
        <v>32</v>
      </c>
      <c r="G584" s="1" t="s">
        <v>21</v>
      </c>
      <c r="H584">
        <v>4</v>
      </c>
      <c r="I584" s="1" t="s">
        <v>22</v>
      </c>
      <c r="J584" s="1" t="s">
        <v>23</v>
      </c>
      <c r="K584">
        <v>2</v>
      </c>
      <c r="L584" s="1" t="s">
        <v>24</v>
      </c>
      <c r="M584">
        <v>26</v>
      </c>
      <c r="N584" s="1" t="s">
        <v>23</v>
      </c>
      <c r="O584" s="1" t="s">
        <v>34</v>
      </c>
      <c r="P584">
        <v>1</v>
      </c>
      <c r="Q584" s="1" t="s">
        <v>41</v>
      </c>
      <c r="R584">
        <v>1</v>
      </c>
      <c r="S584" s="1" t="s">
        <v>23</v>
      </c>
      <c r="T584" s="1" t="s">
        <v>28</v>
      </c>
      <c r="U584" s="1" t="s">
        <v>29</v>
      </c>
    </row>
    <row r="585" spans="1:21" x14ac:dyDescent="0.3">
      <c r="A585" s="1" t="s">
        <v>30</v>
      </c>
      <c r="B585">
        <v>36</v>
      </c>
      <c r="C585" s="1" t="s">
        <v>31</v>
      </c>
      <c r="D585" s="1" t="s">
        <v>57</v>
      </c>
      <c r="E585">
        <v>2384</v>
      </c>
      <c r="F585" s="1" t="s">
        <v>32</v>
      </c>
      <c r="G585" s="1" t="s">
        <v>45</v>
      </c>
      <c r="H585">
        <v>4</v>
      </c>
      <c r="I585" s="1" t="s">
        <v>39</v>
      </c>
      <c r="J585" s="1" t="s">
        <v>23</v>
      </c>
      <c r="K585">
        <v>1</v>
      </c>
      <c r="L585" s="1" t="s">
        <v>65</v>
      </c>
      <c r="M585">
        <v>33</v>
      </c>
      <c r="N585" s="1" t="s">
        <v>23</v>
      </c>
      <c r="O585" s="1" t="s">
        <v>34</v>
      </c>
      <c r="P585">
        <v>1</v>
      </c>
      <c r="Q585" s="1" t="s">
        <v>27</v>
      </c>
      <c r="R585">
        <v>1</v>
      </c>
      <c r="S585" s="1" t="s">
        <v>23</v>
      </c>
      <c r="T585" s="1" t="s">
        <v>28</v>
      </c>
      <c r="U585" s="1" t="s">
        <v>56</v>
      </c>
    </row>
    <row r="586" spans="1:21" x14ac:dyDescent="0.3">
      <c r="A586" s="1" t="s">
        <v>17</v>
      </c>
      <c r="B586">
        <v>12</v>
      </c>
      <c r="C586" s="1" t="s">
        <v>31</v>
      </c>
      <c r="D586" s="1" t="s">
        <v>19</v>
      </c>
      <c r="E586">
        <v>2133</v>
      </c>
      <c r="F586" s="1" t="s">
        <v>47</v>
      </c>
      <c r="G586" s="1" t="s">
        <v>38</v>
      </c>
      <c r="H586">
        <v>4</v>
      </c>
      <c r="I586" s="1" t="s">
        <v>22</v>
      </c>
      <c r="J586" s="1" t="s">
        <v>23</v>
      </c>
      <c r="K586">
        <v>4</v>
      </c>
      <c r="L586" s="1" t="s">
        <v>65</v>
      </c>
      <c r="M586">
        <v>52</v>
      </c>
      <c r="N586" s="1" t="s">
        <v>23</v>
      </c>
      <c r="O586" s="1" t="s">
        <v>66</v>
      </c>
      <c r="P586">
        <v>1</v>
      </c>
      <c r="Q586" s="1" t="s">
        <v>63</v>
      </c>
      <c r="R586">
        <v>1</v>
      </c>
      <c r="S586" s="1" t="s">
        <v>28</v>
      </c>
      <c r="T586" s="1" t="s">
        <v>28</v>
      </c>
      <c r="U586" s="1" t="s">
        <v>29</v>
      </c>
    </row>
    <row r="587" spans="1:21" x14ac:dyDescent="0.3">
      <c r="A587" s="1" t="s">
        <v>35</v>
      </c>
      <c r="B587">
        <v>18</v>
      </c>
      <c r="C587" s="1" t="s">
        <v>31</v>
      </c>
      <c r="D587" s="1" t="s">
        <v>53</v>
      </c>
      <c r="E587">
        <v>2039</v>
      </c>
      <c r="F587" s="1" t="s">
        <v>32</v>
      </c>
      <c r="G587" s="1" t="s">
        <v>21</v>
      </c>
      <c r="H587">
        <v>1</v>
      </c>
      <c r="I587" s="1" t="s">
        <v>22</v>
      </c>
      <c r="J587" s="1" t="s">
        <v>23</v>
      </c>
      <c r="K587">
        <v>4</v>
      </c>
      <c r="L587" s="1" t="s">
        <v>24</v>
      </c>
      <c r="M587">
        <v>20</v>
      </c>
      <c r="N587" s="1" t="s">
        <v>25</v>
      </c>
      <c r="O587" s="1" t="s">
        <v>34</v>
      </c>
      <c r="P587">
        <v>1</v>
      </c>
      <c r="Q587" s="1" t="s">
        <v>41</v>
      </c>
      <c r="R587">
        <v>1</v>
      </c>
      <c r="S587" s="1" t="s">
        <v>23</v>
      </c>
      <c r="T587" s="1" t="s">
        <v>28</v>
      </c>
      <c r="U587" s="1" t="s">
        <v>56</v>
      </c>
    </row>
    <row r="588" spans="1:21" x14ac:dyDescent="0.3">
      <c r="A588" s="1" t="s">
        <v>35</v>
      </c>
      <c r="B588">
        <v>9</v>
      </c>
      <c r="C588" s="1" t="s">
        <v>18</v>
      </c>
      <c r="D588" s="1" t="s">
        <v>19</v>
      </c>
      <c r="E588">
        <v>2799</v>
      </c>
      <c r="F588" s="1" t="s">
        <v>32</v>
      </c>
      <c r="G588" s="1" t="s">
        <v>21</v>
      </c>
      <c r="H588">
        <v>2</v>
      </c>
      <c r="I588" s="1" t="s">
        <v>39</v>
      </c>
      <c r="J588" s="1" t="s">
        <v>23</v>
      </c>
      <c r="K588">
        <v>2</v>
      </c>
      <c r="L588" s="1" t="s">
        <v>24</v>
      </c>
      <c r="M588">
        <v>36</v>
      </c>
      <c r="N588" s="1" t="s">
        <v>23</v>
      </c>
      <c r="O588" s="1" t="s">
        <v>34</v>
      </c>
      <c r="P588">
        <v>2</v>
      </c>
      <c r="Q588" s="1" t="s">
        <v>41</v>
      </c>
      <c r="R588">
        <v>2</v>
      </c>
      <c r="S588" s="1" t="s">
        <v>23</v>
      </c>
      <c r="T588" s="1" t="s">
        <v>28</v>
      </c>
      <c r="U588" s="1" t="s">
        <v>29</v>
      </c>
    </row>
    <row r="589" spans="1:21" x14ac:dyDescent="0.3">
      <c r="A589" s="1" t="s">
        <v>35</v>
      </c>
      <c r="B589">
        <v>12</v>
      </c>
      <c r="C589" s="1" t="s">
        <v>31</v>
      </c>
      <c r="D589" s="1" t="s">
        <v>53</v>
      </c>
      <c r="E589">
        <v>1289</v>
      </c>
      <c r="F589" s="1" t="s">
        <v>32</v>
      </c>
      <c r="G589" s="1" t="s">
        <v>21</v>
      </c>
      <c r="H589">
        <v>4</v>
      </c>
      <c r="I589" s="1" t="s">
        <v>39</v>
      </c>
      <c r="J589" s="1" t="s">
        <v>58</v>
      </c>
      <c r="K589">
        <v>1</v>
      </c>
      <c r="L589" s="1" t="s">
        <v>48</v>
      </c>
      <c r="M589">
        <v>21</v>
      </c>
      <c r="N589" s="1" t="s">
        <v>23</v>
      </c>
      <c r="O589" s="1" t="s">
        <v>26</v>
      </c>
      <c r="P589">
        <v>1</v>
      </c>
      <c r="Q589" s="1" t="s">
        <v>27</v>
      </c>
      <c r="R589">
        <v>1</v>
      </c>
      <c r="S589" s="1" t="s">
        <v>23</v>
      </c>
      <c r="T589" s="1" t="s">
        <v>28</v>
      </c>
      <c r="U589" s="1" t="s">
        <v>29</v>
      </c>
    </row>
    <row r="590" spans="1:21" x14ac:dyDescent="0.3">
      <c r="A590" s="1" t="s">
        <v>35</v>
      </c>
      <c r="B590">
        <v>18</v>
      </c>
      <c r="C590" s="1" t="s">
        <v>31</v>
      </c>
      <c r="D590" s="1" t="s">
        <v>44</v>
      </c>
      <c r="E590">
        <v>1217</v>
      </c>
      <c r="F590" s="1" t="s">
        <v>32</v>
      </c>
      <c r="G590" s="1" t="s">
        <v>21</v>
      </c>
      <c r="H590">
        <v>4</v>
      </c>
      <c r="I590" s="1" t="s">
        <v>33</v>
      </c>
      <c r="J590" s="1" t="s">
        <v>23</v>
      </c>
      <c r="K590">
        <v>3</v>
      </c>
      <c r="L590" s="1" t="s">
        <v>24</v>
      </c>
      <c r="M590">
        <v>47</v>
      </c>
      <c r="N590" s="1" t="s">
        <v>23</v>
      </c>
      <c r="O590" s="1" t="s">
        <v>26</v>
      </c>
      <c r="P590">
        <v>1</v>
      </c>
      <c r="Q590" s="1" t="s">
        <v>27</v>
      </c>
      <c r="R590">
        <v>1</v>
      </c>
      <c r="S590" s="1" t="s">
        <v>28</v>
      </c>
      <c r="T590" s="1" t="s">
        <v>28</v>
      </c>
      <c r="U590" s="1" t="s">
        <v>56</v>
      </c>
    </row>
    <row r="591" spans="1:21" x14ac:dyDescent="0.3">
      <c r="A591" s="1" t="s">
        <v>35</v>
      </c>
      <c r="B591">
        <v>12</v>
      </c>
      <c r="C591" s="1" t="s">
        <v>18</v>
      </c>
      <c r="D591" s="1" t="s">
        <v>53</v>
      </c>
      <c r="E591">
        <v>2246</v>
      </c>
      <c r="F591" s="1" t="s">
        <v>32</v>
      </c>
      <c r="G591" s="1" t="s">
        <v>38</v>
      </c>
      <c r="H591">
        <v>3</v>
      </c>
      <c r="I591" s="1" t="s">
        <v>39</v>
      </c>
      <c r="J591" s="1" t="s">
        <v>23</v>
      </c>
      <c r="K591">
        <v>3</v>
      </c>
      <c r="L591" s="1" t="s">
        <v>48</v>
      </c>
      <c r="M591">
        <v>60</v>
      </c>
      <c r="N591" s="1" t="s">
        <v>23</v>
      </c>
      <c r="O591" s="1" t="s">
        <v>26</v>
      </c>
      <c r="P591">
        <v>2</v>
      </c>
      <c r="Q591" s="1" t="s">
        <v>41</v>
      </c>
      <c r="R591">
        <v>1</v>
      </c>
      <c r="S591" s="1" t="s">
        <v>23</v>
      </c>
      <c r="T591" s="1" t="s">
        <v>28</v>
      </c>
      <c r="U591" s="1" t="s">
        <v>56</v>
      </c>
    </row>
    <row r="592" spans="1:21" x14ac:dyDescent="0.3">
      <c r="A592" s="1" t="s">
        <v>35</v>
      </c>
      <c r="B592">
        <v>12</v>
      </c>
      <c r="C592" s="1" t="s">
        <v>18</v>
      </c>
      <c r="D592" s="1" t="s">
        <v>36</v>
      </c>
      <c r="E592">
        <v>385</v>
      </c>
      <c r="F592" s="1" t="s">
        <v>32</v>
      </c>
      <c r="G592" s="1" t="s">
        <v>49</v>
      </c>
      <c r="H592">
        <v>4</v>
      </c>
      <c r="I592" s="1" t="s">
        <v>22</v>
      </c>
      <c r="J592" s="1" t="s">
        <v>23</v>
      </c>
      <c r="K592">
        <v>3</v>
      </c>
      <c r="L592" s="1" t="s">
        <v>24</v>
      </c>
      <c r="M592">
        <v>58</v>
      </c>
      <c r="N592" s="1" t="s">
        <v>23</v>
      </c>
      <c r="O592" s="1" t="s">
        <v>26</v>
      </c>
      <c r="P592">
        <v>4</v>
      </c>
      <c r="Q592" s="1" t="s">
        <v>27</v>
      </c>
      <c r="R592">
        <v>1</v>
      </c>
      <c r="S592" s="1" t="s">
        <v>28</v>
      </c>
      <c r="T592" s="1" t="s">
        <v>28</v>
      </c>
      <c r="U592" s="1" t="s">
        <v>29</v>
      </c>
    </row>
    <row r="593" spans="1:21" x14ac:dyDescent="0.3">
      <c r="A593" s="1" t="s">
        <v>30</v>
      </c>
      <c r="B593">
        <v>24</v>
      </c>
      <c r="C593" s="1" t="s">
        <v>59</v>
      </c>
      <c r="D593" s="1" t="s">
        <v>19</v>
      </c>
      <c r="E593">
        <v>1965</v>
      </c>
      <c r="F593" s="1" t="s">
        <v>47</v>
      </c>
      <c r="G593" s="1" t="s">
        <v>21</v>
      </c>
      <c r="H593">
        <v>4</v>
      </c>
      <c r="I593" s="1" t="s">
        <v>22</v>
      </c>
      <c r="J593" s="1" t="s">
        <v>23</v>
      </c>
      <c r="K593">
        <v>4</v>
      </c>
      <c r="L593" s="1" t="s">
        <v>40</v>
      </c>
      <c r="M593">
        <v>42</v>
      </c>
      <c r="N593" s="1" t="s">
        <v>23</v>
      </c>
      <c r="O593" s="1" t="s">
        <v>34</v>
      </c>
      <c r="P593">
        <v>2</v>
      </c>
      <c r="Q593" s="1" t="s">
        <v>41</v>
      </c>
      <c r="R593">
        <v>1</v>
      </c>
      <c r="S593" s="1" t="s">
        <v>28</v>
      </c>
      <c r="T593" s="1" t="s">
        <v>28</v>
      </c>
      <c r="U593" s="1" t="s">
        <v>29</v>
      </c>
    </row>
    <row r="594" spans="1:21" x14ac:dyDescent="0.3">
      <c r="A594" s="1" t="s">
        <v>17</v>
      </c>
      <c r="B594">
        <v>21</v>
      </c>
      <c r="C594" s="1" t="s">
        <v>31</v>
      </c>
      <c r="D594" s="1" t="s">
        <v>61</v>
      </c>
      <c r="E594">
        <v>1572</v>
      </c>
      <c r="F594" s="1" t="s">
        <v>20</v>
      </c>
      <c r="G594" s="1" t="s">
        <v>38</v>
      </c>
      <c r="H594">
        <v>4</v>
      </c>
      <c r="I594" s="1" t="s">
        <v>22</v>
      </c>
      <c r="J594" s="1" t="s">
        <v>23</v>
      </c>
      <c r="K594">
        <v>4</v>
      </c>
      <c r="L594" s="1" t="s">
        <v>24</v>
      </c>
      <c r="M594">
        <v>36</v>
      </c>
      <c r="N594" s="1" t="s">
        <v>25</v>
      </c>
      <c r="O594" s="1" t="s">
        <v>26</v>
      </c>
      <c r="P594">
        <v>1</v>
      </c>
      <c r="Q594" s="1" t="s">
        <v>27</v>
      </c>
      <c r="R594">
        <v>1</v>
      </c>
      <c r="S594" s="1" t="s">
        <v>23</v>
      </c>
      <c r="T594" s="1" t="s">
        <v>28</v>
      </c>
      <c r="U594" s="1" t="s">
        <v>29</v>
      </c>
    </row>
    <row r="595" spans="1:21" x14ac:dyDescent="0.3">
      <c r="A595" s="1" t="s">
        <v>30</v>
      </c>
      <c r="B595">
        <v>24</v>
      </c>
      <c r="C595" s="1" t="s">
        <v>31</v>
      </c>
      <c r="D595" s="1" t="s">
        <v>19</v>
      </c>
      <c r="E595">
        <v>2718</v>
      </c>
      <c r="F595" s="1" t="s">
        <v>32</v>
      </c>
      <c r="G595" s="1" t="s">
        <v>21</v>
      </c>
      <c r="H595">
        <v>3</v>
      </c>
      <c r="I595" s="1" t="s">
        <v>22</v>
      </c>
      <c r="J595" s="1" t="s">
        <v>23</v>
      </c>
      <c r="K595">
        <v>4</v>
      </c>
      <c r="L595" s="1" t="s">
        <v>48</v>
      </c>
      <c r="M595">
        <v>20</v>
      </c>
      <c r="N595" s="1" t="s">
        <v>23</v>
      </c>
      <c r="O595" s="1" t="s">
        <v>34</v>
      </c>
      <c r="P595">
        <v>1</v>
      </c>
      <c r="Q595" s="1" t="s">
        <v>27</v>
      </c>
      <c r="R595">
        <v>1</v>
      </c>
      <c r="S595" s="1" t="s">
        <v>28</v>
      </c>
      <c r="T595" s="1" t="s">
        <v>28</v>
      </c>
      <c r="U595" s="1" t="s">
        <v>56</v>
      </c>
    </row>
    <row r="596" spans="1:21" x14ac:dyDescent="0.3">
      <c r="A596" s="1" t="s">
        <v>35</v>
      </c>
      <c r="B596">
        <v>24</v>
      </c>
      <c r="C596" s="1" t="s">
        <v>42</v>
      </c>
      <c r="D596" s="1" t="s">
        <v>68</v>
      </c>
      <c r="E596">
        <v>1358</v>
      </c>
      <c r="F596" s="1" t="s">
        <v>47</v>
      </c>
      <c r="G596" s="1" t="s">
        <v>38</v>
      </c>
      <c r="H596">
        <v>4</v>
      </c>
      <c r="I596" s="1" t="s">
        <v>39</v>
      </c>
      <c r="J596" s="1" t="s">
        <v>23</v>
      </c>
      <c r="K596">
        <v>3</v>
      </c>
      <c r="L596" s="1" t="s">
        <v>40</v>
      </c>
      <c r="M596">
        <v>40</v>
      </c>
      <c r="N596" s="1" t="s">
        <v>67</v>
      </c>
      <c r="O596" s="1" t="s">
        <v>26</v>
      </c>
      <c r="P596">
        <v>1</v>
      </c>
      <c r="Q596" s="1" t="s">
        <v>63</v>
      </c>
      <c r="R596">
        <v>1</v>
      </c>
      <c r="S596" s="1" t="s">
        <v>28</v>
      </c>
      <c r="T596" s="1" t="s">
        <v>28</v>
      </c>
      <c r="U596" s="1" t="s">
        <v>56</v>
      </c>
    </row>
    <row r="597" spans="1:21" x14ac:dyDescent="0.3">
      <c r="A597" s="1" t="s">
        <v>30</v>
      </c>
      <c r="B597">
        <v>6</v>
      </c>
      <c r="C597" s="1" t="s">
        <v>42</v>
      </c>
      <c r="D597" s="1" t="s">
        <v>19</v>
      </c>
      <c r="E597">
        <v>931</v>
      </c>
      <c r="F597" s="1" t="s">
        <v>46</v>
      </c>
      <c r="G597" s="1" t="s">
        <v>45</v>
      </c>
      <c r="H597">
        <v>1</v>
      </c>
      <c r="I597" s="1" t="s">
        <v>22</v>
      </c>
      <c r="J597" s="1" t="s">
        <v>23</v>
      </c>
      <c r="K597">
        <v>1</v>
      </c>
      <c r="L597" s="1" t="s">
        <v>48</v>
      </c>
      <c r="M597">
        <v>32</v>
      </c>
      <c r="N597" s="1" t="s">
        <v>67</v>
      </c>
      <c r="O597" s="1" t="s">
        <v>26</v>
      </c>
      <c r="P597">
        <v>1</v>
      </c>
      <c r="Q597" s="1" t="s">
        <v>27</v>
      </c>
      <c r="R597">
        <v>1</v>
      </c>
      <c r="S597" s="1" t="s">
        <v>23</v>
      </c>
      <c r="T597" s="1" t="s">
        <v>28</v>
      </c>
      <c r="U597" s="1" t="s">
        <v>56</v>
      </c>
    </row>
    <row r="598" spans="1:21" x14ac:dyDescent="0.3">
      <c r="A598" s="1" t="s">
        <v>35</v>
      </c>
      <c r="B598">
        <v>24</v>
      </c>
      <c r="C598" s="1" t="s">
        <v>31</v>
      </c>
      <c r="D598" s="1" t="s">
        <v>19</v>
      </c>
      <c r="E598">
        <v>1442</v>
      </c>
      <c r="F598" s="1" t="s">
        <v>32</v>
      </c>
      <c r="G598" s="1" t="s">
        <v>49</v>
      </c>
      <c r="H598">
        <v>4</v>
      </c>
      <c r="I598" s="1" t="s">
        <v>22</v>
      </c>
      <c r="J598" s="1" t="s">
        <v>23</v>
      </c>
      <c r="K598">
        <v>4</v>
      </c>
      <c r="L598" s="1" t="s">
        <v>40</v>
      </c>
      <c r="M598">
        <v>23</v>
      </c>
      <c r="N598" s="1" t="s">
        <v>23</v>
      </c>
      <c r="O598" s="1" t="s">
        <v>34</v>
      </c>
      <c r="P598">
        <v>2</v>
      </c>
      <c r="Q598" s="1" t="s">
        <v>41</v>
      </c>
      <c r="R598">
        <v>1</v>
      </c>
      <c r="S598" s="1" t="s">
        <v>23</v>
      </c>
      <c r="T598" s="1" t="s">
        <v>28</v>
      </c>
      <c r="U598" s="1" t="s">
        <v>56</v>
      </c>
    </row>
    <row r="599" spans="1:21" x14ac:dyDescent="0.3">
      <c r="A599" s="1" t="s">
        <v>30</v>
      </c>
      <c r="B599">
        <v>24</v>
      </c>
      <c r="C599" s="1" t="s">
        <v>52</v>
      </c>
      <c r="D599" s="1" t="s">
        <v>61</v>
      </c>
      <c r="E599">
        <v>4241</v>
      </c>
      <c r="F599" s="1" t="s">
        <v>32</v>
      </c>
      <c r="G599" s="1" t="s">
        <v>21</v>
      </c>
      <c r="H599">
        <v>1</v>
      </c>
      <c r="I599" s="1" t="s">
        <v>39</v>
      </c>
      <c r="J599" s="1" t="s">
        <v>23</v>
      </c>
      <c r="K599">
        <v>4</v>
      </c>
      <c r="L599" s="1" t="s">
        <v>24</v>
      </c>
      <c r="M599">
        <v>36</v>
      </c>
      <c r="N599" s="1" t="s">
        <v>23</v>
      </c>
      <c r="O599" s="1" t="s">
        <v>26</v>
      </c>
      <c r="P599">
        <v>3</v>
      </c>
      <c r="Q599" s="1" t="s">
        <v>27</v>
      </c>
      <c r="R599">
        <v>1</v>
      </c>
      <c r="S599" s="1" t="s">
        <v>28</v>
      </c>
      <c r="T599" s="1" t="s">
        <v>28</v>
      </c>
      <c r="U599" s="1" t="s">
        <v>56</v>
      </c>
    </row>
    <row r="600" spans="1:21" x14ac:dyDescent="0.3">
      <c r="A600" s="1" t="s">
        <v>17</v>
      </c>
      <c r="B600">
        <v>18</v>
      </c>
      <c r="C600" s="1" t="s">
        <v>18</v>
      </c>
      <c r="D600" s="1" t="s">
        <v>19</v>
      </c>
      <c r="E600">
        <v>2775</v>
      </c>
      <c r="F600" s="1" t="s">
        <v>32</v>
      </c>
      <c r="G600" s="1" t="s">
        <v>49</v>
      </c>
      <c r="H600">
        <v>2</v>
      </c>
      <c r="I600" s="1" t="s">
        <v>39</v>
      </c>
      <c r="J600" s="1" t="s">
        <v>23</v>
      </c>
      <c r="K600">
        <v>2</v>
      </c>
      <c r="L600" s="1" t="s">
        <v>48</v>
      </c>
      <c r="M600">
        <v>31</v>
      </c>
      <c r="N600" s="1" t="s">
        <v>25</v>
      </c>
      <c r="O600" s="1" t="s">
        <v>26</v>
      </c>
      <c r="P600">
        <v>2</v>
      </c>
      <c r="Q600" s="1" t="s">
        <v>41</v>
      </c>
      <c r="R600">
        <v>1</v>
      </c>
      <c r="S600" s="1" t="s">
        <v>23</v>
      </c>
      <c r="T600" s="1" t="s">
        <v>28</v>
      </c>
      <c r="U600" s="1" t="s">
        <v>56</v>
      </c>
    </row>
    <row r="601" spans="1:21" x14ac:dyDescent="0.3">
      <c r="A601" s="1" t="s">
        <v>17</v>
      </c>
      <c r="B601">
        <v>24</v>
      </c>
      <c r="C601" s="1" t="s">
        <v>59</v>
      </c>
      <c r="D601" s="1" t="s">
        <v>61</v>
      </c>
      <c r="E601">
        <v>3863</v>
      </c>
      <c r="F601" s="1" t="s">
        <v>32</v>
      </c>
      <c r="G601" s="1" t="s">
        <v>21</v>
      </c>
      <c r="H601">
        <v>1</v>
      </c>
      <c r="I601" s="1" t="s">
        <v>39</v>
      </c>
      <c r="J601" s="1" t="s">
        <v>23</v>
      </c>
      <c r="K601">
        <v>2</v>
      </c>
      <c r="L601" s="1" t="s">
        <v>65</v>
      </c>
      <c r="M601">
        <v>32</v>
      </c>
      <c r="N601" s="1" t="s">
        <v>23</v>
      </c>
      <c r="O601" s="1" t="s">
        <v>66</v>
      </c>
      <c r="P601">
        <v>1</v>
      </c>
      <c r="Q601" s="1" t="s">
        <v>41</v>
      </c>
      <c r="R601">
        <v>1</v>
      </c>
      <c r="S601" s="1" t="s">
        <v>23</v>
      </c>
      <c r="T601" s="1" t="s">
        <v>28</v>
      </c>
      <c r="U601" s="1" t="s">
        <v>29</v>
      </c>
    </row>
    <row r="602" spans="1:21" x14ac:dyDescent="0.3">
      <c r="A602" s="1" t="s">
        <v>30</v>
      </c>
      <c r="B602">
        <v>7</v>
      </c>
      <c r="C602" s="1" t="s">
        <v>31</v>
      </c>
      <c r="D602" s="1" t="s">
        <v>36</v>
      </c>
      <c r="E602">
        <v>2329</v>
      </c>
      <c r="F602" s="1" t="s">
        <v>32</v>
      </c>
      <c r="G602" s="1" t="s">
        <v>45</v>
      </c>
      <c r="H602">
        <v>1</v>
      </c>
      <c r="I602" s="1" t="s">
        <v>22</v>
      </c>
      <c r="J602" s="1" t="s">
        <v>58</v>
      </c>
      <c r="K602">
        <v>1</v>
      </c>
      <c r="L602" s="1" t="s">
        <v>24</v>
      </c>
      <c r="M602">
        <v>45</v>
      </c>
      <c r="N602" s="1" t="s">
        <v>23</v>
      </c>
      <c r="O602" s="1" t="s">
        <v>26</v>
      </c>
      <c r="P602">
        <v>1</v>
      </c>
      <c r="Q602" s="1" t="s">
        <v>41</v>
      </c>
      <c r="R602">
        <v>1</v>
      </c>
      <c r="S602" s="1" t="s">
        <v>23</v>
      </c>
      <c r="T602" s="1" t="s">
        <v>28</v>
      </c>
      <c r="U602" s="1" t="s">
        <v>29</v>
      </c>
    </row>
    <row r="603" spans="1:21" x14ac:dyDescent="0.3">
      <c r="A603" s="1" t="s">
        <v>30</v>
      </c>
      <c r="B603">
        <v>9</v>
      </c>
      <c r="C603" s="1" t="s">
        <v>31</v>
      </c>
      <c r="D603" s="1" t="s">
        <v>53</v>
      </c>
      <c r="E603">
        <v>918</v>
      </c>
      <c r="F603" s="1" t="s">
        <v>32</v>
      </c>
      <c r="G603" s="1" t="s">
        <v>21</v>
      </c>
      <c r="H603">
        <v>4</v>
      </c>
      <c r="I603" s="1" t="s">
        <v>22</v>
      </c>
      <c r="J603" s="1" t="s">
        <v>23</v>
      </c>
      <c r="K603">
        <v>1</v>
      </c>
      <c r="L603" s="1" t="s">
        <v>48</v>
      </c>
      <c r="M603">
        <v>30</v>
      </c>
      <c r="N603" s="1" t="s">
        <v>23</v>
      </c>
      <c r="O603" s="1" t="s">
        <v>26</v>
      </c>
      <c r="P603">
        <v>1</v>
      </c>
      <c r="Q603" s="1" t="s">
        <v>41</v>
      </c>
      <c r="R603">
        <v>1</v>
      </c>
      <c r="S603" s="1" t="s">
        <v>23</v>
      </c>
      <c r="T603" s="1" t="s">
        <v>28</v>
      </c>
      <c r="U603" s="1" t="s">
        <v>56</v>
      </c>
    </row>
    <row r="604" spans="1:21" x14ac:dyDescent="0.3">
      <c r="A604" s="1" t="s">
        <v>30</v>
      </c>
      <c r="B604">
        <v>24</v>
      </c>
      <c r="C604" s="1" t="s">
        <v>42</v>
      </c>
      <c r="D604" s="1" t="s">
        <v>51</v>
      </c>
      <c r="E604">
        <v>1837</v>
      </c>
      <c r="F604" s="1" t="s">
        <v>32</v>
      </c>
      <c r="G604" s="1" t="s">
        <v>49</v>
      </c>
      <c r="H604">
        <v>4</v>
      </c>
      <c r="I604" s="1" t="s">
        <v>22</v>
      </c>
      <c r="J604" s="1" t="s">
        <v>23</v>
      </c>
      <c r="K604">
        <v>4</v>
      </c>
      <c r="L604" s="1" t="s">
        <v>65</v>
      </c>
      <c r="M604">
        <v>34</v>
      </c>
      <c r="N604" s="1" t="s">
        <v>25</v>
      </c>
      <c r="O604" s="1" t="s">
        <v>66</v>
      </c>
      <c r="P604">
        <v>1</v>
      </c>
      <c r="Q604" s="1" t="s">
        <v>27</v>
      </c>
      <c r="R604">
        <v>1</v>
      </c>
      <c r="S604" s="1" t="s">
        <v>23</v>
      </c>
      <c r="T604" s="1" t="s">
        <v>28</v>
      </c>
      <c r="U604" s="1" t="s">
        <v>56</v>
      </c>
    </row>
    <row r="605" spans="1:21" x14ac:dyDescent="0.3">
      <c r="A605" s="1" t="s">
        <v>17</v>
      </c>
      <c r="B605">
        <v>36</v>
      </c>
      <c r="C605" s="1" t="s">
        <v>31</v>
      </c>
      <c r="D605" s="1" t="s">
        <v>53</v>
      </c>
      <c r="E605">
        <v>3349</v>
      </c>
      <c r="F605" s="1" t="s">
        <v>32</v>
      </c>
      <c r="G605" s="1" t="s">
        <v>21</v>
      </c>
      <c r="H605">
        <v>4</v>
      </c>
      <c r="I605" s="1" t="s">
        <v>22</v>
      </c>
      <c r="J605" s="1" t="s">
        <v>23</v>
      </c>
      <c r="K605">
        <v>2</v>
      </c>
      <c r="L605" s="1" t="s">
        <v>40</v>
      </c>
      <c r="M605">
        <v>28</v>
      </c>
      <c r="N605" s="1" t="s">
        <v>23</v>
      </c>
      <c r="O605" s="1" t="s">
        <v>26</v>
      </c>
      <c r="P605">
        <v>1</v>
      </c>
      <c r="Q605" s="1" t="s">
        <v>63</v>
      </c>
      <c r="R605">
        <v>1</v>
      </c>
      <c r="S605" s="1" t="s">
        <v>28</v>
      </c>
      <c r="T605" s="1" t="s">
        <v>28</v>
      </c>
      <c r="U605" s="1" t="s">
        <v>56</v>
      </c>
    </row>
    <row r="606" spans="1:21" x14ac:dyDescent="0.3">
      <c r="A606" s="1" t="s">
        <v>50</v>
      </c>
      <c r="B606">
        <v>10</v>
      </c>
      <c r="C606" s="1" t="s">
        <v>31</v>
      </c>
      <c r="D606" s="1" t="s">
        <v>53</v>
      </c>
      <c r="E606">
        <v>1275</v>
      </c>
      <c r="F606" s="1" t="s">
        <v>32</v>
      </c>
      <c r="G606" s="1" t="s">
        <v>45</v>
      </c>
      <c r="H606">
        <v>4</v>
      </c>
      <c r="I606" s="1" t="s">
        <v>22</v>
      </c>
      <c r="J606" s="1" t="s">
        <v>23</v>
      </c>
      <c r="K606">
        <v>2</v>
      </c>
      <c r="L606" s="1" t="s">
        <v>48</v>
      </c>
      <c r="M606">
        <v>23</v>
      </c>
      <c r="N606" s="1" t="s">
        <v>23</v>
      </c>
      <c r="O606" s="1" t="s">
        <v>26</v>
      </c>
      <c r="P606">
        <v>1</v>
      </c>
      <c r="Q606" s="1" t="s">
        <v>41</v>
      </c>
      <c r="R606">
        <v>1</v>
      </c>
      <c r="S606" s="1" t="s">
        <v>23</v>
      </c>
      <c r="T606" s="1" t="s">
        <v>28</v>
      </c>
      <c r="U606" s="1" t="s">
        <v>29</v>
      </c>
    </row>
    <row r="607" spans="1:21" x14ac:dyDescent="0.3">
      <c r="A607" s="1" t="s">
        <v>35</v>
      </c>
      <c r="B607">
        <v>24</v>
      </c>
      <c r="C607" s="1" t="s">
        <v>42</v>
      </c>
      <c r="D607" s="1" t="s">
        <v>53</v>
      </c>
      <c r="E607">
        <v>2828</v>
      </c>
      <c r="F607" s="1" t="s">
        <v>37</v>
      </c>
      <c r="G607" s="1" t="s">
        <v>21</v>
      </c>
      <c r="H607">
        <v>4</v>
      </c>
      <c r="I607" s="1" t="s">
        <v>39</v>
      </c>
      <c r="J607" s="1" t="s">
        <v>23</v>
      </c>
      <c r="K607">
        <v>4</v>
      </c>
      <c r="L607" s="1" t="s">
        <v>24</v>
      </c>
      <c r="M607">
        <v>22</v>
      </c>
      <c r="N607" s="1" t="s">
        <v>67</v>
      </c>
      <c r="O607" s="1" t="s">
        <v>26</v>
      </c>
      <c r="P607">
        <v>1</v>
      </c>
      <c r="Q607" s="1" t="s">
        <v>41</v>
      </c>
      <c r="R607">
        <v>1</v>
      </c>
      <c r="S607" s="1" t="s">
        <v>28</v>
      </c>
      <c r="T607" s="1" t="s">
        <v>28</v>
      </c>
      <c r="U607" s="1" t="s">
        <v>29</v>
      </c>
    </row>
    <row r="608" spans="1:21" x14ac:dyDescent="0.3">
      <c r="A608" s="1" t="s">
        <v>17</v>
      </c>
      <c r="B608">
        <v>24</v>
      </c>
      <c r="C608" s="1" t="s">
        <v>18</v>
      </c>
      <c r="D608" s="1" t="s">
        <v>61</v>
      </c>
      <c r="E608">
        <v>4526</v>
      </c>
      <c r="F608" s="1" t="s">
        <v>32</v>
      </c>
      <c r="G608" s="1" t="s">
        <v>21</v>
      </c>
      <c r="H608">
        <v>3</v>
      </c>
      <c r="I608" s="1" t="s">
        <v>39</v>
      </c>
      <c r="J608" s="1" t="s">
        <v>23</v>
      </c>
      <c r="K608">
        <v>2</v>
      </c>
      <c r="L608" s="1" t="s">
        <v>24</v>
      </c>
      <c r="M608">
        <v>74</v>
      </c>
      <c r="N608" s="1" t="s">
        <v>23</v>
      </c>
      <c r="O608" s="1" t="s">
        <v>26</v>
      </c>
      <c r="P608">
        <v>1</v>
      </c>
      <c r="Q608" s="1" t="s">
        <v>63</v>
      </c>
      <c r="R608">
        <v>1</v>
      </c>
      <c r="S608" s="1" t="s">
        <v>28</v>
      </c>
      <c r="T608" s="1" t="s">
        <v>28</v>
      </c>
      <c r="U608" s="1" t="s">
        <v>29</v>
      </c>
    </row>
    <row r="609" spans="1:21" x14ac:dyDescent="0.3">
      <c r="A609" s="1" t="s">
        <v>30</v>
      </c>
      <c r="B609">
        <v>36</v>
      </c>
      <c r="C609" s="1" t="s">
        <v>31</v>
      </c>
      <c r="D609" s="1" t="s">
        <v>36</v>
      </c>
      <c r="E609">
        <v>2671</v>
      </c>
      <c r="F609" s="1" t="s">
        <v>46</v>
      </c>
      <c r="G609" s="1" t="s">
        <v>21</v>
      </c>
      <c r="H609">
        <v>4</v>
      </c>
      <c r="I609" s="1" t="s">
        <v>22</v>
      </c>
      <c r="J609" s="1" t="s">
        <v>55</v>
      </c>
      <c r="K609">
        <v>4</v>
      </c>
      <c r="L609" s="1" t="s">
        <v>65</v>
      </c>
      <c r="M609">
        <v>50</v>
      </c>
      <c r="N609" s="1" t="s">
        <v>23</v>
      </c>
      <c r="O609" s="1" t="s">
        <v>66</v>
      </c>
      <c r="P609">
        <v>1</v>
      </c>
      <c r="Q609" s="1" t="s">
        <v>41</v>
      </c>
      <c r="R609">
        <v>1</v>
      </c>
      <c r="S609" s="1" t="s">
        <v>23</v>
      </c>
      <c r="T609" s="1" t="s">
        <v>28</v>
      </c>
      <c r="U609" s="1" t="s">
        <v>56</v>
      </c>
    </row>
    <row r="610" spans="1:21" x14ac:dyDescent="0.3">
      <c r="A610" s="1" t="s">
        <v>17</v>
      </c>
      <c r="B610">
        <v>18</v>
      </c>
      <c r="C610" s="1" t="s">
        <v>31</v>
      </c>
      <c r="D610" s="1" t="s">
        <v>36</v>
      </c>
      <c r="E610">
        <v>2051</v>
      </c>
      <c r="F610" s="1" t="s">
        <v>32</v>
      </c>
      <c r="G610" s="1" t="s">
        <v>45</v>
      </c>
      <c r="H610">
        <v>4</v>
      </c>
      <c r="I610" s="1" t="s">
        <v>39</v>
      </c>
      <c r="J610" s="1" t="s">
        <v>23</v>
      </c>
      <c r="K610">
        <v>1</v>
      </c>
      <c r="L610" s="1" t="s">
        <v>24</v>
      </c>
      <c r="M610">
        <v>33</v>
      </c>
      <c r="N610" s="1" t="s">
        <v>23</v>
      </c>
      <c r="O610" s="1" t="s">
        <v>26</v>
      </c>
      <c r="P610">
        <v>1</v>
      </c>
      <c r="Q610" s="1" t="s">
        <v>41</v>
      </c>
      <c r="R610">
        <v>1</v>
      </c>
      <c r="S610" s="1" t="s">
        <v>23</v>
      </c>
      <c r="T610" s="1" t="s">
        <v>28</v>
      </c>
      <c r="U610" s="1" t="s">
        <v>29</v>
      </c>
    </row>
    <row r="611" spans="1:21" x14ac:dyDescent="0.3">
      <c r="A611" s="1" t="s">
        <v>17</v>
      </c>
      <c r="B611">
        <v>15</v>
      </c>
      <c r="C611" s="1" t="s">
        <v>31</v>
      </c>
      <c r="D611" s="1" t="s">
        <v>69</v>
      </c>
      <c r="E611">
        <v>1300</v>
      </c>
      <c r="F611" s="1" t="s">
        <v>47</v>
      </c>
      <c r="G611" s="1" t="s">
        <v>38</v>
      </c>
      <c r="H611">
        <v>4</v>
      </c>
      <c r="I611" s="1" t="s">
        <v>39</v>
      </c>
      <c r="J611" s="1" t="s">
        <v>23</v>
      </c>
      <c r="K611">
        <v>4</v>
      </c>
      <c r="L611" s="1" t="s">
        <v>65</v>
      </c>
      <c r="M611">
        <v>45</v>
      </c>
      <c r="N611" s="1" t="s">
        <v>25</v>
      </c>
      <c r="O611" s="1" t="s">
        <v>66</v>
      </c>
      <c r="P611">
        <v>1</v>
      </c>
      <c r="Q611" s="1" t="s">
        <v>41</v>
      </c>
      <c r="R611">
        <v>2</v>
      </c>
      <c r="S611" s="1" t="s">
        <v>23</v>
      </c>
      <c r="T611" s="1" t="s">
        <v>28</v>
      </c>
      <c r="U611" s="1" t="s">
        <v>29</v>
      </c>
    </row>
    <row r="612" spans="1:21" x14ac:dyDescent="0.3">
      <c r="A612" s="1" t="s">
        <v>35</v>
      </c>
      <c r="B612">
        <v>12</v>
      </c>
      <c r="C612" s="1" t="s">
        <v>31</v>
      </c>
      <c r="D612" s="1" t="s">
        <v>44</v>
      </c>
      <c r="E612">
        <v>741</v>
      </c>
      <c r="F612" s="1" t="s">
        <v>46</v>
      </c>
      <c r="G612" s="1" t="s">
        <v>54</v>
      </c>
      <c r="H612">
        <v>4</v>
      </c>
      <c r="I612" s="1" t="s">
        <v>22</v>
      </c>
      <c r="J612" s="1" t="s">
        <v>23</v>
      </c>
      <c r="K612">
        <v>3</v>
      </c>
      <c r="L612" s="1" t="s">
        <v>48</v>
      </c>
      <c r="M612">
        <v>22</v>
      </c>
      <c r="N612" s="1" t="s">
        <v>23</v>
      </c>
      <c r="O612" s="1" t="s">
        <v>26</v>
      </c>
      <c r="P612">
        <v>1</v>
      </c>
      <c r="Q612" s="1" t="s">
        <v>41</v>
      </c>
      <c r="R612">
        <v>1</v>
      </c>
      <c r="S612" s="1" t="s">
        <v>23</v>
      </c>
      <c r="T612" s="1" t="s">
        <v>28</v>
      </c>
      <c r="U612" s="1" t="s">
        <v>56</v>
      </c>
    </row>
    <row r="613" spans="1:21" x14ac:dyDescent="0.3">
      <c r="A613" s="1" t="s">
        <v>50</v>
      </c>
      <c r="B613">
        <v>10</v>
      </c>
      <c r="C613" s="1" t="s">
        <v>31</v>
      </c>
      <c r="D613" s="1" t="s">
        <v>19</v>
      </c>
      <c r="E613">
        <v>1240</v>
      </c>
      <c r="F613" s="1" t="s">
        <v>46</v>
      </c>
      <c r="G613" s="1" t="s">
        <v>38</v>
      </c>
      <c r="H613">
        <v>1</v>
      </c>
      <c r="I613" s="1" t="s">
        <v>22</v>
      </c>
      <c r="J613" s="1" t="s">
        <v>23</v>
      </c>
      <c r="K613">
        <v>4</v>
      </c>
      <c r="L613" s="1" t="s">
        <v>65</v>
      </c>
      <c r="M613">
        <v>48</v>
      </c>
      <c r="N613" s="1" t="s">
        <v>23</v>
      </c>
      <c r="O613" s="1" t="s">
        <v>66</v>
      </c>
      <c r="P613">
        <v>1</v>
      </c>
      <c r="Q613" s="1" t="s">
        <v>27</v>
      </c>
      <c r="R613">
        <v>2</v>
      </c>
      <c r="S613" s="1" t="s">
        <v>23</v>
      </c>
      <c r="T613" s="1" t="s">
        <v>28</v>
      </c>
      <c r="U613" s="1" t="s">
        <v>56</v>
      </c>
    </row>
    <row r="614" spans="1:21" x14ac:dyDescent="0.3">
      <c r="A614" s="1" t="s">
        <v>35</v>
      </c>
      <c r="B614">
        <v>21</v>
      </c>
      <c r="C614" s="1" t="s">
        <v>31</v>
      </c>
      <c r="D614" s="1" t="s">
        <v>36</v>
      </c>
      <c r="E614">
        <v>3357</v>
      </c>
      <c r="F614" s="1" t="s">
        <v>20</v>
      </c>
      <c r="G614" s="1" t="s">
        <v>45</v>
      </c>
      <c r="H614">
        <v>4</v>
      </c>
      <c r="I614" s="1" t="s">
        <v>22</v>
      </c>
      <c r="J614" s="1" t="s">
        <v>23</v>
      </c>
      <c r="K614">
        <v>2</v>
      </c>
      <c r="L614" s="1" t="s">
        <v>40</v>
      </c>
      <c r="M614">
        <v>29</v>
      </c>
      <c r="N614" s="1" t="s">
        <v>25</v>
      </c>
      <c r="O614" s="1" t="s">
        <v>26</v>
      </c>
      <c r="P614">
        <v>1</v>
      </c>
      <c r="Q614" s="1" t="s">
        <v>41</v>
      </c>
      <c r="R614">
        <v>1</v>
      </c>
      <c r="S614" s="1" t="s">
        <v>23</v>
      </c>
      <c r="T614" s="1" t="s">
        <v>28</v>
      </c>
      <c r="U614" s="1" t="s">
        <v>29</v>
      </c>
    </row>
    <row r="615" spans="1:21" x14ac:dyDescent="0.3">
      <c r="A615" s="1" t="s">
        <v>35</v>
      </c>
      <c r="B615">
        <v>24</v>
      </c>
      <c r="C615" s="1" t="s">
        <v>42</v>
      </c>
      <c r="D615" s="1" t="s">
        <v>69</v>
      </c>
      <c r="E615">
        <v>3632</v>
      </c>
      <c r="F615" s="1" t="s">
        <v>32</v>
      </c>
      <c r="G615" s="1" t="s">
        <v>21</v>
      </c>
      <c r="H615">
        <v>1</v>
      </c>
      <c r="I615" s="1" t="s">
        <v>22</v>
      </c>
      <c r="J615" s="1" t="s">
        <v>58</v>
      </c>
      <c r="K615">
        <v>4</v>
      </c>
      <c r="L615" s="1" t="s">
        <v>40</v>
      </c>
      <c r="M615">
        <v>22</v>
      </c>
      <c r="N615" s="1" t="s">
        <v>25</v>
      </c>
      <c r="O615" s="1" t="s">
        <v>34</v>
      </c>
      <c r="P615">
        <v>1</v>
      </c>
      <c r="Q615" s="1" t="s">
        <v>41</v>
      </c>
      <c r="R615">
        <v>1</v>
      </c>
      <c r="S615" s="1" t="s">
        <v>23</v>
      </c>
      <c r="T615" s="1" t="s">
        <v>60</v>
      </c>
      <c r="U615" s="1" t="s">
        <v>29</v>
      </c>
    </row>
    <row r="616" spans="1:21" x14ac:dyDescent="0.3">
      <c r="A616" s="1" t="s">
        <v>17</v>
      </c>
      <c r="B616">
        <v>18</v>
      </c>
      <c r="C616" s="1" t="s">
        <v>59</v>
      </c>
      <c r="D616" s="1" t="s">
        <v>53</v>
      </c>
      <c r="E616">
        <v>1808</v>
      </c>
      <c r="F616" s="1" t="s">
        <v>32</v>
      </c>
      <c r="G616" s="1" t="s">
        <v>49</v>
      </c>
      <c r="H616">
        <v>4</v>
      </c>
      <c r="I616" s="1" t="s">
        <v>22</v>
      </c>
      <c r="J616" s="1" t="s">
        <v>23</v>
      </c>
      <c r="K616">
        <v>1</v>
      </c>
      <c r="L616" s="1" t="s">
        <v>24</v>
      </c>
      <c r="M616">
        <v>22</v>
      </c>
      <c r="N616" s="1" t="s">
        <v>23</v>
      </c>
      <c r="O616" s="1" t="s">
        <v>26</v>
      </c>
      <c r="P616">
        <v>1</v>
      </c>
      <c r="Q616" s="1" t="s">
        <v>41</v>
      </c>
      <c r="R616">
        <v>1</v>
      </c>
      <c r="S616" s="1" t="s">
        <v>23</v>
      </c>
      <c r="T616" s="1" t="s">
        <v>28</v>
      </c>
      <c r="U616" s="1" t="s">
        <v>56</v>
      </c>
    </row>
    <row r="617" spans="1:21" x14ac:dyDescent="0.3">
      <c r="A617" s="1" t="s">
        <v>30</v>
      </c>
      <c r="B617">
        <v>48</v>
      </c>
      <c r="C617" s="1" t="s">
        <v>52</v>
      </c>
      <c r="D617" s="1" t="s">
        <v>61</v>
      </c>
      <c r="E617">
        <v>12204</v>
      </c>
      <c r="F617" s="1" t="s">
        <v>47</v>
      </c>
      <c r="G617" s="1" t="s">
        <v>21</v>
      </c>
      <c r="H617">
        <v>2</v>
      </c>
      <c r="I617" s="1" t="s">
        <v>39</v>
      </c>
      <c r="J617" s="1" t="s">
        <v>23</v>
      </c>
      <c r="K617">
        <v>2</v>
      </c>
      <c r="L617" s="1" t="s">
        <v>40</v>
      </c>
      <c r="M617">
        <v>48</v>
      </c>
      <c r="N617" s="1" t="s">
        <v>25</v>
      </c>
      <c r="O617" s="1" t="s">
        <v>26</v>
      </c>
      <c r="P617">
        <v>1</v>
      </c>
      <c r="Q617" s="1" t="s">
        <v>63</v>
      </c>
      <c r="R617">
        <v>1</v>
      </c>
      <c r="S617" s="1" t="s">
        <v>28</v>
      </c>
      <c r="T617" s="1" t="s">
        <v>28</v>
      </c>
      <c r="U617" s="1" t="s">
        <v>29</v>
      </c>
    </row>
    <row r="618" spans="1:21" x14ac:dyDescent="0.3">
      <c r="A618" s="1" t="s">
        <v>30</v>
      </c>
      <c r="B618">
        <v>60</v>
      </c>
      <c r="C618" s="1" t="s">
        <v>59</v>
      </c>
      <c r="D618" s="1" t="s">
        <v>36</v>
      </c>
      <c r="E618">
        <v>9157</v>
      </c>
      <c r="F618" s="1" t="s">
        <v>47</v>
      </c>
      <c r="G618" s="1" t="s">
        <v>21</v>
      </c>
      <c r="H618">
        <v>2</v>
      </c>
      <c r="I618" s="1" t="s">
        <v>39</v>
      </c>
      <c r="J618" s="1" t="s">
        <v>23</v>
      </c>
      <c r="K618">
        <v>2</v>
      </c>
      <c r="L618" s="1" t="s">
        <v>65</v>
      </c>
      <c r="M618">
        <v>27</v>
      </c>
      <c r="N618" s="1" t="s">
        <v>23</v>
      </c>
      <c r="O618" s="1" t="s">
        <v>66</v>
      </c>
      <c r="P618">
        <v>1</v>
      </c>
      <c r="Q618" s="1" t="s">
        <v>63</v>
      </c>
      <c r="R618">
        <v>1</v>
      </c>
      <c r="S618" s="1" t="s">
        <v>23</v>
      </c>
      <c r="T618" s="1" t="s">
        <v>28</v>
      </c>
      <c r="U618" s="1" t="s">
        <v>29</v>
      </c>
    </row>
    <row r="619" spans="1:21" x14ac:dyDescent="0.3">
      <c r="A619" s="1" t="s">
        <v>35</v>
      </c>
      <c r="B619">
        <v>6</v>
      </c>
      <c r="C619" s="1" t="s">
        <v>18</v>
      </c>
      <c r="D619" s="1" t="s">
        <v>19</v>
      </c>
      <c r="E619">
        <v>3676</v>
      </c>
      <c r="F619" s="1" t="s">
        <v>32</v>
      </c>
      <c r="G619" s="1" t="s">
        <v>21</v>
      </c>
      <c r="H619">
        <v>1</v>
      </c>
      <c r="I619" s="1" t="s">
        <v>39</v>
      </c>
      <c r="J619" s="1" t="s">
        <v>23</v>
      </c>
      <c r="K619">
        <v>3</v>
      </c>
      <c r="L619" s="1" t="s">
        <v>24</v>
      </c>
      <c r="M619">
        <v>37</v>
      </c>
      <c r="N619" s="1" t="s">
        <v>23</v>
      </c>
      <c r="O619" s="1" t="s">
        <v>34</v>
      </c>
      <c r="P619">
        <v>3</v>
      </c>
      <c r="Q619" s="1" t="s">
        <v>41</v>
      </c>
      <c r="R619">
        <v>2</v>
      </c>
      <c r="S619" s="1" t="s">
        <v>23</v>
      </c>
      <c r="T619" s="1" t="s">
        <v>28</v>
      </c>
      <c r="U619" s="1" t="s">
        <v>29</v>
      </c>
    </row>
    <row r="620" spans="1:21" x14ac:dyDescent="0.3">
      <c r="A620" s="1" t="s">
        <v>30</v>
      </c>
      <c r="B620">
        <v>30</v>
      </c>
      <c r="C620" s="1" t="s">
        <v>31</v>
      </c>
      <c r="D620" s="1" t="s">
        <v>53</v>
      </c>
      <c r="E620">
        <v>3441</v>
      </c>
      <c r="F620" s="1" t="s">
        <v>46</v>
      </c>
      <c r="G620" s="1" t="s">
        <v>21</v>
      </c>
      <c r="H620">
        <v>2</v>
      </c>
      <c r="I620" s="1" t="s">
        <v>22</v>
      </c>
      <c r="J620" s="1" t="s">
        <v>55</v>
      </c>
      <c r="K620">
        <v>4</v>
      </c>
      <c r="L620" s="1" t="s">
        <v>40</v>
      </c>
      <c r="M620">
        <v>21</v>
      </c>
      <c r="N620" s="1" t="s">
        <v>23</v>
      </c>
      <c r="O620" s="1" t="s">
        <v>34</v>
      </c>
      <c r="P620">
        <v>1</v>
      </c>
      <c r="Q620" s="1" t="s">
        <v>41</v>
      </c>
      <c r="R620">
        <v>1</v>
      </c>
      <c r="S620" s="1" t="s">
        <v>23</v>
      </c>
      <c r="T620" s="1" t="s">
        <v>28</v>
      </c>
      <c r="U620" s="1" t="s">
        <v>56</v>
      </c>
    </row>
    <row r="621" spans="1:21" x14ac:dyDescent="0.3">
      <c r="A621" s="1" t="s">
        <v>17</v>
      </c>
      <c r="B621">
        <v>12</v>
      </c>
      <c r="C621" s="1" t="s">
        <v>31</v>
      </c>
      <c r="D621" s="1" t="s">
        <v>19</v>
      </c>
      <c r="E621">
        <v>640</v>
      </c>
      <c r="F621" s="1" t="s">
        <v>32</v>
      </c>
      <c r="G621" s="1" t="s">
        <v>21</v>
      </c>
      <c r="H621">
        <v>4</v>
      </c>
      <c r="I621" s="1" t="s">
        <v>64</v>
      </c>
      <c r="J621" s="1" t="s">
        <v>23</v>
      </c>
      <c r="K621">
        <v>2</v>
      </c>
      <c r="L621" s="1" t="s">
        <v>24</v>
      </c>
      <c r="M621">
        <v>49</v>
      </c>
      <c r="N621" s="1" t="s">
        <v>23</v>
      </c>
      <c r="O621" s="1" t="s">
        <v>26</v>
      </c>
      <c r="P621">
        <v>1</v>
      </c>
      <c r="Q621" s="1" t="s">
        <v>27</v>
      </c>
      <c r="R621">
        <v>1</v>
      </c>
      <c r="S621" s="1" t="s">
        <v>23</v>
      </c>
      <c r="T621" s="1" t="s">
        <v>28</v>
      </c>
      <c r="U621" s="1" t="s">
        <v>29</v>
      </c>
    </row>
    <row r="622" spans="1:21" x14ac:dyDescent="0.3">
      <c r="A622" s="1" t="s">
        <v>30</v>
      </c>
      <c r="B622">
        <v>21</v>
      </c>
      <c r="C622" s="1" t="s">
        <v>18</v>
      </c>
      <c r="D622" s="1" t="s">
        <v>61</v>
      </c>
      <c r="E622">
        <v>3652</v>
      </c>
      <c r="F622" s="1" t="s">
        <v>32</v>
      </c>
      <c r="G622" s="1" t="s">
        <v>49</v>
      </c>
      <c r="H622">
        <v>2</v>
      </c>
      <c r="I622" s="1" t="s">
        <v>39</v>
      </c>
      <c r="J622" s="1" t="s">
        <v>23</v>
      </c>
      <c r="K622">
        <v>3</v>
      </c>
      <c r="L622" s="1" t="s">
        <v>48</v>
      </c>
      <c r="M622">
        <v>27</v>
      </c>
      <c r="N622" s="1" t="s">
        <v>23</v>
      </c>
      <c r="O622" s="1" t="s">
        <v>26</v>
      </c>
      <c r="P622">
        <v>2</v>
      </c>
      <c r="Q622" s="1" t="s">
        <v>41</v>
      </c>
      <c r="R622">
        <v>1</v>
      </c>
      <c r="S622" s="1" t="s">
        <v>23</v>
      </c>
      <c r="T622" s="1" t="s">
        <v>28</v>
      </c>
      <c r="U622" s="1" t="s">
        <v>29</v>
      </c>
    </row>
    <row r="623" spans="1:21" x14ac:dyDescent="0.3">
      <c r="A623" s="1" t="s">
        <v>17</v>
      </c>
      <c r="B623">
        <v>18</v>
      </c>
      <c r="C623" s="1" t="s">
        <v>18</v>
      </c>
      <c r="D623" s="1" t="s">
        <v>19</v>
      </c>
      <c r="E623">
        <v>1530</v>
      </c>
      <c r="F623" s="1" t="s">
        <v>32</v>
      </c>
      <c r="G623" s="1" t="s">
        <v>21</v>
      </c>
      <c r="H623">
        <v>3</v>
      </c>
      <c r="I623" s="1" t="s">
        <v>39</v>
      </c>
      <c r="J623" s="1" t="s">
        <v>23</v>
      </c>
      <c r="K623">
        <v>2</v>
      </c>
      <c r="L623" s="1" t="s">
        <v>48</v>
      </c>
      <c r="M623">
        <v>32</v>
      </c>
      <c r="N623" s="1" t="s">
        <v>25</v>
      </c>
      <c r="O623" s="1" t="s">
        <v>26</v>
      </c>
      <c r="P623">
        <v>2</v>
      </c>
      <c r="Q623" s="1" t="s">
        <v>41</v>
      </c>
      <c r="R623">
        <v>1</v>
      </c>
      <c r="S623" s="1" t="s">
        <v>23</v>
      </c>
      <c r="T623" s="1" t="s">
        <v>28</v>
      </c>
      <c r="U623" s="1" t="s">
        <v>56</v>
      </c>
    </row>
    <row r="624" spans="1:21" x14ac:dyDescent="0.3">
      <c r="A624" s="1" t="s">
        <v>17</v>
      </c>
      <c r="B624">
        <v>48</v>
      </c>
      <c r="C624" s="1" t="s">
        <v>31</v>
      </c>
      <c r="D624" s="1" t="s">
        <v>61</v>
      </c>
      <c r="E624">
        <v>3914</v>
      </c>
      <c r="F624" s="1" t="s">
        <v>47</v>
      </c>
      <c r="G624" s="1" t="s">
        <v>21</v>
      </c>
      <c r="H624">
        <v>4</v>
      </c>
      <c r="I624" s="1" t="s">
        <v>64</v>
      </c>
      <c r="J624" s="1" t="s">
        <v>23</v>
      </c>
      <c r="K624">
        <v>2</v>
      </c>
      <c r="L624" s="1" t="s">
        <v>24</v>
      </c>
      <c r="M624">
        <v>38</v>
      </c>
      <c r="N624" s="1" t="s">
        <v>25</v>
      </c>
      <c r="O624" s="1" t="s">
        <v>26</v>
      </c>
      <c r="P624">
        <v>1</v>
      </c>
      <c r="Q624" s="1" t="s">
        <v>41</v>
      </c>
      <c r="R624">
        <v>1</v>
      </c>
      <c r="S624" s="1" t="s">
        <v>23</v>
      </c>
      <c r="T624" s="1" t="s">
        <v>28</v>
      </c>
      <c r="U624" s="1" t="s">
        <v>56</v>
      </c>
    </row>
    <row r="625" spans="1:21" x14ac:dyDescent="0.3">
      <c r="A625" s="1" t="s">
        <v>35</v>
      </c>
      <c r="B625">
        <v>12</v>
      </c>
      <c r="C625" s="1" t="s">
        <v>31</v>
      </c>
      <c r="D625" s="1" t="s">
        <v>53</v>
      </c>
      <c r="E625">
        <v>1858</v>
      </c>
      <c r="F625" s="1" t="s">
        <v>32</v>
      </c>
      <c r="G625" s="1" t="s">
        <v>45</v>
      </c>
      <c r="H625">
        <v>4</v>
      </c>
      <c r="I625" s="1" t="s">
        <v>22</v>
      </c>
      <c r="J625" s="1" t="s">
        <v>23</v>
      </c>
      <c r="K625">
        <v>1</v>
      </c>
      <c r="L625" s="1" t="s">
        <v>40</v>
      </c>
      <c r="M625">
        <v>22</v>
      </c>
      <c r="N625" s="1" t="s">
        <v>23</v>
      </c>
      <c r="O625" s="1" t="s">
        <v>34</v>
      </c>
      <c r="P625">
        <v>1</v>
      </c>
      <c r="Q625" s="1" t="s">
        <v>41</v>
      </c>
      <c r="R625">
        <v>1</v>
      </c>
      <c r="S625" s="1" t="s">
        <v>23</v>
      </c>
      <c r="T625" s="1" t="s">
        <v>28</v>
      </c>
      <c r="U625" s="1" t="s">
        <v>29</v>
      </c>
    </row>
    <row r="626" spans="1:21" x14ac:dyDescent="0.3">
      <c r="A626" s="1" t="s">
        <v>35</v>
      </c>
      <c r="B626">
        <v>18</v>
      </c>
      <c r="C626" s="1" t="s">
        <v>31</v>
      </c>
      <c r="D626" s="1" t="s">
        <v>36</v>
      </c>
      <c r="E626">
        <v>2600</v>
      </c>
      <c r="F626" s="1" t="s">
        <v>32</v>
      </c>
      <c r="G626" s="1" t="s">
        <v>21</v>
      </c>
      <c r="H626">
        <v>4</v>
      </c>
      <c r="I626" s="1" t="s">
        <v>39</v>
      </c>
      <c r="J626" s="1" t="s">
        <v>23</v>
      </c>
      <c r="K626">
        <v>4</v>
      </c>
      <c r="L626" s="1" t="s">
        <v>65</v>
      </c>
      <c r="M626">
        <v>65</v>
      </c>
      <c r="N626" s="1" t="s">
        <v>23</v>
      </c>
      <c r="O626" s="1" t="s">
        <v>66</v>
      </c>
      <c r="P626">
        <v>2</v>
      </c>
      <c r="Q626" s="1" t="s">
        <v>41</v>
      </c>
      <c r="R626">
        <v>1</v>
      </c>
      <c r="S626" s="1" t="s">
        <v>23</v>
      </c>
      <c r="T626" s="1" t="s">
        <v>28</v>
      </c>
      <c r="U626" s="1" t="s">
        <v>56</v>
      </c>
    </row>
    <row r="627" spans="1:21" x14ac:dyDescent="0.3">
      <c r="A627" s="1" t="s">
        <v>17</v>
      </c>
      <c r="B627">
        <v>15</v>
      </c>
      <c r="C627" s="1" t="s">
        <v>31</v>
      </c>
      <c r="D627" s="1" t="s">
        <v>36</v>
      </c>
      <c r="E627">
        <v>1979</v>
      </c>
      <c r="F627" s="1" t="s">
        <v>47</v>
      </c>
      <c r="G627" s="1" t="s">
        <v>38</v>
      </c>
      <c r="H627">
        <v>4</v>
      </c>
      <c r="I627" s="1" t="s">
        <v>39</v>
      </c>
      <c r="J627" s="1" t="s">
        <v>23</v>
      </c>
      <c r="K627">
        <v>2</v>
      </c>
      <c r="L627" s="1" t="s">
        <v>40</v>
      </c>
      <c r="M627">
        <v>35</v>
      </c>
      <c r="N627" s="1" t="s">
        <v>23</v>
      </c>
      <c r="O627" s="1" t="s">
        <v>26</v>
      </c>
      <c r="P627">
        <v>1</v>
      </c>
      <c r="Q627" s="1" t="s">
        <v>41</v>
      </c>
      <c r="R627">
        <v>1</v>
      </c>
      <c r="S627" s="1" t="s">
        <v>23</v>
      </c>
      <c r="T627" s="1" t="s">
        <v>28</v>
      </c>
      <c r="U627" s="1" t="s">
        <v>29</v>
      </c>
    </row>
    <row r="628" spans="1:21" x14ac:dyDescent="0.3">
      <c r="A628" s="1" t="s">
        <v>50</v>
      </c>
      <c r="B628">
        <v>6</v>
      </c>
      <c r="C628" s="1" t="s">
        <v>31</v>
      </c>
      <c r="D628" s="1" t="s">
        <v>53</v>
      </c>
      <c r="E628">
        <v>2116</v>
      </c>
      <c r="F628" s="1" t="s">
        <v>32</v>
      </c>
      <c r="G628" s="1" t="s">
        <v>21</v>
      </c>
      <c r="H628">
        <v>2</v>
      </c>
      <c r="I628" s="1" t="s">
        <v>39</v>
      </c>
      <c r="J628" s="1" t="s">
        <v>23</v>
      </c>
      <c r="K628">
        <v>2</v>
      </c>
      <c r="L628" s="1" t="s">
        <v>24</v>
      </c>
      <c r="M628">
        <v>41</v>
      </c>
      <c r="N628" s="1" t="s">
        <v>23</v>
      </c>
      <c r="O628" s="1" t="s">
        <v>26</v>
      </c>
      <c r="P628">
        <v>1</v>
      </c>
      <c r="Q628" s="1" t="s">
        <v>41</v>
      </c>
      <c r="R628">
        <v>1</v>
      </c>
      <c r="S628" s="1" t="s">
        <v>28</v>
      </c>
      <c r="T628" s="1" t="s">
        <v>28</v>
      </c>
      <c r="U628" s="1" t="s">
        <v>29</v>
      </c>
    </row>
    <row r="629" spans="1:21" x14ac:dyDescent="0.3">
      <c r="A629" s="1" t="s">
        <v>30</v>
      </c>
      <c r="B629">
        <v>9</v>
      </c>
      <c r="C629" s="1" t="s">
        <v>42</v>
      </c>
      <c r="D629" s="1" t="s">
        <v>19</v>
      </c>
      <c r="E629">
        <v>1437</v>
      </c>
      <c r="F629" s="1" t="s">
        <v>46</v>
      </c>
      <c r="G629" s="1" t="s">
        <v>49</v>
      </c>
      <c r="H629">
        <v>2</v>
      </c>
      <c r="I629" s="1" t="s">
        <v>39</v>
      </c>
      <c r="J629" s="1" t="s">
        <v>23</v>
      </c>
      <c r="K629">
        <v>3</v>
      </c>
      <c r="L629" s="1" t="s">
        <v>65</v>
      </c>
      <c r="M629">
        <v>29</v>
      </c>
      <c r="N629" s="1" t="s">
        <v>23</v>
      </c>
      <c r="O629" s="1" t="s">
        <v>26</v>
      </c>
      <c r="P629">
        <v>1</v>
      </c>
      <c r="Q629" s="1" t="s">
        <v>41</v>
      </c>
      <c r="R629">
        <v>1</v>
      </c>
      <c r="S629" s="1" t="s">
        <v>23</v>
      </c>
      <c r="T629" s="1" t="s">
        <v>28</v>
      </c>
      <c r="U629" s="1" t="s">
        <v>56</v>
      </c>
    </row>
    <row r="630" spans="1:21" x14ac:dyDescent="0.3">
      <c r="A630" s="1" t="s">
        <v>17</v>
      </c>
      <c r="B630">
        <v>42</v>
      </c>
      <c r="C630" s="1" t="s">
        <v>18</v>
      </c>
      <c r="D630" s="1" t="s">
        <v>53</v>
      </c>
      <c r="E630">
        <v>4042</v>
      </c>
      <c r="F630" s="1" t="s">
        <v>37</v>
      </c>
      <c r="G630" s="1" t="s">
        <v>21</v>
      </c>
      <c r="H630">
        <v>4</v>
      </c>
      <c r="I630" s="1" t="s">
        <v>39</v>
      </c>
      <c r="J630" s="1" t="s">
        <v>23</v>
      </c>
      <c r="K630">
        <v>4</v>
      </c>
      <c r="L630" s="1" t="s">
        <v>24</v>
      </c>
      <c r="M630">
        <v>36</v>
      </c>
      <c r="N630" s="1" t="s">
        <v>23</v>
      </c>
      <c r="O630" s="1" t="s">
        <v>26</v>
      </c>
      <c r="P630">
        <v>2</v>
      </c>
      <c r="Q630" s="1" t="s">
        <v>41</v>
      </c>
      <c r="R630">
        <v>1</v>
      </c>
      <c r="S630" s="1" t="s">
        <v>28</v>
      </c>
      <c r="T630" s="1" t="s">
        <v>28</v>
      </c>
      <c r="U630" s="1" t="s">
        <v>29</v>
      </c>
    </row>
    <row r="631" spans="1:21" x14ac:dyDescent="0.3">
      <c r="A631" s="1" t="s">
        <v>17</v>
      </c>
      <c r="B631">
        <v>9</v>
      </c>
      <c r="C631" s="1" t="s">
        <v>31</v>
      </c>
      <c r="D631" s="1" t="s">
        <v>51</v>
      </c>
      <c r="E631">
        <v>3832</v>
      </c>
      <c r="F631" s="1" t="s">
        <v>47</v>
      </c>
      <c r="G631" s="1" t="s">
        <v>38</v>
      </c>
      <c r="H631">
        <v>1</v>
      </c>
      <c r="I631" s="1" t="s">
        <v>39</v>
      </c>
      <c r="J631" s="1" t="s">
        <v>23</v>
      </c>
      <c r="K631">
        <v>4</v>
      </c>
      <c r="L631" s="1" t="s">
        <v>24</v>
      </c>
      <c r="M631">
        <v>64</v>
      </c>
      <c r="N631" s="1" t="s">
        <v>23</v>
      </c>
      <c r="O631" s="1" t="s">
        <v>26</v>
      </c>
      <c r="P631">
        <v>1</v>
      </c>
      <c r="Q631" s="1" t="s">
        <v>27</v>
      </c>
      <c r="R631">
        <v>1</v>
      </c>
      <c r="S631" s="1" t="s">
        <v>23</v>
      </c>
      <c r="T631" s="1" t="s">
        <v>28</v>
      </c>
      <c r="U631" s="1" t="s">
        <v>29</v>
      </c>
    </row>
    <row r="632" spans="1:21" x14ac:dyDescent="0.3">
      <c r="A632" s="1" t="s">
        <v>35</v>
      </c>
      <c r="B632">
        <v>24</v>
      </c>
      <c r="C632" s="1" t="s">
        <v>31</v>
      </c>
      <c r="D632" s="1" t="s">
        <v>36</v>
      </c>
      <c r="E632">
        <v>3660</v>
      </c>
      <c r="F632" s="1" t="s">
        <v>32</v>
      </c>
      <c r="G632" s="1" t="s">
        <v>21</v>
      </c>
      <c r="H632">
        <v>2</v>
      </c>
      <c r="I632" s="1" t="s">
        <v>22</v>
      </c>
      <c r="J632" s="1" t="s">
        <v>23</v>
      </c>
      <c r="K632">
        <v>4</v>
      </c>
      <c r="L632" s="1" t="s">
        <v>40</v>
      </c>
      <c r="M632">
        <v>28</v>
      </c>
      <c r="N632" s="1" t="s">
        <v>23</v>
      </c>
      <c r="O632" s="1" t="s">
        <v>26</v>
      </c>
      <c r="P632">
        <v>1</v>
      </c>
      <c r="Q632" s="1" t="s">
        <v>41</v>
      </c>
      <c r="R632">
        <v>1</v>
      </c>
      <c r="S632" s="1" t="s">
        <v>23</v>
      </c>
      <c r="T632" s="1" t="s">
        <v>28</v>
      </c>
      <c r="U632" s="1" t="s">
        <v>29</v>
      </c>
    </row>
    <row r="633" spans="1:21" x14ac:dyDescent="0.3">
      <c r="A633" s="1" t="s">
        <v>35</v>
      </c>
      <c r="B633">
        <v>18</v>
      </c>
      <c r="C633" s="1" t="s">
        <v>42</v>
      </c>
      <c r="D633" s="1" t="s">
        <v>53</v>
      </c>
      <c r="E633">
        <v>1553</v>
      </c>
      <c r="F633" s="1" t="s">
        <v>32</v>
      </c>
      <c r="G633" s="1" t="s">
        <v>21</v>
      </c>
      <c r="H633">
        <v>4</v>
      </c>
      <c r="I633" s="1" t="s">
        <v>39</v>
      </c>
      <c r="J633" s="1" t="s">
        <v>23</v>
      </c>
      <c r="K633">
        <v>3</v>
      </c>
      <c r="L633" s="1" t="s">
        <v>40</v>
      </c>
      <c r="M633">
        <v>44</v>
      </c>
      <c r="N633" s="1" t="s">
        <v>25</v>
      </c>
      <c r="O633" s="1" t="s">
        <v>26</v>
      </c>
      <c r="P633">
        <v>1</v>
      </c>
      <c r="Q633" s="1" t="s">
        <v>41</v>
      </c>
      <c r="R633">
        <v>1</v>
      </c>
      <c r="S633" s="1" t="s">
        <v>23</v>
      </c>
      <c r="T633" s="1" t="s">
        <v>28</v>
      </c>
      <c r="U633" s="1" t="s">
        <v>56</v>
      </c>
    </row>
    <row r="634" spans="1:21" x14ac:dyDescent="0.3">
      <c r="A634" s="1" t="s">
        <v>30</v>
      </c>
      <c r="B634">
        <v>15</v>
      </c>
      <c r="C634" s="1" t="s">
        <v>31</v>
      </c>
      <c r="D634" s="1" t="s">
        <v>36</v>
      </c>
      <c r="E634">
        <v>1444</v>
      </c>
      <c r="F634" s="1" t="s">
        <v>47</v>
      </c>
      <c r="G634" s="1" t="s">
        <v>45</v>
      </c>
      <c r="H634">
        <v>4</v>
      </c>
      <c r="I634" s="1" t="s">
        <v>39</v>
      </c>
      <c r="J634" s="1" t="s">
        <v>23</v>
      </c>
      <c r="K634">
        <v>1</v>
      </c>
      <c r="L634" s="1" t="s">
        <v>48</v>
      </c>
      <c r="M634">
        <v>23</v>
      </c>
      <c r="N634" s="1" t="s">
        <v>23</v>
      </c>
      <c r="O634" s="1" t="s">
        <v>26</v>
      </c>
      <c r="P634">
        <v>1</v>
      </c>
      <c r="Q634" s="1" t="s">
        <v>41</v>
      </c>
      <c r="R634">
        <v>1</v>
      </c>
      <c r="S634" s="1" t="s">
        <v>23</v>
      </c>
      <c r="T634" s="1" t="s">
        <v>28</v>
      </c>
      <c r="U634" s="1" t="s">
        <v>29</v>
      </c>
    </row>
    <row r="635" spans="1:21" x14ac:dyDescent="0.3">
      <c r="A635" s="1" t="s">
        <v>17</v>
      </c>
      <c r="B635">
        <v>9</v>
      </c>
      <c r="C635" s="1" t="s">
        <v>31</v>
      </c>
      <c r="D635" s="1" t="s">
        <v>53</v>
      </c>
      <c r="E635">
        <v>1980</v>
      </c>
      <c r="F635" s="1" t="s">
        <v>32</v>
      </c>
      <c r="G635" s="1" t="s">
        <v>45</v>
      </c>
      <c r="H635">
        <v>2</v>
      </c>
      <c r="I635" s="1" t="s">
        <v>22</v>
      </c>
      <c r="J635" s="1" t="s">
        <v>55</v>
      </c>
      <c r="K635">
        <v>2</v>
      </c>
      <c r="L635" s="1" t="s">
        <v>40</v>
      </c>
      <c r="M635">
        <v>19</v>
      </c>
      <c r="N635" s="1" t="s">
        <v>23</v>
      </c>
      <c r="O635" s="1" t="s">
        <v>34</v>
      </c>
      <c r="P635">
        <v>2</v>
      </c>
      <c r="Q635" s="1" t="s">
        <v>41</v>
      </c>
      <c r="R635">
        <v>1</v>
      </c>
      <c r="S635" s="1" t="s">
        <v>23</v>
      </c>
      <c r="T635" s="1" t="s">
        <v>28</v>
      </c>
      <c r="U635" s="1" t="s">
        <v>56</v>
      </c>
    </row>
    <row r="636" spans="1:21" x14ac:dyDescent="0.3">
      <c r="A636" s="1" t="s">
        <v>30</v>
      </c>
      <c r="B636">
        <v>24</v>
      </c>
      <c r="C636" s="1" t="s">
        <v>31</v>
      </c>
      <c r="D636" s="1" t="s">
        <v>19</v>
      </c>
      <c r="E636">
        <v>1355</v>
      </c>
      <c r="F636" s="1" t="s">
        <v>32</v>
      </c>
      <c r="G636" s="1" t="s">
        <v>45</v>
      </c>
      <c r="H636">
        <v>3</v>
      </c>
      <c r="I636" s="1" t="s">
        <v>22</v>
      </c>
      <c r="J636" s="1" t="s">
        <v>23</v>
      </c>
      <c r="K636">
        <v>4</v>
      </c>
      <c r="L636" s="1" t="s">
        <v>40</v>
      </c>
      <c r="M636">
        <v>25</v>
      </c>
      <c r="N636" s="1" t="s">
        <v>23</v>
      </c>
      <c r="O636" s="1" t="s">
        <v>26</v>
      </c>
      <c r="P636">
        <v>1</v>
      </c>
      <c r="Q636" s="1" t="s">
        <v>27</v>
      </c>
      <c r="R636">
        <v>1</v>
      </c>
      <c r="S636" s="1" t="s">
        <v>28</v>
      </c>
      <c r="T636" s="1" t="s">
        <v>28</v>
      </c>
      <c r="U636" s="1" t="s">
        <v>56</v>
      </c>
    </row>
    <row r="637" spans="1:21" x14ac:dyDescent="0.3">
      <c r="A637" s="1" t="s">
        <v>17</v>
      </c>
      <c r="B637">
        <v>12</v>
      </c>
      <c r="C637" s="1" t="s">
        <v>31</v>
      </c>
      <c r="D637" s="1" t="s">
        <v>51</v>
      </c>
      <c r="E637">
        <v>1393</v>
      </c>
      <c r="F637" s="1" t="s">
        <v>32</v>
      </c>
      <c r="G637" s="1" t="s">
        <v>38</v>
      </c>
      <c r="H637">
        <v>4</v>
      </c>
      <c r="I637" s="1" t="s">
        <v>39</v>
      </c>
      <c r="J637" s="1" t="s">
        <v>23</v>
      </c>
      <c r="K637">
        <v>4</v>
      </c>
      <c r="L637" s="1" t="s">
        <v>48</v>
      </c>
      <c r="M637">
        <v>47</v>
      </c>
      <c r="N637" s="1" t="s">
        <v>25</v>
      </c>
      <c r="O637" s="1" t="s">
        <v>26</v>
      </c>
      <c r="P637">
        <v>3</v>
      </c>
      <c r="Q637" s="1" t="s">
        <v>41</v>
      </c>
      <c r="R637">
        <v>2</v>
      </c>
      <c r="S637" s="1" t="s">
        <v>28</v>
      </c>
      <c r="T637" s="1" t="s">
        <v>28</v>
      </c>
      <c r="U637" s="1" t="s">
        <v>29</v>
      </c>
    </row>
    <row r="638" spans="1:21" x14ac:dyDescent="0.3">
      <c r="A638" s="1" t="s">
        <v>17</v>
      </c>
      <c r="B638">
        <v>24</v>
      </c>
      <c r="C638" s="1" t="s">
        <v>31</v>
      </c>
      <c r="D638" s="1" t="s">
        <v>36</v>
      </c>
      <c r="E638">
        <v>1376</v>
      </c>
      <c r="F638" s="1" t="s">
        <v>37</v>
      </c>
      <c r="G638" s="1" t="s">
        <v>49</v>
      </c>
      <c r="H638">
        <v>4</v>
      </c>
      <c r="I638" s="1" t="s">
        <v>22</v>
      </c>
      <c r="J638" s="1" t="s">
        <v>23</v>
      </c>
      <c r="K638">
        <v>1</v>
      </c>
      <c r="L638" s="1" t="s">
        <v>40</v>
      </c>
      <c r="M638">
        <v>28</v>
      </c>
      <c r="N638" s="1" t="s">
        <v>23</v>
      </c>
      <c r="O638" s="1" t="s">
        <v>26</v>
      </c>
      <c r="P638">
        <v>1</v>
      </c>
      <c r="Q638" s="1" t="s">
        <v>41</v>
      </c>
      <c r="R638">
        <v>1</v>
      </c>
      <c r="S638" s="1" t="s">
        <v>23</v>
      </c>
      <c r="T638" s="1" t="s">
        <v>28</v>
      </c>
      <c r="U638" s="1" t="s">
        <v>29</v>
      </c>
    </row>
    <row r="639" spans="1:21" x14ac:dyDescent="0.3">
      <c r="A639" s="1" t="s">
        <v>17</v>
      </c>
      <c r="B639">
        <v>60</v>
      </c>
      <c r="C639" s="1" t="s">
        <v>59</v>
      </c>
      <c r="D639" s="1" t="s">
        <v>36</v>
      </c>
      <c r="E639">
        <v>15653</v>
      </c>
      <c r="F639" s="1" t="s">
        <v>32</v>
      </c>
      <c r="G639" s="1" t="s">
        <v>49</v>
      </c>
      <c r="H639">
        <v>2</v>
      </c>
      <c r="I639" s="1" t="s">
        <v>39</v>
      </c>
      <c r="J639" s="1" t="s">
        <v>23</v>
      </c>
      <c r="K639">
        <v>4</v>
      </c>
      <c r="L639" s="1" t="s">
        <v>40</v>
      </c>
      <c r="M639">
        <v>21</v>
      </c>
      <c r="N639" s="1" t="s">
        <v>23</v>
      </c>
      <c r="O639" s="1" t="s">
        <v>26</v>
      </c>
      <c r="P639">
        <v>2</v>
      </c>
      <c r="Q639" s="1" t="s">
        <v>41</v>
      </c>
      <c r="R639">
        <v>1</v>
      </c>
      <c r="S639" s="1" t="s">
        <v>28</v>
      </c>
      <c r="T639" s="1" t="s">
        <v>28</v>
      </c>
      <c r="U639" s="1" t="s">
        <v>29</v>
      </c>
    </row>
    <row r="640" spans="1:21" x14ac:dyDescent="0.3">
      <c r="A640" s="1" t="s">
        <v>17</v>
      </c>
      <c r="B640">
        <v>12</v>
      </c>
      <c r="C640" s="1" t="s">
        <v>31</v>
      </c>
      <c r="D640" s="1" t="s">
        <v>36</v>
      </c>
      <c r="E640">
        <v>1493</v>
      </c>
      <c r="F640" s="1" t="s">
        <v>32</v>
      </c>
      <c r="G640" s="1" t="s">
        <v>45</v>
      </c>
      <c r="H640">
        <v>4</v>
      </c>
      <c r="I640" s="1" t="s">
        <v>22</v>
      </c>
      <c r="J640" s="1" t="s">
        <v>23</v>
      </c>
      <c r="K640">
        <v>3</v>
      </c>
      <c r="L640" s="1" t="s">
        <v>40</v>
      </c>
      <c r="M640">
        <v>34</v>
      </c>
      <c r="N640" s="1" t="s">
        <v>23</v>
      </c>
      <c r="O640" s="1" t="s">
        <v>26</v>
      </c>
      <c r="P640">
        <v>1</v>
      </c>
      <c r="Q640" s="1" t="s">
        <v>41</v>
      </c>
      <c r="R640">
        <v>2</v>
      </c>
      <c r="S640" s="1" t="s">
        <v>23</v>
      </c>
      <c r="T640" s="1" t="s">
        <v>28</v>
      </c>
      <c r="U640" s="1" t="s">
        <v>29</v>
      </c>
    </row>
    <row r="641" spans="1:21" x14ac:dyDescent="0.3">
      <c r="A641" s="1" t="s">
        <v>35</v>
      </c>
      <c r="B641">
        <v>42</v>
      </c>
      <c r="C641" s="1" t="s">
        <v>59</v>
      </c>
      <c r="D641" s="1" t="s">
        <v>36</v>
      </c>
      <c r="E641">
        <v>4370</v>
      </c>
      <c r="F641" s="1" t="s">
        <v>32</v>
      </c>
      <c r="G641" s="1" t="s">
        <v>49</v>
      </c>
      <c r="H641">
        <v>3</v>
      </c>
      <c r="I641" s="1" t="s">
        <v>39</v>
      </c>
      <c r="J641" s="1" t="s">
        <v>23</v>
      </c>
      <c r="K641">
        <v>2</v>
      </c>
      <c r="L641" s="1" t="s">
        <v>48</v>
      </c>
      <c r="M641">
        <v>26</v>
      </c>
      <c r="N641" s="1" t="s">
        <v>25</v>
      </c>
      <c r="O641" s="1" t="s">
        <v>26</v>
      </c>
      <c r="P641">
        <v>2</v>
      </c>
      <c r="Q641" s="1" t="s">
        <v>41</v>
      </c>
      <c r="R641">
        <v>2</v>
      </c>
      <c r="S641" s="1" t="s">
        <v>28</v>
      </c>
      <c r="T641" s="1" t="s">
        <v>28</v>
      </c>
      <c r="U641" s="1" t="s">
        <v>56</v>
      </c>
    </row>
    <row r="642" spans="1:21" x14ac:dyDescent="0.3">
      <c r="A642" s="1" t="s">
        <v>35</v>
      </c>
      <c r="B642">
        <v>18</v>
      </c>
      <c r="C642" s="1" t="s">
        <v>31</v>
      </c>
      <c r="D642" s="1" t="s">
        <v>51</v>
      </c>
      <c r="E642">
        <v>750</v>
      </c>
      <c r="F642" s="1" t="s">
        <v>32</v>
      </c>
      <c r="G642" s="1" t="s">
        <v>54</v>
      </c>
      <c r="H642">
        <v>4</v>
      </c>
      <c r="I642" s="1" t="s">
        <v>22</v>
      </c>
      <c r="J642" s="1" t="s">
        <v>23</v>
      </c>
      <c r="K642">
        <v>1</v>
      </c>
      <c r="L642" s="1" t="s">
        <v>24</v>
      </c>
      <c r="M642">
        <v>27</v>
      </c>
      <c r="N642" s="1" t="s">
        <v>23</v>
      </c>
      <c r="O642" s="1" t="s">
        <v>26</v>
      </c>
      <c r="P642">
        <v>1</v>
      </c>
      <c r="Q642" s="1" t="s">
        <v>62</v>
      </c>
      <c r="R642">
        <v>1</v>
      </c>
      <c r="S642" s="1" t="s">
        <v>23</v>
      </c>
      <c r="T642" s="1" t="s">
        <v>28</v>
      </c>
      <c r="U642" s="1" t="s">
        <v>56</v>
      </c>
    </row>
    <row r="643" spans="1:21" x14ac:dyDescent="0.3">
      <c r="A643" s="1" t="s">
        <v>30</v>
      </c>
      <c r="B643">
        <v>15</v>
      </c>
      <c r="C643" s="1" t="s">
        <v>31</v>
      </c>
      <c r="D643" s="1" t="s">
        <v>57</v>
      </c>
      <c r="E643">
        <v>1308</v>
      </c>
      <c r="F643" s="1" t="s">
        <v>32</v>
      </c>
      <c r="G643" s="1" t="s">
        <v>38</v>
      </c>
      <c r="H643">
        <v>4</v>
      </c>
      <c r="I643" s="1" t="s">
        <v>39</v>
      </c>
      <c r="J643" s="1" t="s">
        <v>23</v>
      </c>
      <c r="K643">
        <v>4</v>
      </c>
      <c r="L643" s="1" t="s">
        <v>40</v>
      </c>
      <c r="M643">
        <v>38</v>
      </c>
      <c r="N643" s="1" t="s">
        <v>23</v>
      </c>
      <c r="O643" s="1" t="s">
        <v>26</v>
      </c>
      <c r="P643">
        <v>2</v>
      </c>
      <c r="Q643" s="1" t="s">
        <v>27</v>
      </c>
      <c r="R643">
        <v>1</v>
      </c>
      <c r="S643" s="1" t="s">
        <v>23</v>
      </c>
      <c r="T643" s="1" t="s">
        <v>28</v>
      </c>
      <c r="U643" s="1" t="s">
        <v>29</v>
      </c>
    </row>
    <row r="644" spans="1:21" x14ac:dyDescent="0.3">
      <c r="A644" s="1" t="s">
        <v>17</v>
      </c>
      <c r="B644">
        <v>15</v>
      </c>
      <c r="C644" s="1" t="s">
        <v>31</v>
      </c>
      <c r="D644" s="1" t="s">
        <v>51</v>
      </c>
      <c r="E644">
        <v>4623</v>
      </c>
      <c r="F644" s="1" t="s">
        <v>46</v>
      </c>
      <c r="G644" s="1" t="s">
        <v>21</v>
      </c>
      <c r="H644">
        <v>3</v>
      </c>
      <c r="I644" s="1" t="s">
        <v>39</v>
      </c>
      <c r="J644" s="1" t="s">
        <v>23</v>
      </c>
      <c r="K644">
        <v>2</v>
      </c>
      <c r="L644" s="1" t="s">
        <v>48</v>
      </c>
      <c r="M644">
        <v>40</v>
      </c>
      <c r="N644" s="1" t="s">
        <v>23</v>
      </c>
      <c r="O644" s="1" t="s">
        <v>26</v>
      </c>
      <c r="P644">
        <v>1</v>
      </c>
      <c r="Q644" s="1" t="s">
        <v>63</v>
      </c>
      <c r="R644">
        <v>1</v>
      </c>
      <c r="S644" s="1" t="s">
        <v>28</v>
      </c>
      <c r="T644" s="1" t="s">
        <v>28</v>
      </c>
      <c r="U644" s="1" t="s">
        <v>56</v>
      </c>
    </row>
    <row r="645" spans="1:21" x14ac:dyDescent="0.3">
      <c r="A645" s="1" t="s">
        <v>17</v>
      </c>
      <c r="B645">
        <v>24</v>
      </c>
      <c r="C645" s="1" t="s">
        <v>18</v>
      </c>
      <c r="D645" s="1" t="s">
        <v>36</v>
      </c>
      <c r="E645">
        <v>1851</v>
      </c>
      <c r="F645" s="1" t="s">
        <v>32</v>
      </c>
      <c r="G645" s="1" t="s">
        <v>49</v>
      </c>
      <c r="H645">
        <v>4</v>
      </c>
      <c r="I645" s="1" t="s">
        <v>33</v>
      </c>
      <c r="J645" s="1" t="s">
        <v>58</v>
      </c>
      <c r="K645">
        <v>2</v>
      </c>
      <c r="L645" s="1" t="s">
        <v>40</v>
      </c>
      <c r="M645">
        <v>33</v>
      </c>
      <c r="N645" s="1" t="s">
        <v>23</v>
      </c>
      <c r="O645" s="1" t="s">
        <v>26</v>
      </c>
      <c r="P645">
        <v>2</v>
      </c>
      <c r="Q645" s="1" t="s">
        <v>41</v>
      </c>
      <c r="R645">
        <v>1</v>
      </c>
      <c r="S645" s="1" t="s">
        <v>28</v>
      </c>
      <c r="T645" s="1" t="s">
        <v>28</v>
      </c>
      <c r="U645" s="1" t="s">
        <v>29</v>
      </c>
    </row>
    <row r="646" spans="1:21" x14ac:dyDescent="0.3">
      <c r="A646" s="1" t="s">
        <v>35</v>
      </c>
      <c r="B646">
        <v>18</v>
      </c>
      <c r="C646" s="1" t="s">
        <v>18</v>
      </c>
      <c r="D646" s="1" t="s">
        <v>36</v>
      </c>
      <c r="E646">
        <v>1880</v>
      </c>
      <c r="F646" s="1" t="s">
        <v>32</v>
      </c>
      <c r="G646" s="1" t="s">
        <v>49</v>
      </c>
      <c r="H646">
        <v>4</v>
      </c>
      <c r="I646" s="1" t="s">
        <v>33</v>
      </c>
      <c r="J646" s="1" t="s">
        <v>23</v>
      </c>
      <c r="K646">
        <v>1</v>
      </c>
      <c r="L646" s="1" t="s">
        <v>48</v>
      </c>
      <c r="M646">
        <v>32</v>
      </c>
      <c r="N646" s="1" t="s">
        <v>23</v>
      </c>
      <c r="O646" s="1" t="s">
        <v>26</v>
      </c>
      <c r="P646">
        <v>2</v>
      </c>
      <c r="Q646" s="1" t="s">
        <v>63</v>
      </c>
      <c r="R646">
        <v>1</v>
      </c>
      <c r="S646" s="1" t="s">
        <v>28</v>
      </c>
      <c r="T646" s="1" t="s">
        <v>28</v>
      </c>
      <c r="U646" s="1" t="s">
        <v>29</v>
      </c>
    </row>
    <row r="647" spans="1:21" x14ac:dyDescent="0.3">
      <c r="A647" s="1" t="s">
        <v>17</v>
      </c>
      <c r="B647">
        <v>36</v>
      </c>
      <c r="C647" s="1" t="s">
        <v>59</v>
      </c>
      <c r="D647" s="1" t="s">
        <v>61</v>
      </c>
      <c r="E647">
        <v>7980</v>
      </c>
      <c r="F647" s="1" t="s">
        <v>47</v>
      </c>
      <c r="G647" s="1" t="s">
        <v>45</v>
      </c>
      <c r="H647">
        <v>4</v>
      </c>
      <c r="I647" s="1" t="s">
        <v>39</v>
      </c>
      <c r="J647" s="1" t="s">
        <v>23</v>
      </c>
      <c r="K647">
        <v>4</v>
      </c>
      <c r="L647" s="1" t="s">
        <v>40</v>
      </c>
      <c r="M647">
        <v>27</v>
      </c>
      <c r="N647" s="1" t="s">
        <v>23</v>
      </c>
      <c r="O647" s="1" t="s">
        <v>34</v>
      </c>
      <c r="P647">
        <v>2</v>
      </c>
      <c r="Q647" s="1" t="s">
        <v>41</v>
      </c>
      <c r="R647">
        <v>1</v>
      </c>
      <c r="S647" s="1" t="s">
        <v>28</v>
      </c>
      <c r="T647" s="1" t="s">
        <v>28</v>
      </c>
      <c r="U647" s="1" t="s">
        <v>56</v>
      </c>
    </row>
    <row r="648" spans="1:21" x14ac:dyDescent="0.3">
      <c r="A648" s="1" t="s">
        <v>35</v>
      </c>
      <c r="B648">
        <v>30</v>
      </c>
      <c r="C648" s="1" t="s">
        <v>52</v>
      </c>
      <c r="D648" s="1" t="s">
        <v>53</v>
      </c>
      <c r="E648">
        <v>4583</v>
      </c>
      <c r="F648" s="1" t="s">
        <v>32</v>
      </c>
      <c r="G648" s="1" t="s">
        <v>21</v>
      </c>
      <c r="H648">
        <v>2</v>
      </c>
      <c r="I648" s="1" t="s">
        <v>64</v>
      </c>
      <c r="J648" s="1" t="s">
        <v>58</v>
      </c>
      <c r="K648">
        <v>2</v>
      </c>
      <c r="L648" s="1" t="s">
        <v>24</v>
      </c>
      <c r="M648">
        <v>32</v>
      </c>
      <c r="N648" s="1" t="s">
        <v>23</v>
      </c>
      <c r="O648" s="1" t="s">
        <v>26</v>
      </c>
      <c r="P648">
        <v>2</v>
      </c>
      <c r="Q648" s="1" t="s">
        <v>41</v>
      </c>
      <c r="R648">
        <v>1</v>
      </c>
      <c r="S648" s="1" t="s">
        <v>23</v>
      </c>
      <c r="T648" s="1" t="s">
        <v>28</v>
      </c>
      <c r="U648" s="1" t="s">
        <v>29</v>
      </c>
    </row>
    <row r="649" spans="1:21" x14ac:dyDescent="0.3">
      <c r="A649" s="1" t="s">
        <v>17</v>
      </c>
      <c r="B649">
        <v>12</v>
      </c>
      <c r="C649" s="1" t="s">
        <v>31</v>
      </c>
      <c r="D649" s="1" t="s">
        <v>19</v>
      </c>
      <c r="E649">
        <v>1386</v>
      </c>
      <c r="F649" s="1" t="s">
        <v>37</v>
      </c>
      <c r="G649" s="1" t="s">
        <v>21</v>
      </c>
      <c r="H649">
        <v>2</v>
      </c>
      <c r="I649" s="1" t="s">
        <v>22</v>
      </c>
      <c r="J649" s="1" t="s">
        <v>23</v>
      </c>
      <c r="K649">
        <v>2</v>
      </c>
      <c r="L649" s="1" t="s">
        <v>48</v>
      </c>
      <c r="M649">
        <v>26</v>
      </c>
      <c r="N649" s="1" t="s">
        <v>23</v>
      </c>
      <c r="O649" s="1" t="s">
        <v>26</v>
      </c>
      <c r="P649">
        <v>1</v>
      </c>
      <c r="Q649" s="1" t="s">
        <v>41</v>
      </c>
      <c r="R649">
        <v>1</v>
      </c>
      <c r="S649" s="1" t="s">
        <v>23</v>
      </c>
      <c r="T649" s="1" t="s">
        <v>28</v>
      </c>
      <c r="U649" s="1" t="s">
        <v>56</v>
      </c>
    </row>
    <row r="650" spans="1:21" x14ac:dyDescent="0.3">
      <c r="A650" s="1" t="s">
        <v>50</v>
      </c>
      <c r="B650">
        <v>24</v>
      </c>
      <c r="C650" s="1" t="s">
        <v>31</v>
      </c>
      <c r="D650" s="1" t="s">
        <v>19</v>
      </c>
      <c r="E650">
        <v>947</v>
      </c>
      <c r="F650" s="1" t="s">
        <v>32</v>
      </c>
      <c r="G650" s="1" t="s">
        <v>49</v>
      </c>
      <c r="H650">
        <v>4</v>
      </c>
      <c r="I650" s="1" t="s">
        <v>39</v>
      </c>
      <c r="J650" s="1" t="s">
        <v>23</v>
      </c>
      <c r="K650">
        <v>3</v>
      </c>
      <c r="L650" s="1" t="s">
        <v>65</v>
      </c>
      <c r="M650">
        <v>38</v>
      </c>
      <c r="N650" s="1" t="s">
        <v>25</v>
      </c>
      <c r="O650" s="1" t="s">
        <v>66</v>
      </c>
      <c r="P650">
        <v>1</v>
      </c>
      <c r="Q650" s="1" t="s">
        <v>41</v>
      </c>
      <c r="R650">
        <v>2</v>
      </c>
      <c r="S650" s="1" t="s">
        <v>23</v>
      </c>
      <c r="T650" s="1" t="s">
        <v>28</v>
      </c>
      <c r="U650" s="1" t="s">
        <v>56</v>
      </c>
    </row>
    <row r="651" spans="1:21" x14ac:dyDescent="0.3">
      <c r="A651" s="1" t="s">
        <v>35</v>
      </c>
      <c r="B651">
        <v>12</v>
      </c>
      <c r="C651" s="1" t="s">
        <v>31</v>
      </c>
      <c r="D651" s="1" t="s">
        <v>51</v>
      </c>
      <c r="E651">
        <v>684</v>
      </c>
      <c r="F651" s="1" t="s">
        <v>32</v>
      </c>
      <c r="G651" s="1" t="s">
        <v>21</v>
      </c>
      <c r="H651">
        <v>4</v>
      </c>
      <c r="I651" s="1" t="s">
        <v>39</v>
      </c>
      <c r="J651" s="1" t="s">
        <v>23</v>
      </c>
      <c r="K651">
        <v>4</v>
      </c>
      <c r="L651" s="1" t="s">
        <v>40</v>
      </c>
      <c r="M651">
        <v>40</v>
      </c>
      <c r="N651" s="1" t="s">
        <v>23</v>
      </c>
      <c r="O651" s="1" t="s">
        <v>34</v>
      </c>
      <c r="P651">
        <v>1</v>
      </c>
      <c r="Q651" s="1" t="s">
        <v>27</v>
      </c>
      <c r="R651">
        <v>2</v>
      </c>
      <c r="S651" s="1" t="s">
        <v>23</v>
      </c>
      <c r="T651" s="1" t="s">
        <v>28</v>
      </c>
      <c r="U651" s="1" t="s">
        <v>56</v>
      </c>
    </row>
    <row r="652" spans="1:21" x14ac:dyDescent="0.3">
      <c r="A652" s="1" t="s">
        <v>35</v>
      </c>
      <c r="B652">
        <v>48</v>
      </c>
      <c r="C652" s="1" t="s">
        <v>31</v>
      </c>
      <c r="D652" s="1" t="s">
        <v>51</v>
      </c>
      <c r="E652">
        <v>7476</v>
      </c>
      <c r="F652" s="1" t="s">
        <v>32</v>
      </c>
      <c r="G652" s="1" t="s">
        <v>49</v>
      </c>
      <c r="H652">
        <v>4</v>
      </c>
      <c r="I652" s="1" t="s">
        <v>39</v>
      </c>
      <c r="J652" s="1" t="s">
        <v>23</v>
      </c>
      <c r="K652">
        <v>1</v>
      </c>
      <c r="L652" s="1" t="s">
        <v>65</v>
      </c>
      <c r="M652">
        <v>50</v>
      </c>
      <c r="N652" s="1" t="s">
        <v>23</v>
      </c>
      <c r="O652" s="1" t="s">
        <v>66</v>
      </c>
      <c r="P652">
        <v>1</v>
      </c>
      <c r="Q652" s="1" t="s">
        <v>63</v>
      </c>
      <c r="R652">
        <v>1</v>
      </c>
      <c r="S652" s="1" t="s">
        <v>28</v>
      </c>
      <c r="T652" s="1" t="s">
        <v>28</v>
      </c>
      <c r="U652" s="1" t="s">
        <v>29</v>
      </c>
    </row>
    <row r="653" spans="1:21" x14ac:dyDescent="0.3">
      <c r="A653" s="1" t="s">
        <v>30</v>
      </c>
      <c r="B653">
        <v>12</v>
      </c>
      <c r="C653" s="1" t="s">
        <v>31</v>
      </c>
      <c r="D653" s="1" t="s">
        <v>53</v>
      </c>
      <c r="E653">
        <v>1922</v>
      </c>
      <c r="F653" s="1" t="s">
        <v>32</v>
      </c>
      <c r="G653" s="1" t="s">
        <v>21</v>
      </c>
      <c r="H653">
        <v>4</v>
      </c>
      <c r="I653" s="1" t="s">
        <v>39</v>
      </c>
      <c r="J653" s="1" t="s">
        <v>23</v>
      </c>
      <c r="K653">
        <v>2</v>
      </c>
      <c r="L653" s="1" t="s">
        <v>48</v>
      </c>
      <c r="M653">
        <v>37</v>
      </c>
      <c r="N653" s="1" t="s">
        <v>23</v>
      </c>
      <c r="O653" s="1" t="s">
        <v>26</v>
      </c>
      <c r="P653">
        <v>1</v>
      </c>
      <c r="Q653" s="1" t="s">
        <v>27</v>
      </c>
      <c r="R653">
        <v>1</v>
      </c>
      <c r="S653" s="1" t="s">
        <v>23</v>
      </c>
      <c r="T653" s="1" t="s">
        <v>28</v>
      </c>
      <c r="U653" s="1" t="s">
        <v>56</v>
      </c>
    </row>
    <row r="654" spans="1:21" x14ac:dyDescent="0.3">
      <c r="A654" s="1" t="s">
        <v>35</v>
      </c>
      <c r="B654">
        <v>24</v>
      </c>
      <c r="C654" s="1" t="s">
        <v>31</v>
      </c>
      <c r="D654" s="1" t="s">
        <v>19</v>
      </c>
      <c r="E654">
        <v>2303</v>
      </c>
      <c r="F654" s="1" t="s">
        <v>32</v>
      </c>
      <c r="G654" s="1" t="s">
        <v>38</v>
      </c>
      <c r="H654">
        <v>4</v>
      </c>
      <c r="I654" s="1" t="s">
        <v>39</v>
      </c>
      <c r="J654" s="1" t="s">
        <v>55</v>
      </c>
      <c r="K654">
        <v>1</v>
      </c>
      <c r="L654" s="1" t="s">
        <v>24</v>
      </c>
      <c r="M654">
        <v>45</v>
      </c>
      <c r="N654" s="1" t="s">
        <v>23</v>
      </c>
      <c r="O654" s="1" t="s">
        <v>26</v>
      </c>
      <c r="P654">
        <v>1</v>
      </c>
      <c r="Q654" s="1" t="s">
        <v>41</v>
      </c>
      <c r="R654">
        <v>1</v>
      </c>
      <c r="S654" s="1" t="s">
        <v>23</v>
      </c>
      <c r="T654" s="1" t="s">
        <v>28</v>
      </c>
      <c r="U654" s="1" t="s">
        <v>56</v>
      </c>
    </row>
    <row r="655" spans="1:21" x14ac:dyDescent="0.3">
      <c r="A655" s="1" t="s">
        <v>30</v>
      </c>
      <c r="B655">
        <v>36</v>
      </c>
      <c r="C655" s="1" t="s">
        <v>59</v>
      </c>
      <c r="D655" s="1" t="s">
        <v>19</v>
      </c>
      <c r="E655">
        <v>8086</v>
      </c>
      <c r="F655" s="1" t="s">
        <v>46</v>
      </c>
      <c r="G655" s="1" t="s">
        <v>38</v>
      </c>
      <c r="H655">
        <v>2</v>
      </c>
      <c r="I655" s="1" t="s">
        <v>39</v>
      </c>
      <c r="J655" s="1" t="s">
        <v>23</v>
      </c>
      <c r="K655">
        <v>4</v>
      </c>
      <c r="L655" s="1" t="s">
        <v>40</v>
      </c>
      <c r="M655">
        <v>42</v>
      </c>
      <c r="N655" s="1" t="s">
        <v>23</v>
      </c>
      <c r="O655" s="1" t="s">
        <v>26</v>
      </c>
      <c r="P655">
        <v>4</v>
      </c>
      <c r="Q655" s="1" t="s">
        <v>63</v>
      </c>
      <c r="R655">
        <v>1</v>
      </c>
      <c r="S655" s="1" t="s">
        <v>28</v>
      </c>
      <c r="T655" s="1" t="s">
        <v>28</v>
      </c>
      <c r="U655" s="1" t="s">
        <v>56</v>
      </c>
    </row>
    <row r="656" spans="1:21" x14ac:dyDescent="0.3">
      <c r="A656" s="1" t="s">
        <v>17</v>
      </c>
      <c r="B656">
        <v>24</v>
      </c>
      <c r="C656" s="1" t="s">
        <v>18</v>
      </c>
      <c r="D656" s="1" t="s">
        <v>69</v>
      </c>
      <c r="E656">
        <v>2346</v>
      </c>
      <c r="F656" s="1" t="s">
        <v>32</v>
      </c>
      <c r="G656" s="1" t="s">
        <v>49</v>
      </c>
      <c r="H656">
        <v>4</v>
      </c>
      <c r="I656" s="1" t="s">
        <v>39</v>
      </c>
      <c r="J656" s="1" t="s">
        <v>23</v>
      </c>
      <c r="K656">
        <v>3</v>
      </c>
      <c r="L656" s="1" t="s">
        <v>40</v>
      </c>
      <c r="M656">
        <v>35</v>
      </c>
      <c r="N656" s="1" t="s">
        <v>23</v>
      </c>
      <c r="O656" s="1" t="s">
        <v>26</v>
      </c>
      <c r="P656">
        <v>2</v>
      </c>
      <c r="Q656" s="1" t="s">
        <v>41</v>
      </c>
      <c r="R656">
        <v>1</v>
      </c>
      <c r="S656" s="1" t="s">
        <v>28</v>
      </c>
      <c r="T656" s="1" t="s">
        <v>28</v>
      </c>
      <c r="U656" s="1" t="s">
        <v>29</v>
      </c>
    </row>
    <row r="657" spans="1:21" x14ac:dyDescent="0.3">
      <c r="A657" s="1" t="s">
        <v>35</v>
      </c>
      <c r="B657">
        <v>14</v>
      </c>
      <c r="C657" s="1" t="s">
        <v>31</v>
      </c>
      <c r="D657" s="1" t="s">
        <v>19</v>
      </c>
      <c r="E657">
        <v>3973</v>
      </c>
      <c r="F657" s="1" t="s">
        <v>32</v>
      </c>
      <c r="G657" s="1" t="s">
        <v>54</v>
      </c>
      <c r="H657">
        <v>1</v>
      </c>
      <c r="I657" s="1" t="s">
        <v>39</v>
      </c>
      <c r="J657" s="1" t="s">
        <v>23</v>
      </c>
      <c r="K657">
        <v>4</v>
      </c>
      <c r="L657" s="1" t="s">
        <v>65</v>
      </c>
      <c r="M657">
        <v>22</v>
      </c>
      <c r="N657" s="1" t="s">
        <v>23</v>
      </c>
      <c r="O657" s="1" t="s">
        <v>66</v>
      </c>
      <c r="P657">
        <v>1</v>
      </c>
      <c r="Q657" s="1" t="s">
        <v>41</v>
      </c>
      <c r="R657">
        <v>1</v>
      </c>
      <c r="S657" s="1" t="s">
        <v>23</v>
      </c>
      <c r="T657" s="1" t="s">
        <v>28</v>
      </c>
      <c r="U657" s="1" t="s">
        <v>29</v>
      </c>
    </row>
    <row r="658" spans="1:21" x14ac:dyDescent="0.3">
      <c r="A658" s="1" t="s">
        <v>30</v>
      </c>
      <c r="B658">
        <v>12</v>
      </c>
      <c r="C658" s="1" t="s">
        <v>31</v>
      </c>
      <c r="D658" s="1" t="s">
        <v>19</v>
      </c>
      <c r="E658">
        <v>888</v>
      </c>
      <c r="F658" s="1" t="s">
        <v>32</v>
      </c>
      <c r="G658" s="1" t="s">
        <v>38</v>
      </c>
      <c r="H658">
        <v>4</v>
      </c>
      <c r="I658" s="1" t="s">
        <v>39</v>
      </c>
      <c r="J658" s="1" t="s">
        <v>23</v>
      </c>
      <c r="K658">
        <v>4</v>
      </c>
      <c r="L658" s="1" t="s">
        <v>40</v>
      </c>
      <c r="M658">
        <v>41</v>
      </c>
      <c r="N658" s="1" t="s">
        <v>25</v>
      </c>
      <c r="O658" s="1" t="s">
        <v>26</v>
      </c>
      <c r="P658">
        <v>1</v>
      </c>
      <c r="Q658" s="1" t="s">
        <v>27</v>
      </c>
      <c r="R658">
        <v>2</v>
      </c>
      <c r="S658" s="1" t="s">
        <v>23</v>
      </c>
      <c r="T658" s="1" t="s">
        <v>28</v>
      </c>
      <c r="U658" s="1" t="s">
        <v>56</v>
      </c>
    </row>
    <row r="659" spans="1:21" x14ac:dyDescent="0.3">
      <c r="A659" s="1" t="s">
        <v>17</v>
      </c>
      <c r="B659">
        <v>48</v>
      </c>
      <c r="C659" s="1" t="s">
        <v>31</v>
      </c>
      <c r="D659" s="1" t="s">
        <v>36</v>
      </c>
      <c r="E659">
        <v>10222</v>
      </c>
      <c r="F659" s="1" t="s">
        <v>47</v>
      </c>
      <c r="G659" s="1" t="s">
        <v>49</v>
      </c>
      <c r="H659">
        <v>4</v>
      </c>
      <c r="I659" s="1" t="s">
        <v>39</v>
      </c>
      <c r="J659" s="1" t="s">
        <v>23</v>
      </c>
      <c r="K659">
        <v>3</v>
      </c>
      <c r="L659" s="1" t="s">
        <v>40</v>
      </c>
      <c r="M659">
        <v>37</v>
      </c>
      <c r="N659" s="1" t="s">
        <v>67</v>
      </c>
      <c r="O659" s="1" t="s">
        <v>26</v>
      </c>
      <c r="P659">
        <v>1</v>
      </c>
      <c r="Q659" s="1" t="s">
        <v>41</v>
      </c>
      <c r="R659">
        <v>1</v>
      </c>
      <c r="S659" s="1" t="s">
        <v>28</v>
      </c>
      <c r="T659" s="1" t="s">
        <v>28</v>
      </c>
      <c r="U659" s="1" t="s">
        <v>29</v>
      </c>
    </row>
    <row r="660" spans="1:21" x14ac:dyDescent="0.3">
      <c r="A660" s="1" t="s">
        <v>30</v>
      </c>
      <c r="B660">
        <v>30</v>
      </c>
      <c r="C660" s="1" t="s">
        <v>52</v>
      </c>
      <c r="D660" s="1" t="s">
        <v>61</v>
      </c>
      <c r="E660">
        <v>4221</v>
      </c>
      <c r="F660" s="1" t="s">
        <v>32</v>
      </c>
      <c r="G660" s="1" t="s">
        <v>21</v>
      </c>
      <c r="H660">
        <v>2</v>
      </c>
      <c r="I660" s="1" t="s">
        <v>22</v>
      </c>
      <c r="J660" s="1" t="s">
        <v>23</v>
      </c>
      <c r="K660">
        <v>1</v>
      </c>
      <c r="L660" s="1" t="s">
        <v>40</v>
      </c>
      <c r="M660">
        <v>28</v>
      </c>
      <c r="N660" s="1" t="s">
        <v>23</v>
      </c>
      <c r="O660" s="1" t="s">
        <v>26</v>
      </c>
      <c r="P660">
        <v>2</v>
      </c>
      <c r="Q660" s="1" t="s">
        <v>41</v>
      </c>
      <c r="R660">
        <v>1</v>
      </c>
      <c r="S660" s="1" t="s">
        <v>23</v>
      </c>
      <c r="T660" s="1" t="s">
        <v>28</v>
      </c>
      <c r="U660" s="1" t="s">
        <v>29</v>
      </c>
    </row>
    <row r="661" spans="1:21" x14ac:dyDescent="0.3">
      <c r="A661" s="1" t="s">
        <v>30</v>
      </c>
      <c r="B661">
        <v>18</v>
      </c>
      <c r="C661" s="1" t="s">
        <v>18</v>
      </c>
      <c r="D661" s="1" t="s">
        <v>53</v>
      </c>
      <c r="E661">
        <v>6361</v>
      </c>
      <c r="F661" s="1" t="s">
        <v>32</v>
      </c>
      <c r="G661" s="1" t="s">
        <v>38</v>
      </c>
      <c r="H661">
        <v>2</v>
      </c>
      <c r="I661" s="1" t="s">
        <v>39</v>
      </c>
      <c r="J661" s="1" t="s">
        <v>23</v>
      </c>
      <c r="K661">
        <v>1</v>
      </c>
      <c r="L661" s="1" t="s">
        <v>65</v>
      </c>
      <c r="M661">
        <v>41</v>
      </c>
      <c r="N661" s="1" t="s">
        <v>23</v>
      </c>
      <c r="O661" s="1" t="s">
        <v>26</v>
      </c>
      <c r="P661">
        <v>1</v>
      </c>
      <c r="Q661" s="1" t="s">
        <v>41</v>
      </c>
      <c r="R661">
        <v>1</v>
      </c>
      <c r="S661" s="1" t="s">
        <v>28</v>
      </c>
      <c r="T661" s="1" t="s">
        <v>28</v>
      </c>
      <c r="U661" s="1" t="s">
        <v>29</v>
      </c>
    </row>
    <row r="662" spans="1:21" x14ac:dyDescent="0.3">
      <c r="A662" s="1" t="s">
        <v>50</v>
      </c>
      <c r="B662">
        <v>12</v>
      </c>
      <c r="C662" s="1" t="s">
        <v>31</v>
      </c>
      <c r="D662" s="1" t="s">
        <v>36</v>
      </c>
      <c r="E662">
        <v>1297</v>
      </c>
      <c r="F662" s="1" t="s">
        <v>32</v>
      </c>
      <c r="G662" s="1" t="s">
        <v>21</v>
      </c>
      <c r="H662">
        <v>3</v>
      </c>
      <c r="I662" s="1" t="s">
        <v>33</v>
      </c>
      <c r="J662" s="1" t="s">
        <v>23</v>
      </c>
      <c r="K662">
        <v>4</v>
      </c>
      <c r="L662" s="1" t="s">
        <v>24</v>
      </c>
      <c r="M662">
        <v>23</v>
      </c>
      <c r="N662" s="1" t="s">
        <v>23</v>
      </c>
      <c r="O662" s="1" t="s">
        <v>34</v>
      </c>
      <c r="P662">
        <v>1</v>
      </c>
      <c r="Q662" s="1" t="s">
        <v>41</v>
      </c>
      <c r="R662">
        <v>1</v>
      </c>
      <c r="S662" s="1" t="s">
        <v>23</v>
      </c>
      <c r="T662" s="1" t="s">
        <v>28</v>
      </c>
      <c r="U662" s="1" t="s">
        <v>29</v>
      </c>
    </row>
    <row r="663" spans="1:21" x14ac:dyDescent="0.3">
      <c r="A663" s="1" t="s">
        <v>35</v>
      </c>
      <c r="B663">
        <v>12</v>
      </c>
      <c r="C663" s="1" t="s">
        <v>31</v>
      </c>
      <c r="D663" s="1" t="s">
        <v>19</v>
      </c>
      <c r="E663">
        <v>900</v>
      </c>
      <c r="F663" s="1" t="s">
        <v>47</v>
      </c>
      <c r="G663" s="1" t="s">
        <v>21</v>
      </c>
      <c r="H663">
        <v>4</v>
      </c>
      <c r="I663" s="1" t="s">
        <v>33</v>
      </c>
      <c r="J663" s="1" t="s">
        <v>23</v>
      </c>
      <c r="K663">
        <v>2</v>
      </c>
      <c r="L663" s="1" t="s">
        <v>40</v>
      </c>
      <c r="M663">
        <v>23</v>
      </c>
      <c r="N663" s="1" t="s">
        <v>23</v>
      </c>
      <c r="O663" s="1" t="s">
        <v>26</v>
      </c>
      <c r="P663">
        <v>1</v>
      </c>
      <c r="Q663" s="1" t="s">
        <v>41</v>
      </c>
      <c r="R663">
        <v>1</v>
      </c>
      <c r="S663" s="1" t="s">
        <v>23</v>
      </c>
      <c r="T663" s="1" t="s">
        <v>28</v>
      </c>
      <c r="U663" s="1" t="s">
        <v>56</v>
      </c>
    </row>
    <row r="664" spans="1:21" x14ac:dyDescent="0.3">
      <c r="A664" s="1" t="s">
        <v>17</v>
      </c>
      <c r="B664">
        <v>21</v>
      </c>
      <c r="C664" s="1" t="s">
        <v>31</v>
      </c>
      <c r="D664" s="1" t="s">
        <v>53</v>
      </c>
      <c r="E664">
        <v>2241</v>
      </c>
      <c r="F664" s="1" t="s">
        <v>32</v>
      </c>
      <c r="G664" s="1" t="s">
        <v>38</v>
      </c>
      <c r="H664">
        <v>4</v>
      </c>
      <c r="I664" s="1" t="s">
        <v>39</v>
      </c>
      <c r="J664" s="1" t="s">
        <v>23</v>
      </c>
      <c r="K664">
        <v>2</v>
      </c>
      <c r="L664" s="1" t="s">
        <v>24</v>
      </c>
      <c r="M664">
        <v>50</v>
      </c>
      <c r="N664" s="1" t="s">
        <v>23</v>
      </c>
      <c r="O664" s="1" t="s">
        <v>26</v>
      </c>
      <c r="P664">
        <v>2</v>
      </c>
      <c r="Q664" s="1" t="s">
        <v>41</v>
      </c>
      <c r="R664">
        <v>1</v>
      </c>
      <c r="S664" s="1" t="s">
        <v>23</v>
      </c>
      <c r="T664" s="1" t="s">
        <v>28</v>
      </c>
      <c r="U664" s="1" t="s">
        <v>29</v>
      </c>
    </row>
    <row r="665" spans="1:21" x14ac:dyDescent="0.3">
      <c r="A665" s="1" t="s">
        <v>30</v>
      </c>
      <c r="B665">
        <v>6</v>
      </c>
      <c r="C665" s="1" t="s">
        <v>59</v>
      </c>
      <c r="D665" s="1" t="s">
        <v>53</v>
      </c>
      <c r="E665">
        <v>1050</v>
      </c>
      <c r="F665" s="1" t="s">
        <v>32</v>
      </c>
      <c r="G665" s="1" t="s">
        <v>54</v>
      </c>
      <c r="H665">
        <v>4</v>
      </c>
      <c r="I665" s="1" t="s">
        <v>39</v>
      </c>
      <c r="J665" s="1" t="s">
        <v>23</v>
      </c>
      <c r="K665">
        <v>1</v>
      </c>
      <c r="L665" s="1" t="s">
        <v>48</v>
      </c>
      <c r="M665">
        <v>35</v>
      </c>
      <c r="N665" s="1" t="s">
        <v>67</v>
      </c>
      <c r="O665" s="1" t="s">
        <v>26</v>
      </c>
      <c r="P665">
        <v>2</v>
      </c>
      <c r="Q665" s="1" t="s">
        <v>63</v>
      </c>
      <c r="R665">
        <v>1</v>
      </c>
      <c r="S665" s="1" t="s">
        <v>28</v>
      </c>
      <c r="T665" s="1" t="s">
        <v>28</v>
      </c>
      <c r="U665" s="1" t="s">
        <v>29</v>
      </c>
    </row>
    <row r="666" spans="1:21" x14ac:dyDescent="0.3">
      <c r="A666" s="1" t="s">
        <v>50</v>
      </c>
      <c r="B666">
        <v>6</v>
      </c>
      <c r="C666" s="1" t="s">
        <v>18</v>
      </c>
      <c r="D666" s="1" t="s">
        <v>51</v>
      </c>
      <c r="E666">
        <v>1047</v>
      </c>
      <c r="F666" s="1" t="s">
        <v>32</v>
      </c>
      <c r="G666" s="1" t="s">
        <v>21</v>
      </c>
      <c r="H666">
        <v>2</v>
      </c>
      <c r="I666" s="1" t="s">
        <v>22</v>
      </c>
      <c r="J666" s="1" t="s">
        <v>23</v>
      </c>
      <c r="K666">
        <v>4</v>
      </c>
      <c r="L666" s="1" t="s">
        <v>48</v>
      </c>
      <c r="M666">
        <v>50</v>
      </c>
      <c r="N666" s="1" t="s">
        <v>23</v>
      </c>
      <c r="O666" s="1" t="s">
        <v>26</v>
      </c>
      <c r="P666">
        <v>1</v>
      </c>
      <c r="Q666" s="1" t="s">
        <v>27</v>
      </c>
      <c r="R666">
        <v>1</v>
      </c>
      <c r="S666" s="1" t="s">
        <v>23</v>
      </c>
      <c r="T666" s="1" t="s">
        <v>28</v>
      </c>
      <c r="U666" s="1" t="s">
        <v>29</v>
      </c>
    </row>
    <row r="667" spans="1:21" x14ac:dyDescent="0.3">
      <c r="A667" s="1" t="s">
        <v>17</v>
      </c>
      <c r="B667">
        <v>24</v>
      </c>
      <c r="C667" s="1" t="s">
        <v>18</v>
      </c>
      <c r="D667" s="1" t="s">
        <v>68</v>
      </c>
      <c r="E667">
        <v>6314</v>
      </c>
      <c r="F667" s="1" t="s">
        <v>32</v>
      </c>
      <c r="G667" s="1" t="s">
        <v>54</v>
      </c>
      <c r="H667">
        <v>4</v>
      </c>
      <c r="I667" s="1" t="s">
        <v>39</v>
      </c>
      <c r="J667" s="1" t="s">
        <v>55</v>
      </c>
      <c r="K667">
        <v>2</v>
      </c>
      <c r="L667" s="1" t="s">
        <v>65</v>
      </c>
      <c r="M667">
        <v>27</v>
      </c>
      <c r="N667" s="1" t="s">
        <v>25</v>
      </c>
      <c r="O667" s="1" t="s">
        <v>26</v>
      </c>
      <c r="P667">
        <v>2</v>
      </c>
      <c r="Q667" s="1" t="s">
        <v>63</v>
      </c>
      <c r="R667">
        <v>1</v>
      </c>
      <c r="S667" s="1" t="s">
        <v>28</v>
      </c>
      <c r="T667" s="1" t="s">
        <v>28</v>
      </c>
      <c r="U667" s="1" t="s">
        <v>29</v>
      </c>
    </row>
    <row r="668" spans="1:21" x14ac:dyDescent="0.3">
      <c r="A668" s="1" t="s">
        <v>30</v>
      </c>
      <c r="B668">
        <v>30</v>
      </c>
      <c r="C668" s="1" t="s">
        <v>42</v>
      </c>
      <c r="D668" s="1" t="s">
        <v>53</v>
      </c>
      <c r="E668">
        <v>3496</v>
      </c>
      <c r="F668" s="1" t="s">
        <v>20</v>
      </c>
      <c r="G668" s="1" t="s">
        <v>21</v>
      </c>
      <c r="H668">
        <v>4</v>
      </c>
      <c r="I668" s="1" t="s">
        <v>39</v>
      </c>
      <c r="J668" s="1" t="s">
        <v>23</v>
      </c>
      <c r="K668">
        <v>2</v>
      </c>
      <c r="L668" s="1" t="s">
        <v>40</v>
      </c>
      <c r="M668">
        <v>34</v>
      </c>
      <c r="N668" s="1" t="s">
        <v>67</v>
      </c>
      <c r="O668" s="1" t="s">
        <v>26</v>
      </c>
      <c r="P668">
        <v>1</v>
      </c>
      <c r="Q668" s="1" t="s">
        <v>41</v>
      </c>
      <c r="R668">
        <v>2</v>
      </c>
      <c r="S668" s="1" t="s">
        <v>28</v>
      </c>
      <c r="T668" s="1" t="s">
        <v>28</v>
      </c>
      <c r="U668" s="1" t="s">
        <v>29</v>
      </c>
    </row>
    <row r="669" spans="1:21" x14ac:dyDescent="0.3">
      <c r="A669" s="1" t="s">
        <v>17</v>
      </c>
      <c r="B669">
        <v>48</v>
      </c>
      <c r="C669" s="1" t="s">
        <v>42</v>
      </c>
      <c r="D669" s="1" t="s">
        <v>61</v>
      </c>
      <c r="E669">
        <v>3609</v>
      </c>
      <c r="F669" s="1" t="s">
        <v>32</v>
      </c>
      <c r="G669" s="1" t="s">
        <v>21</v>
      </c>
      <c r="H669">
        <v>1</v>
      </c>
      <c r="I669" s="1" t="s">
        <v>22</v>
      </c>
      <c r="J669" s="1" t="s">
        <v>23</v>
      </c>
      <c r="K669">
        <v>1</v>
      </c>
      <c r="L669" s="1" t="s">
        <v>24</v>
      </c>
      <c r="M669">
        <v>27</v>
      </c>
      <c r="N669" s="1" t="s">
        <v>67</v>
      </c>
      <c r="O669" s="1" t="s">
        <v>26</v>
      </c>
      <c r="P669">
        <v>1</v>
      </c>
      <c r="Q669" s="1" t="s">
        <v>41</v>
      </c>
      <c r="R669">
        <v>1</v>
      </c>
      <c r="S669" s="1" t="s">
        <v>23</v>
      </c>
      <c r="T669" s="1" t="s">
        <v>28</v>
      </c>
      <c r="U669" s="1" t="s">
        <v>29</v>
      </c>
    </row>
    <row r="670" spans="1:21" x14ac:dyDescent="0.3">
      <c r="A670" s="1" t="s">
        <v>35</v>
      </c>
      <c r="B670">
        <v>12</v>
      </c>
      <c r="C670" s="1" t="s">
        <v>18</v>
      </c>
      <c r="D670" s="1" t="s">
        <v>19</v>
      </c>
      <c r="E670">
        <v>4843</v>
      </c>
      <c r="F670" s="1" t="s">
        <v>32</v>
      </c>
      <c r="G670" s="1" t="s">
        <v>38</v>
      </c>
      <c r="H670">
        <v>3</v>
      </c>
      <c r="I670" s="1" t="s">
        <v>39</v>
      </c>
      <c r="J670" s="1" t="s">
        <v>55</v>
      </c>
      <c r="K670">
        <v>4</v>
      </c>
      <c r="L670" s="1" t="s">
        <v>48</v>
      </c>
      <c r="M670">
        <v>43</v>
      </c>
      <c r="N670" s="1" t="s">
        <v>23</v>
      </c>
      <c r="O670" s="1" t="s">
        <v>34</v>
      </c>
      <c r="P670">
        <v>2</v>
      </c>
      <c r="Q670" s="1" t="s">
        <v>41</v>
      </c>
      <c r="R670">
        <v>1</v>
      </c>
      <c r="S670" s="1" t="s">
        <v>28</v>
      </c>
      <c r="T670" s="1" t="s">
        <v>28</v>
      </c>
      <c r="U670" s="1" t="s">
        <v>56</v>
      </c>
    </row>
    <row r="671" spans="1:21" x14ac:dyDescent="0.3">
      <c r="A671" s="1" t="s">
        <v>50</v>
      </c>
      <c r="B671">
        <v>30</v>
      </c>
      <c r="C671" s="1" t="s">
        <v>18</v>
      </c>
      <c r="D671" s="1" t="s">
        <v>36</v>
      </c>
      <c r="E671">
        <v>3017</v>
      </c>
      <c r="F671" s="1" t="s">
        <v>32</v>
      </c>
      <c r="G671" s="1" t="s">
        <v>38</v>
      </c>
      <c r="H671">
        <v>4</v>
      </c>
      <c r="I671" s="1" t="s">
        <v>39</v>
      </c>
      <c r="J671" s="1" t="s">
        <v>23</v>
      </c>
      <c r="K671">
        <v>4</v>
      </c>
      <c r="L671" s="1" t="s">
        <v>48</v>
      </c>
      <c r="M671">
        <v>47</v>
      </c>
      <c r="N671" s="1" t="s">
        <v>23</v>
      </c>
      <c r="O671" s="1" t="s">
        <v>26</v>
      </c>
      <c r="P671">
        <v>1</v>
      </c>
      <c r="Q671" s="1" t="s">
        <v>41</v>
      </c>
      <c r="R671">
        <v>1</v>
      </c>
      <c r="S671" s="1" t="s">
        <v>23</v>
      </c>
      <c r="T671" s="1" t="s">
        <v>28</v>
      </c>
      <c r="U671" s="1" t="s">
        <v>29</v>
      </c>
    </row>
    <row r="672" spans="1:21" x14ac:dyDescent="0.3">
      <c r="A672" s="1" t="s">
        <v>17</v>
      </c>
      <c r="B672">
        <v>24</v>
      </c>
      <c r="C672" s="1" t="s">
        <v>18</v>
      </c>
      <c r="D672" s="1" t="s">
        <v>61</v>
      </c>
      <c r="E672">
        <v>4139</v>
      </c>
      <c r="F672" s="1" t="s">
        <v>46</v>
      </c>
      <c r="G672" s="1" t="s">
        <v>21</v>
      </c>
      <c r="H672">
        <v>3</v>
      </c>
      <c r="I672" s="1" t="s">
        <v>39</v>
      </c>
      <c r="J672" s="1" t="s">
        <v>23</v>
      </c>
      <c r="K672">
        <v>3</v>
      </c>
      <c r="L672" s="1" t="s">
        <v>48</v>
      </c>
      <c r="M672">
        <v>27</v>
      </c>
      <c r="N672" s="1" t="s">
        <v>23</v>
      </c>
      <c r="O672" s="1" t="s">
        <v>26</v>
      </c>
      <c r="P672">
        <v>2</v>
      </c>
      <c r="Q672" s="1" t="s">
        <v>27</v>
      </c>
      <c r="R672">
        <v>1</v>
      </c>
      <c r="S672" s="1" t="s">
        <v>28</v>
      </c>
      <c r="T672" s="1" t="s">
        <v>28</v>
      </c>
      <c r="U672" s="1" t="s">
        <v>29</v>
      </c>
    </row>
    <row r="673" spans="1:21" x14ac:dyDescent="0.3">
      <c r="A673" s="1" t="s">
        <v>17</v>
      </c>
      <c r="B673">
        <v>36</v>
      </c>
      <c r="C673" s="1" t="s">
        <v>31</v>
      </c>
      <c r="D673" s="1" t="s">
        <v>61</v>
      </c>
      <c r="E673">
        <v>5742</v>
      </c>
      <c r="F673" s="1" t="s">
        <v>46</v>
      </c>
      <c r="G673" s="1" t="s">
        <v>49</v>
      </c>
      <c r="H673">
        <v>2</v>
      </c>
      <c r="I673" s="1" t="s">
        <v>39</v>
      </c>
      <c r="J673" s="1" t="s">
        <v>23</v>
      </c>
      <c r="K673">
        <v>2</v>
      </c>
      <c r="L673" s="1" t="s">
        <v>40</v>
      </c>
      <c r="M673">
        <v>31</v>
      </c>
      <c r="N673" s="1" t="s">
        <v>23</v>
      </c>
      <c r="O673" s="1" t="s">
        <v>26</v>
      </c>
      <c r="P673">
        <v>2</v>
      </c>
      <c r="Q673" s="1" t="s">
        <v>41</v>
      </c>
      <c r="R673">
        <v>1</v>
      </c>
      <c r="S673" s="1" t="s">
        <v>28</v>
      </c>
      <c r="T673" s="1" t="s">
        <v>28</v>
      </c>
      <c r="U673" s="1" t="s">
        <v>29</v>
      </c>
    </row>
    <row r="674" spans="1:21" x14ac:dyDescent="0.3">
      <c r="A674" s="1" t="s">
        <v>17</v>
      </c>
      <c r="B674">
        <v>60</v>
      </c>
      <c r="C674" s="1" t="s">
        <v>31</v>
      </c>
      <c r="D674" s="1" t="s">
        <v>19</v>
      </c>
      <c r="E674">
        <v>10366</v>
      </c>
      <c r="F674" s="1" t="s">
        <v>32</v>
      </c>
      <c r="G674" s="1" t="s">
        <v>38</v>
      </c>
      <c r="H674">
        <v>2</v>
      </c>
      <c r="I674" s="1" t="s">
        <v>39</v>
      </c>
      <c r="J674" s="1" t="s">
        <v>23</v>
      </c>
      <c r="K674">
        <v>4</v>
      </c>
      <c r="L674" s="1" t="s">
        <v>48</v>
      </c>
      <c r="M674">
        <v>42</v>
      </c>
      <c r="N674" s="1" t="s">
        <v>23</v>
      </c>
      <c r="O674" s="1" t="s">
        <v>26</v>
      </c>
      <c r="P674">
        <v>1</v>
      </c>
      <c r="Q674" s="1" t="s">
        <v>63</v>
      </c>
      <c r="R674">
        <v>1</v>
      </c>
      <c r="S674" s="1" t="s">
        <v>28</v>
      </c>
      <c r="T674" s="1" t="s">
        <v>28</v>
      </c>
      <c r="U674" s="1" t="s">
        <v>29</v>
      </c>
    </row>
    <row r="675" spans="1:21" x14ac:dyDescent="0.3">
      <c r="A675" s="1" t="s">
        <v>17</v>
      </c>
      <c r="B675">
        <v>6</v>
      </c>
      <c r="C675" s="1" t="s">
        <v>18</v>
      </c>
      <c r="D675" s="1" t="s">
        <v>19</v>
      </c>
      <c r="E675">
        <v>2080</v>
      </c>
      <c r="F675" s="1" t="s">
        <v>37</v>
      </c>
      <c r="G675" s="1" t="s">
        <v>21</v>
      </c>
      <c r="H675">
        <v>1</v>
      </c>
      <c r="I675" s="1" t="s">
        <v>33</v>
      </c>
      <c r="J675" s="1" t="s">
        <v>23</v>
      </c>
      <c r="K675">
        <v>2</v>
      </c>
      <c r="L675" s="1" t="s">
        <v>40</v>
      </c>
      <c r="M675">
        <v>24</v>
      </c>
      <c r="N675" s="1" t="s">
        <v>23</v>
      </c>
      <c r="O675" s="1" t="s">
        <v>26</v>
      </c>
      <c r="P675">
        <v>1</v>
      </c>
      <c r="Q675" s="1" t="s">
        <v>41</v>
      </c>
      <c r="R675">
        <v>1</v>
      </c>
      <c r="S675" s="1" t="s">
        <v>23</v>
      </c>
      <c r="T675" s="1" t="s">
        <v>28</v>
      </c>
      <c r="U675" s="1" t="s">
        <v>29</v>
      </c>
    </row>
    <row r="676" spans="1:21" x14ac:dyDescent="0.3">
      <c r="A676" s="1" t="s">
        <v>17</v>
      </c>
      <c r="B676">
        <v>21</v>
      </c>
      <c r="C676" s="1" t="s">
        <v>59</v>
      </c>
      <c r="D676" s="1" t="s">
        <v>61</v>
      </c>
      <c r="E676">
        <v>2580</v>
      </c>
      <c r="F676" s="1" t="s">
        <v>37</v>
      </c>
      <c r="G676" s="1" t="s">
        <v>45</v>
      </c>
      <c r="H676">
        <v>4</v>
      </c>
      <c r="I676" s="1" t="s">
        <v>39</v>
      </c>
      <c r="J676" s="1" t="s">
        <v>23</v>
      </c>
      <c r="K676">
        <v>2</v>
      </c>
      <c r="L676" s="1" t="s">
        <v>24</v>
      </c>
      <c r="M676">
        <v>41</v>
      </c>
      <c r="N676" s="1" t="s">
        <v>25</v>
      </c>
      <c r="O676" s="1" t="s">
        <v>26</v>
      </c>
      <c r="P676">
        <v>1</v>
      </c>
      <c r="Q676" s="1" t="s">
        <v>27</v>
      </c>
      <c r="R676">
        <v>2</v>
      </c>
      <c r="S676" s="1" t="s">
        <v>23</v>
      </c>
      <c r="T676" s="1" t="s">
        <v>28</v>
      </c>
      <c r="U676" s="1" t="s">
        <v>56</v>
      </c>
    </row>
    <row r="677" spans="1:21" x14ac:dyDescent="0.3">
      <c r="A677" s="1" t="s">
        <v>17</v>
      </c>
      <c r="B677">
        <v>30</v>
      </c>
      <c r="C677" s="1" t="s">
        <v>18</v>
      </c>
      <c r="D677" s="1" t="s">
        <v>36</v>
      </c>
      <c r="E677">
        <v>4530</v>
      </c>
      <c r="F677" s="1" t="s">
        <v>32</v>
      </c>
      <c r="G677" s="1" t="s">
        <v>49</v>
      </c>
      <c r="H677">
        <v>4</v>
      </c>
      <c r="I677" s="1" t="s">
        <v>22</v>
      </c>
      <c r="J677" s="1" t="s">
        <v>23</v>
      </c>
      <c r="K677">
        <v>4</v>
      </c>
      <c r="L677" s="1" t="s">
        <v>40</v>
      </c>
      <c r="M677">
        <v>26</v>
      </c>
      <c r="N677" s="1" t="s">
        <v>23</v>
      </c>
      <c r="O677" s="1" t="s">
        <v>34</v>
      </c>
      <c r="P677">
        <v>1</v>
      </c>
      <c r="Q677" s="1" t="s">
        <v>63</v>
      </c>
      <c r="R677">
        <v>1</v>
      </c>
      <c r="S677" s="1" t="s">
        <v>28</v>
      </c>
      <c r="T677" s="1" t="s">
        <v>28</v>
      </c>
      <c r="U677" s="1" t="s">
        <v>29</v>
      </c>
    </row>
    <row r="678" spans="1:21" x14ac:dyDescent="0.3">
      <c r="A678" s="1" t="s">
        <v>17</v>
      </c>
      <c r="B678">
        <v>24</v>
      </c>
      <c r="C678" s="1" t="s">
        <v>18</v>
      </c>
      <c r="D678" s="1" t="s">
        <v>53</v>
      </c>
      <c r="E678">
        <v>5150</v>
      </c>
      <c r="F678" s="1" t="s">
        <v>32</v>
      </c>
      <c r="G678" s="1" t="s">
        <v>38</v>
      </c>
      <c r="H678">
        <v>4</v>
      </c>
      <c r="I678" s="1" t="s">
        <v>39</v>
      </c>
      <c r="J678" s="1" t="s">
        <v>23</v>
      </c>
      <c r="K678">
        <v>4</v>
      </c>
      <c r="L678" s="1" t="s">
        <v>40</v>
      </c>
      <c r="M678">
        <v>33</v>
      </c>
      <c r="N678" s="1" t="s">
        <v>23</v>
      </c>
      <c r="O678" s="1" t="s">
        <v>26</v>
      </c>
      <c r="P678">
        <v>1</v>
      </c>
      <c r="Q678" s="1" t="s">
        <v>41</v>
      </c>
      <c r="R678">
        <v>1</v>
      </c>
      <c r="S678" s="1" t="s">
        <v>28</v>
      </c>
      <c r="T678" s="1" t="s">
        <v>28</v>
      </c>
      <c r="U678" s="1" t="s">
        <v>29</v>
      </c>
    </row>
    <row r="679" spans="1:21" x14ac:dyDescent="0.3">
      <c r="A679" s="1" t="s">
        <v>30</v>
      </c>
      <c r="B679">
        <v>72</v>
      </c>
      <c r="C679" s="1" t="s">
        <v>31</v>
      </c>
      <c r="D679" s="1" t="s">
        <v>36</v>
      </c>
      <c r="E679">
        <v>5595</v>
      </c>
      <c r="F679" s="1" t="s">
        <v>46</v>
      </c>
      <c r="G679" s="1" t="s">
        <v>21</v>
      </c>
      <c r="H679">
        <v>2</v>
      </c>
      <c r="I679" s="1" t="s">
        <v>33</v>
      </c>
      <c r="J679" s="1" t="s">
        <v>23</v>
      </c>
      <c r="K679">
        <v>2</v>
      </c>
      <c r="L679" s="1" t="s">
        <v>40</v>
      </c>
      <c r="M679">
        <v>24</v>
      </c>
      <c r="N679" s="1" t="s">
        <v>23</v>
      </c>
      <c r="O679" s="1" t="s">
        <v>26</v>
      </c>
      <c r="P679">
        <v>1</v>
      </c>
      <c r="Q679" s="1" t="s">
        <v>41</v>
      </c>
      <c r="R679">
        <v>1</v>
      </c>
      <c r="S679" s="1" t="s">
        <v>23</v>
      </c>
      <c r="T679" s="1" t="s">
        <v>28</v>
      </c>
      <c r="U679" s="1" t="s">
        <v>56</v>
      </c>
    </row>
    <row r="680" spans="1:21" x14ac:dyDescent="0.3">
      <c r="A680" s="1" t="s">
        <v>35</v>
      </c>
      <c r="B680">
        <v>24</v>
      </c>
      <c r="C680" s="1" t="s">
        <v>31</v>
      </c>
      <c r="D680" s="1" t="s">
        <v>36</v>
      </c>
      <c r="E680">
        <v>2384</v>
      </c>
      <c r="F680" s="1" t="s">
        <v>32</v>
      </c>
      <c r="G680" s="1" t="s">
        <v>38</v>
      </c>
      <c r="H680">
        <v>4</v>
      </c>
      <c r="I680" s="1" t="s">
        <v>39</v>
      </c>
      <c r="J680" s="1" t="s">
        <v>23</v>
      </c>
      <c r="K680">
        <v>4</v>
      </c>
      <c r="L680" s="1" t="s">
        <v>24</v>
      </c>
      <c r="M680">
        <v>64</v>
      </c>
      <c r="N680" s="1" t="s">
        <v>25</v>
      </c>
      <c r="O680" s="1" t="s">
        <v>34</v>
      </c>
      <c r="P680">
        <v>1</v>
      </c>
      <c r="Q680" s="1" t="s">
        <v>27</v>
      </c>
      <c r="R680">
        <v>1</v>
      </c>
      <c r="S680" s="1" t="s">
        <v>23</v>
      </c>
      <c r="T680" s="1" t="s">
        <v>28</v>
      </c>
      <c r="U680" s="1" t="s">
        <v>29</v>
      </c>
    </row>
    <row r="681" spans="1:21" x14ac:dyDescent="0.3">
      <c r="A681" s="1" t="s">
        <v>17</v>
      </c>
      <c r="B681">
        <v>18</v>
      </c>
      <c r="C681" s="1" t="s">
        <v>31</v>
      </c>
      <c r="D681" s="1" t="s">
        <v>36</v>
      </c>
      <c r="E681">
        <v>1453</v>
      </c>
      <c r="F681" s="1" t="s">
        <v>32</v>
      </c>
      <c r="G681" s="1" t="s">
        <v>45</v>
      </c>
      <c r="H681">
        <v>3</v>
      </c>
      <c r="I681" s="1" t="s">
        <v>22</v>
      </c>
      <c r="J681" s="1" t="s">
        <v>23</v>
      </c>
      <c r="K681">
        <v>1</v>
      </c>
      <c r="L681" s="1" t="s">
        <v>24</v>
      </c>
      <c r="M681">
        <v>26</v>
      </c>
      <c r="N681" s="1" t="s">
        <v>23</v>
      </c>
      <c r="O681" s="1" t="s">
        <v>26</v>
      </c>
      <c r="P681">
        <v>1</v>
      </c>
      <c r="Q681" s="1" t="s">
        <v>41</v>
      </c>
      <c r="R681">
        <v>1</v>
      </c>
      <c r="S681" s="1" t="s">
        <v>23</v>
      </c>
      <c r="T681" s="1" t="s">
        <v>28</v>
      </c>
      <c r="U681" s="1" t="s">
        <v>29</v>
      </c>
    </row>
    <row r="682" spans="1:21" x14ac:dyDescent="0.3">
      <c r="A682" s="1" t="s">
        <v>17</v>
      </c>
      <c r="B682">
        <v>6</v>
      </c>
      <c r="C682" s="1" t="s">
        <v>31</v>
      </c>
      <c r="D682" s="1" t="s">
        <v>51</v>
      </c>
      <c r="E682">
        <v>1538</v>
      </c>
      <c r="F682" s="1" t="s">
        <v>32</v>
      </c>
      <c r="G682" s="1" t="s">
        <v>45</v>
      </c>
      <c r="H682">
        <v>1</v>
      </c>
      <c r="I682" s="1" t="s">
        <v>22</v>
      </c>
      <c r="J682" s="1" t="s">
        <v>23</v>
      </c>
      <c r="K682">
        <v>2</v>
      </c>
      <c r="L682" s="1" t="s">
        <v>65</v>
      </c>
      <c r="M682">
        <v>56</v>
      </c>
      <c r="N682" s="1" t="s">
        <v>23</v>
      </c>
      <c r="O682" s="1" t="s">
        <v>26</v>
      </c>
      <c r="P682">
        <v>1</v>
      </c>
      <c r="Q682" s="1" t="s">
        <v>41</v>
      </c>
      <c r="R682">
        <v>1</v>
      </c>
      <c r="S682" s="1" t="s">
        <v>23</v>
      </c>
      <c r="T682" s="1" t="s">
        <v>28</v>
      </c>
      <c r="U682" s="1" t="s">
        <v>29</v>
      </c>
    </row>
    <row r="683" spans="1:21" x14ac:dyDescent="0.3">
      <c r="A683" s="1" t="s">
        <v>17</v>
      </c>
      <c r="B683">
        <v>12</v>
      </c>
      <c r="C683" s="1" t="s">
        <v>31</v>
      </c>
      <c r="D683" s="1" t="s">
        <v>36</v>
      </c>
      <c r="E683">
        <v>2279</v>
      </c>
      <c r="F683" s="1" t="s">
        <v>47</v>
      </c>
      <c r="G683" s="1" t="s">
        <v>21</v>
      </c>
      <c r="H683">
        <v>4</v>
      </c>
      <c r="I683" s="1" t="s">
        <v>39</v>
      </c>
      <c r="J683" s="1" t="s">
        <v>23</v>
      </c>
      <c r="K683">
        <v>4</v>
      </c>
      <c r="L683" s="1" t="s">
        <v>65</v>
      </c>
      <c r="M683">
        <v>37</v>
      </c>
      <c r="N683" s="1" t="s">
        <v>23</v>
      </c>
      <c r="O683" s="1" t="s">
        <v>66</v>
      </c>
      <c r="P683">
        <v>1</v>
      </c>
      <c r="Q683" s="1" t="s">
        <v>41</v>
      </c>
      <c r="R683">
        <v>1</v>
      </c>
      <c r="S683" s="1" t="s">
        <v>28</v>
      </c>
      <c r="T683" s="1" t="s">
        <v>28</v>
      </c>
      <c r="U683" s="1" t="s">
        <v>29</v>
      </c>
    </row>
    <row r="684" spans="1:21" x14ac:dyDescent="0.3">
      <c r="A684" s="1" t="s">
        <v>17</v>
      </c>
      <c r="B684">
        <v>15</v>
      </c>
      <c r="C684" s="1" t="s">
        <v>59</v>
      </c>
      <c r="D684" s="1" t="s">
        <v>36</v>
      </c>
      <c r="E684">
        <v>1478</v>
      </c>
      <c r="F684" s="1" t="s">
        <v>32</v>
      </c>
      <c r="G684" s="1" t="s">
        <v>21</v>
      </c>
      <c r="H684">
        <v>4</v>
      </c>
      <c r="I684" s="1" t="s">
        <v>33</v>
      </c>
      <c r="J684" s="1" t="s">
        <v>23</v>
      </c>
      <c r="K684">
        <v>3</v>
      </c>
      <c r="L684" s="1" t="s">
        <v>24</v>
      </c>
      <c r="M684">
        <v>33</v>
      </c>
      <c r="N684" s="1" t="s">
        <v>25</v>
      </c>
      <c r="O684" s="1" t="s">
        <v>26</v>
      </c>
      <c r="P684">
        <v>2</v>
      </c>
      <c r="Q684" s="1" t="s">
        <v>41</v>
      </c>
      <c r="R684">
        <v>1</v>
      </c>
      <c r="S684" s="1" t="s">
        <v>23</v>
      </c>
      <c r="T684" s="1" t="s">
        <v>28</v>
      </c>
      <c r="U684" s="1" t="s">
        <v>29</v>
      </c>
    </row>
    <row r="685" spans="1:21" x14ac:dyDescent="0.3">
      <c r="A685" s="1" t="s">
        <v>17</v>
      </c>
      <c r="B685">
        <v>24</v>
      </c>
      <c r="C685" s="1" t="s">
        <v>18</v>
      </c>
      <c r="D685" s="1" t="s">
        <v>36</v>
      </c>
      <c r="E685">
        <v>5103</v>
      </c>
      <c r="F685" s="1" t="s">
        <v>32</v>
      </c>
      <c r="G685" s="1" t="s">
        <v>45</v>
      </c>
      <c r="H685">
        <v>3</v>
      </c>
      <c r="I685" s="1" t="s">
        <v>33</v>
      </c>
      <c r="J685" s="1" t="s">
        <v>23</v>
      </c>
      <c r="K685">
        <v>3</v>
      </c>
      <c r="L685" s="1" t="s">
        <v>65</v>
      </c>
      <c r="M685">
        <v>47</v>
      </c>
      <c r="N685" s="1" t="s">
        <v>23</v>
      </c>
      <c r="O685" s="1" t="s">
        <v>66</v>
      </c>
      <c r="P685">
        <v>3</v>
      </c>
      <c r="Q685" s="1" t="s">
        <v>41</v>
      </c>
      <c r="R685">
        <v>1</v>
      </c>
      <c r="S685" s="1" t="s">
        <v>28</v>
      </c>
      <c r="T685" s="1" t="s">
        <v>28</v>
      </c>
      <c r="U685" s="1" t="s">
        <v>29</v>
      </c>
    </row>
    <row r="686" spans="1:21" x14ac:dyDescent="0.3">
      <c r="A686" s="1" t="s">
        <v>30</v>
      </c>
      <c r="B686">
        <v>36</v>
      </c>
      <c r="C686" s="1" t="s">
        <v>59</v>
      </c>
      <c r="D686" s="1" t="s">
        <v>61</v>
      </c>
      <c r="E686">
        <v>9857</v>
      </c>
      <c r="F686" s="1" t="s">
        <v>46</v>
      </c>
      <c r="G686" s="1" t="s">
        <v>49</v>
      </c>
      <c r="H686">
        <v>1</v>
      </c>
      <c r="I686" s="1" t="s">
        <v>39</v>
      </c>
      <c r="J686" s="1" t="s">
        <v>23</v>
      </c>
      <c r="K686">
        <v>3</v>
      </c>
      <c r="L686" s="1" t="s">
        <v>48</v>
      </c>
      <c r="M686">
        <v>31</v>
      </c>
      <c r="N686" s="1" t="s">
        <v>23</v>
      </c>
      <c r="O686" s="1" t="s">
        <v>26</v>
      </c>
      <c r="P686">
        <v>2</v>
      </c>
      <c r="Q686" s="1" t="s">
        <v>27</v>
      </c>
      <c r="R686">
        <v>2</v>
      </c>
      <c r="S686" s="1" t="s">
        <v>28</v>
      </c>
      <c r="T686" s="1" t="s">
        <v>28</v>
      </c>
      <c r="U686" s="1" t="s">
        <v>29</v>
      </c>
    </row>
    <row r="687" spans="1:21" x14ac:dyDescent="0.3">
      <c r="A687" s="1" t="s">
        <v>17</v>
      </c>
      <c r="B687">
        <v>60</v>
      </c>
      <c r="C687" s="1" t="s">
        <v>31</v>
      </c>
      <c r="D687" s="1" t="s">
        <v>19</v>
      </c>
      <c r="E687">
        <v>6527</v>
      </c>
      <c r="F687" s="1" t="s">
        <v>47</v>
      </c>
      <c r="G687" s="1" t="s">
        <v>21</v>
      </c>
      <c r="H687">
        <v>4</v>
      </c>
      <c r="I687" s="1" t="s">
        <v>39</v>
      </c>
      <c r="J687" s="1" t="s">
        <v>23</v>
      </c>
      <c r="K687">
        <v>4</v>
      </c>
      <c r="L687" s="1" t="s">
        <v>65</v>
      </c>
      <c r="M687">
        <v>34</v>
      </c>
      <c r="N687" s="1" t="s">
        <v>23</v>
      </c>
      <c r="O687" s="1" t="s">
        <v>66</v>
      </c>
      <c r="P687">
        <v>1</v>
      </c>
      <c r="Q687" s="1" t="s">
        <v>41</v>
      </c>
      <c r="R687">
        <v>2</v>
      </c>
      <c r="S687" s="1" t="s">
        <v>28</v>
      </c>
      <c r="T687" s="1" t="s">
        <v>28</v>
      </c>
      <c r="U687" s="1" t="s">
        <v>29</v>
      </c>
    </row>
    <row r="688" spans="1:21" x14ac:dyDescent="0.3">
      <c r="A688" s="1" t="s">
        <v>50</v>
      </c>
      <c r="B688">
        <v>10</v>
      </c>
      <c r="C688" s="1" t="s">
        <v>18</v>
      </c>
      <c r="D688" s="1" t="s">
        <v>36</v>
      </c>
      <c r="E688">
        <v>1347</v>
      </c>
      <c r="F688" s="1" t="s">
        <v>47</v>
      </c>
      <c r="G688" s="1" t="s">
        <v>49</v>
      </c>
      <c r="H688">
        <v>4</v>
      </c>
      <c r="I688" s="1" t="s">
        <v>39</v>
      </c>
      <c r="J688" s="1" t="s">
        <v>23</v>
      </c>
      <c r="K688">
        <v>2</v>
      </c>
      <c r="L688" s="1" t="s">
        <v>48</v>
      </c>
      <c r="M688">
        <v>27</v>
      </c>
      <c r="N688" s="1" t="s">
        <v>23</v>
      </c>
      <c r="O688" s="1" t="s">
        <v>26</v>
      </c>
      <c r="P688">
        <v>2</v>
      </c>
      <c r="Q688" s="1" t="s">
        <v>41</v>
      </c>
      <c r="R688">
        <v>1</v>
      </c>
      <c r="S688" s="1" t="s">
        <v>28</v>
      </c>
      <c r="T688" s="1" t="s">
        <v>28</v>
      </c>
      <c r="U688" s="1" t="s">
        <v>29</v>
      </c>
    </row>
    <row r="689" spans="1:21" x14ac:dyDescent="0.3">
      <c r="A689" s="1" t="s">
        <v>30</v>
      </c>
      <c r="B689">
        <v>36</v>
      </c>
      <c r="C689" s="1" t="s">
        <v>59</v>
      </c>
      <c r="D689" s="1" t="s">
        <v>19</v>
      </c>
      <c r="E689">
        <v>2862</v>
      </c>
      <c r="F689" s="1" t="s">
        <v>46</v>
      </c>
      <c r="G689" s="1" t="s">
        <v>38</v>
      </c>
      <c r="H689">
        <v>4</v>
      </c>
      <c r="I689" s="1" t="s">
        <v>39</v>
      </c>
      <c r="J689" s="1" t="s">
        <v>23</v>
      </c>
      <c r="K689">
        <v>3</v>
      </c>
      <c r="L689" s="1" t="s">
        <v>65</v>
      </c>
      <c r="M689">
        <v>30</v>
      </c>
      <c r="N689" s="1" t="s">
        <v>23</v>
      </c>
      <c r="O689" s="1" t="s">
        <v>66</v>
      </c>
      <c r="P689">
        <v>1</v>
      </c>
      <c r="Q689" s="1" t="s">
        <v>41</v>
      </c>
      <c r="R689">
        <v>1</v>
      </c>
      <c r="S689" s="1" t="s">
        <v>23</v>
      </c>
      <c r="T689" s="1" t="s">
        <v>28</v>
      </c>
      <c r="U689" s="1" t="s">
        <v>29</v>
      </c>
    </row>
    <row r="690" spans="1:21" x14ac:dyDescent="0.3">
      <c r="A690" s="1" t="s">
        <v>17</v>
      </c>
      <c r="B690">
        <v>9</v>
      </c>
      <c r="C690" s="1" t="s">
        <v>31</v>
      </c>
      <c r="D690" s="1" t="s">
        <v>36</v>
      </c>
      <c r="E690">
        <v>2753</v>
      </c>
      <c r="F690" s="1" t="s">
        <v>46</v>
      </c>
      <c r="G690" s="1" t="s">
        <v>38</v>
      </c>
      <c r="H690">
        <v>3</v>
      </c>
      <c r="I690" s="1" t="s">
        <v>39</v>
      </c>
      <c r="J690" s="1" t="s">
        <v>55</v>
      </c>
      <c r="K690">
        <v>4</v>
      </c>
      <c r="L690" s="1" t="s">
        <v>40</v>
      </c>
      <c r="M690">
        <v>35</v>
      </c>
      <c r="N690" s="1" t="s">
        <v>23</v>
      </c>
      <c r="O690" s="1" t="s">
        <v>26</v>
      </c>
      <c r="P690">
        <v>1</v>
      </c>
      <c r="Q690" s="1" t="s">
        <v>41</v>
      </c>
      <c r="R690">
        <v>1</v>
      </c>
      <c r="S690" s="1" t="s">
        <v>28</v>
      </c>
      <c r="T690" s="1" t="s">
        <v>28</v>
      </c>
      <c r="U690" s="1" t="s">
        <v>29</v>
      </c>
    </row>
    <row r="691" spans="1:21" x14ac:dyDescent="0.3">
      <c r="A691" s="1" t="s">
        <v>35</v>
      </c>
      <c r="B691">
        <v>12</v>
      </c>
      <c r="C691" s="1" t="s">
        <v>31</v>
      </c>
      <c r="D691" s="1" t="s">
        <v>19</v>
      </c>
      <c r="E691">
        <v>3651</v>
      </c>
      <c r="F691" s="1" t="s">
        <v>20</v>
      </c>
      <c r="G691" s="1" t="s">
        <v>21</v>
      </c>
      <c r="H691">
        <v>1</v>
      </c>
      <c r="I691" s="1" t="s">
        <v>39</v>
      </c>
      <c r="J691" s="1" t="s">
        <v>23</v>
      </c>
      <c r="K691">
        <v>3</v>
      </c>
      <c r="L691" s="1" t="s">
        <v>48</v>
      </c>
      <c r="M691">
        <v>31</v>
      </c>
      <c r="N691" s="1" t="s">
        <v>23</v>
      </c>
      <c r="O691" s="1" t="s">
        <v>26</v>
      </c>
      <c r="P691">
        <v>1</v>
      </c>
      <c r="Q691" s="1" t="s">
        <v>41</v>
      </c>
      <c r="R691">
        <v>2</v>
      </c>
      <c r="S691" s="1" t="s">
        <v>23</v>
      </c>
      <c r="T691" s="1" t="s">
        <v>28</v>
      </c>
      <c r="U691" s="1" t="s">
        <v>29</v>
      </c>
    </row>
    <row r="692" spans="1:21" x14ac:dyDescent="0.3">
      <c r="A692" s="1" t="s">
        <v>35</v>
      </c>
      <c r="B692">
        <v>15</v>
      </c>
      <c r="C692" s="1" t="s">
        <v>18</v>
      </c>
      <c r="D692" s="1" t="s">
        <v>53</v>
      </c>
      <c r="E692">
        <v>975</v>
      </c>
      <c r="F692" s="1" t="s">
        <v>32</v>
      </c>
      <c r="G692" s="1" t="s">
        <v>21</v>
      </c>
      <c r="H692">
        <v>2</v>
      </c>
      <c r="I692" s="1" t="s">
        <v>64</v>
      </c>
      <c r="J692" s="1" t="s">
        <v>23</v>
      </c>
      <c r="K692">
        <v>3</v>
      </c>
      <c r="L692" s="1" t="s">
        <v>48</v>
      </c>
      <c r="M692">
        <v>25</v>
      </c>
      <c r="N692" s="1" t="s">
        <v>23</v>
      </c>
      <c r="O692" s="1" t="s">
        <v>26</v>
      </c>
      <c r="P692">
        <v>2</v>
      </c>
      <c r="Q692" s="1" t="s">
        <v>41</v>
      </c>
      <c r="R692">
        <v>1</v>
      </c>
      <c r="S692" s="1" t="s">
        <v>23</v>
      </c>
      <c r="T692" s="1" t="s">
        <v>28</v>
      </c>
      <c r="U692" s="1" t="s">
        <v>29</v>
      </c>
    </row>
    <row r="693" spans="1:21" x14ac:dyDescent="0.3">
      <c r="A693" s="1" t="s">
        <v>30</v>
      </c>
      <c r="B693">
        <v>15</v>
      </c>
      <c r="C693" s="1" t="s">
        <v>31</v>
      </c>
      <c r="D693" s="1" t="s">
        <v>57</v>
      </c>
      <c r="E693">
        <v>2631</v>
      </c>
      <c r="F693" s="1" t="s">
        <v>46</v>
      </c>
      <c r="G693" s="1" t="s">
        <v>21</v>
      </c>
      <c r="H693">
        <v>3</v>
      </c>
      <c r="I693" s="1" t="s">
        <v>22</v>
      </c>
      <c r="J693" s="1" t="s">
        <v>23</v>
      </c>
      <c r="K693">
        <v>2</v>
      </c>
      <c r="L693" s="1" t="s">
        <v>24</v>
      </c>
      <c r="M693">
        <v>25</v>
      </c>
      <c r="N693" s="1" t="s">
        <v>23</v>
      </c>
      <c r="O693" s="1" t="s">
        <v>26</v>
      </c>
      <c r="P693">
        <v>1</v>
      </c>
      <c r="Q693" s="1" t="s">
        <v>27</v>
      </c>
      <c r="R693">
        <v>1</v>
      </c>
      <c r="S693" s="1" t="s">
        <v>23</v>
      </c>
      <c r="T693" s="1" t="s">
        <v>28</v>
      </c>
      <c r="U693" s="1" t="s">
        <v>29</v>
      </c>
    </row>
    <row r="694" spans="1:21" x14ac:dyDescent="0.3">
      <c r="A694" s="1" t="s">
        <v>30</v>
      </c>
      <c r="B694">
        <v>24</v>
      </c>
      <c r="C694" s="1" t="s">
        <v>31</v>
      </c>
      <c r="D694" s="1" t="s">
        <v>36</v>
      </c>
      <c r="E694">
        <v>2896</v>
      </c>
      <c r="F694" s="1" t="s">
        <v>46</v>
      </c>
      <c r="G694" s="1" t="s">
        <v>45</v>
      </c>
      <c r="H694">
        <v>2</v>
      </c>
      <c r="I694" s="1" t="s">
        <v>39</v>
      </c>
      <c r="J694" s="1" t="s">
        <v>23</v>
      </c>
      <c r="K694">
        <v>1</v>
      </c>
      <c r="L694" s="1" t="s">
        <v>40</v>
      </c>
      <c r="M694">
        <v>29</v>
      </c>
      <c r="N694" s="1" t="s">
        <v>23</v>
      </c>
      <c r="O694" s="1" t="s">
        <v>26</v>
      </c>
      <c r="P694">
        <v>1</v>
      </c>
      <c r="Q694" s="1" t="s">
        <v>41</v>
      </c>
      <c r="R694">
        <v>1</v>
      </c>
      <c r="S694" s="1" t="s">
        <v>23</v>
      </c>
      <c r="T694" s="1" t="s">
        <v>28</v>
      </c>
      <c r="U694" s="1" t="s">
        <v>29</v>
      </c>
    </row>
    <row r="695" spans="1:21" x14ac:dyDescent="0.3">
      <c r="A695" s="1" t="s">
        <v>35</v>
      </c>
      <c r="B695">
        <v>6</v>
      </c>
      <c r="C695" s="1" t="s">
        <v>18</v>
      </c>
      <c r="D695" s="1" t="s">
        <v>19</v>
      </c>
      <c r="E695">
        <v>4716</v>
      </c>
      <c r="F695" s="1" t="s">
        <v>47</v>
      </c>
      <c r="G695" s="1" t="s">
        <v>45</v>
      </c>
      <c r="H695">
        <v>1</v>
      </c>
      <c r="I695" s="1" t="s">
        <v>39</v>
      </c>
      <c r="J695" s="1" t="s">
        <v>23</v>
      </c>
      <c r="K695">
        <v>3</v>
      </c>
      <c r="L695" s="1" t="s">
        <v>24</v>
      </c>
      <c r="M695">
        <v>44</v>
      </c>
      <c r="N695" s="1" t="s">
        <v>23</v>
      </c>
      <c r="O695" s="1" t="s">
        <v>26</v>
      </c>
      <c r="P695">
        <v>2</v>
      </c>
      <c r="Q695" s="1" t="s">
        <v>27</v>
      </c>
      <c r="R695">
        <v>2</v>
      </c>
      <c r="S695" s="1" t="s">
        <v>23</v>
      </c>
      <c r="T695" s="1" t="s">
        <v>28</v>
      </c>
      <c r="U695" s="1" t="s">
        <v>29</v>
      </c>
    </row>
    <row r="696" spans="1:21" x14ac:dyDescent="0.3">
      <c r="A696" s="1" t="s">
        <v>17</v>
      </c>
      <c r="B696">
        <v>24</v>
      </c>
      <c r="C696" s="1" t="s">
        <v>31</v>
      </c>
      <c r="D696" s="1" t="s">
        <v>36</v>
      </c>
      <c r="E696">
        <v>2284</v>
      </c>
      <c r="F696" s="1" t="s">
        <v>32</v>
      </c>
      <c r="G696" s="1" t="s">
        <v>49</v>
      </c>
      <c r="H696">
        <v>4</v>
      </c>
      <c r="I696" s="1" t="s">
        <v>39</v>
      </c>
      <c r="J696" s="1" t="s">
        <v>23</v>
      </c>
      <c r="K696">
        <v>2</v>
      </c>
      <c r="L696" s="1" t="s">
        <v>40</v>
      </c>
      <c r="M696">
        <v>28</v>
      </c>
      <c r="N696" s="1" t="s">
        <v>23</v>
      </c>
      <c r="O696" s="1" t="s">
        <v>26</v>
      </c>
      <c r="P696">
        <v>1</v>
      </c>
      <c r="Q696" s="1" t="s">
        <v>41</v>
      </c>
      <c r="R696">
        <v>1</v>
      </c>
      <c r="S696" s="1" t="s">
        <v>28</v>
      </c>
      <c r="T696" s="1" t="s">
        <v>28</v>
      </c>
      <c r="U696" s="1" t="s">
        <v>29</v>
      </c>
    </row>
    <row r="697" spans="1:21" x14ac:dyDescent="0.3">
      <c r="A697" s="1" t="s">
        <v>17</v>
      </c>
      <c r="B697">
        <v>6</v>
      </c>
      <c r="C697" s="1" t="s">
        <v>31</v>
      </c>
      <c r="D697" s="1" t="s">
        <v>69</v>
      </c>
      <c r="E697">
        <v>1236</v>
      </c>
      <c r="F697" s="1" t="s">
        <v>37</v>
      </c>
      <c r="G697" s="1" t="s">
        <v>21</v>
      </c>
      <c r="H697">
        <v>2</v>
      </c>
      <c r="I697" s="1" t="s">
        <v>39</v>
      </c>
      <c r="J697" s="1" t="s">
        <v>23</v>
      </c>
      <c r="K697">
        <v>4</v>
      </c>
      <c r="L697" s="1" t="s">
        <v>48</v>
      </c>
      <c r="M697">
        <v>50</v>
      </c>
      <c r="N697" s="1" t="s">
        <v>23</v>
      </c>
      <c r="O697" s="1" t="s">
        <v>34</v>
      </c>
      <c r="P697">
        <v>1</v>
      </c>
      <c r="Q697" s="1" t="s">
        <v>41</v>
      </c>
      <c r="R697">
        <v>1</v>
      </c>
      <c r="S697" s="1" t="s">
        <v>23</v>
      </c>
      <c r="T697" s="1" t="s">
        <v>28</v>
      </c>
      <c r="U697" s="1" t="s">
        <v>29</v>
      </c>
    </row>
    <row r="698" spans="1:21" x14ac:dyDescent="0.3">
      <c r="A698" s="1" t="s">
        <v>30</v>
      </c>
      <c r="B698">
        <v>12</v>
      </c>
      <c r="C698" s="1" t="s">
        <v>31</v>
      </c>
      <c r="D698" s="1" t="s">
        <v>36</v>
      </c>
      <c r="E698">
        <v>1103</v>
      </c>
      <c r="F698" s="1" t="s">
        <v>32</v>
      </c>
      <c r="G698" s="1" t="s">
        <v>49</v>
      </c>
      <c r="H698">
        <v>4</v>
      </c>
      <c r="I698" s="1" t="s">
        <v>39</v>
      </c>
      <c r="J698" s="1" t="s">
        <v>58</v>
      </c>
      <c r="K698">
        <v>3</v>
      </c>
      <c r="L698" s="1" t="s">
        <v>24</v>
      </c>
      <c r="M698">
        <v>29</v>
      </c>
      <c r="N698" s="1" t="s">
        <v>23</v>
      </c>
      <c r="O698" s="1" t="s">
        <v>26</v>
      </c>
      <c r="P698">
        <v>2</v>
      </c>
      <c r="Q698" s="1" t="s">
        <v>41</v>
      </c>
      <c r="R698">
        <v>1</v>
      </c>
      <c r="S698" s="1" t="s">
        <v>23</v>
      </c>
      <c r="T698" s="1" t="s">
        <v>60</v>
      </c>
      <c r="U698" s="1" t="s">
        <v>29</v>
      </c>
    </row>
    <row r="699" spans="1:21" x14ac:dyDescent="0.3">
      <c r="A699" s="1" t="s">
        <v>17</v>
      </c>
      <c r="B699">
        <v>12</v>
      </c>
      <c r="C699" s="1" t="s">
        <v>18</v>
      </c>
      <c r="D699" s="1" t="s">
        <v>19</v>
      </c>
      <c r="E699">
        <v>926</v>
      </c>
      <c r="F699" s="1" t="s">
        <v>32</v>
      </c>
      <c r="G699" s="1" t="s">
        <v>54</v>
      </c>
      <c r="H699">
        <v>1</v>
      </c>
      <c r="I699" s="1" t="s">
        <v>22</v>
      </c>
      <c r="J699" s="1" t="s">
        <v>23</v>
      </c>
      <c r="K699">
        <v>2</v>
      </c>
      <c r="L699" s="1" t="s">
        <v>48</v>
      </c>
      <c r="M699">
        <v>38</v>
      </c>
      <c r="N699" s="1" t="s">
        <v>23</v>
      </c>
      <c r="O699" s="1" t="s">
        <v>26</v>
      </c>
      <c r="P699">
        <v>1</v>
      </c>
      <c r="Q699" s="1" t="s">
        <v>62</v>
      </c>
      <c r="R699">
        <v>1</v>
      </c>
      <c r="S699" s="1" t="s">
        <v>23</v>
      </c>
      <c r="T699" s="1" t="s">
        <v>28</v>
      </c>
      <c r="U699" s="1" t="s">
        <v>29</v>
      </c>
    </row>
    <row r="700" spans="1:21" x14ac:dyDescent="0.3">
      <c r="A700" s="1" t="s">
        <v>17</v>
      </c>
      <c r="B700">
        <v>18</v>
      </c>
      <c r="C700" s="1" t="s">
        <v>18</v>
      </c>
      <c r="D700" s="1" t="s">
        <v>36</v>
      </c>
      <c r="E700">
        <v>1800</v>
      </c>
      <c r="F700" s="1" t="s">
        <v>32</v>
      </c>
      <c r="G700" s="1" t="s">
        <v>21</v>
      </c>
      <c r="H700">
        <v>4</v>
      </c>
      <c r="I700" s="1" t="s">
        <v>39</v>
      </c>
      <c r="J700" s="1" t="s">
        <v>23</v>
      </c>
      <c r="K700">
        <v>2</v>
      </c>
      <c r="L700" s="1" t="s">
        <v>40</v>
      </c>
      <c r="M700">
        <v>24</v>
      </c>
      <c r="N700" s="1" t="s">
        <v>23</v>
      </c>
      <c r="O700" s="1" t="s">
        <v>26</v>
      </c>
      <c r="P700">
        <v>2</v>
      </c>
      <c r="Q700" s="1" t="s">
        <v>41</v>
      </c>
      <c r="R700">
        <v>1</v>
      </c>
      <c r="S700" s="1" t="s">
        <v>23</v>
      </c>
      <c r="T700" s="1" t="s">
        <v>28</v>
      </c>
      <c r="U700" s="1" t="s">
        <v>29</v>
      </c>
    </row>
    <row r="701" spans="1:21" x14ac:dyDescent="0.3">
      <c r="A701" s="1" t="s">
        <v>50</v>
      </c>
      <c r="B701">
        <v>15</v>
      </c>
      <c r="C701" s="1" t="s">
        <v>31</v>
      </c>
      <c r="D701" s="1" t="s">
        <v>51</v>
      </c>
      <c r="E701">
        <v>1905</v>
      </c>
      <c r="F701" s="1" t="s">
        <v>32</v>
      </c>
      <c r="G701" s="1" t="s">
        <v>38</v>
      </c>
      <c r="H701">
        <v>4</v>
      </c>
      <c r="I701" s="1" t="s">
        <v>39</v>
      </c>
      <c r="J701" s="1" t="s">
        <v>23</v>
      </c>
      <c r="K701">
        <v>4</v>
      </c>
      <c r="L701" s="1" t="s">
        <v>40</v>
      </c>
      <c r="M701">
        <v>40</v>
      </c>
      <c r="N701" s="1" t="s">
        <v>23</v>
      </c>
      <c r="O701" s="1" t="s">
        <v>34</v>
      </c>
      <c r="P701">
        <v>1</v>
      </c>
      <c r="Q701" s="1" t="s">
        <v>63</v>
      </c>
      <c r="R701">
        <v>1</v>
      </c>
      <c r="S701" s="1" t="s">
        <v>28</v>
      </c>
      <c r="T701" s="1" t="s">
        <v>28</v>
      </c>
      <c r="U701" s="1" t="s">
        <v>29</v>
      </c>
    </row>
    <row r="702" spans="1:21" x14ac:dyDescent="0.3">
      <c r="A702" s="1" t="s">
        <v>17</v>
      </c>
      <c r="B702">
        <v>12</v>
      </c>
      <c r="C702" s="1" t="s">
        <v>31</v>
      </c>
      <c r="D702" s="1" t="s">
        <v>53</v>
      </c>
      <c r="E702">
        <v>1123</v>
      </c>
      <c r="F702" s="1" t="s">
        <v>37</v>
      </c>
      <c r="G702" s="1" t="s">
        <v>21</v>
      </c>
      <c r="H702">
        <v>4</v>
      </c>
      <c r="I702" s="1" t="s">
        <v>22</v>
      </c>
      <c r="J702" s="1" t="s">
        <v>23</v>
      </c>
      <c r="K702">
        <v>4</v>
      </c>
      <c r="L702" s="1" t="s">
        <v>40</v>
      </c>
      <c r="M702">
        <v>29</v>
      </c>
      <c r="N702" s="1" t="s">
        <v>23</v>
      </c>
      <c r="O702" s="1" t="s">
        <v>34</v>
      </c>
      <c r="P702">
        <v>1</v>
      </c>
      <c r="Q702" s="1" t="s">
        <v>27</v>
      </c>
      <c r="R702">
        <v>1</v>
      </c>
      <c r="S702" s="1" t="s">
        <v>23</v>
      </c>
      <c r="T702" s="1" t="s">
        <v>28</v>
      </c>
      <c r="U702" s="1" t="s">
        <v>56</v>
      </c>
    </row>
    <row r="703" spans="1:21" x14ac:dyDescent="0.3">
      <c r="A703" s="1" t="s">
        <v>35</v>
      </c>
      <c r="B703">
        <v>48</v>
      </c>
      <c r="C703" s="1" t="s">
        <v>18</v>
      </c>
      <c r="D703" s="1" t="s">
        <v>69</v>
      </c>
      <c r="E703">
        <v>6331</v>
      </c>
      <c r="F703" s="1" t="s">
        <v>32</v>
      </c>
      <c r="G703" s="1" t="s">
        <v>38</v>
      </c>
      <c r="H703">
        <v>4</v>
      </c>
      <c r="I703" s="1" t="s">
        <v>39</v>
      </c>
      <c r="J703" s="1" t="s">
        <v>23</v>
      </c>
      <c r="K703">
        <v>4</v>
      </c>
      <c r="L703" s="1" t="s">
        <v>65</v>
      </c>
      <c r="M703">
        <v>46</v>
      </c>
      <c r="N703" s="1" t="s">
        <v>23</v>
      </c>
      <c r="O703" s="1" t="s">
        <v>66</v>
      </c>
      <c r="P703">
        <v>2</v>
      </c>
      <c r="Q703" s="1" t="s">
        <v>41</v>
      </c>
      <c r="R703">
        <v>1</v>
      </c>
      <c r="S703" s="1" t="s">
        <v>28</v>
      </c>
      <c r="T703" s="1" t="s">
        <v>28</v>
      </c>
      <c r="U703" s="1" t="s">
        <v>56</v>
      </c>
    </row>
    <row r="704" spans="1:21" x14ac:dyDescent="0.3">
      <c r="A704" s="1" t="s">
        <v>50</v>
      </c>
      <c r="B704">
        <v>24</v>
      </c>
      <c r="C704" s="1" t="s">
        <v>31</v>
      </c>
      <c r="D704" s="1" t="s">
        <v>36</v>
      </c>
      <c r="E704">
        <v>1377</v>
      </c>
      <c r="F704" s="1" t="s">
        <v>46</v>
      </c>
      <c r="G704" s="1" t="s">
        <v>38</v>
      </c>
      <c r="H704">
        <v>4</v>
      </c>
      <c r="I704" s="1" t="s">
        <v>22</v>
      </c>
      <c r="J704" s="1" t="s">
        <v>23</v>
      </c>
      <c r="K704">
        <v>2</v>
      </c>
      <c r="L704" s="1" t="s">
        <v>65</v>
      </c>
      <c r="M704">
        <v>47</v>
      </c>
      <c r="N704" s="1" t="s">
        <v>23</v>
      </c>
      <c r="O704" s="1" t="s">
        <v>66</v>
      </c>
      <c r="P704">
        <v>1</v>
      </c>
      <c r="Q704" s="1" t="s">
        <v>41</v>
      </c>
      <c r="R704">
        <v>1</v>
      </c>
      <c r="S704" s="1" t="s">
        <v>28</v>
      </c>
      <c r="T704" s="1" t="s">
        <v>28</v>
      </c>
      <c r="U704" s="1" t="s">
        <v>29</v>
      </c>
    </row>
    <row r="705" spans="1:21" x14ac:dyDescent="0.3">
      <c r="A705" s="1" t="s">
        <v>30</v>
      </c>
      <c r="B705">
        <v>30</v>
      </c>
      <c r="C705" s="1" t="s">
        <v>59</v>
      </c>
      <c r="D705" s="1" t="s">
        <v>61</v>
      </c>
      <c r="E705">
        <v>2503</v>
      </c>
      <c r="F705" s="1" t="s">
        <v>46</v>
      </c>
      <c r="G705" s="1" t="s">
        <v>38</v>
      </c>
      <c r="H705">
        <v>4</v>
      </c>
      <c r="I705" s="1" t="s">
        <v>39</v>
      </c>
      <c r="J705" s="1" t="s">
        <v>23</v>
      </c>
      <c r="K705">
        <v>2</v>
      </c>
      <c r="L705" s="1" t="s">
        <v>48</v>
      </c>
      <c r="M705">
        <v>41</v>
      </c>
      <c r="N705" s="1" t="s">
        <v>67</v>
      </c>
      <c r="O705" s="1" t="s">
        <v>26</v>
      </c>
      <c r="P705">
        <v>2</v>
      </c>
      <c r="Q705" s="1" t="s">
        <v>41</v>
      </c>
      <c r="R705">
        <v>1</v>
      </c>
      <c r="S705" s="1" t="s">
        <v>23</v>
      </c>
      <c r="T705" s="1" t="s">
        <v>28</v>
      </c>
      <c r="U705" s="1" t="s">
        <v>29</v>
      </c>
    </row>
    <row r="706" spans="1:21" x14ac:dyDescent="0.3">
      <c r="A706" s="1" t="s">
        <v>30</v>
      </c>
      <c r="B706">
        <v>27</v>
      </c>
      <c r="C706" s="1" t="s">
        <v>31</v>
      </c>
      <c r="D706" s="1" t="s">
        <v>61</v>
      </c>
      <c r="E706">
        <v>2528</v>
      </c>
      <c r="F706" s="1" t="s">
        <v>32</v>
      </c>
      <c r="G706" s="1" t="s">
        <v>45</v>
      </c>
      <c r="H706">
        <v>4</v>
      </c>
      <c r="I706" s="1" t="s">
        <v>22</v>
      </c>
      <c r="J706" s="1" t="s">
        <v>23</v>
      </c>
      <c r="K706">
        <v>1</v>
      </c>
      <c r="L706" s="1" t="s">
        <v>48</v>
      </c>
      <c r="M706">
        <v>32</v>
      </c>
      <c r="N706" s="1" t="s">
        <v>23</v>
      </c>
      <c r="O706" s="1" t="s">
        <v>26</v>
      </c>
      <c r="P706">
        <v>1</v>
      </c>
      <c r="Q706" s="1" t="s">
        <v>41</v>
      </c>
      <c r="R706">
        <v>2</v>
      </c>
      <c r="S706" s="1" t="s">
        <v>28</v>
      </c>
      <c r="T706" s="1" t="s">
        <v>28</v>
      </c>
      <c r="U706" s="1" t="s">
        <v>29</v>
      </c>
    </row>
    <row r="707" spans="1:21" x14ac:dyDescent="0.3">
      <c r="A707" s="1" t="s">
        <v>17</v>
      </c>
      <c r="B707">
        <v>15</v>
      </c>
      <c r="C707" s="1" t="s">
        <v>31</v>
      </c>
      <c r="D707" s="1" t="s">
        <v>19</v>
      </c>
      <c r="E707">
        <v>5324</v>
      </c>
      <c r="F707" s="1" t="s">
        <v>37</v>
      </c>
      <c r="G707" s="1" t="s">
        <v>38</v>
      </c>
      <c r="H707">
        <v>1</v>
      </c>
      <c r="I707" s="1" t="s">
        <v>22</v>
      </c>
      <c r="J707" s="1" t="s">
        <v>23</v>
      </c>
      <c r="K707">
        <v>4</v>
      </c>
      <c r="L707" s="1" t="s">
        <v>65</v>
      </c>
      <c r="M707">
        <v>35</v>
      </c>
      <c r="N707" s="1" t="s">
        <v>23</v>
      </c>
      <c r="O707" s="1" t="s">
        <v>66</v>
      </c>
      <c r="P707">
        <v>1</v>
      </c>
      <c r="Q707" s="1" t="s">
        <v>41</v>
      </c>
      <c r="R707">
        <v>1</v>
      </c>
      <c r="S707" s="1" t="s">
        <v>23</v>
      </c>
      <c r="T707" s="1" t="s">
        <v>28</v>
      </c>
      <c r="U707" s="1" t="s">
        <v>29</v>
      </c>
    </row>
    <row r="708" spans="1:21" x14ac:dyDescent="0.3">
      <c r="A708" s="1" t="s">
        <v>30</v>
      </c>
      <c r="B708">
        <v>48</v>
      </c>
      <c r="C708" s="1" t="s">
        <v>31</v>
      </c>
      <c r="D708" s="1" t="s">
        <v>19</v>
      </c>
      <c r="E708">
        <v>6560</v>
      </c>
      <c r="F708" s="1" t="s">
        <v>46</v>
      </c>
      <c r="G708" s="1" t="s">
        <v>49</v>
      </c>
      <c r="H708">
        <v>3</v>
      </c>
      <c r="I708" s="1" t="s">
        <v>39</v>
      </c>
      <c r="J708" s="1" t="s">
        <v>23</v>
      </c>
      <c r="K708">
        <v>2</v>
      </c>
      <c r="L708" s="1" t="s">
        <v>48</v>
      </c>
      <c r="M708">
        <v>24</v>
      </c>
      <c r="N708" s="1" t="s">
        <v>23</v>
      </c>
      <c r="O708" s="1" t="s">
        <v>26</v>
      </c>
      <c r="P708">
        <v>1</v>
      </c>
      <c r="Q708" s="1" t="s">
        <v>41</v>
      </c>
      <c r="R708">
        <v>1</v>
      </c>
      <c r="S708" s="1" t="s">
        <v>23</v>
      </c>
      <c r="T708" s="1" t="s">
        <v>28</v>
      </c>
      <c r="U708" s="1" t="s">
        <v>56</v>
      </c>
    </row>
    <row r="709" spans="1:21" x14ac:dyDescent="0.3">
      <c r="A709" s="1" t="s">
        <v>30</v>
      </c>
      <c r="B709">
        <v>12</v>
      </c>
      <c r="C709" s="1" t="s">
        <v>52</v>
      </c>
      <c r="D709" s="1" t="s">
        <v>53</v>
      </c>
      <c r="E709">
        <v>2969</v>
      </c>
      <c r="F709" s="1" t="s">
        <v>32</v>
      </c>
      <c r="G709" s="1" t="s">
        <v>45</v>
      </c>
      <c r="H709">
        <v>4</v>
      </c>
      <c r="I709" s="1" t="s">
        <v>22</v>
      </c>
      <c r="J709" s="1" t="s">
        <v>23</v>
      </c>
      <c r="K709">
        <v>3</v>
      </c>
      <c r="L709" s="1" t="s">
        <v>48</v>
      </c>
      <c r="M709">
        <v>25</v>
      </c>
      <c r="N709" s="1" t="s">
        <v>23</v>
      </c>
      <c r="O709" s="1" t="s">
        <v>34</v>
      </c>
      <c r="P709">
        <v>2</v>
      </c>
      <c r="Q709" s="1" t="s">
        <v>41</v>
      </c>
      <c r="R709">
        <v>1</v>
      </c>
      <c r="S709" s="1" t="s">
        <v>23</v>
      </c>
      <c r="T709" s="1" t="s">
        <v>28</v>
      </c>
      <c r="U709" s="1" t="s">
        <v>56</v>
      </c>
    </row>
    <row r="710" spans="1:21" x14ac:dyDescent="0.3">
      <c r="A710" s="1" t="s">
        <v>30</v>
      </c>
      <c r="B710">
        <v>9</v>
      </c>
      <c r="C710" s="1" t="s">
        <v>31</v>
      </c>
      <c r="D710" s="1" t="s">
        <v>36</v>
      </c>
      <c r="E710">
        <v>1206</v>
      </c>
      <c r="F710" s="1" t="s">
        <v>32</v>
      </c>
      <c r="G710" s="1" t="s">
        <v>38</v>
      </c>
      <c r="H710">
        <v>4</v>
      </c>
      <c r="I710" s="1" t="s">
        <v>22</v>
      </c>
      <c r="J710" s="1" t="s">
        <v>23</v>
      </c>
      <c r="K710">
        <v>4</v>
      </c>
      <c r="L710" s="1" t="s">
        <v>24</v>
      </c>
      <c r="M710">
        <v>25</v>
      </c>
      <c r="N710" s="1" t="s">
        <v>23</v>
      </c>
      <c r="O710" s="1" t="s">
        <v>26</v>
      </c>
      <c r="P710">
        <v>1</v>
      </c>
      <c r="Q710" s="1" t="s">
        <v>41</v>
      </c>
      <c r="R710">
        <v>1</v>
      </c>
      <c r="S710" s="1" t="s">
        <v>23</v>
      </c>
      <c r="T710" s="1" t="s">
        <v>28</v>
      </c>
      <c r="U710" s="1" t="s">
        <v>29</v>
      </c>
    </row>
    <row r="711" spans="1:21" x14ac:dyDescent="0.3">
      <c r="A711" s="1" t="s">
        <v>30</v>
      </c>
      <c r="B711">
        <v>9</v>
      </c>
      <c r="C711" s="1" t="s">
        <v>31</v>
      </c>
      <c r="D711" s="1" t="s">
        <v>36</v>
      </c>
      <c r="E711">
        <v>2118</v>
      </c>
      <c r="F711" s="1" t="s">
        <v>32</v>
      </c>
      <c r="G711" s="1" t="s">
        <v>21</v>
      </c>
      <c r="H711">
        <v>2</v>
      </c>
      <c r="I711" s="1" t="s">
        <v>39</v>
      </c>
      <c r="J711" s="1" t="s">
        <v>23</v>
      </c>
      <c r="K711">
        <v>2</v>
      </c>
      <c r="L711" s="1" t="s">
        <v>24</v>
      </c>
      <c r="M711">
        <v>37</v>
      </c>
      <c r="N711" s="1" t="s">
        <v>23</v>
      </c>
      <c r="O711" s="1" t="s">
        <v>26</v>
      </c>
      <c r="P711">
        <v>1</v>
      </c>
      <c r="Q711" s="1" t="s">
        <v>27</v>
      </c>
      <c r="R711">
        <v>2</v>
      </c>
      <c r="S711" s="1" t="s">
        <v>23</v>
      </c>
      <c r="T711" s="1" t="s">
        <v>28</v>
      </c>
      <c r="U711" s="1" t="s">
        <v>29</v>
      </c>
    </row>
    <row r="712" spans="1:21" x14ac:dyDescent="0.3">
      <c r="A712" s="1" t="s">
        <v>17</v>
      </c>
      <c r="B712">
        <v>18</v>
      </c>
      <c r="C712" s="1" t="s">
        <v>18</v>
      </c>
      <c r="D712" s="1" t="s">
        <v>36</v>
      </c>
      <c r="E712">
        <v>629</v>
      </c>
      <c r="F712" s="1" t="s">
        <v>37</v>
      </c>
      <c r="G712" s="1" t="s">
        <v>38</v>
      </c>
      <c r="H712">
        <v>4</v>
      </c>
      <c r="I712" s="1" t="s">
        <v>39</v>
      </c>
      <c r="J712" s="1" t="s">
        <v>23</v>
      </c>
      <c r="K712">
        <v>3</v>
      </c>
      <c r="L712" s="1" t="s">
        <v>48</v>
      </c>
      <c r="M712">
        <v>32</v>
      </c>
      <c r="N712" s="1" t="s">
        <v>25</v>
      </c>
      <c r="O712" s="1" t="s">
        <v>26</v>
      </c>
      <c r="P712">
        <v>2</v>
      </c>
      <c r="Q712" s="1" t="s">
        <v>63</v>
      </c>
      <c r="R712">
        <v>1</v>
      </c>
      <c r="S712" s="1" t="s">
        <v>28</v>
      </c>
      <c r="T712" s="1" t="s">
        <v>28</v>
      </c>
      <c r="U712" s="1" t="s">
        <v>29</v>
      </c>
    </row>
    <row r="713" spans="1:21" x14ac:dyDescent="0.3">
      <c r="A713" s="1" t="s">
        <v>35</v>
      </c>
      <c r="B713">
        <v>6</v>
      </c>
      <c r="C713" s="1" t="s">
        <v>42</v>
      </c>
      <c r="D713" s="1" t="s">
        <v>51</v>
      </c>
      <c r="E713">
        <v>1198</v>
      </c>
      <c r="F713" s="1" t="s">
        <v>32</v>
      </c>
      <c r="G713" s="1" t="s">
        <v>38</v>
      </c>
      <c r="H713">
        <v>4</v>
      </c>
      <c r="I713" s="1" t="s">
        <v>22</v>
      </c>
      <c r="J713" s="1" t="s">
        <v>23</v>
      </c>
      <c r="K713">
        <v>4</v>
      </c>
      <c r="L713" s="1" t="s">
        <v>65</v>
      </c>
      <c r="M713">
        <v>35</v>
      </c>
      <c r="N713" s="1" t="s">
        <v>23</v>
      </c>
      <c r="O713" s="1" t="s">
        <v>66</v>
      </c>
      <c r="P713">
        <v>1</v>
      </c>
      <c r="Q713" s="1" t="s">
        <v>41</v>
      </c>
      <c r="R713">
        <v>1</v>
      </c>
      <c r="S713" s="1" t="s">
        <v>23</v>
      </c>
      <c r="T713" s="1" t="s">
        <v>28</v>
      </c>
      <c r="U713" s="1" t="s">
        <v>56</v>
      </c>
    </row>
    <row r="714" spans="1:21" x14ac:dyDescent="0.3">
      <c r="A714" s="1" t="s">
        <v>17</v>
      </c>
      <c r="B714">
        <v>21</v>
      </c>
      <c r="C714" s="1" t="s">
        <v>31</v>
      </c>
      <c r="D714" s="1" t="s">
        <v>69</v>
      </c>
      <c r="E714">
        <v>2476</v>
      </c>
      <c r="F714" s="1" t="s">
        <v>47</v>
      </c>
      <c r="G714" s="1" t="s">
        <v>38</v>
      </c>
      <c r="H714">
        <v>4</v>
      </c>
      <c r="I714" s="1" t="s">
        <v>39</v>
      </c>
      <c r="J714" s="1" t="s">
        <v>23</v>
      </c>
      <c r="K714">
        <v>4</v>
      </c>
      <c r="L714" s="1" t="s">
        <v>24</v>
      </c>
      <c r="M714">
        <v>46</v>
      </c>
      <c r="N714" s="1" t="s">
        <v>23</v>
      </c>
      <c r="O714" s="1" t="s">
        <v>26</v>
      </c>
      <c r="P714">
        <v>1</v>
      </c>
      <c r="Q714" s="1" t="s">
        <v>63</v>
      </c>
      <c r="R714">
        <v>1</v>
      </c>
      <c r="S714" s="1" t="s">
        <v>28</v>
      </c>
      <c r="T714" s="1" t="s">
        <v>28</v>
      </c>
      <c r="U714" s="1" t="s">
        <v>29</v>
      </c>
    </row>
    <row r="715" spans="1:21" x14ac:dyDescent="0.3">
      <c r="A715" s="1" t="s">
        <v>35</v>
      </c>
      <c r="B715">
        <v>9</v>
      </c>
      <c r="C715" s="1" t="s">
        <v>18</v>
      </c>
      <c r="D715" s="1" t="s">
        <v>36</v>
      </c>
      <c r="E715">
        <v>1138</v>
      </c>
      <c r="F715" s="1" t="s">
        <v>32</v>
      </c>
      <c r="G715" s="1" t="s">
        <v>21</v>
      </c>
      <c r="H715">
        <v>4</v>
      </c>
      <c r="I715" s="1" t="s">
        <v>39</v>
      </c>
      <c r="J715" s="1" t="s">
        <v>23</v>
      </c>
      <c r="K715">
        <v>4</v>
      </c>
      <c r="L715" s="1" t="s">
        <v>24</v>
      </c>
      <c r="M715">
        <v>25</v>
      </c>
      <c r="N715" s="1" t="s">
        <v>23</v>
      </c>
      <c r="O715" s="1" t="s">
        <v>26</v>
      </c>
      <c r="P715">
        <v>2</v>
      </c>
      <c r="Q715" s="1" t="s">
        <v>27</v>
      </c>
      <c r="R715">
        <v>1</v>
      </c>
      <c r="S715" s="1" t="s">
        <v>23</v>
      </c>
      <c r="T715" s="1" t="s">
        <v>28</v>
      </c>
      <c r="U715" s="1" t="s">
        <v>29</v>
      </c>
    </row>
    <row r="716" spans="1:21" x14ac:dyDescent="0.3">
      <c r="A716" s="1" t="s">
        <v>30</v>
      </c>
      <c r="B716">
        <v>60</v>
      </c>
      <c r="C716" s="1" t="s">
        <v>31</v>
      </c>
      <c r="D716" s="1" t="s">
        <v>19</v>
      </c>
      <c r="E716">
        <v>14027</v>
      </c>
      <c r="F716" s="1" t="s">
        <v>32</v>
      </c>
      <c r="G716" s="1" t="s">
        <v>49</v>
      </c>
      <c r="H716">
        <v>4</v>
      </c>
      <c r="I716" s="1" t="s">
        <v>39</v>
      </c>
      <c r="J716" s="1" t="s">
        <v>23</v>
      </c>
      <c r="K716">
        <v>2</v>
      </c>
      <c r="L716" s="1" t="s">
        <v>65</v>
      </c>
      <c r="M716">
        <v>27</v>
      </c>
      <c r="N716" s="1" t="s">
        <v>23</v>
      </c>
      <c r="O716" s="1" t="s">
        <v>26</v>
      </c>
      <c r="P716">
        <v>1</v>
      </c>
      <c r="Q716" s="1" t="s">
        <v>63</v>
      </c>
      <c r="R716">
        <v>1</v>
      </c>
      <c r="S716" s="1" t="s">
        <v>28</v>
      </c>
      <c r="T716" s="1" t="s">
        <v>28</v>
      </c>
      <c r="U716" s="1" t="s">
        <v>56</v>
      </c>
    </row>
    <row r="717" spans="1:21" x14ac:dyDescent="0.3">
      <c r="A717" s="1" t="s">
        <v>17</v>
      </c>
      <c r="B717">
        <v>30</v>
      </c>
      <c r="C717" s="1" t="s">
        <v>18</v>
      </c>
      <c r="D717" s="1" t="s">
        <v>69</v>
      </c>
      <c r="E717">
        <v>7596</v>
      </c>
      <c r="F717" s="1" t="s">
        <v>47</v>
      </c>
      <c r="G717" s="1" t="s">
        <v>38</v>
      </c>
      <c r="H717">
        <v>1</v>
      </c>
      <c r="I717" s="1" t="s">
        <v>39</v>
      </c>
      <c r="J717" s="1" t="s">
        <v>23</v>
      </c>
      <c r="K717">
        <v>4</v>
      </c>
      <c r="L717" s="1" t="s">
        <v>40</v>
      </c>
      <c r="M717">
        <v>63</v>
      </c>
      <c r="N717" s="1" t="s">
        <v>23</v>
      </c>
      <c r="O717" s="1" t="s">
        <v>26</v>
      </c>
      <c r="P717">
        <v>2</v>
      </c>
      <c r="Q717" s="1" t="s">
        <v>41</v>
      </c>
      <c r="R717">
        <v>1</v>
      </c>
      <c r="S717" s="1" t="s">
        <v>23</v>
      </c>
      <c r="T717" s="1" t="s">
        <v>28</v>
      </c>
      <c r="U717" s="1" t="s">
        <v>29</v>
      </c>
    </row>
    <row r="718" spans="1:21" x14ac:dyDescent="0.3">
      <c r="A718" s="1" t="s">
        <v>17</v>
      </c>
      <c r="B718">
        <v>30</v>
      </c>
      <c r="C718" s="1" t="s">
        <v>18</v>
      </c>
      <c r="D718" s="1" t="s">
        <v>36</v>
      </c>
      <c r="E718">
        <v>3077</v>
      </c>
      <c r="F718" s="1" t="s">
        <v>47</v>
      </c>
      <c r="G718" s="1" t="s">
        <v>38</v>
      </c>
      <c r="H718">
        <v>3</v>
      </c>
      <c r="I718" s="1" t="s">
        <v>39</v>
      </c>
      <c r="J718" s="1" t="s">
        <v>23</v>
      </c>
      <c r="K718">
        <v>2</v>
      </c>
      <c r="L718" s="1" t="s">
        <v>40</v>
      </c>
      <c r="M718">
        <v>40</v>
      </c>
      <c r="N718" s="1" t="s">
        <v>23</v>
      </c>
      <c r="O718" s="1" t="s">
        <v>26</v>
      </c>
      <c r="P718">
        <v>2</v>
      </c>
      <c r="Q718" s="1" t="s">
        <v>41</v>
      </c>
      <c r="R718">
        <v>2</v>
      </c>
      <c r="S718" s="1" t="s">
        <v>28</v>
      </c>
      <c r="T718" s="1" t="s">
        <v>28</v>
      </c>
      <c r="U718" s="1" t="s">
        <v>29</v>
      </c>
    </row>
    <row r="719" spans="1:21" x14ac:dyDescent="0.3">
      <c r="A719" s="1" t="s">
        <v>17</v>
      </c>
      <c r="B719">
        <v>18</v>
      </c>
      <c r="C719" s="1" t="s">
        <v>31</v>
      </c>
      <c r="D719" s="1" t="s">
        <v>36</v>
      </c>
      <c r="E719">
        <v>1505</v>
      </c>
      <c r="F719" s="1" t="s">
        <v>32</v>
      </c>
      <c r="G719" s="1" t="s">
        <v>21</v>
      </c>
      <c r="H719">
        <v>4</v>
      </c>
      <c r="I719" s="1" t="s">
        <v>39</v>
      </c>
      <c r="J719" s="1" t="s">
        <v>23</v>
      </c>
      <c r="K719">
        <v>2</v>
      </c>
      <c r="L719" s="1" t="s">
        <v>65</v>
      </c>
      <c r="M719">
        <v>32</v>
      </c>
      <c r="N719" s="1" t="s">
        <v>23</v>
      </c>
      <c r="O719" s="1" t="s">
        <v>66</v>
      </c>
      <c r="P719">
        <v>1</v>
      </c>
      <c r="Q719" s="1" t="s">
        <v>63</v>
      </c>
      <c r="R719">
        <v>1</v>
      </c>
      <c r="S719" s="1" t="s">
        <v>28</v>
      </c>
      <c r="T719" s="1" t="s">
        <v>28</v>
      </c>
      <c r="U719" s="1" t="s">
        <v>29</v>
      </c>
    </row>
    <row r="720" spans="1:21" x14ac:dyDescent="0.3">
      <c r="A720" s="1" t="s">
        <v>50</v>
      </c>
      <c r="B720">
        <v>24</v>
      </c>
      <c r="C720" s="1" t="s">
        <v>18</v>
      </c>
      <c r="D720" s="1" t="s">
        <v>36</v>
      </c>
      <c r="E720">
        <v>3148</v>
      </c>
      <c r="F720" s="1" t="s">
        <v>47</v>
      </c>
      <c r="G720" s="1" t="s">
        <v>21</v>
      </c>
      <c r="H720">
        <v>3</v>
      </c>
      <c r="I720" s="1" t="s">
        <v>39</v>
      </c>
      <c r="J720" s="1" t="s">
        <v>23</v>
      </c>
      <c r="K720">
        <v>2</v>
      </c>
      <c r="L720" s="1" t="s">
        <v>40</v>
      </c>
      <c r="M720">
        <v>31</v>
      </c>
      <c r="N720" s="1" t="s">
        <v>23</v>
      </c>
      <c r="O720" s="1" t="s">
        <v>26</v>
      </c>
      <c r="P720">
        <v>2</v>
      </c>
      <c r="Q720" s="1" t="s">
        <v>41</v>
      </c>
      <c r="R720">
        <v>1</v>
      </c>
      <c r="S720" s="1" t="s">
        <v>28</v>
      </c>
      <c r="T720" s="1" t="s">
        <v>28</v>
      </c>
      <c r="U720" s="1" t="s">
        <v>29</v>
      </c>
    </row>
    <row r="721" spans="1:21" x14ac:dyDescent="0.3">
      <c r="A721" s="1" t="s">
        <v>30</v>
      </c>
      <c r="B721">
        <v>20</v>
      </c>
      <c r="C721" s="1" t="s">
        <v>52</v>
      </c>
      <c r="D721" s="1" t="s">
        <v>69</v>
      </c>
      <c r="E721">
        <v>6148</v>
      </c>
      <c r="F721" s="1" t="s">
        <v>46</v>
      </c>
      <c r="G721" s="1" t="s">
        <v>38</v>
      </c>
      <c r="H721">
        <v>3</v>
      </c>
      <c r="I721" s="1" t="s">
        <v>33</v>
      </c>
      <c r="J721" s="1" t="s">
        <v>23</v>
      </c>
      <c r="K721">
        <v>4</v>
      </c>
      <c r="L721" s="1" t="s">
        <v>40</v>
      </c>
      <c r="M721">
        <v>31</v>
      </c>
      <c r="N721" s="1" t="s">
        <v>25</v>
      </c>
      <c r="O721" s="1" t="s">
        <v>26</v>
      </c>
      <c r="P721">
        <v>2</v>
      </c>
      <c r="Q721" s="1" t="s">
        <v>41</v>
      </c>
      <c r="R721">
        <v>1</v>
      </c>
      <c r="S721" s="1" t="s">
        <v>28</v>
      </c>
      <c r="T721" s="1" t="s">
        <v>28</v>
      </c>
      <c r="U721" s="1" t="s">
        <v>29</v>
      </c>
    </row>
    <row r="722" spans="1:21" x14ac:dyDescent="0.3">
      <c r="A722" s="1" t="s">
        <v>50</v>
      </c>
      <c r="B722">
        <v>9</v>
      </c>
      <c r="C722" s="1" t="s">
        <v>52</v>
      </c>
      <c r="D722" s="1" t="s">
        <v>36</v>
      </c>
      <c r="E722">
        <v>1337</v>
      </c>
      <c r="F722" s="1" t="s">
        <v>32</v>
      </c>
      <c r="G722" s="1" t="s">
        <v>45</v>
      </c>
      <c r="H722">
        <v>4</v>
      </c>
      <c r="I722" s="1" t="s">
        <v>39</v>
      </c>
      <c r="J722" s="1" t="s">
        <v>23</v>
      </c>
      <c r="K722">
        <v>2</v>
      </c>
      <c r="L722" s="1" t="s">
        <v>40</v>
      </c>
      <c r="M722">
        <v>34</v>
      </c>
      <c r="N722" s="1" t="s">
        <v>23</v>
      </c>
      <c r="O722" s="1" t="s">
        <v>26</v>
      </c>
      <c r="P722">
        <v>2</v>
      </c>
      <c r="Q722" s="1" t="s">
        <v>63</v>
      </c>
      <c r="R722">
        <v>1</v>
      </c>
      <c r="S722" s="1" t="s">
        <v>28</v>
      </c>
      <c r="T722" s="1" t="s">
        <v>28</v>
      </c>
      <c r="U722" s="1" t="s">
        <v>56</v>
      </c>
    </row>
    <row r="723" spans="1:21" x14ac:dyDescent="0.3">
      <c r="A723" s="1" t="s">
        <v>30</v>
      </c>
      <c r="B723">
        <v>6</v>
      </c>
      <c r="C723" s="1" t="s">
        <v>42</v>
      </c>
      <c r="D723" s="1" t="s">
        <v>51</v>
      </c>
      <c r="E723">
        <v>433</v>
      </c>
      <c r="F723" s="1" t="s">
        <v>20</v>
      </c>
      <c r="G723" s="1" t="s">
        <v>45</v>
      </c>
      <c r="H723">
        <v>4</v>
      </c>
      <c r="I723" s="1" t="s">
        <v>22</v>
      </c>
      <c r="J723" s="1" t="s">
        <v>23</v>
      </c>
      <c r="K723">
        <v>2</v>
      </c>
      <c r="L723" s="1" t="s">
        <v>48</v>
      </c>
      <c r="M723">
        <v>24</v>
      </c>
      <c r="N723" s="1" t="s">
        <v>25</v>
      </c>
      <c r="O723" s="1" t="s">
        <v>34</v>
      </c>
      <c r="P723">
        <v>1</v>
      </c>
      <c r="Q723" s="1" t="s">
        <v>41</v>
      </c>
      <c r="R723">
        <v>2</v>
      </c>
      <c r="S723" s="1" t="s">
        <v>23</v>
      </c>
      <c r="T723" s="1" t="s">
        <v>28</v>
      </c>
      <c r="U723" s="1" t="s">
        <v>56</v>
      </c>
    </row>
    <row r="724" spans="1:21" x14ac:dyDescent="0.3">
      <c r="A724" s="1" t="s">
        <v>35</v>
      </c>
      <c r="B724">
        <v>12</v>
      </c>
      <c r="C724" s="1" t="s">
        <v>31</v>
      </c>
      <c r="D724" s="1" t="s">
        <v>19</v>
      </c>
      <c r="E724">
        <v>1228</v>
      </c>
      <c r="F724" s="1" t="s">
        <v>32</v>
      </c>
      <c r="G724" s="1" t="s">
        <v>21</v>
      </c>
      <c r="H724">
        <v>4</v>
      </c>
      <c r="I724" s="1" t="s">
        <v>22</v>
      </c>
      <c r="J724" s="1" t="s">
        <v>23</v>
      </c>
      <c r="K724">
        <v>2</v>
      </c>
      <c r="L724" s="1" t="s">
        <v>24</v>
      </c>
      <c r="M724">
        <v>24</v>
      </c>
      <c r="N724" s="1" t="s">
        <v>23</v>
      </c>
      <c r="O724" s="1" t="s">
        <v>26</v>
      </c>
      <c r="P724">
        <v>1</v>
      </c>
      <c r="Q724" s="1" t="s">
        <v>27</v>
      </c>
      <c r="R724">
        <v>1</v>
      </c>
      <c r="S724" s="1" t="s">
        <v>23</v>
      </c>
      <c r="T724" s="1" t="s">
        <v>28</v>
      </c>
      <c r="U724" s="1" t="s">
        <v>56</v>
      </c>
    </row>
    <row r="725" spans="1:21" x14ac:dyDescent="0.3">
      <c r="A725" s="1" t="s">
        <v>30</v>
      </c>
      <c r="B725">
        <v>9</v>
      </c>
      <c r="C725" s="1" t="s">
        <v>31</v>
      </c>
      <c r="D725" s="1" t="s">
        <v>36</v>
      </c>
      <c r="E725">
        <v>790</v>
      </c>
      <c r="F725" s="1" t="s">
        <v>37</v>
      </c>
      <c r="G725" s="1" t="s">
        <v>21</v>
      </c>
      <c r="H725">
        <v>4</v>
      </c>
      <c r="I725" s="1" t="s">
        <v>22</v>
      </c>
      <c r="J725" s="1" t="s">
        <v>23</v>
      </c>
      <c r="K725">
        <v>3</v>
      </c>
      <c r="L725" s="1" t="s">
        <v>24</v>
      </c>
      <c r="M725">
        <v>66</v>
      </c>
      <c r="N725" s="1" t="s">
        <v>23</v>
      </c>
      <c r="O725" s="1" t="s">
        <v>26</v>
      </c>
      <c r="P725">
        <v>1</v>
      </c>
      <c r="Q725" s="1" t="s">
        <v>27</v>
      </c>
      <c r="R725">
        <v>1</v>
      </c>
      <c r="S725" s="1" t="s">
        <v>23</v>
      </c>
      <c r="T725" s="1" t="s">
        <v>28</v>
      </c>
      <c r="U725" s="1" t="s">
        <v>29</v>
      </c>
    </row>
    <row r="726" spans="1:21" x14ac:dyDescent="0.3">
      <c r="A726" s="1" t="s">
        <v>17</v>
      </c>
      <c r="B726">
        <v>27</v>
      </c>
      <c r="C726" s="1" t="s">
        <v>31</v>
      </c>
      <c r="D726" s="1" t="s">
        <v>19</v>
      </c>
      <c r="E726">
        <v>2570</v>
      </c>
      <c r="F726" s="1" t="s">
        <v>32</v>
      </c>
      <c r="G726" s="1" t="s">
        <v>21</v>
      </c>
      <c r="H726">
        <v>3</v>
      </c>
      <c r="I726" s="1" t="s">
        <v>22</v>
      </c>
      <c r="J726" s="1" t="s">
        <v>23</v>
      </c>
      <c r="K726">
        <v>3</v>
      </c>
      <c r="L726" s="1" t="s">
        <v>24</v>
      </c>
      <c r="M726">
        <v>21</v>
      </c>
      <c r="N726" s="1" t="s">
        <v>23</v>
      </c>
      <c r="O726" s="1" t="s">
        <v>34</v>
      </c>
      <c r="P726">
        <v>1</v>
      </c>
      <c r="Q726" s="1" t="s">
        <v>41</v>
      </c>
      <c r="R726">
        <v>1</v>
      </c>
      <c r="S726" s="1" t="s">
        <v>23</v>
      </c>
      <c r="T726" s="1" t="s">
        <v>28</v>
      </c>
      <c r="U726" s="1" t="s">
        <v>56</v>
      </c>
    </row>
    <row r="727" spans="1:21" x14ac:dyDescent="0.3">
      <c r="A727" s="1" t="s">
        <v>17</v>
      </c>
      <c r="B727">
        <v>6</v>
      </c>
      <c r="C727" s="1" t="s">
        <v>18</v>
      </c>
      <c r="D727" s="1" t="s">
        <v>19</v>
      </c>
      <c r="E727">
        <v>250</v>
      </c>
      <c r="F727" s="1" t="s">
        <v>20</v>
      </c>
      <c r="G727" s="1" t="s">
        <v>21</v>
      </c>
      <c r="H727">
        <v>2</v>
      </c>
      <c r="I727" s="1" t="s">
        <v>22</v>
      </c>
      <c r="J727" s="1" t="s">
        <v>23</v>
      </c>
      <c r="K727">
        <v>2</v>
      </c>
      <c r="L727" s="1" t="s">
        <v>24</v>
      </c>
      <c r="M727">
        <v>41</v>
      </c>
      <c r="N727" s="1" t="s">
        <v>25</v>
      </c>
      <c r="O727" s="1" t="s">
        <v>26</v>
      </c>
      <c r="P727">
        <v>2</v>
      </c>
      <c r="Q727" s="1" t="s">
        <v>27</v>
      </c>
      <c r="R727">
        <v>1</v>
      </c>
      <c r="S727" s="1" t="s">
        <v>23</v>
      </c>
      <c r="T727" s="1" t="s">
        <v>28</v>
      </c>
      <c r="U727" s="1" t="s">
        <v>29</v>
      </c>
    </row>
    <row r="728" spans="1:21" x14ac:dyDescent="0.3">
      <c r="A728" s="1" t="s">
        <v>17</v>
      </c>
      <c r="B728">
        <v>15</v>
      </c>
      <c r="C728" s="1" t="s">
        <v>18</v>
      </c>
      <c r="D728" s="1" t="s">
        <v>36</v>
      </c>
      <c r="E728">
        <v>1316</v>
      </c>
      <c r="F728" s="1" t="s">
        <v>37</v>
      </c>
      <c r="G728" s="1" t="s">
        <v>21</v>
      </c>
      <c r="H728">
        <v>2</v>
      </c>
      <c r="I728" s="1" t="s">
        <v>33</v>
      </c>
      <c r="J728" s="1" t="s">
        <v>23</v>
      </c>
      <c r="K728">
        <v>2</v>
      </c>
      <c r="L728" s="1" t="s">
        <v>48</v>
      </c>
      <c r="M728">
        <v>47</v>
      </c>
      <c r="N728" s="1" t="s">
        <v>23</v>
      </c>
      <c r="O728" s="1" t="s">
        <v>26</v>
      </c>
      <c r="P728">
        <v>2</v>
      </c>
      <c r="Q728" s="1" t="s">
        <v>27</v>
      </c>
      <c r="R728">
        <v>1</v>
      </c>
      <c r="S728" s="1" t="s">
        <v>23</v>
      </c>
      <c r="T728" s="1" t="s">
        <v>28</v>
      </c>
      <c r="U728" s="1" t="s">
        <v>29</v>
      </c>
    </row>
    <row r="729" spans="1:21" x14ac:dyDescent="0.3">
      <c r="A729" s="1" t="s">
        <v>35</v>
      </c>
      <c r="B729">
        <v>18</v>
      </c>
      <c r="C729" s="1" t="s">
        <v>31</v>
      </c>
      <c r="D729" s="1" t="s">
        <v>36</v>
      </c>
      <c r="E729">
        <v>1882</v>
      </c>
      <c r="F729" s="1" t="s">
        <v>32</v>
      </c>
      <c r="G729" s="1" t="s">
        <v>21</v>
      </c>
      <c r="H729">
        <v>4</v>
      </c>
      <c r="I729" s="1" t="s">
        <v>22</v>
      </c>
      <c r="J729" s="1" t="s">
        <v>23</v>
      </c>
      <c r="K729">
        <v>4</v>
      </c>
      <c r="L729" s="1" t="s">
        <v>40</v>
      </c>
      <c r="M729">
        <v>25</v>
      </c>
      <c r="N729" s="1" t="s">
        <v>25</v>
      </c>
      <c r="O729" s="1" t="s">
        <v>34</v>
      </c>
      <c r="P729">
        <v>2</v>
      </c>
      <c r="Q729" s="1" t="s">
        <v>41</v>
      </c>
      <c r="R729">
        <v>1</v>
      </c>
      <c r="S729" s="1" t="s">
        <v>23</v>
      </c>
      <c r="T729" s="1" t="s">
        <v>28</v>
      </c>
      <c r="U729" s="1" t="s">
        <v>56</v>
      </c>
    </row>
    <row r="730" spans="1:21" x14ac:dyDescent="0.3">
      <c r="A730" s="1" t="s">
        <v>30</v>
      </c>
      <c r="B730">
        <v>48</v>
      </c>
      <c r="C730" s="1" t="s">
        <v>42</v>
      </c>
      <c r="D730" s="1" t="s">
        <v>61</v>
      </c>
      <c r="E730">
        <v>6416</v>
      </c>
      <c r="F730" s="1" t="s">
        <v>32</v>
      </c>
      <c r="G730" s="1" t="s">
        <v>38</v>
      </c>
      <c r="H730">
        <v>4</v>
      </c>
      <c r="I730" s="1" t="s">
        <v>22</v>
      </c>
      <c r="J730" s="1" t="s">
        <v>23</v>
      </c>
      <c r="K730">
        <v>3</v>
      </c>
      <c r="L730" s="1" t="s">
        <v>65</v>
      </c>
      <c r="M730">
        <v>59</v>
      </c>
      <c r="N730" s="1" t="s">
        <v>23</v>
      </c>
      <c r="O730" s="1" t="s">
        <v>34</v>
      </c>
      <c r="P730">
        <v>1</v>
      </c>
      <c r="Q730" s="1" t="s">
        <v>41</v>
      </c>
      <c r="R730">
        <v>1</v>
      </c>
      <c r="S730" s="1" t="s">
        <v>23</v>
      </c>
      <c r="T730" s="1" t="s">
        <v>28</v>
      </c>
      <c r="U730" s="1" t="s">
        <v>56</v>
      </c>
    </row>
    <row r="731" spans="1:21" x14ac:dyDescent="0.3">
      <c r="A731" s="1" t="s">
        <v>50</v>
      </c>
      <c r="B731">
        <v>24</v>
      </c>
      <c r="C731" s="1" t="s">
        <v>18</v>
      </c>
      <c r="D731" s="1" t="s">
        <v>61</v>
      </c>
      <c r="E731">
        <v>1275</v>
      </c>
      <c r="F731" s="1" t="s">
        <v>20</v>
      </c>
      <c r="G731" s="1" t="s">
        <v>21</v>
      </c>
      <c r="H731">
        <v>2</v>
      </c>
      <c r="I731" s="1" t="s">
        <v>64</v>
      </c>
      <c r="J731" s="1" t="s">
        <v>23</v>
      </c>
      <c r="K731">
        <v>4</v>
      </c>
      <c r="L731" s="1" t="s">
        <v>24</v>
      </c>
      <c r="M731">
        <v>36</v>
      </c>
      <c r="N731" s="1" t="s">
        <v>23</v>
      </c>
      <c r="O731" s="1" t="s">
        <v>26</v>
      </c>
      <c r="P731">
        <v>2</v>
      </c>
      <c r="Q731" s="1" t="s">
        <v>41</v>
      </c>
      <c r="R731">
        <v>1</v>
      </c>
      <c r="S731" s="1" t="s">
        <v>28</v>
      </c>
      <c r="T731" s="1" t="s">
        <v>28</v>
      </c>
      <c r="U731" s="1" t="s">
        <v>29</v>
      </c>
    </row>
    <row r="732" spans="1:21" x14ac:dyDescent="0.3">
      <c r="A732" s="1" t="s">
        <v>30</v>
      </c>
      <c r="B732">
        <v>24</v>
      </c>
      <c r="C732" s="1" t="s">
        <v>59</v>
      </c>
      <c r="D732" s="1" t="s">
        <v>36</v>
      </c>
      <c r="E732">
        <v>6403</v>
      </c>
      <c r="F732" s="1" t="s">
        <v>32</v>
      </c>
      <c r="G732" s="1" t="s">
        <v>45</v>
      </c>
      <c r="H732">
        <v>1</v>
      </c>
      <c r="I732" s="1" t="s">
        <v>39</v>
      </c>
      <c r="J732" s="1" t="s">
        <v>23</v>
      </c>
      <c r="K732">
        <v>2</v>
      </c>
      <c r="L732" s="1" t="s">
        <v>40</v>
      </c>
      <c r="M732">
        <v>33</v>
      </c>
      <c r="N732" s="1" t="s">
        <v>23</v>
      </c>
      <c r="O732" s="1" t="s">
        <v>26</v>
      </c>
      <c r="P732">
        <v>1</v>
      </c>
      <c r="Q732" s="1" t="s">
        <v>41</v>
      </c>
      <c r="R732">
        <v>1</v>
      </c>
      <c r="S732" s="1" t="s">
        <v>23</v>
      </c>
      <c r="T732" s="1" t="s">
        <v>28</v>
      </c>
      <c r="U732" s="1" t="s">
        <v>29</v>
      </c>
    </row>
    <row r="733" spans="1:21" x14ac:dyDescent="0.3">
      <c r="A733" s="1" t="s">
        <v>35</v>
      </c>
      <c r="B733">
        <v>24</v>
      </c>
      <c r="C733" s="1" t="s">
        <v>31</v>
      </c>
      <c r="D733" s="1" t="s">
        <v>36</v>
      </c>
      <c r="E733">
        <v>1987</v>
      </c>
      <c r="F733" s="1" t="s">
        <v>32</v>
      </c>
      <c r="G733" s="1" t="s">
        <v>21</v>
      </c>
      <c r="H733">
        <v>2</v>
      </c>
      <c r="I733" s="1" t="s">
        <v>39</v>
      </c>
      <c r="J733" s="1" t="s">
        <v>23</v>
      </c>
      <c r="K733">
        <v>4</v>
      </c>
      <c r="L733" s="1" t="s">
        <v>24</v>
      </c>
      <c r="M733">
        <v>21</v>
      </c>
      <c r="N733" s="1" t="s">
        <v>23</v>
      </c>
      <c r="O733" s="1" t="s">
        <v>34</v>
      </c>
      <c r="P733">
        <v>1</v>
      </c>
      <c r="Q733" s="1" t="s">
        <v>27</v>
      </c>
      <c r="R733">
        <v>2</v>
      </c>
      <c r="S733" s="1" t="s">
        <v>23</v>
      </c>
      <c r="T733" s="1" t="s">
        <v>28</v>
      </c>
      <c r="U733" s="1" t="s">
        <v>56</v>
      </c>
    </row>
    <row r="734" spans="1:21" x14ac:dyDescent="0.3">
      <c r="A734" s="1" t="s">
        <v>30</v>
      </c>
      <c r="B734">
        <v>8</v>
      </c>
      <c r="C734" s="1" t="s">
        <v>31</v>
      </c>
      <c r="D734" s="1" t="s">
        <v>36</v>
      </c>
      <c r="E734">
        <v>760</v>
      </c>
      <c r="F734" s="1" t="s">
        <v>32</v>
      </c>
      <c r="G734" s="1" t="s">
        <v>49</v>
      </c>
      <c r="H734">
        <v>4</v>
      </c>
      <c r="I734" s="1" t="s">
        <v>22</v>
      </c>
      <c r="J734" s="1" t="s">
        <v>58</v>
      </c>
      <c r="K734">
        <v>2</v>
      </c>
      <c r="L734" s="1" t="s">
        <v>24</v>
      </c>
      <c r="M734">
        <v>44</v>
      </c>
      <c r="N734" s="1" t="s">
        <v>23</v>
      </c>
      <c r="O734" s="1" t="s">
        <v>26</v>
      </c>
      <c r="P734">
        <v>1</v>
      </c>
      <c r="Q734" s="1" t="s">
        <v>27</v>
      </c>
      <c r="R734">
        <v>1</v>
      </c>
      <c r="S734" s="1" t="s">
        <v>23</v>
      </c>
      <c r="T734" s="1" t="s">
        <v>28</v>
      </c>
      <c r="U734" s="1" t="s">
        <v>29</v>
      </c>
    </row>
    <row r="735" spans="1:21" x14ac:dyDescent="0.3">
      <c r="A735" s="1" t="s">
        <v>17</v>
      </c>
      <c r="B735">
        <v>24</v>
      </c>
      <c r="C735" s="1" t="s">
        <v>31</v>
      </c>
      <c r="D735" s="1" t="s">
        <v>69</v>
      </c>
      <c r="E735">
        <v>2603</v>
      </c>
      <c r="F735" s="1" t="s">
        <v>20</v>
      </c>
      <c r="G735" s="1" t="s">
        <v>21</v>
      </c>
      <c r="H735">
        <v>2</v>
      </c>
      <c r="I735" s="1" t="s">
        <v>22</v>
      </c>
      <c r="J735" s="1" t="s">
        <v>23</v>
      </c>
      <c r="K735">
        <v>4</v>
      </c>
      <c r="L735" s="1" t="s">
        <v>40</v>
      </c>
      <c r="M735">
        <v>28</v>
      </c>
      <c r="N735" s="1" t="s">
        <v>23</v>
      </c>
      <c r="O735" s="1" t="s">
        <v>34</v>
      </c>
      <c r="P735">
        <v>1</v>
      </c>
      <c r="Q735" s="1" t="s">
        <v>41</v>
      </c>
      <c r="R735">
        <v>1</v>
      </c>
      <c r="S735" s="1" t="s">
        <v>28</v>
      </c>
      <c r="T735" s="1" t="s">
        <v>28</v>
      </c>
      <c r="U735" s="1" t="s">
        <v>29</v>
      </c>
    </row>
    <row r="736" spans="1:21" x14ac:dyDescent="0.3">
      <c r="A736" s="1" t="s">
        <v>17</v>
      </c>
      <c r="B736">
        <v>4</v>
      </c>
      <c r="C736" s="1" t="s">
        <v>18</v>
      </c>
      <c r="D736" s="1" t="s">
        <v>19</v>
      </c>
      <c r="E736">
        <v>3380</v>
      </c>
      <c r="F736" s="1" t="s">
        <v>32</v>
      </c>
      <c r="G736" s="1" t="s">
        <v>49</v>
      </c>
      <c r="H736">
        <v>1</v>
      </c>
      <c r="I736" s="1" t="s">
        <v>22</v>
      </c>
      <c r="J736" s="1" t="s">
        <v>23</v>
      </c>
      <c r="K736">
        <v>1</v>
      </c>
      <c r="L736" s="1" t="s">
        <v>24</v>
      </c>
      <c r="M736">
        <v>37</v>
      </c>
      <c r="N736" s="1" t="s">
        <v>23</v>
      </c>
      <c r="O736" s="1" t="s">
        <v>26</v>
      </c>
      <c r="P736">
        <v>1</v>
      </c>
      <c r="Q736" s="1" t="s">
        <v>41</v>
      </c>
      <c r="R736">
        <v>2</v>
      </c>
      <c r="S736" s="1" t="s">
        <v>23</v>
      </c>
      <c r="T736" s="1" t="s">
        <v>28</v>
      </c>
      <c r="U736" s="1" t="s">
        <v>29</v>
      </c>
    </row>
    <row r="737" spans="1:21" x14ac:dyDescent="0.3">
      <c r="A737" s="1" t="s">
        <v>30</v>
      </c>
      <c r="B737">
        <v>36</v>
      </c>
      <c r="C737" s="1" t="s">
        <v>42</v>
      </c>
      <c r="D737" s="1" t="s">
        <v>44</v>
      </c>
      <c r="E737">
        <v>3990</v>
      </c>
      <c r="F737" s="1" t="s">
        <v>47</v>
      </c>
      <c r="G737" s="1" t="s">
        <v>45</v>
      </c>
      <c r="H737">
        <v>3</v>
      </c>
      <c r="I737" s="1" t="s">
        <v>22</v>
      </c>
      <c r="J737" s="1" t="s">
        <v>23</v>
      </c>
      <c r="K737">
        <v>2</v>
      </c>
      <c r="L737" s="1" t="s">
        <v>65</v>
      </c>
      <c r="M737">
        <v>29</v>
      </c>
      <c r="N737" s="1" t="s">
        <v>25</v>
      </c>
      <c r="O737" s="1" t="s">
        <v>26</v>
      </c>
      <c r="P737">
        <v>1</v>
      </c>
      <c r="Q737" s="1" t="s">
        <v>62</v>
      </c>
      <c r="R737">
        <v>1</v>
      </c>
      <c r="S737" s="1" t="s">
        <v>23</v>
      </c>
      <c r="T737" s="1" t="s">
        <v>28</v>
      </c>
      <c r="U737" s="1" t="s">
        <v>29</v>
      </c>
    </row>
    <row r="738" spans="1:21" x14ac:dyDescent="0.3">
      <c r="A738" s="1" t="s">
        <v>30</v>
      </c>
      <c r="B738">
        <v>24</v>
      </c>
      <c r="C738" s="1" t="s">
        <v>31</v>
      </c>
      <c r="D738" s="1" t="s">
        <v>69</v>
      </c>
      <c r="E738">
        <v>11560</v>
      </c>
      <c r="F738" s="1" t="s">
        <v>32</v>
      </c>
      <c r="G738" s="1" t="s">
        <v>21</v>
      </c>
      <c r="H738">
        <v>1</v>
      </c>
      <c r="I738" s="1" t="s">
        <v>22</v>
      </c>
      <c r="J738" s="1" t="s">
        <v>23</v>
      </c>
      <c r="K738">
        <v>4</v>
      </c>
      <c r="L738" s="1" t="s">
        <v>40</v>
      </c>
      <c r="M738">
        <v>23</v>
      </c>
      <c r="N738" s="1" t="s">
        <v>23</v>
      </c>
      <c r="O738" s="1" t="s">
        <v>34</v>
      </c>
      <c r="P738">
        <v>2</v>
      </c>
      <c r="Q738" s="1" t="s">
        <v>63</v>
      </c>
      <c r="R738">
        <v>1</v>
      </c>
      <c r="S738" s="1" t="s">
        <v>23</v>
      </c>
      <c r="T738" s="1" t="s">
        <v>28</v>
      </c>
      <c r="U738" s="1" t="s">
        <v>56</v>
      </c>
    </row>
    <row r="739" spans="1:21" x14ac:dyDescent="0.3">
      <c r="A739" s="1" t="s">
        <v>35</v>
      </c>
      <c r="B739">
        <v>18</v>
      </c>
      <c r="C739" s="1" t="s">
        <v>31</v>
      </c>
      <c r="D739" s="1" t="s">
        <v>19</v>
      </c>
      <c r="E739">
        <v>4380</v>
      </c>
      <c r="F739" s="1" t="s">
        <v>46</v>
      </c>
      <c r="G739" s="1" t="s">
        <v>21</v>
      </c>
      <c r="H739">
        <v>3</v>
      </c>
      <c r="I739" s="1" t="s">
        <v>39</v>
      </c>
      <c r="J739" s="1" t="s">
        <v>23</v>
      </c>
      <c r="K739">
        <v>4</v>
      </c>
      <c r="L739" s="1" t="s">
        <v>40</v>
      </c>
      <c r="M739">
        <v>35</v>
      </c>
      <c r="N739" s="1" t="s">
        <v>23</v>
      </c>
      <c r="O739" s="1" t="s">
        <v>26</v>
      </c>
      <c r="P739">
        <v>1</v>
      </c>
      <c r="Q739" s="1" t="s">
        <v>27</v>
      </c>
      <c r="R739">
        <v>2</v>
      </c>
      <c r="S739" s="1" t="s">
        <v>28</v>
      </c>
      <c r="T739" s="1" t="s">
        <v>28</v>
      </c>
      <c r="U739" s="1" t="s">
        <v>29</v>
      </c>
    </row>
    <row r="740" spans="1:21" x14ac:dyDescent="0.3">
      <c r="A740" s="1" t="s">
        <v>17</v>
      </c>
      <c r="B740">
        <v>6</v>
      </c>
      <c r="C740" s="1" t="s">
        <v>18</v>
      </c>
      <c r="D740" s="1" t="s">
        <v>19</v>
      </c>
      <c r="E740">
        <v>6761</v>
      </c>
      <c r="F740" s="1" t="s">
        <v>32</v>
      </c>
      <c r="G740" s="1" t="s">
        <v>49</v>
      </c>
      <c r="H740">
        <v>1</v>
      </c>
      <c r="I740" s="1" t="s">
        <v>39</v>
      </c>
      <c r="J740" s="1" t="s">
        <v>23</v>
      </c>
      <c r="K740">
        <v>3</v>
      </c>
      <c r="L740" s="1" t="s">
        <v>65</v>
      </c>
      <c r="M740">
        <v>45</v>
      </c>
      <c r="N740" s="1" t="s">
        <v>23</v>
      </c>
      <c r="O740" s="1" t="s">
        <v>26</v>
      </c>
      <c r="P740">
        <v>2</v>
      </c>
      <c r="Q740" s="1" t="s">
        <v>63</v>
      </c>
      <c r="R740">
        <v>2</v>
      </c>
      <c r="S740" s="1" t="s">
        <v>28</v>
      </c>
      <c r="T740" s="1" t="s">
        <v>28</v>
      </c>
      <c r="U740" s="1" t="s">
        <v>29</v>
      </c>
    </row>
    <row r="741" spans="1:21" x14ac:dyDescent="0.3">
      <c r="A741" s="1" t="s">
        <v>30</v>
      </c>
      <c r="B741">
        <v>30</v>
      </c>
      <c r="C741" s="1" t="s">
        <v>52</v>
      </c>
      <c r="D741" s="1" t="s">
        <v>61</v>
      </c>
      <c r="E741">
        <v>4280</v>
      </c>
      <c r="F741" s="1" t="s">
        <v>46</v>
      </c>
      <c r="G741" s="1" t="s">
        <v>21</v>
      </c>
      <c r="H741">
        <v>4</v>
      </c>
      <c r="I741" s="1" t="s">
        <v>22</v>
      </c>
      <c r="J741" s="1" t="s">
        <v>23</v>
      </c>
      <c r="K741">
        <v>4</v>
      </c>
      <c r="L741" s="1" t="s">
        <v>40</v>
      </c>
      <c r="M741">
        <v>26</v>
      </c>
      <c r="N741" s="1" t="s">
        <v>23</v>
      </c>
      <c r="O741" s="1" t="s">
        <v>34</v>
      </c>
      <c r="P741">
        <v>2</v>
      </c>
      <c r="Q741" s="1" t="s">
        <v>27</v>
      </c>
      <c r="R741">
        <v>1</v>
      </c>
      <c r="S741" s="1" t="s">
        <v>23</v>
      </c>
      <c r="T741" s="1" t="s">
        <v>28</v>
      </c>
      <c r="U741" s="1" t="s">
        <v>56</v>
      </c>
    </row>
    <row r="742" spans="1:21" x14ac:dyDescent="0.3">
      <c r="A742" s="1" t="s">
        <v>35</v>
      </c>
      <c r="B742">
        <v>24</v>
      </c>
      <c r="C742" s="1" t="s">
        <v>42</v>
      </c>
      <c r="D742" s="1" t="s">
        <v>19</v>
      </c>
      <c r="E742">
        <v>2325</v>
      </c>
      <c r="F742" s="1" t="s">
        <v>46</v>
      </c>
      <c r="G742" s="1" t="s">
        <v>49</v>
      </c>
      <c r="H742">
        <v>2</v>
      </c>
      <c r="I742" s="1" t="s">
        <v>39</v>
      </c>
      <c r="J742" s="1" t="s">
        <v>23</v>
      </c>
      <c r="K742">
        <v>3</v>
      </c>
      <c r="L742" s="1" t="s">
        <v>40</v>
      </c>
      <c r="M742">
        <v>32</v>
      </c>
      <c r="N742" s="1" t="s">
        <v>25</v>
      </c>
      <c r="O742" s="1" t="s">
        <v>26</v>
      </c>
      <c r="P742">
        <v>1</v>
      </c>
      <c r="Q742" s="1" t="s">
        <v>41</v>
      </c>
      <c r="R742">
        <v>1</v>
      </c>
      <c r="S742" s="1" t="s">
        <v>23</v>
      </c>
      <c r="T742" s="1" t="s">
        <v>28</v>
      </c>
      <c r="U742" s="1" t="s">
        <v>29</v>
      </c>
    </row>
    <row r="743" spans="1:21" x14ac:dyDescent="0.3">
      <c r="A743" s="1" t="s">
        <v>30</v>
      </c>
      <c r="B743">
        <v>10</v>
      </c>
      <c r="C743" s="1" t="s">
        <v>42</v>
      </c>
      <c r="D743" s="1" t="s">
        <v>36</v>
      </c>
      <c r="E743">
        <v>1048</v>
      </c>
      <c r="F743" s="1" t="s">
        <v>32</v>
      </c>
      <c r="G743" s="1" t="s">
        <v>21</v>
      </c>
      <c r="H743">
        <v>4</v>
      </c>
      <c r="I743" s="1" t="s">
        <v>39</v>
      </c>
      <c r="J743" s="1" t="s">
        <v>23</v>
      </c>
      <c r="K743">
        <v>4</v>
      </c>
      <c r="L743" s="1" t="s">
        <v>24</v>
      </c>
      <c r="M743">
        <v>23</v>
      </c>
      <c r="N743" s="1" t="s">
        <v>67</v>
      </c>
      <c r="O743" s="1" t="s">
        <v>26</v>
      </c>
      <c r="P743">
        <v>1</v>
      </c>
      <c r="Q743" s="1" t="s">
        <v>27</v>
      </c>
      <c r="R743">
        <v>1</v>
      </c>
      <c r="S743" s="1" t="s">
        <v>23</v>
      </c>
      <c r="T743" s="1" t="s">
        <v>28</v>
      </c>
      <c r="U743" s="1" t="s">
        <v>29</v>
      </c>
    </row>
    <row r="744" spans="1:21" x14ac:dyDescent="0.3">
      <c r="A744" s="1" t="s">
        <v>17</v>
      </c>
      <c r="B744">
        <v>21</v>
      </c>
      <c r="C744" s="1" t="s">
        <v>31</v>
      </c>
      <c r="D744" s="1" t="s">
        <v>36</v>
      </c>
      <c r="E744">
        <v>3160</v>
      </c>
      <c r="F744" s="1" t="s">
        <v>47</v>
      </c>
      <c r="G744" s="1" t="s">
        <v>38</v>
      </c>
      <c r="H744">
        <v>4</v>
      </c>
      <c r="I744" s="1" t="s">
        <v>39</v>
      </c>
      <c r="J744" s="1" t="s">
        <v>23</v>
      </c>
      <c r="K744">
        <v>3</v>
      </c>
      <c r="L744" s="1" t="s">
        <v>48</v>
      </c>
      <c r="M744">
        <v>41</v>
      </c>
      <c r="N744" s="1" t="s">
        <v>23</v>
      </c>
      <c r="O744" s="1" t="s">
        <v>26</v>
      </c>
      <c r="P744">
        <v>1</v>
      </c>
      <c r="Q744" s="1" t="s">
        <v>41</v>
      </c>
      <c r="R744">
        <v>1</v>
      </c>
      <c r="S744" s="1" t="s">
        <v>28</v>
      </c>
      <c r="T744" s="1" t="s">
        <v>28</v>
      </c>
      <c r="U744" s="1" t="s">
        <v>29</v>
      </c>
    </row>
    <row r="745" spans="1:21" x14ac:dyDescent="0.3">
      <c r="A745" s="1" t="s">
        <v>35</v>
      </c>
      <c r="B745">
        <v>24</v>
      </c>
      <c r="C745" s="1" t="s">
        <v>42</v>
      </c>
      <c r="D745" s="1" t="s">
        <v>53</v>
      </c>
      <c r="E745">
        <v>2483</v>
      </c>
      <c r="F745" s="1" t="s">
        <v>37</v>
      </c>
      <c r="G745" s="1" t="s">
        <v>21</v>
      </c>
      <c r="H745">
        <v>4</v>
      </c>
      <c r="I745" s="1" t="s">
        <v>39</v>
      </c>
      <c r="J745" s="1" t="s">
        <v>23</v>
      </c>
      <c r="K745">
        <v>4</v>
      </c>
      <c r="L745" s="1" t="s">
        <v>24</v>
      </c>
      <c r="M745">
        <v>22</v>
      </c>
      <c r="N745" s="1" t="s">
        <v>67</v>
      </c>
      <c r="O745" s="1" t="s">
        <v>26</v>
      </c>
      <c r="P745">
        <v>1</v>
      </c>
      <c r="Q745" s="1" t="s">
        <v>41</v>
      </c>
      <c r="R745">
        <v>1</v>
      </c>
      <c r="S745" s="1" t="s">
        <v>28</v>
      </c>
      <c r="T745" s="1" t="s">
        <v>28</v>
      </c>
      <c r="U745" s="1" t="s">
        <v>29</v>
      </c>
    </row>
    <row r="746" spans="1:21" x14ac:dyDescent="0.3">
      <c r="A746" s="1" t="s">
        <v>35</v>
      </c>
      <c r="B746">
        <v>39</v>
      </c>
      <c r="C746" s="1" t="s">
        <v>18</v>
      </c>
      <c r="D746" s="1" t="s">
        <v>53</v>
      </c>
      <c r="E746">
        <v>14179</v>
      </c>
      <c r="F746" s="1" t="s">
        <v>47</v>
      </c>
      <c r="G746" s="1" t="s">
        <v>49</v>
      </c>
      <c r="H746">
        <v>4</v>
      </c>
      <c r="I746" s="1" t="s">
        <v>39</v>
      </c>
      <c r="J746" s="1" t="s">
        <v>23</v>
      </c>
      <c r="K746">
        <v>4</v>
      </c>
      <c r="L746" s="1" t="s">
        <v>48</v>
      </c>
      <c r="M746">
        <v>30</v>
      </c>
      <c r="N746" s="1" t="s">
        <v>23</v>
      </c>
      <c r="O746" s="1" t="s">
        <v>26</v>
      </c>
      <c r="P746">
        <v>2</v>
      </c>
      <c r="Q746" s="1" t="s">
        <v>63</v>
      </c>
      <c r="R746">
        <v>1</v>
      </c>
      <c r="S746" s="1" t="s">
        <v>28</v>
      </c>
      <c r="T746" s="1" t="s">
        <v>28</v>
      </c>
      <c r="U746" s="1" t="s">
        <v>29</v>
      </c>
    </row>
    <row r="747" spans="1:21" x14ac:dyDescent="0.3">
      <c r="A747" s="1" t="s">
        <v>35</v>
      </c>
      <c r="B747">
        <v>13</v>
      </c>
      <c r="C747" s="1" t="s">
        <v>18</v>
      </c>
      <c r="D747" s="1" t="s">
        <v>61</v>
      </c>
      <c r="E747">
        <v>1797</v>
      </c>
      <c r="F747" s="1" t="s">
        <v>32</v>
      </c>
      <c r="G747" s="1" t="s">
        <v>45</v>
      </c>
      <c r="H747">
        <v>3</v>
      </c>
      <c r="I747" s="1" t="s">
        <v>39</v>
      </c>
      <c r="J747" s="1" t="s">
        <v>23</v>
      </c>
      <c r="K747">
        <v>1</v>
      </c>
      <c r="L747" s="1" t="s">
        <v>48</v>
      </c>
      <c r="M747">
        <v>28</v>
      </c>
      <c r="N747" s="1" t="s">
        <v>25</v>
      </c>
      <c r="O747" s="1" t="s">
        <v>26</v>
      </c>
      <c r="P747">
        <v>2</v>
      </c>
      <c r="Q747" s="1" t="s">
        <v>27</v>
      </c>
      <c r="R747">
        <v>1</v>
      </c>
      <c r="S747" s="1" t="s">
        <v>23</v>
      </c>
      <c r="T747" s="1" t="s">
        <v>28</v>
      </c>
      <c r="U747" s="1" t="s">
        <v>29</v>
      </c>
    </row>
    <row r="748" spans="1:21" x14ac:dyDescent="0.3">
      <c r="A748" s="1" t="s">
        <v>35</v>
      </c>
      <c r="B748">
        <v>15</v>
      </c>
      <c r="C748" s="1" t="s">
        <v>31</v>
      </c>
      <c r="D748" s="1" t="s">
        <v>19</v>
      </c>
      <c r="E748">
        <v>2511</v>
      </c>
      <c r="F748" s="1" t="s">
        <v>32</v>
      </c>
      <c r="G748" s="1" t="s">
        <v>54</v>
      </c>
      <c r="H748">
        <v>1</v>
      </c>
      <c r="I748" s="1" t="s">
        <v>22</v>
      </c>
      <c r="J748" s="1" t="s">
        <v>23</v>
      </c>
      <c r="K748">
        <v>4</v>
      </c>
      <c r="L748" s="1" t="s">
        <v>40</v>
      </c>
      <c r="M748">
        <v>23</v>
      </c>
      <c r="N748" s="1" t="s">
        <v>23</v>
      </c>
      <c r="O748" s="1" t="s">
        <v>34</v>
      </c>
      <c r="P748">
        <v>1</v>
      </c>
      <c r="Q748" s="1" t="s">
        <v>41</v>
      </c>
      <c r="R748">
        <v>1</v>
      </c>
      <c r="S748" s="1" t="s">
        <v>23</v>
      </c>
      <c r="T748" s="1" t="s">
        <v>28</v>
      </c>
      <c r="U748" s="1" t="s">
        <v>29</v>
      </c>
    </row>
    <row r="749" spans="1:21" x14ac:dyDescent="0.3">
      <c r="A749" s="1" t="s">
        <v>35</v>
      </c>
      <c r="B749">
        <v>12</v>
      </c>
      <c r="C749" s="1" t="s">
        <v>31</v>
      </c>
      <c r="D749" s="1" t="s">
        <v>19</v>
      </c>
      <c r="E749">
        <v>1274</v>
      </c>
      <c r="F749" s="1" t="s">
        <v>32</v>
      </c>
      <c r="G749" s="1" t="s">
        <v>45</v>
      </c>
      <c r="H749">
        <v>3</v>
      </c>
      <c r="I749" s="1" t="s">
        <v>22</v>
      </c>
      <c r="J749" s="1" t="s">
        <v>23</v>
      </c>
      <c r="K749">
        <v>1</v>
      </c>
      <c r="L749" s="1" t="s">
        <v>24</v>
      </c>
      <c r="M749">
        <v>37</v>
      </c>
      <c r="N749" s="1" t="s">
        <v>23</v>
      </c>
      <c r="O749" s="1" t="s">
        <v>26</v>
      </c>
      <c r="P749">
        <v>1</v>
      </c>
      <c r="Q749" s="1" t="s">
        <v>27</v>
      </c>
      <c r="R749">
        <v>1</v>
      </c>
      <c r="S749" s="1" t="s">
        <v>23</v>
      </c>
      <c r="T749" s="1" t="s">
        <v>28</v>
      </c>
      <c r="U749" s="1" t="s">
        <v>56</v>
      </c>
    </row>
    <row r="750" spans="1:21" x14ac:dyDescent="0.3">
      <c r="A750" s="1" t="s">
        <v>17</v>
      </c>
      <c r="B750">
        <v>21</v>
      </c>
      <c r="C750" s="1" t="s">
        <v>31</v>
      </c>
      <c r="D750" s="1" t="s">
        <v>69</v>
      </c>
      <c r="E750">
        <v>5248</v>
      </c>
      <c r="F750" s="1" t="s">
        <v>47</v>
      </c>
      <c r="G750" s="1" t="s">
        <v>21</v>
      </c>
      <c r="H750">
        <v>1</v>
      </c>
      <c r="I750" s="1" t="s">
        <v>39</v>
      </c>
      <c r="J750" s="1" t="s">
        <v>23</v>
      </c>
      <c r="K750">
        <v>3</v>
      </c>
      <c r="L750" s="1" t="s">
        <v>40</v>
      </c>
      <c r="M750">
        <v>26</v>
      </c>
      <c r="N750" s="1" t="s">
        <v>23</v>
      </c>
      <c r="O750" s="1" t="s">
        <v>26</v>
      </c>
      <c r="P750">
        <v>1</v>
      </c>
      <c r="Q750" s="1" t="s">
        <v>41</v>
      </c>
      <c r="R750">
        <v>1</v>
      </c>
      <c r="S750" s="1" t="s">
        <v>23</v>
      </c>
      <c r="T750" s="1" t="s">
        <v>28</v>
      </c>
      <c r="U750" s="1" t="s">
        <v>29</v>
      </c>
    </row>
    <row r="751" spans="1:21" x14ac:dyDescent="0.3">
      <c r="A751" s="1" t="s">
        <v>17</v>
      </c>
      <c r="B751">
        <v>15</v>
      </c>
      <c r="C751" s="1" t="s">
        <v>31</v>
      </c>
      <c r="D751" s="1" t="s">
        <v>69</v>
      </c>
      <c r="E751">
        <v>3029</v>
      </c>
      <c r="F751" s="1" t="s">
        <v>32</v>
      </c>
      <c r="G751" s="1" t="s">
        <v>49</v>
      </c>
      <c r="H751">
        <v>2</v>
      </c>
      <c r="I751" s="1" t="s">
        <v>39</v>
      </c>
      <c r="J751" s="1" t="s">
        <v>23</v>
      </c>
      <c r="K751">
        <v>2</v>
      </c>
      <c r="L751" s="1" t="s">
        <v>40</v>
      </c>
      <c r="M751">
        <v>33</v>
      </c>
      <c r="N751" s="1" t="s">
        <v>23</v>
      </c>
      <c r="O751" s="1" t="s">
        <v>26</v>
      </c>
      <c r="P751">
        <v>1</v>
      </c>
      <c r="Q751" s="1" t="s">
        <v>41</v>
      </c>
      <c r="R751">
        <v>1</v>
      </c>
      <c r="S751" s="1" t="s">
        <v>23</v>
      </c>
      <c r="T751" s="1" t="s">
        <v>28</v>
      </c>
      <c r="U751" s="1" t="s">
        <v>29</v>
      </c>
    </row>
    <row r="752" spans="1:21" x14ac:dyDescent="0.3">
      <c r="A752" s="1" t="s">
        <v>35</v>
      </c>
      <c r="B752">
        <v>6</v>
      </c>
      <c r="C752" s="1" t="s">
        <v>31</v>
      </c>
      <c r="D752" s="1" t="s">
        <v>53</v>
      </c>
      <c r="E752">
        <v>428</v>
      </c>
      <c r="F752" s="1" t="s">
        <v>32</v>
      </c>
      <c r="G752" s="1" t="s">
        <v>38</v>
      </c>
      <c r="H752">
        <v>2</v>
      </c>
      <c r="I752" s="1" t="s">
        <v>22</v>
      </c>
      <c r="J752" s="1" t="s">
        <v>23</v>
      </c>
      <c r="K752">
        <v>1</v>
      </c>
      <c r="L752" s="1" t="s">
        <v>48</v>
      </c>
      <c r="M752">
        <v>49</v>
      </c>
      <c r="N752" s="1" t="s">
        <v>25</v>
      </c>
      <c r="O752" s="1" t="s">
        <v>26</v>
      </c>
      <c r="P752">
        <v>1</v>
      </c>
      <c r="Q752" s="1" t="s">
        <v>41</v>
      </c>
      <c r="R752">
        <v>1</v>
      </c>
      <c r="S752" s="1" t="s">
        <v>28</v>
      </c>
      <c r="T752" s="1" t="s">
        <v>28</v>
      </c>
      <c r="U752" s="1" t="s">
        <v>29</v>
      </c>
    </row>
    <row r="753" spans="1:21" x14ac:dyDescent="0.3">
      <c r="A753" s="1" t="s">
        <v>35</v>
      </c>
      <c r="B753">
        <v>18</v>
      </c>
      <c r="C753" s="1" t="s">
        <v>31</v>
      </c>
      <c r="D753" s="1" t="s">
        <v>19</v>
      </c>
      <c r="E753">
        <v>976</v>
      </c>
      <c r="F753" s="1" t="s">
        <v>32</v>
      </c>
      <c r="G753" s="1" t="s">
        <v>45</v>
      </c>
      <c r="H753">
        <v>1</v>
      </c>
      <c r="I753" s="1" t="s">
        <v>22</v>
      </c>
      <c r="J753" s="1" t="s">
        <v>23</v>
      </c>
      <c r="K753">
        <v>2</v>
      </c>
      <c r="L753" s="1" t="s">
        <v>40</v>
      </c>
      <c r="M753">
        <v>23</v>
      </c>
      <c r="N753" s="1" t="s">
        <v>23</v>
      </c>
      <c r="O753" s="1" t="s">
        <v>26</v>
      </c>
      <c r="P753">
        <v>1</v>
      </c>
      <c r="Q753" s="1" t="s">
        <v>27</v>
      </c>
      <c r="R753">
        <v>1</v>
      </c>
      <c r="S753" s="1" t="s">
        <v>23</v>
      </c>
      <c r="T753" s="1" t="s">
        <v>28</v>
      </c>
      <c r="U753" s="1" t="s">
        <v>56</v>
      </c>
    </row>
    <row r="754" spans="1:21" x14ac:dyDescent="0.3">
      <c r="A754" s="1" t="s">
        <v>30</v>
      </c>
      <c r="B754">
        <v>12</v>
      </c>
      <c r="C754" s="1" t="s">
        <v>31</v>
      </c>
      <c r="D754" s="1" t="s">
        <v>61</v>
      </c>
      <c r="E754">
        <v>841</v>
      </c>
      <c r="F754" s="1" t="s">
        <v>46</v>
      </c>
      <c r="G754" s="1" t="s">
        <v>49</v>
      </c>
      <c r="H754">
        <v>2</v>
      </c>
      <c r="I754" s="1" t="s">
        <v>22</v>
      </c>
      <c r="J754" s="1" t="s">
        <v>23</v>
      </c>
      <c r="K754">
        <v>4</v>
      </c>
      <c r="L754" s="1" t="s">
        <v>24</v>
      </c>
      <c r="M754">
        <v>23</v>
      </c>
      <c r="N754" s="1" t="s">
        <v>23</v>
      </c>
      <c r="O754" s="1" t="s">
        <v>34</v>
      </c>
      <c r="P754">
        <v>1</v>
      </c>
      <c r="Q754" s="1" t="s">
        <v>27</v>
      </c>
      <c r="R754">
        <v>1</v>
      </c>
      <c r="S754" s="1" t="s">
        <v>23</v>
      </c>
      <c r="T754" s="1" t="s">
        <v>28</v>
      </c>
      <c r="U754" s="1" t="s">
        <v>29</v>
      </c>
    </row>
    <row r="755" spans="1:21" x14ac:dyDescent="0.3">
      <c r="A755" s="1" t="s">
        <v>17</v>
      </c>
      <c r="B755">
        <v>30</v>
      </c>
      <c r="C755" s="1" t="s">
        <v>18</v>
      </c>
      <c r="D755" s="1" t="s">
        <v>36</v>
      </c>
      <c r="E755">
        <v>5771</v>
      </c>
      <c r="F755" s="1" t="s">
        <v>32</v>
      </c>
      <c r="G755" s="1" t="s">
        <v>49</v>
      </c>
      <c r="H755">
        <v>4</v>
      </c>
      <c r="I755" s="1" t="s">
        <v>22</v>
      </c>
      <c r="J755" s="1" t="s">
        <v>23</v>
      </c>
      <c r="K755">
        <v>2</v>
      </c>
      <c r="L755" s="1" t="s">
        <v>40</v>
      </c>
      <c r="M755">
        <v>25</v>
      </c>
      <c r="N755" s="1" t="s">
        <v>23</v>
      </c>
      <c r="O755" s="1" t="s">
        <v>26</v>
      </c>
      <c r="P755">
        <v>2</v>
      </c>
      <c r="Q755" s="1" t="s">
        <v>41</v>
      </c>
      <c r="R755">
        <v>1</v>
      </c>
      <c r="S755" s="1" t="s">
        <v>23</v>
      </c>
      <c r="T755" s="1" t="s">
        <v>28</v>
      </c>
      <c r="U755" s="1" t="s">
        <v>29</v>
      </c>
    </row>
    <row r="756" spans="1:21" x14ac:dyDescent="0.3">
      <c r="A756" s="1" t="s">
        <v>17</v>
      </c>
      <c r="B756">
        <v>12</v>
      </c>
      <c r="C756" s="1" t="s">
        <v>59</v>
      </c>
      <c r="D756" s="1" t="s">
        <v>57</v>
      </c>
      <c r="E756">
        <v>1555</v>
      </c>
      <c r="F756" s="1" t="s">
        <v>20</v>
      </c>
      <c r="G756" s="1" t="s">
        <v>38</v>
      </c>
      <c r="H756">
        <v>4</v>
      </c>
      <c r="I756" s="1" t="s">
        <v>39</v>
      </c>
      <c r="J756" s="1" t="s">
        <v>23</v>
      </c>
      <c r="K756">
        <v>4</v>
      </c>
      <c r="L756" s="1" t="s">
        <v>65</v>
      </c>
      <c r="M756">
        <v>55</v>
      </c>
      <c r="N756" s="1" t="s">
        <v>23</v>
      </c>
      <c r="O756" s="1" t="s">
        <v>66</v>
      </c>
      <c r="P756">
        <v>2</v>
      </c>
      <c r="Q756" s="1" t="s">
        <v>41</v>
      </c>
      <c r="R756">
        <v>2</v>
      </c>
      <c r="S756" s="1" t="s">
        <v>23</v>
      </c>
      <c r="T756" s="1" t="s">
        <v>28</v>
      </c>
      <c r="U756" s="1" t="s">
        <v>56</v>
      </c>
    </row>
    <row r="757" spans="1:21" x14ac:dyDescent="0.3">
      <c r="A757" s="1" t="s">
        <v>35</v>
      </c>
      <c r="B757">
        <v>24</v>
      </c>
      <c r="C757" s="1" t="s">
        <v>31</v>
      </c>
      <c r="D757" s="1" t="s">
        <v>19</v>
      </c>
      <c r="E757">
        <v>1285</v>
      </c>
      <c r="F757" s="1" t="s">
        <v>47</v>
      </c>
      <c r="G757" s="1" t="s">
        <v>49</v>
      </c>
      <c r="H757">
        <v>4</v>
      </c>
      <c r="I757" s="1" t="s">
        <v>22</v>
      </c>
      <c r="J757" s="1" t="s">
        <v>23</v>
      </c>
      <c r="K757">
        <v>4</v>
      </c>
      <c r="L757" s="1" t="s">
        <v>65</v>
      </c>
      <c r="M757">
        <v>32</v>
      </c>
      <c r="N757" s="1" t="s">
        <v>23</v>
      </c>
      <c r="O757" s="1" t="s">
        <v>34</v>
      </c>
      <c r="P757">
        <v>1</v>
      </c>
      <c r="Q757" s="1" t="s">
        <v>41</v>
      </c>
      <c r="R757">
        <v>1</v>
      </c>
      <c r="S757" s="1" t="s">
        <v>23</v>
      </c>
      <c r="T757" s="1" t="s">
        <v>28</v>
      </c>
      <c r="U757" s="1" t="s">
        <v>56</v>
      </c>
    </row>
    <row r="758" spans="1:21" x14ac:dyDescent="0.3">
      <c r="A758" s="1" t="s">
        <v>50</v>
      </c>
      <c r="B758">
        <v>6</v>
      </c>
      <c r="C758" s="1" t="s">
        <v>18</v>
      </c>
      <c r="D758" s="1" t="s">
        <v>19</v>
      </c>
      <c r="E758">
        <v>1299</v>
      </c>
      <c r="F758" s="1" t="s">
        <v>32</v>
      </c>
      <c r="G758" s="1" t="s">
        <v>21</v>
      </c>
      <c r="H758">
        <v>1</v>
      </c>
      <c r="I758" s="1" t="s">
        <v>39</v>
      </c>
      <c r="J758" s="1" t="s">
        <v>23</v>
      </c>
      <c r="K758">
        <v>1</v>
      </c>
      <c r="L758" s="1" t="s">
        <v>24</v>
      </c>
      <c r="M758">
        <v>74</v>
      </c>
      <c r="N758" s="1" t="s">
        <v>23</v>
      </c>
      <c r="O758" s="1" t="s">
        <v>26</v>
      </c>
      <c r="P758">
        <v>3</v>
      </c>
      <c r="Q758" s="1" t="s">
        <v>62</v>
      </c>
      <c r="R758">
        <v>2</v>
      </c>
      <c r="S758" s="1" t="s">
        <v>23</v>
      </c>
      <c r="T758" s="1" t="s">
        <v>60</v>
      </c>
      <c r="U758" s="1" t="s">
        <v>29</v>
      </c>
    </row>
    <row r="759" spans="1:21" x14ac:dyDescent="0.3">
      <c r="A759" s="1" t="s">
        <v>50</v>
      </c>
      <c r="B759">
        <v>15</v>
      </c>
      <c r="C759" s="1" t="s">
        <v>18</v>
      </c>
      <c r="D759" s="1" t="s">
        <v>36</v>
      </c>
      <c r="E759">
        <v>1271</v>
      </c>
      <c r="F759" s="1" t="s">
        <v>47</v>
      </c>
      <c r="G759" s="1" t="s">
        <v>21</v>
      </c>
      <c r="H759">
        <v>3</v>
      </c>
      <c r="I759" s="1" t="s">
        <v>39</v>
      </c>
      <c r="J759" s="1" t="s">
        <v>23</v>
      </c>
      <c r="K759">
        <v>4</v>
      </c>
      <c r="L759" s="1" t="s">
        <v>65</v>
      </c>
      <c r="M759">
        <v>39</v>
      </c>
      <c r="N759" s="1" t="s">
        <v>23</v>
      </c>
      <c r="O759" s="1" t="s">
        <v>66</v>
      </c>
      <c r="P759">
        <v>2</v>
      </c>
      <c r="Q759" s="1" t="s">
        <v>41</v>
      </c>
      <c r="R759">
        <v>1</v>
      </c>
      <c r="S759" s="1" t="s">
        <v>28</v>
      </c>
      <c r="T759" s="1" t="s">
        <v>28</v>
      </c>
      <c r="U759" s="1" t="s">
        <v>56</v>
      </c>
    </row>
    <row r="760" spans="1:21" x14ac:dyDescent="0.3">
      <c r="A760" s="1" t="s">
        <v>17</v>
      </c>
      <c r="B760">
        <v>24</v>
      </c>
      <c r="C760" s="1" t="s">
        <v>31</v>
      </c>
      <c r="D760" s="1" t="s">
        <v>19</v>
      </c>
      <c r="E760">
        <v>1393</v>
      </c>
      <c r="F760" s="1" t="s">
        <v>32</v>
      </c>
      <c r="G760" s="1" t="s">
        <v>21</v>
      </c>
      <c r="H760">
        <v>2</v>
      </c>
      <c r="I760" s="1" t="s">
        <v>39</v>
      </c>
      <c r="J760" s="1" t="s">
        <v>58</v>
      </c>
      <c r="K760">
        <v>2</v>
      </c>
      <c r="L760" s="1" t="s">
        <v>24</v>
      </c>
      <c r="M760">
        <v>31</v>
      </c>
      <c r="N760" s="1" t="s">
        <v>23</v>
      </c>
      <c r="O760" s="1" t="s">
        <v>26</v>
      </c>
      <c r="P760">
        <v>1</v>
      </c>
      <c r="Q760" s="1" t="s">
        <v>41</v>
      </c>
      <c r="R760">
        <v>1</v>
      </c>
      <c r="S760" s="1" t="s">
        <v>28</v>
      </c>
      <c r="T760" s="1" t="s">
        <v>28</v>
      </c>
      <c r="U760" s="1" t="s">
        <v>29</v>
      </c>
    </row>
    <row r="761" spans="1:21" x14ac:dyDescent="0.3">
      <c r="A761" s="1" t="s">
        <v>35</v>
      </c>
      <c r="B761">
        <v>12</v>
      </c>
      <c r="C761" s="1" t="s">
        <v>18</v>
      </c>
      <c r="D761" s="1" t="s">
        <v>19</v>
      </c>
      <c r="E761">
        <v>691</v>
      </c>
      <c r="F761" s="1" t="s">
        <v>32</v>
      </c>
      <c r="G761" s="1" t="s">
        <v>38</v>
      </c>
      <c r="H761">
        <v>4</v>
      </c>
      <c r="I761" s="1" t="s">
        <v>39</v>
      </c>
      <c r="J761" s="1" t="s">
        <v>23</v>
      </c>
      <c r="K761">
        <v>3</v>
      </c>
      <c r="L761" s="1" t="s">
        <v>48</v>
      </c>
      <c r="M761">
        <v>35</v>
      </c>
      <c r="N761" s="1" t="s">
        <v>23</v>
      </c>
      <c r="O761" s="1" t="s">
        <v>26</v>
      </c>
      <c r="P761">
        <v>2</v>
      </c>
      <c r="Q761" s="1" t="s">
        <v>41</v>
      </c>
      <c r="R761">
        <v>1</v>
      </c>
      <c r="S761" s="1" t="s">
        <v>23</v>
      </c>
      <c r="T761" s="1" t="s">
        <v>28</v>
      </c>
      <c r="U761" s="1" t="s">
        <v>56</v>
      </c>
    </row>
    <row r="762" spans="1:21" x14ac:dyDescent="0.3">
      <c r="A762" s="1" t="s">
        <v>17</v>
      </c>
      <c r="B762">
        <v>15</v>
      </c>
      <c r="C762" s="1" t="s">
        <v>18</v>
      </c>
      <c r="D762" s="1" t="s">
        <v>19</v>
      </c>
      <c r="E762">
        <v>5045</v>
      </c>
      <c r="F762" s="1" t="s">
        <v>47</v>
      </c>
      <c r="G762" s="1" t="s">
        <v>38</v>
      </c>
      <c r="H762">
        <v>1</v>
      </c>
      <c r="I762" s="1" t="s">
        <v>22</v>
      </c>
      <c r="J762" s="1" t="s">
        <v>23</v>
      </c>
      <c r="K762">
        <v>4</v>
      </c>
      <c r="L762" s="1" t="s">
        <v>40</v>
      </c>
      <c r="M762">
        <v>59</v>
      </c>
      <c r="N762" s="1" t="s">
        <v>23</v>
      </c>
      <c r="O762" s="1" t="s">
        <v>26</v>
      </c>
      <c r="P762">
        <v>1</v>
      </c>
      <c r="Q762" s="1" t="s">
        <v>41</v>
      </c>
      <c r="R762">
        <v>1</v>
      </c>
      <c r="S762" s="1" t="s">
        <v>28</v>
      </c>
      <c r="T762" s="1" t="s">
        <v>28</v>
      </c>
      <c r="U762" s="1" t="s">
        <v>29</v>
      </c>
    </row>
    <row r="763" spans="1:21" x14ac:dyDescent="0.3">
      <c r="A763" s="1" t="s">
        <v>35</v>
      </c>
      <c r="B763">
        <v>18</v>
      </c>
      <c r="C763" s="1" t="s">
        <v>18</v>
      </c>
      <c r="D763" s="1" t="s">
        <v>53</v>
      </c>
      <c r="E763">
        <v>2124</v>
      </c>
      <c r="F763" s="1" t="s">
        <v>32</v>
      </c>
      <c r="G763" s="1" t="s">
        <v>21</v>
      </c>
      <c r="H763">
        <v>4</v>
      </c>
      <c r="I763" s="1" t="s">
        <v>22</v>
      </c>
      <c r="J763" s="1" t="s">
        <v>23</v>
      </c>
      <c r="K763">
        <v>4</v>
      </c>
      <c r="L763" s="1" t="s">
        <v>24</v>
      </c>
      <c r="M763">
        <v>24</v>
      </c>
      <c r="N763" s="1" t="s">
        <v>23</v>
      </c>
      <c r="O763" s="1" t="s">
        <v>34</v>
      </c>
      <c r="P763">
        <v>2</v>
      </c>
      <c r="Q763" s="1" t="s">
        <v>41</v>
      </c>
      <c r="R763">
        <v>1</v>
      </c>
      <c r="S763" s="1" t="s">
        <v>23</v>
      </c>
      <c r="T763" s="1" t="s">
        <v>28</v>
      </c>
      <c r="U763" s="1" t="s">
        <v>56</v>
      </c>
    </row>
    <row r="764" spans="1:21" x14ac:dyDescent="0.3">
      <c r="A764" s="1" t="s">
        <v>35</v>
      </c>
      <c r="B764">
        <v>12</v>
      </c>
      <c r="C764" s="1" t="s">
        <v>31</v>
      </c>
      <c r="D764" s="1" t="s">
        <v>36</v>
      </c>
      <c r="E764">
        <v>2214</v>
      </c>
      <c r="F764" s="1" t="s">
        <v>32</v>
      </c>
      <c r="G764" s="1" t="s">
        <v>21</v>
      </c>
      <c r="H764">
        <v>4</v>
      </c>
      <c r="I764" s="1" t="s">
        <v>39</v>
      </c>
      <c r="J764" s="1" t="s">
        <v>23</v>
      </c>
      <c r="K764">
        <v>3</v>
      </c>
      <c r="L764" s="1" t="s">
        <v>48</v>
      </c>
      <c r="M764">
        <v>24</v>
      </c>
      <c r="N764" s="1" t="s">
        <v>23</v>
      </c>
      <c r="O764" s="1" t="s">
        <v>26</v>
      </c>
      <c r="P764">
        <v>1</v>
      </c>
      <c r="Q764" s="1" t="s">
        <v>27</v>
      </c>
      <c r="R764">
        <v>1</v>
      </c>
      <c r="S764" s="1" t="s">
        <v>23</v>
      </c>
      <c r="T764" s="1" t="s">
        <v>28</v>
      </c>
      <c r="U764" s="1" t="s">
        <v>29</v>
      </c>
    </row>
    <row r="765" spans="1:21" x14ac:dyDescent="0.3">
      <c r="A765" s="1" t="s">
        <v>17</v>
      </c>
      <c r="B765">
        <v>21</v>
      </c>
      <c r="C765" s="1" t="s">
        <v>18</v>
      </c>
      <c r="D765" s="1" t="s">
        <v>19</v>
      </c>
      <c r="E765">
        <v>12680</v>
      </c>
      <c r="F765" s="1" t="s">
        <v>47</v>
      </c>
      <c r="G765" s="1" t="s">
        <v>38</v>
      </c>
      <c r="H765">
        <v>4</v>
      </c>
      <c r="I765" s="1" t="s">
        <v>39</v>
      </c>
      <c r="J765" s="1" t="s">
        <v>23</v>
      </c>
      <c r="K765">
        <v>4</v>
      </c>
      <c r="L765" s="1" t="s">
        <v>65</v>
      </c>
      <c r="M765">
        <v>30</v>
      </c>
      <c r="N765" s="1" t="s">
        <v>23</v>
      </c>
      <c r="O765" s="1" t="s">
        <v>66</v>
      </c>
      <c r="P765">
        <v>1</v>
      </c>
      <c r="Q765" s="1" t="s">
        <v>63</v>
      </c>
      <c r="R765">
        <v>1</v>
      </c>
      <c r="S765" s="1" t="s">
        <v>28</v>
      </c>
      <c r="T765" s="1" t="s">
        <v>28</v>
      </c>
      <c r="U765" s="1" t="s">
        <v>56</v>
      </c>
    </row>
    <row r="766" spans="1:21" x14ac:dyDescent="0.3">
      <c r="A766" s="1" t="s">
        <v>17</v>
      </c>
      <c r="B766">
        <v>24</v>
      </c>
      <c r="C766" s="1" t="s">
        <v>18</v>
      </c>
      <c r="D766" s="1" t="s">
        <v>19</v>
      </c>
      <c r="E766">
        <v>2463</v>
      </c>
      <c r="F766" s="1" t="s">
        <v>46</v>
      </c>
      <c r="G766" s="1" t="s">
        <v>49</v>
      </c>
      <c r="H766">
        <v>4</v>
      </c>
      <c r="I766" s="1" t="s">
        <v>33</v>
      </c>
      <c r="J766" s="1" t="s">
        <v>23</v>
      </c>
      <c r="K766">
        <v>3</v>
      </c>
      <c r="L766" s="1" t="s">
        <v>48</v>
      </c>
      <c r="M766">
        <v>27</v>
      </c>
      <c r="N766" s="1" t="s">
        <v>23</v>
      </c>
      <c r="O766" s="1" t="s">
        <v>26</v>
      </c>
      <c r="P766">
        <v>2</v>
      </c>
      <c r="Q766" s="1" t="s">
        <v>41</v>
      </c>
      <c r="R766">
        <v>1</v>
      </c>
      <c r="S766" s="1" t="s">
        <v>28</v>
      </c>
      <c r="T766" s="1" t="s">
        <v>28</v>
      </c>
      <c r="U766" s="1" t="s">
        <v>29</v>
      </c>
    </row>
    <row r="767" spans="1:21" x14ac:dyDescent="0.3">
      <c r="A767" s="1" t="s">
        <v>30</v>
      </c>
      <c r="B767">
        <v>12</v>
      </c>
      <c r="C767" s="1" t="s">
        <v>31</v>
      </c>
      <c r="D767" s="1" t="s">
        <v>36</v>
      </c>
      <c r="E767">
        <v>1155</v>
      </c>
      <c r="F767" s="1" t="s">
        <v>32</v>
      </c>
      <c r="G767" s="1" t="s">
        <v>38</v>
      </c>
      <c r="H767">
        <v>3</v>
      </c>
      <c r="I767" s="1" t="s">
        <v>33</v>
      </c>
      <c r="J767" s="1" t="s">
        <v>58</v>
      </c>
      <c r="K767">
        <v>3</v>
      </c>
      <c r="L767" s="1" t="s">
        <v>24</v>
      </c>
      <c r="M767">
        <v>40</v>
      </c>
      <c r="N767" s="1" t="s">
        <v>25</v>
      </c>
      <c r="O767" s="1" t="s">
        <v>26</v>
      </c>
      <c r="P767">
        <v>2</v>
      </c>
      <c r="Q767" s="1" t="s">
        <v>27</v>
      </c>
      <c r="R767">
        <v>1</v>
      </c>
      <c r="S767" s="1" t="s">
        <v>23</v>
      </c>
      <c r="T767" s="1" t="s">
        <v>28</v>
      </c>
      <c r="U767" s="1" t="s">
        <v>29</v>
      </c>
    </row>
    <row r="768" spans="1:21" x14ac:dyDescent="0.3">
      <c r="A768" s="1" t="s">
        <v>35</v>
      </c>
      <c r="B768">
        <v>30</v>
      </c>
      <c r="C768" s="1" t="s">
        <v>31</v>
      </c>
      <c r="D768" s="1" t="s">
        <v>53</v>
      </c>
      <c r="E768">
        <v>3108</v>
      </c>
      <c r="F768" s="1" t="s">
        <v>32</v>
      </c>
      <c r="G768" s="1" t="s">
        <v>45</v>
      </c>
      <c r="H768">
        <v>2</v>
      </c>
      <c r="I768" s="1" t="s">
        <v>64</v>
      </c>
      <c r="J768" s="1" t="s">
        <v>23</v>
      </c>
      <c r="K768">
        <v>4</v>
      </c>
      <c r="L768" s="1" t="s">
        <v>48</v>
      </c>
      <c r="M768">
        <v>31</v>
      </c>
      <c r="N768" s="1" t="s">
        <v>23</v>
      </c>
      <c r="O768" s="1" t="s">
        <v>26</v>
      </c>
      <c r="P768">
        <v>1</v>
      </c>
      <c r="Q768" s="1" t="s">
        <v>27</v>
      </c>
      <c r="R768">
        <v>1</v>
      </c>
      <c r="S768" s="1" t="s">
        <v>23</v>
      </c>
      <c r="T768" s="1" t="s">
        <v>28</v>
      </c>
      <c r="U768" s="1" t="s">
        <v>56</v>
      </c>
    </row>
    <row r="769" spans="1:21" x14ac:dyDescent="0.3">
      <c r="A769" s="1" t="s">
        <v>17</v>
      </c>
      <c r="B769">
        <v>10</v>
      </c>
      <c r="C769" s="1" t="s">
        <v>31</v>
      </c>
      <c r="D769" s="1" t="s">
        <v>69</v>
      </c>
      <c r="E769">
        <v>2901</v>
      </c>
      <c r="F769" s="1" t="s">
        <v>47</v>
      </c>
      <c r="G769" s="1" t="s">
        <v>45</v>
      </c>
      <c r="H769">
        <v>1</v>
      </c>
      <c r="I769" s="1" t="s">
        <v>22</v>
      </c>
      <c r="J769" s="1" t="s">
        <v>23</v>
      </c>
      <c r="K769">
        <v>4</v>
      </c>
      <c r="L769" s="1" t="s">
        <v>24</v>
      </c>
      <c r="M769">
        <v>31</v>
      </c>
      <c r="N769" s="1" t="s">
        <v>23</v>
      </c>
      <c r="O769" s="1" t="s">
        <v>34</v>
      </c>
      <c r="P769">
        <v>1</v>
      </c>
      <c r="Q769" s="1" t="s">
        <v>41</v>
      </c>
      <c r="R769">
        <v>1</v>
      </c>
      <c r="S769" s="1" t="s">
        <v>23</v>
      </c>
      <c r="T769" s="1" t="s">
        <v>28</v>
      </c>
      <c r="U769" s="1" t="s">
        <v>29</v>
      </c>
    </row>
    <row r="770" spans="1:21" x14ac:dyDescent="0.3">
      <c r="A770" s="1" t="s">
        <v>30</v>
      </c>
      <c r="B770">
        <v>12</v>
      </c>
      <c r="C770" s="1" t="s">
        <v>18</v>
      </c>
      <c r="D770" s="1" t="s">
        <v>53</v>
      </c>
      <c r="E770">
        <v>3617</v>
      </c>
      <c r="F770" s="1" t="s">
        <v>32</v>
      </c>
      <c r="G770" s="1" t="s">
        <v>38</v>
      </c>
      <c r="H770">
        <v>1</v>
      </c>
      <c r="I770" s="1" t="s">
        <v>39</v>
      </c>
      <c r="J770" s="1" t="s">
        <v>23</v>
      </c>
      <c r="K770">
        <v>4</v>
      </c>
      <c r="L770" s="1" t="s">
        <v>40</v>
      </c>
      <c r="M770">
        <v>28</v>
      </c>
      <c r="N770" s="1" t="s">
        <v>23</v>
      </c>
      <c r="O770" s="1" t="s">
        <v>34</v>
      </c>
      <c r="P770">
        <v>3</v>
      </c>
      <c r="Q770" s="1" t="s">
        <v>41</v>
      </c>
      <c r="R770">
        <v>1</v>
      </c>
      <c r="S770" s="1" t="s">
        <v>28</v>
      </c>
      <c r="T770" s="1" t="s">
        <v>28</v>
      </c>
      <c r="U770" s="1" t="s">
        <v>29</v>
      </c>
    </row>
    <row r="771" spans="1:21" x14ac:dyDescent="0.3">
      <c r="A771" s="1" t="s">
        <v>17</v>
      </c>
      <c r="B771">
        <v>12</v>
      </c>
      <c r="C771" s="1" t="s">
        <v>18</v>
      </c>
      <c r="D771" s="1" t="s">
        <v>36</v>
      </c>
      <c r="E771">
        <v>1655</v>
      </c>
      <c r="F771" s="1" t="s">
        <v>32</v>
      </c>
      <c r="G771" s="1" t="s">
        <v>38</v>
      </c>
      <c r="H771">
        <v>2</v>
      </c>
      <c r="I771" s="1" t="s">
        <v>39</v>
      </c>
      <c r="J771" s="1" t="s">
        <v>23</v>
      </c>
      <c r="K771">
        <v>4</v>
      </c>
      <c r="L771" s="1" t="s">
        <v>24</v>
      </c>
      <c r="M771">
        <v>63</v>
      </c>
      <c r="N771" s="1" t="s">
        <v>23</v>
      </c>
      <c r="O771" s="1" t="s">
        <v>26</v>
      </c>
      <c r="P771">
        <v>2</v>
      </c>
      <c r="Q771" s="1" t="s">
        <v>27</v>
      </c>
      <c r="R771">
        <v>1</v>
      </c>
      <c r="S771" s="1" t="s">
        <v>28</v>
      </c>
      <c r="T771" s="1" t="s">
        <v>28</v>
      </c>
      <c r="U771" s="1" t="s">
        <v>29</v>
      </c>
    </row>
    <row r="772" spans="1:21" x14ac:dyDescent="0.3">
      <c r="A772" s="1" t="s">
        <v>35</v>
      </c>
      <c r="B772">
        <v>24</v>
      </c>
      <c r="C772" s="1" t="s">
        <v>31</v>
      </c>
      <c r="D772" s="1" t="s">
        <v>69</v>
      </c>
      <c r="E772">
        <v>2812</v>
      </c>
      <c r="F772" s="1" t="s">
        <v>47</v>
      </c>
      <c r="G772" s="1" t="s">
        <v>38</v>
      </c>
      <c r="H772">
        <v>2</v>
      </c>
      <c r="I772" s="1" t="s">
        <v>22</v>
      </c>
      <c r="J772" s="1" t="s">
        <v>23</v>
      </c>
      <c r="K772">
        <v>4</v>
      </c>
      <c r="L772" s="1" t="s">
        <v>24</v>
      </c>
      <c r="M772">
        <v>26</v>
      </c>
      <c r="N772" s="1" t="s">
        <v>23</v>
      </c>
      <c r="O772" s="1" t="s">
        <v>34</v>
      </c>
      <c r="P772">
        <v>1</v>
      </c>
      <c r="Q772" s="1" t="s">
        <v>41</v>
      </c>
      <c r="R772">
        <v>1</v>
      </c>
      <c r="S772" s="1" t="s">
        <v>23</v>
      </c>
      <c r="T772" s="1" t="s">
        <v>28</v>
      </c>
      <c r="U772" s="1" t="s">
        <v>29</v>
      </c>
    </row>
    <row r="773" spans="1:21" x14ac:dyDescent="0.3">
      <c r="A773" s="1" t="s">
        <v>35</v>
      </c>
      <c r="B773">
        <v>36</v>
      </c>
      <c r="C773" s="1" t="s">
        <v>18</v>
      </c>
      <c r="D773" s="1" t="s">
        <v>51</v>
      </c>
      <c r="E773">
        <v>8065</v>
      </c>
      <c r="F773" s="1" t="s">
        <v>32</v>
      </c>
      <c r="G773" s="1" t="s">
        <v>21</v>
      </c>
      <c r="H773">
        <v>3</v>
      </c>
      <c r="I773" s="1" t="s">
        <v>22</v>
      </c>
      <c r="J773" s="1" t="s">
        <v>23</v>
      </c>
      <c r="K773">
        <v>2</v>
      </c>
      <c r="L773" s="1" t="s">
        <v>65</v>
      </c>
      <c r="M773">
        <v>25</v>
      </c>
      <c r="N773" s="1" t="s">
        <v>23</v>
      </c>
      <c r="O773" s="1" t="s">
        <v>26</v>
      </c>
      <c r="P773">
        <v>2</v>
      </c>
      <c r="Q773" s="1" t="s">
        <v>63</v>
      </c>
      <c r="R773">
        <v>1</v>
      </c>
      <c r="S773" s="1" t="s">
        <v>28</v>
      </c>
      <c r="T773" s="1" t="s">
        <v>28</v>
      </c>
      <c r="U773" s="1" t="s">
        <v>56</v>
      </c>
    </row>
    <row r="774" spans="1:21" x14ac:dyDescent="0.3">
      <c r="A774" s="1" t="s">
        <v>17</v>
      </c>
      <c r="B774">
        <v>21</v>
      </c>
      <c r="C774" s="1" t="s">
        <v>18</v>
      </c>
      <c r="D774" s="1" t="s">
        <v>69</v>
      </c>
      <c r="E774">
        <v>3275</v>
      </c>
      <c r="F774" s="1" t="s">
        <v>32</v>
      </c>
      <c r="G774" s="1" t="s">
        <v>38</v>
      </c>
      <c r="H774">
        <v>1</v>
      </c>
      <c r="I774" s="1" t="s">
        <v>39</v>
      </c>
      <c r="J774" s="1" t="s">
        <v>23</v>
      </c>
      <c r="K774">
        <v>4</v>
      </c>
      <c r="L774" s="1" t="s">
        <v>40</v>
      </c>
      <c r="M774">
        <v>36</v>
      </c>
      <c r="N774" s="1" t="s">
        <v>23</v>
      </c>
      <c r="O774" s="1" t="s">
        <v>26</v>
      </c>
      <c r="P774">
        <v>1</v>
      </c>
      <c r="Q774" s="1" t="s">
        <v>63</v>
      </c>
      <c r="R774">
        <v>1</v>
      </c>
      <c r="S774" s="1" t="s">
        <v>28</v>
      </c>
      <c r="T774" s="1" t="s">
        <v>28</v>
      </c>
      <c r="U774" s="1" t="s">
        <v>29</v>
      </c>
    </row>
    <row r="775" spans="1:21" x14ac:dyDescent="0.3">
      <c r="A775" s="1" t="s">
        <v>17</v>
      </c>
      <c r="B775">
        <v>24</v>
      </c>
      <c r="C775" s="1" t="s">
        <v>18</v>
      </c>
      <c r="D775" s="1" t="s">
        <v>36</v>
      </c>
      <c r="E775">
        <v>2223</v>
      </c>
      <c r="F775" s="1" t="s">
        <v>46</v>
      </c>
      <c r="G775" s="1" t="s">
        <v>38</v>
      </c>
      <c r="H775">
        <v>4</v>
      </c>
      <c r="I775" s="1" t="s">
        <v>39</v>
      </c>
      <c r="J775" s="1" t="s">
        <v>23</v>
      </c>
      <c r="K775">
        <v>4</v>
      </c>
      <c r="L775" s="1" t="s">
        <v>48</v>
      </c>
      <c r="M775">
        <v>52</v>
      </c>
      <c r="N775" s="1" t="s">
        <v>25</v>
      </c>
      <c r="O775" s="1" t="s">
        <v>26</v>
      </c>
      <c r="P775">
        <v>2</v>
      </c>
      <c r="Q775" s="1" t="s">
        <v>41</v>
      </c>
      <c r="R775">
        <v>1</v>
      </c>
      <c r="S775" s="1" t="s">
        <v>23</v>
      </c>
      <c r="T775" s="1" t="s">
        <v>28</v>
      </c>
      <c r="U775" s="1" t="s">
        <v>29</v>
      </c>
    </row>
    <row r="776" spans="1:21" x14ac:dyDescent="0.3">
      <c r="A776" s="1" t="s">
        <v>50</v>
      </c>
      <c r="B776">
        <v>12</v>
      </c>
      <c r="C776" s="1" t="s">
        <v>18</v>
      </c>
      <c r="D776" s="1" t="s">
        <v>19</v>
      </c>
      <c r="E776">
        <v>1480</v>
      </c>
      <c r="F776" s="1" t="s">
        <v>37</v>
      </c>
      <c r="G776" s="1" t="s">
        <v>54</v>
      </c>
      <c r="H776">
        <v>2</v>
      </c>
      <c r="I776" s="1" t="s">
        <v>39</v>
      </c>
      <c r="J776" s="1" t="s">
        <v>23</v>
      </c>
      <c r="K776">
        <v>4</v>
      </c>
      <c r="L776" s="1" t="s">
        <v>65</v>
      </c>
      <c r="M776">
        <v>66</v>
      </c>
      <c r="N776" s="1" t="s">
        <v>25</v>
      </c>
      <c r="O776" s="1" t="s">
        <v>66</v>
      </c>
      <c r="P776">
        <v>3</v>
      </c>
      <c r="Q776" s="1" t="s">
        <v>62</v>
      </c>
      <c r="R776">
        <v>1</v>
      </c>
      <c r="S776" s="1" t="s">
        <v>23</v>
      </c>
      <c r="T776" s="1" t="s">
        <v>28</v>
      </c>
      <c r="U776" s="1" t="s">
        <v>29</v>
      </c>
    </row>
    <row r="777" spans="1:21" x14ac:dyDescent="0.3">
      <c r="A777" s="1" t="s">
        <v>35</v>
      </c>
      <c r="B777">
        <v>24</v>
      </c>
      <c r="C777" s="1" t="s">
        <v>31</v>
      </c>
      <c r="D777" s="1" t="s">
        <v>19</v>
      </c>
      <c r="E777">
        <v>1371</v>
      </c>
      <c r="F777" s="1" t="s">
        <v>47</v>
      </c>
      <c r="G777" s="1" t="s">
        <v>21</v>
      </c>
      <c r="H777">
        <v>4</v>
      </c>
      <c r="I777" s="1" t="s">
        <v>22</v>
      </c>
      <c r="J777" s="1" t="s">
        <v>23</v>
      </c>
      <c r="K777">
        <v>4</v>
      </c>
      <c r="L777" s="1" t="s">
        <v>24</v>
      </c>
      <c r="M777">
        <v>25</v>
      </c>
      <c r="N777" s="1" t="s">
        <v>23</v>
      </c>
      <c r="O777" s="1" t="s">
        <v>34</v>
      </c>
      <c r="P777">
        <v>1</v>
      </c>
      <c r="Q777" s="1" t="s">
        <v>41</v>
      </c>
      <c r="R777">
        <v>1</v>
      </c>
      <c r="S777" s="1" t="s">
        <v>23</v>
      </c>
      <c r="T777" s="1" t="s">
        <v>28</v>
      </c>
      <c r="U777" s="1" t="s">
        <v>56</v>
      </c>
    </row>
    <row r="778" spans="1:21" x14ac:dyDescent="0.3">
      <c r="A778" s="1" t="s">
        <v>17</v>
      </c>
      <c r="B778">
        <v>36</v>
      </c>
      <c r="C778" s="1" t="s">
        <v>18</v>
      </c>
      <c r="D778" s="1" t="s">
        <v>19</v>
      </c>
      <c r="E778">
        <v>3535</v>
      </c>
      <c r="F778" s="1" t="s">
        <v>32</v>
      </c>
      <c r="G778" s="1" t="s">
        <v>49</v>
      </c>
      <c r="H778">
        <v>4</v>
      </c>
      <c r="I778" s="1" t="s">
        <v>39</v>
      </c>
      <c r="J778" s="1" t="s">
        <v>23</v>
      </c>
      <c r="K778">
        <v>4</v>
      </c>
      <c r="L778" s="1" t="s">
        <v>40</v>
      </c>
      <c r="M778">
        <v>37</v>
      </c>
      <c r="N778" s="1" t="s">
        <v>23</v>
      </c>
      <c r="O778" s="1" t="s">
        <v>26</v>
      </c>
      <c r="P778">
        <v>2</v>
      </c>
      <c r="Q778" s="1" t="s">
        <v>41</v>
      </c>
      <c r="R778">
        <v>1</v>
      </c>
      <c r="S778" s="1" t="s">
        <v>28</v>
      </c>
      <c r="T778" s="1" t="s">
        <v>28</v>
      </c>
      <c r="U778" s="1" t="s">
        <v>29</v>
      </c>
    </row>
    <row r="779" spans="1:21" x14ac:dyDescent="0.3">
      <c r="A779" s="1" t="s">
        <v>35</v>
      </c>
      <c r="B779">
        <v>18</v>
      </c>
      <c r="C779" s="1" t="s">
        <v>31</v>
      </c>
      <c r="D779" s="1" t="s">
        <v>36</v>
      </c>
      <c r="E779">
        <v>3509</v>
      </c>
      <c r="F779" s="1" t="s">
        <v>32</v>
      </c>
      <c r="G779" s="1" t="s">
        <v>49</v>
      </c>
      <c r="H779">
        <v>4</v>
      </c>
      <c r="I779" s="1" t="s">
        <v>22</v>
      </c>
      <c r="J779" s="1" t="s">
        <v>58</v>
      </c>
      <c r="K779">
        <v>1</v>
      </c>
      <c r="L779" s="1" t="s">
        <v>24</v>
      </c>
      <c r="M779">
        <v>25</v>
      </c>
      <c r="N779" s="1" t="s">
        <v>23</v>
      </c>
      <c r="O779" s="1" t="s">
        <v>26</v>
      </c>
      <c r="P779">
        <v>1</v>
      </c>
      <c r="Q779" s="1" t="s">
        <v>41</v>
      </c>
      <c r="R779">
        <v>1</v>
      </c>
      <c r="S779" s="1" t="s">
        <v>23</v>
      </c>
      <c r="T779" s="1" t="s">
        <v>28</v>
      </c>
      <c r="U779" s="1" t="s">
        <v>29</v>
      </c>
    </row>
    <row r="780" spans="1:21" x14ac:dyDescent="0.3">
      <c r="A780" s="1" t="s">
        <v>17</v>
      </c>
      <c r="B780">
        <v>36</v>
      </c>
      <c r="C780" s="1" t="s">
        <v>18</v>
      </c>
      <c r="D780" s="1" t="s">
        <v>69</v>
      </c>
      <c r="E780">
        <v>5711</v>
      </c>
      <c r="F780" s="1" t="s">
        <v>20</v>
      </c>
      <c r="G780" s="1" t="s">
        <v>38</v>
      </c>
      <c r="H780">
        <v>4</v>
      </c>
      <c r="I780" s="1" t="s">
        <v>39</v>
      </c>
      <c r="J780" s="1" t="s">
        <v>23</v>
      </c>
      <c r="K780">
        <v>2</v>
      </c>
      <c r="L780" s="1" t="s">
        <v>40</v>
      </c>
      <c r="M780">
        <v>38</v>
      </c>
      <c r="N780" s="1" t="s">
        <v>23</v>
      </c>
      <c r="O780" s="1" t="s">
        <v>26</v>
      </c>
      <c r="P780">
        <v>2</v>
      </c>
      <c r="Q780" s="1" t="s">
        <v>63</v>
      </c>
      <c r="R780">
        <v>1</v>
      </c>
      <c r="S780" s="1" t="s">
        <v>28</v>
      </c>
      <c r="T780" s="1" t="s">
        <v>28</v>
      </c>
      <c r="U780" s="1" t="s">
        <v>29</v>
      </c>
    </row>
    <row r="781" spans="1:21" x14ac:dyDescent="0.3">
      <c r="A781" s="1" t="s">
        <v>30</v>
      </c>
      <c r="B781">
        <v>18</v>
      </c>
      <c r="C781" s="1" t="s">
        <v>31</v>
      </c>
      <c r="D781" s="1" t="s">
        <v>57</v>
      </c>
      <c r="E781">
        <v>3872</v>
      </c>
      <c r="F781" s="1" t="s">
        <v>32</v>
      </c>
      <c r="G781" s="1" t="s">
        <v>54</v>
      </c>
      <c r="H781">
        <v>2</v>
      </c>
      <c r="I781" s="1" t="s">
        <v>22</v>
      </c>
      <c r="J781" s="1" t="s">
        <v>23</v>
      </c>
      <c r="K781">
        <v>4</v>
      </c>
      <c r="L781" s="1" t="s">
        <v>40</v>
      </c>
      <c r="M781">
        <v>67</v>
      </c>
      <c r="N781" s="1" t="s">
        <v>23</v>
      </c>
      <c r="O781" s="1" t="s">
        <v>26</v>
      </c>
      <c r="P781">
        <v>1</v>
      </c>
      <c r="Q781" s="1" t="s">
        <v>41</v>
      </c>
      <c r="R781">
        <v>1</v>
      </c>
      <c r="S781" s="1" t="s">
        <v>28</v>
      </c>
      <c r="T781" s="1" t="s">
        <v>28</v>
      </c>
      <c r="U781" s="1" t="s">
        <v>29</v>
      </c>
    </row>
    <row r="782" spans="1:21" x14ac:dyDescent="0.3">
      <c r="A782" s="1" t="s">
        <v>30</v>
      </c>
      <c r="B782">
        <v>39</v>
      </c>
      <c r="C782" s="1" t="s">
        <v>18</v>
      </c>
      <c r="D782" s="1" t="s">
        <v>36</v>
      </c>
      <c r="E782">
        <v>4933</v>
      </c>
      <c r="F782" s="1" t="s">
        <v>32</v>
      </c>
      <c r="G782" s="1" t="s">
        <v>49</v>
      </c>
      <c r="H782">
        <v>2</v>
      </c>
      <c r="I782" s="1" t="s">
        <v>39</v>
      </c>
      <c r="J782" s="1" t="s">
        <v>58</v>
      </c>
      <c r="K782">
        <v>2</v>
      </c>
      <c r="L782" s="1" t="s">
        <v>24</v>
      </c>
      <c r="M782">
        <v>25</v>
      </c>
      <c r="N782" s="1" t="s">
        <v>23</v>
      </c>
      <c r="O782" s="1" t="s">
        <v>26</v>
      </c>
      <c r="P782">
        <v>2</v>
      </c>
      <c r="Q782" s="1" t="s">
        <v>41</v>
      </c>
      <c r="R782">
        <v>1</v>
      </c>
      <c r="S782" s="1" t="s">
        <v>23</v>
      </c>
      <c r="T782" s="1" t="s">
        <v>28</v>
      </c>
      <c r="U782" s="1" t="s">
        <v>56</v>
      </c>
    </row>
    <row r="783" spans="1:21" x14ac:dyDescent="0.3">
      <c r="A783" s="1" t="s">
        <v>17</v>
      </c>
      <c r="B783">
        <v>24</v>
      </c>
      <c r="C783" s="1" t="s">
        <v>18</v>
      </c>
      <c r="D783" s="1" t="s">
        <v>19</v>
      </c>
      <c r="E783">
        <v>1940</v>
      </c>
      <c r="F783" s="1" t="s">
        <v>20</v>
      </c>
      <c r="G783" s="1" t="s">
        <v>38</v>
      </c>
      <c r="H783">
        <v>4</v>
      </c>
      <c r="I783" s="1" t="s">
        <v>39</v>
      </c>
      <c r="J783" s="1" t="s">
        <v>23</v>
      </c>
      <c r="K783">
        <v>4</v>
      </c>
      <c r="L783" s="1" t="s">
        <v>24</v>
      </c>
      <c r="M783">
        <v>60</v>
      </c>
      <c r="N783" s="1" t="s">
        <v>23</v>
      </c>
      <c r="O783" s="1" t="s">
        <v>26</v>
      </c>
      <c r="P783">
        <v>1</v>
      </c>
      <c r="Q783" s="1" t="s">
        <v>41</v>
      </c>
      <c r="R783">
        <v>1</v>
      </c>
      <c r="S783" s="1" t="s">
        <v>28</v>
      </c>
      <c r="T783" s="1" t="s">
        <v>28</v>
      </c>
      <c r="U783" s="1" t="s">
        <v>29</v>
      </c>
    </row>
    <row r="784" spans="1:21" x14ac:dyDescent="0.3">
      <c r="A784" s="1" t="s">
        <v>30</v>
      </c>
      <c r="B784">
        <v>12</v>
      </c>
      <c r="C784" s="1" t="s">
        <v>52</v>
      </c>
      <c r="D784" s="1" t="s">
        <v>43</v>
      </c>
      <c r="E784">
        <v>1410</v>
      </c>
      <c r="F784" s="1" t="s">
        <v>32</v>
      </c>
      <c r="G784" s="1" t="s">
        <v>21</v>
      </c>
      <c r="H784">
        <v>2</v>
      </c>
      <c r="I784" s="1" t="s">
        <v>39</v>
      </c>
      <c r="J784" s="1" t="s">
        <v>23</v>
      </c>
      <c r="K784">
        <v>2</v>
      </c>
      <c r="L784" s="1" t="s">
        <v>24</v>
      </c>
      <c r="M784">
        <v>31</v>
      </c>
      <c r="N784" s="1" t="s">
        <v>23</v>
      </c>
      <c r="O784" s="1" t="s">
        <v>26</v>
      </c>
      <c r="P784">
        <v>1</v>
      </c>
      <c r="Q784" s="1" t="s">
        <v>27</v>
      </c>
      <c r="R784">
        <v>1</v>
      </c>
      <c r="S784" s="1" t="s">
        <v>28</v>
      </c>
      <c r="T784" s="1" t="s">
        <v>28</v>
      </c>
      <c r="U784" s="1" t="s">
        <v>29</v>
      </c>
    </row>
    <row r="785" spans="1:21" x14ac:dyDescent="0.3">
      <c r="A785" s="1" t="s">
        <v>30</v>
      </c>
      <c r="B785">
        <v>12</v>
      </c>
      <c r="C785" s="1" t="s">
        <v>31</v>
      </c>
      <c r="D785" s="1" t="s">
        <v>19</v>
      </c>
      <c r="E785">
        <v>836</v>
      </c>
      <c r="F785" s="1" t="s">
        <v>46</v>
      </c>
      <c r="G785" s="1" t="s">
        <v>45</v>
      </c>
      <c r="H785">
        <v>4</v>
      </c>
      <c r="I785" s="1" t="s">
        <v>22</v>
      </c>
      <c r="J785" s="1" t="s">
        <v>23</v>
      </c>
      <c r="K785">
        <v>2</v>
      </c>
      <c r="L785" s="1" t="s">
        <v>48</v>
      </c>
      <c r="M785">
        <v>23</v>
      </c>
      <c r="N785" s="1" t="s">
        <v>25</v>
      </c>
      <c r="O785" s="1" t="s">
        <v>26</v>
      </c>
      <c r="P785">
        <v>1</v>
      </c>
      <c r="Q785" s="1" t="s">
        <v>27</v>
      </c>
      <c r="R785">
        <v>1</v>
      </c>
      <c r="S785" s="1" t="s">
        <v>23</v>
      </c>
      <c r="T785" s="1" t="s">
        <v>28</v>
      </c>
      <c r="U785" s="1" t="s">
        <v>56</v>
      </c>
    </row>
    <row r="786" spans="1:21" x14ac:dyDescent="0.3">
      <c r="A786" s="1" t="s">
        <v>30</v>
      </c>
      <c r="B786">
        <v>20</v>
      </c>
      <c r="C786" s="1" t="s">
        <v>31</v>
      </c>
      <c r="D786" s="1" t="s">
        <v>69</v>
      </c>
      <c r="E786">
        <v>6468</v>
      </c>
      <c r="F786" s="1" t="s">
        <v>47</v>
      </c>
      <c r="G786" s="1" t="s">
        <v>54</v>
      </c>
      <c r="H786">
        <v>1</v>
      </c>
      <c r="I786" s="1" t="s">
        <v>64</v>
      </c>
      <c r="J786" s="1" t="s">
        <v>23</v>
      </c>
      <c r="K786">
        <v>4</v>
      </c>
      <c r="L786" s="1" t="s">
        <v>24</v>
      </c>
      <c r="M786">
        <v>60</v>
      </c>
      <c r="N786" s="1" t="s">
        <v>23</v>
      </c>
      <c r="O786" s="1" t="s">
        <v>26</v>
      </c>
      <c r="P786">
        <v>1</v>
      </c>
      <c r="Q786" s="1" t="s">
        <v>63</v>
      </c>
      <c r="R786">
        <v>1</v>
      </c>
      <c r="S786" s="1" t="s">
        <v>28</v>
      </c>
      <c r="T786" s="1" t="s">
        <v>28</v>
      </c>
      <c r="U786" s="1" t="s">
        <v>29</v>
      </c>
    </row>
    <row r="787" spans="1:21" x14ac:dyDescent="0.3">
      <c r="A787" s="1" t="s">
        <v>30</v>
      </c>
      <c r="B787">
        <v>18</v>
      </c>
      <c r="C787" s="1" t="s">
        <v>31</v>
      </c>
      <c r="D787" s="1" t="s">
        <v>61</v>
      </c>
      <c r="E787">
        <v>1941</v>
      </c>
      <c r="F787" s="1" t="s">
        <v>20</v>
      </c>
      <c r="G787" s="1" t="s">
        <v>21</v>
      </c>
      <c r="H787">
        <v>4</v>
      </c>
      <c r="I787" s="1" t="s">
        <v>39</v>
      </c>
      <c r="J787" s="1" t="s">
        <v>23</v>
      </c>
      <c r="K787">
        <v>2</v>
      </c>
      <c r="L787" s="1" t="s">
        <v>48</v>
      </c>
      <c r="M787">
        <v>35</v>
      </c>
      <c r="N787" s="1" t="s">
        <v>23</v>
      </c>
      <c r="O787" s="1" t="s">
        <v>26</v>
      </c>
      <c r="P787">
        <v>1</v>
      </c>
      <c r="Q787" s="1" t="s">
        <v>27</v>
      </c>
      <c r="R787">
        <v>1</v>
      </c>
      <c r="S787" s="1" t="s">
        <v>28</v>
      </c>
      <c r="T787" s="1" t="s">
        <v>28</v>
      </c>
      <c r="U787" s="1" t="s">
        <v>29</v>
      </c>
    </row>
    <row r="788" spans="1:21" x14ac:dyDescent="0.3">
      <c r="A788" s="1" t="s">
        <v>17</v>
      </c>
      <c r="B788">
        <v>22</v>
      </c>
      <c r="C788" s="1" t="s">
        <v>31</v>
      </c>
      <c r="D788" s="1" t="s">
        <v>36</v>
      </c>
      <c r="E788">
        <v>2675</v>
      </c>
      <c r="F788" s="1" t="s">
        <v>37</v>
      </c>
      <c r="G788" s="1" t="s">
        <v>38</v>
      </c>
      <c r="H788">
        <v>3</v>
      </c>
      <c r="I788" s="1" t="s">
        <v>39</v>
      </c>
      <c r="J788" s="1" t="s">
        <v>23</v>
      </c>
      <c r="K788">
        <v>4</v>
      </c>
      <c r="L788" s="1" t="s">
        <v>40</v>
      </c>
      <c r="M788">
        <v>40</v>
      </c>
      <c r="N788" s="1" t="s">
        <v>23</v>
      </c>
      <c r="O788" s="1" t="s">
        <v>26</v>
      </c>
      <c r="P788">
        <v>1</v>
      </c>
      <c r="Q788" s="1" t="s">
        <v>41</v>
      </c>
      <c r="R788">
        <v>1</v>
      </c>
      <c r="S788" s="1" t="s">
        <v>23</v>
      </c>
      <c r="T788" s="1" t="s">
        <v>28</v>
      </c>
      <c r="U788" s="1" t="s">
        <v>29</v>
      </c>
    </row>
    <row r="789" spans="1:21" x14ac:dyDescent="0.3">
      <c r="A789" s="1" t="s">
        <v>17</v>
      </c>
      <c r="B789">
        <v>48</v>
      </c>
      <c r="C789" s="1" t="s">
        <v>18</v>
      </c>
      <c r="D789" s="1" t="s">
        <v>69</v>
      </c>
      <c r="E789">
        <v>2751</v>
      </c>
      <c r="F789" s="1" t="s">
        <v>47</v>
      </c>
      <c r="G789" s="1" t="s">
        <v>38</v>
      </c>
      <c r="H789">
        <v>4</v>
      </c>
      <c r="I789" s="1" t="s">
        <v>39</v>
      </c>
      <c r="J789" s="1" t="s">
        <v>23</v>
      </c>
      <c r="K789">
        <v>3</v>
      </c>
      <c r="L789" s="1" t="s">
        <v>40</v>
      </c>
      <c r="M789">
        <v>38</v>
      </c>
      <c r="N789" s="1" t="s">
        <v>23</v>
      </c>
      <c r="O789" s="1" t="s">
        <v>26</v>
      </c>
      <c r="P789">
        <v>2</v>
      </c>
      <c r="Q789" s="1" t="s">
        <v>41</v>
      </c>
      <c r="R789">
        <v>2</v>
      </c>
      <c r="S789" s="1" t="s">
        <v>28</v>
      </c>
      <c r="T789" s="1" t="s">
        <v>28</v>
      </c>
      <c r="U789" s="1" t="s">
        <v>29</v>
      </c>
    </row>
    <row r="790" spans="1:21" x14ac:dyDescent="0.3">
      <c r="A790" s="1" t="s">
        <v>30</v>
      </c>
      <c r="B790">
        <v>48</v>
      </c>
      <c r="C790" s="1" t="s">
        <v>59</v>
      </c>
      <c r="D790" s="1" t="s">
        <v>51</v>
      </c>
      <c r="E790">
        <v>6224</v>
      </c>
      <c r="F790" s="1" t="s">
        <v>32</v>
      </c>
      <c r="G790" s="1" t="s">
        <v>38</v>
      </c>
      <c r="H790">
        <v>4</v>
      </c>
      <c r="I790" s="1" t="s">
        <v>39</v>
      </c>
      <c r="J790" s="1" t="s">
        <v>23</v>
      </c>
      <c r="K790">
        <v>4</v>
      </c>
      <c r="L790" s="1" t="s">
        <v>65</v>
      </c>
      <c r="M790">
        <v>50</v>
      </c>
      <c r="N790" s="1" t="s">
        <v>23</v>
      </c>
      <c r="O790" s="1" t="s">
        <v>66</v>
      </c>
      <c r="P790">
        <v>1</v>
      </c>
      <c r="Q790" s="1" t="s">
        <v>41</v>
      </c>
      <c r="R790">
        <v>1</v>
      </c>
      <c r="S790" s="1" t="s">
        <v>23</v>
      </c>
      <c r="T790" s="1" t="s">
        <v>28</v>
      </c>
      <c r="U790" s="1" t="s">
        <v>56</v>
      </c>
    </row>
    <row r="791" spans="1:21" x14ac:dyDescent="0.3">
      <c r="A791" s="1" t="s">
        <v>35</v>
      </c>
      <c r="B791">
        <v>40</v>
      </c>
      <c r="C791" s="1" t="s">
        <v>18</v>
      </c>
      <c r="D791" s="1" t="s">
        <v>51</v>
      </c>
      <c r="E791">
        <v>5998</v>
      </c>
      <c r="F791" s="1" t="s">
        <v>32</v>
      </c>
      <c r="G791" s="1" t="s">
        <v>21</v>
      </c>
      <c r="H791">
        <v>4</v>
      </c>
      <c r="I791" s="1" t="s">
        <v>39</v>
      </c>
      <c r="J791" s="1" t="s">
        <v>23</v>
      </c>
      <c r="K791">
        <v>3</v>
      </c>
      <c r="L791" s="1" t="s">
        <v>65</v>
      </c>
      <c r="M791">
        <v>27</v>
      </c>
      <c r="N791" s="1" t="s">
        <v>25</v>
      </c>
      <c r="O791" s="1" t="s">
        <v>26</v>
      </c>
      <c r="P791">
        <v>1</v>
      </c>
      <c r="Q791" s="1" t="s">
        <v>41</v>
      </c>
      <c r="R791">
        <v>1</v>
      </c>
      <c r="S791" s="1" t="s">
        <v>28</v>
      </c>
      <c r="T791" s="1" t="s">
        <v>28</v>
      </c>
      <c r="U791" s="1" t="s">
        <v>56</v>
      </c>
    </row>
    <row r="792" spans="1:21" x14ac:dyDescent="0.3">
      <c r="A792" s="1" t="s">
        <v>30</v>
      </c>
      <c r="B792">
        <v>21</v>
      </c>
      <c r="C792" s="1" t="s">
        <v>31</v>
      </c>
      <c r="D792" s="1" t="s">
        <v>61</v>
      </c>
      <c r="E792">
        <v>1188</v>
      </c>
      <c r="F792" s="1" t="s">
        <v>32</v>
      </c>
      <c r="G792" s="1" t="s">
        <v>38</v>
      </c>
      <c r="H792">
        <v>2</v>
      </c>
      <c r="I792" s="1" t="s">
        <v>22</v>
      </c>
      <c r="J792" s="1" t="s">
        <v>23</v>
      </c>
      <c r="K792">
        <v>4</v>
      </c>
      <c r="L792" s="1" t="s">
        <v>48</v>
      </c>
      <c r="M792">
        <v>39</v>
      </c>
      <c r="N792" s="1" t="s">
        <v>23</v>
      </c>
      <c r="O792" s="1" t="s">
        <v>26</v>
      </c>
      <c r="P792">
        <v>1</v>
      </c>
      <c r="Q792" s="1" t="s">
        <v>41</v>
      </c>
      <c r="R792">
        <v>2</v>
      </c>
      <c r="S792" s="1" t="s">
        <v>23</v>
      </c>
      <c r="T792" s="1" t="s">
        <v>28</v>
      </c>
      <c r="U792" s="1" t="s">
        <v>56</v>
      </c>
    </row>
    <row r="793" spans="1:21" x14ac:dyDescent="0.3">
      <c r="A793" s="1" t="s">
        <v>17</v>
      </c>
      <c r="B793">
        <v>24</v>
      </c>
      <c r="C793" s="1" t="s">
        <v>31</v>
      </c>
      <c r="D793" s="1" t="s">
        <v>69</v>
      </c>
      <c r="E793">
        <v>6313</v>
      </c>
      <c r="F793" s="1" t="s">
        <v>47</v>
      </c>
      <c r="G793" s="1" t="s">
        <v>38</v>
      </c>
      <c r="H793">
        <v>3</v>
      </c>
      <c r="I793" s="1" t="s">
        <v>39</v>
      </c>
      <c r="J793" s="1" t="s">
        <v>23</v>
      </c>
      <c r="K793">
        <v>4</v>
      </c>
      <c r="L793" s="1" t="s">
        <v>40</v>
      </c>
      <c r="M793">
        <v>41</v>
      </c>
      <c r="N793" s="1" t="s">
        <v>23</v>
      </c>
      <c r="O793" s="1" t="s">
        <v>26</v>
      </c>
      <c r="P793">
        <v>1</v>
      </c>
      <c r="Q793" s="1" t="s">
        <v>63</v>
      </c>
      <c r="R793">
        <v>2</v>
      </c>
      <c r="S793" s="1" t="s">
        <v>28</v>
      </c>
      <c r="T793" s="1" t="s">
        <v>28</v>
      </c>
      <c r="U793" s="1" t="s">
        <v>29</v>
      </c>
    </row>
    <row r="794" spans="1:21" x14ac:dyDescent="0.3">
      <c r="A794" s="1" t="s">
        <v>17</v>
      </c>
      <c r="B794">
        <v>6</v>
      </c>
      <c r="C794" s="1" t="s">
        <v>18</v>
      </c>
      <c r="D794" s="1" t="s">
        <v>53</v>
      </c>
      <c r="E794">
        <v>1221</v>
      </c>
      <c r="F794" s="1" t="s">
        <v>47</v>
      </c>
      <c r="G794" s="1" t="s">
        <v>21</v>
      </c>
      <c r="H794">
        <v>1</v>
      </c>
      <c r="I794" s="1" t="s">
        <v>33</v>
      </c>
      <c r="J794" s="1" t="s">
        <v>23</v>
      </c>
      <c r="K794">
        <v>2</v>
      </c>
      <c r="L794" s="1" t="s">
        <v>48</v>
      </c>
      <c r="M794">
        <v>27</v>
      </c>
      <c r="N794" s="1" t="s">
        <v>23</v>
      </c>
      <c r="O794" s="1" t="s">
        <v>26</v>
      </c>
      <c r="P794">
        <v>2</v>
      </c>
      <c r="Q794" s="1" t="s">
        <v>41</v>
      </c>
      <c r="R794">
        <v>1</v>
      </c>
      <c r="S794" s="1" t="s">
        <v>23</v>
      </c>
      <c r="T794" s="1" t="s">
        <v>28</v>
      </c>
      <c r="U794" s="1" t="s">
        <v>29</v>
      </c>
    </row>
    <row r="795" spans="1:21" x14ac:dyDescent="0.3">
      <c r="A795" s="1" t="s">
        <v>50</v>
      </c>
      <c r="B795">
        <v>24</v>
      </c>
      <c r="C795" s="1" t="s">
        <v>31</v>
      </c>
      <c r="D795" s="1" t="s">
        <v>53</v>
      </c>
      <c r="E795">
        <v>2892</v>
      </c>
      <c r="F795" s="1" t="s">
        <v>32</v>
      </c>
      <c r="G795" s="1" t="s">
        <v>38</v>
      </c>
      <c r="H795">
        <v>3</v>
      </c>
      <c r="I795" s="1" t="s">
        <v>64</v>
      </c>
      <c r="J795" s="1" t="s">
        <v>23</v>
      </c>
      <c r="K795">
        <v>4</v>
      </c>
      <c r="L795" s="1" t="s">
        <v>65</v>
      </c>
      <c r="M795">
        <v>51</v>
      </c>
      <c r="N795" s="1" t="s">
        <v>23</v>
      </c>
      <c r="O795" s="1" t="s">
        <v>66</v>
      </c>
      <c r="P795">
        <v>1</v>
      </c>
      <c r="Q795" s="1" t="s">
        <v>41</v>
      </c>
      <c r="R795">
        <v>1</v>
      </c>
      <c r="S795" s="1" t="s">
        <v>23</v>
      </c>
      <c r="T795" s="1" t="s">
        <v>28</v>
      </c>
      <c r="U795" s="1" t="s">
        <v>29</v>
      </c>
    </row>
    <row r="796" spans="1:21" x14ac:dyDescent="0.3">
      <c r="A796" s="1" t="s">
        <v>17</v>
      </c>
      <c r="B796">
        <v>24</v>
      </c>
      <c r="C796" s="1" t="s">
        <v>31</v>
      </c>
      <c r="D796" s="1" t="s">
        <v>53</v>
      </c>
      <c r="E796">
        <v>3062</v>
      </c>
      <c r="F796" s="1" t="s">
        <v>37</v>
      </c>
      <c r="G796" s="1" t="s">
        <v>38</v>
      </c>
      <c r="H796">
        <v>4</v>
      </c>
      <c r="I796" s="1" t="s">
        <v>39</v>
      </c>
      <c r="J796" s="1" t="s">
        <v>23</v>
      </c>
      <c r="K796">
        <v>3</v>
      </c>
      <c r="L796" s="1" t="s">
        <v>65</v>
      </c>
      <c r="M796">
        <v>32</v>
      </c>
      <c r="N796" s="1" t="s">
        <v>23</v>
      </c>
      <c r="O796" s="1" t="s">
        <v>34</v>
      </c>
      <c r="P796">
        <v>1</v>
      </c>
      <c r="Q796" s="1" t="s">
        <v>41</v>
      </c>
      <c r="R796">
        <v>1</v>
      </c>
      <c r="S796" s="1" t="s">
        <v>28</v>
      </c>
      <c r="T796" s="1" t="s">
        <v>28</v>
      </c>
      <c r="U796" s="1" t="s">
        <v>29</v>
      </c>
    </row>
    <row r="797" spans="1:21" x14ac:dyDescent="0.3">
      <c r="A797" s="1" t="s">
        <v>17</v>
      </c>
      <c r="B797">
        <v>9</v>
      </c>
      <c r="C797" s="1" t="s">
        <v>31</v>
      </c>
      <c r="D797" s="1" t="s">
        <v>53</v>
      </c>
      <c r="E797">
        <v>2301</v>
      </c>
      <c r="F797" s="1" t="s">
        <v>46</v>
      </c>
      <c r="G797" s="1" t="s">
        <v>45</v>
      </c>
      <c r="H797">
        <v>2</v>
      </c>
      <c r="I797" s="1" t="s">
        <v>22</v>
      </c>
      <c r="J797" s="1" t="s">
        <v>23</v>
      </c>
      <c r="K797">
        <v>4</v>
      </c>
      <c r="L797" s="1" t="s">
        <v>48</v>
      </c>
      <c r="M797">
        <v>22</v>
      </c>
      <c r="N797" s="1" t="s">
        <v>23</v>
      </c>
      <c r="O797" s="1" t="s">
        <v>34</v>
      </c>
      <c r="P797">
        <v>1</v>
      </c>
      <c r="Q797" s="1" t="s">
        <v>41</v>
      </c>
      <c r="R797">
        <v>1</v>
      </c>
      <c r="S797" s="1" t="s">
        <v>23</v>
      </c>
      <c r="T797" s="1" t="s">
        <v>28</v>
      </c>
      <c r="U797" s="1" t="s">
        <v>29</v>
      </c>
    </row>
    <row r="798" spans="1:21" x14ac:dyDescent="0.3">
      <c r="A798" s="1" t="s">
        <v>35</v>
      </c>
      <c r="B798">
        <v>18</v>
      </c>
      <c r="C798" s="1" t="s">
        <v>31</v>
      </c>
      <c r="D798" s="1" t="s">
        <v>69</v>
      </c>
      <c r="E798">
        <v>7511</v>
      </c>
      <c r="F798" s="1" t="s">
        <v>47</v>
      </c>
      <c r="G798" s="1" t="s">
        <v>38</v>
      </c>
      <c r="H798">
        <v>1</v>
      </c>
      <c r="I798" s="1" t="s">
        <v>39</v>
      </c>
      <c r="J798" s="1" t="s">
        <v>23</v>
      </c>
      <c r="K798">
        <v>4</v>
      </c>
      <c r="L798" s="1" t="s">
        <v>48</v>
      </c>
      <c r="M798">
        <v>51</v>
      </c>
      <c r="N798" s="1" t="s">
        <v>23</v>
      </c>
      <c r="O798" s="1" t="s">
        <v>66</v>
      </c>
      <c r="P798">
        <v>1</v>
      </c>
      <c r="Q798" s="1" t="s">
        <v>41</v>
      </c>
      <c r="R798">
        <v>2</v>
      </c>
      <c r="S798" s="1" t="s">
        <v>28</v>
      </c>
      <c r="T798" s="1" t="s">
        <v>28</v>
      </c>
      <c r="U798" s="1" t="s">
        <v>56</v>
      </c>
    </row>
    <row r="799" spans="1:21" x14ac:dyDescent="0.3">
      <c r="A799" s="1" t="s">
        <v>17</v>
      </c>
      <c r="B799">
        <v>12</v>
      </c>
      <c r="C799" s="1" t="s">
        <v>18</v>
      </c>
      <c r="D799" s="1" t="s">
        <v>53</v>
      </c>
      <c r="E799">
        <v>1258</v>
      </c>
      <c r="F799" s="1" t="s">
        <v>32</v>
      </c>
      <c r="G799" s="1" t="s">
        <v>45</v>
      </c>
      <c r="H799">
        <v>2</v>
      </c>
      <c r="I799" s="1" t="s">
        <v>22</v>
      </c>
      <c r="J799" s="1" t="s">
        <v>23</v>
      </c>
      <c r="K799">
        <v>4</v>
      </c>
      <c r="L799" s="1" t="s">
        <v>48</v>
      </c>
      <c r="M799">
        <v>22</v>
      </c>
      <c r="N799" s="1" t="s">
        <v>23</v>
      </c>
      <c r="O799" s="1" t="s">
        <v>34</v>
      </c>
      <c r="P799">
        <v>2</v>
      </c>
      <c r="Q799" s="1" t="s">
        <v>27</v>
      </c>
      <c r="R799">
        <v>1</v>
      </c>
      <c r="S799" s="1" t="s">
        <v>23</v>
      </c>
      <c r="T799" s="1" t="s">
        <v>28</v>
      </c>
      <c r="U799" s="1" t="s">
        <v>29</v>
      </c>
    </row>
    <row r="800" spans="1:21" x14ac:dyDescent="0.3">
      <c r="A800" s="1" t="s">
        <v>17</v>
      </c>
      <c r="B800">
        <v>24</v>
      </c>
      <c r="C800" s="1" t="s">
        <v>59</v>
      </c>
      <c r="D800" s="1" t="s">
        <v>19</v>
      </c>
      <c r="E800">
        <v>717</v>
      </c>
      <c r="F800" s="1" t="s">
        <v>47</v>
      </c>
      <c r="G800" s="1" t="s">
        <v>38</v>
      </c>
      <c r="H800">
        <v>4</v>
      </c>
      <c r="I800" s="1" t="s">
        <v>33</v>
      </c>
      <c r="J800" s="1" t="s">
        <v>23</v>
      </c>
      <c r="K800">
        <v>4</v>
      </c>
      <c r="L800" s="1" t="s">
        <v>40</v>
      </c>
      <c r="M800">
        <v>54</v>
      </c>
      <c r="N800" s="1" t="s">
        <v>23</v>
      </c>
      <c r="O800" s="1" t="s">
        <v>26</v>
      </c>
      <c r="P800">
        <v>2</v>
      </c>
      <c r="Q800" s="1" t="s">
        <v>41</v>
      </c>
      <c r="R800">
        <v>1</v>
      </c>
      <c r="S800" s="1" t="s">
        <v>28</v>
      </c>
      <c r="T800" s="1" t="s">
        <v>28</v>
      </c>
      <c r="U800" s="1" t="s">
        <v>29</v>
      </c>
    </row>
    <row r="801" spans="1:21" x14ac:dyDescent="0.3">
      <c r="A801" s="1" t="s">
        <v>30</v>
      </c>
      <c r="B801">
        <v>9</v>
      </c>
      <c r="C801" s="1" t="s">
        <v>31</v>
      </c>
      <c r="D801" s="1" t="s">
        <v>19</v>
      </c>
      <c r="E801">
        <v>1549</v>
      </c>
      <c r="F801" s="1" t="s">
        <v>47</v>
      </c>
      <c r="G801" s="1" t="s">
        <v>45</v>
      </c>
      <c r="H801">
        <v>4</v>
      </c>
      <c r="I801" s="1" t="s">
        <v>39</v>
      </c>
      <c r="J801" s="1" t="s">
        <v>23</v>
      </c>
      <c r="K801">
        <v>2</v>
      </c>
      <c r="L801" s="1" t="s">
        <v>24</v>
      </c>
      <c r="M801">
        <v>35</v>
      </c>
      <c r="N801" s="1" t="s">
        <v>23</v>
      </c>
      <c r="O801" s="1" t="s">
        <v>26</v>
      </c>
      <c r="P801">
        <v>1</v>
      </c>
      <c r="Q801" s="1" t="s">
        <v>62</v>
      </c>
      <c r="R801">
        <v>1</v>
      </c>
      <c r="S801" s="1" t="s">
        <v>23</v>
      </c>
      <c r="T801" s="1" t="s">
        <v>28</v>
      </c>
      <c r="U801" s="1" t="s">
        <v>29</v>
      </c>
    </row>
    <row r="802" spans="1:21" x14ac:dyDescent="0.3">
      <c r="A802" s="1" t="s">
        <v>17</v>
      </c>
      <c r="B802">
        <v>24</v>
      </c>
      <c r="C802" s="1" t="s">
        <v>18</v>
      </c>
      <c r="D802" s="1" t="s">
        <v>51</v>
      </c>
      <c r="E802">
        <v>1597</v>
      </c>
      <c r="F802" s="1" t="s">
        <v>32</v>
      </c>
      <c r="G802" s="1" t="s">
        <v>38</v>
      </c>
      <c r="H802">
        <v>4</v>
      </c>
      <c r="I802" s="1" t="s">
        <v>39</v>
      </c>
      <c r="J802" s="1" t="s">
        <v>23</v>
      </c>
      <c r="K802">
        <v>4</v>
      </c>
      <c r="L802" s="1" t="s">
        <v>65</v>
      </c>
      <c r="M802">
        <v>54</v>
      </c>
      <c r="N802" s="1" t="s">
        <v>23</v>
      </c>
      <c r="O802" s="1" t="s">
        <v>66</v>
      </c>
      <c r="P802">
        <v>2</v>
      </c>
      <c r="Q802" s="1" t="s">
        <v>41</v>
      </c>
      <c r="R802">
        <v>2</v>
      </c>
      <c r="S802" s="1" t="s">
        <v>23</v>
      </c>
      <c r="T802" s="1" t="s">
        <v>28</v>
      </c>
      <c r="U802" s="1" t="s">
        <v>29</v>
      </c>
    </row>
    <row r="803" spans="1:21" x14ac:dyDescent="0.3">
      <c r="A803" s="1" t="s">
        <v>30</v>
      </c>
      <c r="B803">
        <v>18</v>
      </c>
      <c r="C803" s="1" t="s">
        <v>18</v>
      </c>
      <c r="D803" s="1" t="s">
        <v>36</v>
      </c>
      <c r="E803">
        <v>1795</v>
      </c>
      <c r="F803" s="1" t="s">
        <v>32</v>
      </c>
      <c r="G803" s="1" t="s">
        <v>38</v>
      </c>
      <c r="H803">
        <v>3</v>
      </c>
      <c r="I803" s="1" t="s">
        <v>22</v>
      </c>
      <c r="J803" s="1" t="s">
        <v>58</v>
      </c>
      <c r="K803">
        <v>4</v>
      </c>
      <c r="L803" s="1" t="s">
        <v>24</v>
      </c>
      <c r="M803">
        <v>48</v>
      </c>
      <c r="N803" s="1" t="s">
        <v>25</v>
      </c>
      <c r="O803" s="1" t="s">
        <v>34</v>
      </c>
      <c r="P803">
        <v>2</v>
      </c>
      <c r="Q803" s="1" t="s">
        <v>27</v>
      </c>
      <c r="R803">
        <v>1</v>
      </c>
      <c r="S803" s="1" t="s">
        <v>28</v>
      </c>
      <c r="T803" s="1" t="s">
        <v>28</v>
      </c>
      <c r="U803" s="1" t="s">
        <v>29</v>
      </c>
    </row>
    <row r="804" spans="1:21" x14ac:dyDescent="0.3">
      <c r="A804" s="1" t="s">
        <v>35</v>
      </c>
      <c r="B804">
        <v>20</v>
      </c>
      <c r="C804" s="1" t="s">
        <v>18</v>
      </c>
      <c r="D804" s="1" t="s">
        <v>53</v>
      </c>
      <c r="E804">
        <v>4272</v>
      </c>
      <c r="F804" s="1" t="s">
        <v>32</v>
      </c>
      <c r="G804" s="1" t="s">
        <v>38</v>
      </c>
      <c r="H804">
        <v>1</v>
      </c>
      <c r="I804" s="1" t="s">
        <v>22</v>
      </c>
      <c r="J804" s="1" t="s">
        <v>23</v>
      </c>
      <c r="K804">
        <v>4</v>
      </c>
      <c r="L804" s="1" t="s">
        <v>48</v>
      </c>
      <c r="M804">
        <v>24</v>
      </c>
      <c r="N804" s="1" t="s">
        <v>23</v>
      </c>
      <c r="O804" s="1" t="s">
        <v>26</v>
      </c>
      <c r="P804">
        <v>2</v>
      </c>
      <c r="Q804" s="1" t="s">
        <v>41</v>
      </c>
      <c r="R804">
        <v>1</v>
      </c>
      <c r="S804" s="1" t="s">
        <v>23</v>
      </c>
      <c r="T804" s="1" t="s">
        <v>28</v>
      </c>
      <c r="U804" s="1" t="s">
        <v>29</v>
      </c>
    </row>
    <row r="805" spans="1:21" x14ac:dyDescent="0.3">
      <c r="A805" s="1" t="s">
        <v>17</v>
      </c>
      <c r="B805">
        <v>12</v>
      </c>
      <c r="C805" s="1" t="s">
        <v>18</v>
      </c>
      <c r="D805" s="1" t="s">
        <v>36</v>
      </c>
      <c r="E805">
        <v>976</v>
      </c>
      <c r="F805" s="1" t="s">
        <v>47</v>
      </c>
      <c r="G805" s="1" t="s">
        <v>38</v>
      </c>
      <c r="H805">
        <v>4</v>
      </c>
      <c r="I805" s="1" t="s">
        <v>39</v>
      </c>
      <c r="J805" s="1" t="s">
        <v>23</v>
      </c>
      <c r="K805">
        <v>4</v>
      </c>
      <c r="L805" s="1" t="s">
        <v>40</v>
      </c>
      <c r="M805">
        <v>35</v>
      </c>
      <c r="N805" s="1" t="s">
        <v>23</v>
      </c>
      <c r="O805" s="1" t="s">
        <v>26</v>
      </c>
      <c r="P805">
        <v>2</v>
      </c>
      <c r="Q805" s="1" t="s">
        <v>41</v>
      </c>
      <c r="R805">
        <v>1</v>
      </c>
      <c r="S805" s="1" t="s">
        <v>23</v>
      </c>
      <c r="T805" s="1" t="s">
        <v>28</v>
      </c>
      <c r="U805" s="1" t="s">
        <v>29</v>
      </c>
    </row>
    <row r="806" spans="1:21" x14ac:dyDescent="0.3">
      <c r="A806" s="1" t="s">
        <v>30</v>
      </c>
      <c r="B806">
        <v>12</v>
      </c>
      <c r="C806" s="1" t="s">
        <v>31</v>
      </c>
      <c r="D806" s="1" t="s">
        <v>19</v>
      </c>
      <c r="E806">
        <v>7472</v>
      </c>
      <c r="F806" s="1" t="s">
        <v>47</v>
      </c>
      <c r="G806" s="1" t="s">
        <v>54</v>
      </c>
      <c r="H806">
        <v>1</v>
      </c>
      <c r="I806" s="1" t="s">
        <v>22</v>
      </c>
      <c r="J806" s="1" t="s">
        <v>23</v>
      </c>
      <c r="K806">
        <v>2</v>
      </c>
      <c r="L806" s="1" t="s">
        <v>24</v>
      </c>
      <c r="M806">
        <v>24</v>
      </c>
      <c r="N806" s="1" t="s">
        <v>23</v>
      </c>
      <c r="O806" s="1" t="s">
        <v>34</v>
      </c>
      <c r="P806">
        <v>1</v>
      </c>
      <c r="Q806" s="1" t="s">
        <v>62</v>
      </c>
      <c r="R806">
        <v>1</v>
      </c>
      <c r="S806" s="1" t="s">
        <v>23</v>
      </c>
      <c r="T806" s="1" t="s">
        <v>28</v>
      </c>
      <c r="U806" s="1" t="s">
        <v>29</v>
      </c>
    </row>
    <row r="807" spans="1:21" x14ac:dyDescent="0.3">
      <c r="A807" s="1" t="s">
        <v>35</v>
      </c>
      <c r="B807">
        <v>36</v>
      </c>
      <c r="C807" s="1" t="s">
        <v>31</v>
      </c>
      <c r="D807" s="1" t="s">
        <v>19</v>
      </c>
      <c r="E807">
        <v>9271</v>
      </c>
      <c r="F807" s="1" t="s">
        <v>32</v>
      </c>
      <c r="G807" s="1" t="s">
        <v>49</v>
      </c>
      <c r="H807">
        <v>2</v>
      </c>
      <c r="I807" s="1" t="s">
        <v>39</v>
      </c>
      <c r="J807" s="1" t="s">
        <v>23</v>
      </c>
      <c r="K807">
        <v>1</v>
      </c>
      <c r="L807" s="1" t="s">
        <v>40</v>
      </c>
      <c r="M807">
        <v>24</v>
      </c>
      <c r="N807" s="1" t="s">
        <v>23</v>
      </c>
      <c r="O807" s="1" t="s">
        <v>26</v>
      </c>
      <c r="P807">
        <v>1</v>
      </c>
      <c r="Q807" s="1" t="s">
        <v>41</v>
      </c>
      <c r="R807">
        <v>1</v>
      </c>
      <c r="S807" s="1" t="s">
        <v>28</v>
      </c>
      <c r="T807" s="1" t="s">
        <v>28</v>
      </c>
      <c r="U807" s="1" t="s">
        <v>56</v>
      </c>
    </row>
    <row r="808" spans="1:21" x14ac:dyDescent="0.3">
      <c r="A808" s="1" t="s">
        <v>30</v>
      </c>
      <c r="B808">
        <v>6</v>
      </c>
      <c r="C808" s="1" t="s">
        <v>31</v>
      </c>
      <c r="D808" s="1" t="s">
        <v>36</v>
      </c>
      <c r="E808">
        <v>590</v>
      </c>
      <c r="F808" s="1" t="s">
        <v>32</v>
      </c>
      <c r="G808" s="1" t="s">
        <v>45</v>
      </c>
      <c r="H808">
        <v>3</v>
      </c>
      <c r="I808" s="1" t="s">
        <v>33</v>
      </c>
      <c r="J808" s="1" t="s">
        <v>23</v>
      </c>
      <c r="K808">
        <v>3</v>
      </c>
      <c r="L808" s="1" t="s">
        <v>24</v>
      </c>
      <c r="M808">
        <v>26</v>
      </c>
      <c r="N808" s="1" t="s">
        <v>23</v>
      </c>
      <c r="O808" s="1" t="s">
        <v>26</v>
      </c>
      <c r="P808">
        <v>1</v>
      </c>
      <c r="Q808" s="1" t="s">
        <v>27</v>
      </c>
      <c r="R808">
        <v>1</v>
      </c>
      <c r="S808" s="1" t="s">
        <v>23</v>
      </c>
      <c r="T808" s="1" t="s">
        <v>60</v>
      </c>
      <c r="U808" s="1" t="s">
        <v>29</v>
      </c>
    </row>
    <row r="809" spans="1:21" x14ac:dyDescent="0.3">
      <c r="A809" s="1" t="s">
        <v>17</v>
      </c>
      <c r="B809">
        <v>12</v>
      </c>
      <c r="C809" s="1" t="s">
        <v>18</v>
      </c>
      <c r="D809" s="1" t="s">
        <v>36</v>
      </c>
      <c r="E809">
        <v>930</v>
      </c>
      <c r="F809" s="1" t="s">
        <v>47</v>
      </c>
      <c r="G809" s="1" t="s">
        <v>38</v>
      </c>
      <c r="H809">
        <v>4</v>
      </c>
      <c r="I809" s="1" t="s">
        <v>39</v>
      </c>
      <c r="J809" s="1" t="s">
        <v>23</v>
      </c>
      <c r="K809">
        <v>4</v>
      </c>
      <c r="L809" s="1" t="s">
        <v>24</v>
      </c>
      <c r="M809">
        <v>65</v>
      </c>
      <c r="N809" s="1" t="s">
        <v>23</v>
      </c>
      <c r="O809" s="1" t="s">
        <v>26</v>
      </c>
      <c r="P809">
        <v>4</v>
      </c>
      <c r="Q809" s="1" t="s">
        <v>41</v>
      </c>
      <c r="R809">
        <v>1</v>
      </c>
      <c r="S809" s="1" t="s">
        <v>23</v>
      </c>
      <c r="T809" s="1" t="s">
        <v>28</v>
      </c>
      <c r="U809" s="1" t="s">
        <v>29</v>
      </c>
    </row>
    <row r="810" spans="1:21" x14ac:dyDescent="0.3">
      <c r="A810" s="1" t="s">
        <v>30</v>
      </c>
      <c r="B810">
        <v>42</v>
      </c>
      <c r="C810" s="1" t="s">
        <v>42</v>
      </c>
      <c r="D810" s="1" t="s">
        <v>69</v>
      </c>
      <c r="E810">
        <v>9283</v>
      </c>
      <c r="F810" s="1" t="s">
        <v>32</v>
      </c>
      <c r="G810" s="1" t="s">
        <v>54</v>
      </c>
      <c r="H810">
        <v>1</v>
      </c>
      <c r="I810" s="1" t="s">
        <v>39</v>
      </c>
      <c r="J810" s="1" t="s">
        <v>23</v>
      </c>
      <c r="K810">
        <v>2</v>
      </c>
      <c r="L810" s="1" t="s">
        <v>65</v>
      </c>
      <c r="M810">
        <v>55</v>
      </c>
      <c r="N810" s="1" t="s">
        <v>25</v>
      </c>
      <c r="O810" s="1" t="s">
        <v>66</v>
      </c>
      <c r="P810">
        <v>1</v>
      </c>
      <c r="Q810" s="1" t="s">
        <v>63</v>
      </c>
      <c r="R810">
        <v>1</v>
      </c>
      <c r="S810" s="1" t="s">
        <v>28</v>
      </c>
      <c r="T810" s="1" t="s">
        <v>28</v>
      </c>
      <c r="U810" s="1" t="s">
        <v>29</v>
      </c>
    </row>
    <row r="811" spans="1:21" x14ac:dyDescent="0.3">
      <c r="A811" s="1" t="s">
        <v>30</v>
      </c>
      <c r="B811">
        <v>15</v>
      </c>
      <c r="C811" s="1" t="s">
        <v>52</v>
      </c>
      <c r="D811" s="1" t="s">
        <v>19</v>
      </c>
      <c r="E811">
        <v>1778</v>
      </c>
      <c r="F811" s="1" t="s">
        <v>32</v>
      </c>
      <c r="G811" s="1" t="s">
        <v>45</v>
      </c>
      <c r="H811">
        <v>2</v>
      </c>
      <c r="I811" s="1" t="s">
        <v>22</v>
      </c>
      <c r="J811" s="1" t="s">
        <v>23</v>
      </c>
      <c r="K811">
        <v>1</v>
      </c>
      <c r="L811" s="1" t="s">
        <v>24</v>
      </c>
      <c r="M811">
        <v>26</v>
      </c>
      <c r="N811" s="1" t="s">
        <v>23</v>
      </c>
      <c r="O811" s="1" t="s">
        <v>34</v>
      </c>
      <c r="P811">
        <v>2</v>
      </c>
      <c r="Q811" s="1" t="s">
        <v>62</v>
      </c>
      <c r="R811">
        <v>1</v>
      </c>
      <c r="S811" s="1" t="s">
        <v>23</v>
      </c>
      <c r="T811" s="1" t="s">
        <v>28</v>
      </c>
      <c r="U811" s="1" t="s">
        <v>56</v>
      </c>
    </row>
    <row r="812" spans="1:21" x14ac:dyDescent="0.3">
      <c r="A812" s="1" t="s">
        <v>30</v>
      </c>
      <c r="B812">
        <v>8</v>
      </c>
      <c r="C812" s="1" t="s">
        <v>31</v>
      </c>
      <c r="D812" s="1" t="s">
        <v>61</v>
      </c>
      <c r="E812">
        <v>907</v>
      </c>
      <c r="F812" s="1" t="s">
        <v>32</v>
      </c>
      <c r="G812" s="1" t="s">
        <v>45</v>
      </c>
      <c r="H812">
        <v>3</v>
      </c>
      <c r="I812" s="1" t="s">
        <v>33</v>
      </c>
      <c r="J812" s="1" t="s">
        <v>23</v>
      </c>
      <c r="K812">
        <v>2</v>
      </c>
      <c r="L812" s="1" t="s">
        <v>24</v>
      </c>
      <c r="M812">
        <v>26</v>
      </c>
      <c r="N812" s="1" t="s">
        <v>23</v>
      </c>
      <c r="O812" s="1" t="s">
        <v>26</v>
      </c>
      <c r="P812">
        <v>1</v>
      </c>
      <c r="Q812" s="1" t="s">
        <v>41</v>
      </c>
      <c r="R812">
        <v>1</v>
      </c>
      <c r="S812" s="1" t="s">
        <v>28</v>
      </c>
      <c r="T812" s="1" t="s">
        <v>28</v>
      </c>
      <c r="U812" s="1" t="s">
        <v>29</v>
      </c>
    </row>
    <row r="813" spans="1:21" x14ac:dyDescent="0.3">
      <c r="A813" s="1" t="s">
        <v>30</v>
      </c>
      <c r="B813">
        <v>6</v>
      </c>
      <c r="C813" s="1" t="s">
        <v>31</v>
      </c>
      <c r="D813" s="1" t="s">
        <v>36</v>
      </c>
      <c r="E813">
        <v>484</v>
      </c>
      <c r="F813" s="1" t="s">
        <v>32</v>
      </c>
      <c r="G813" s="1" t="s">
        <v>49</v>
      </c>
      <c r="H813">
        <v>3</v>
      </c>
      <c r="I813" s="1" t="s">
        <v>33</v>
      </c>
      <c r="J813" s="1" t="s">
        <v>58</v>
      </c>
      <c r="K813">
        <v>3</v>
      </c>
      <c r="L813" s="1" t="s">
        <v>24</v>
      </c>
      <c r="M813">
        <v>28</v>
      </c>
      <c r="N813" s="1" t="s">
        <v>25</v>
      </c>
      <c r="O813" s="1" t="s">
        <v>26</v>
      </c>
      <c r="P813">
        <v>1</v>
      </c>
      <c r="Q813" s="1" t="s">
        <v>27</v>
      </c>
      <c r="R813">
        <v>1</v>
      </c>
      <c r="S813" s="1" t="s">
        <v>23</v>
      </c>
      <c r="T813" s="1" t="s">
        <v>28</v>
      </c>
      <c r="U813" s="1" t="s">
        <v>29</v>
      </c>
    </row>
    <row r="814" spans="1:21" x14ac:dyDescent="0.3">
      <c r="A814" s="1" t="s">
        <v>35</v>
      </c>
      <c r="B814">
        <v>36</v>
      </c>
      <c r="C814" s="1" t="s">
        <v>18</v>
      </c>
      <c r="D814" s="1" t="s">
        <v>69</v>
      </c>
      <c r="E814">
        <v>9629</v>
      </c>
      <c r="F814" s="1" t="s">
        <v>32</v>
      </c>
      <c r="G814" s="1" t="s">
        <v>49</v>
      </c>
      <c r="H814">
        <v>4</v>
      </c>
      <c r="I814" s="1" t="s">
        <v>39</v>
      </c>
      <c r="J814" s="1" t="s">
        <v>23</v>
      </c>
      <c r="K814">
        <v>4</v>
      </c>
      <c r="L814" s="1" t="s">
        <v>40</v>
      </c>
      <c r="M814">
        <v>24</v>
      </c>
      <c r="N814" s="1" t="s">
        <v>23</v>
      </c>
      <c r="O814" s="1" t="s">
        <v>26</v>
      </c>
      <c r="P814">
        <v>2</v>
      </c>
      <c r="Q814" s="1" t="s">
        <v>41</v>
      </c>
      <c r="R814">
        <v>1</v>
      </c>
      <c r="S814" s="1" t="s">
        <v>28</v>
      </c>
      <c r="T814" s="1" t="s">
        <v>28</v>
      </c>
      <c r="U814" s="1" t="s">
        <v>56</v>
      </c>
    </row>
    <row r="815" spans="1:21" x14ac:dyDescent="0.3">
      <c r="A815" s="1" t="s">
        <v>35</v>
      </c>
      <c r="B815">
        <v>48</v>
      </c>
      <c r="C815" s="1" t="s">
        <v>31</v>
      </c>
      <c r="D815" s="1" t="s">
        <v>44</v>
      </c>
      <c r="E815">
        <v>3051</v>
      </c>
      <c r="F815" s="1" t="s">
        <v>32</v>
      </c>
      <c r="G815" s="1" t="s">
        <v>21</v>
      </c>
      <c r="H815">
        <v>3</v>
      </c>
      <c r="I815" s="1" t="s">
        <v>39</v>
      </c>
      <c r="J815" s="1" t="s">
        <v>23</v>
      </c>
      <c r="K815">
        <v>4</v>
      </c>
      <c r="L815" s="1" t="s">
        <v>40</v>
      </c>
      <c r="M815">
        <v>54</v>
      </c>
      <c r="N815" s="1" t="s">
        <v>23</v>
      </c>
      <c r="O815" s="1" t="s">
        <v>26</v>
      </c>
      <c r="P815">
        <v>1</v>
      </c>
      <c r="Q815" s="1" t="s">
        <v>41</v>
      </c>
      <c r="R815">
        <v>1</v>
      </c>
      <c r="S815" s="1" t="s">
        <v>23</v>
      </c>
      <c r="T815" s="1" t="s">
        <v>28</v>
      </c>
      <c r="U815" s="1" t="s">
        <v>56</v>
      </c>
    </row>
    <row r="816" spans="1:21" x14ac:dyDescent="0.3">
      <c r="A816" s="1" t="s">
        <v>35</v>
      </c>
      <c r="B816">
        <v>48</v>
      </c>
      <c r="C816" s="1" t="s">
        <v>31</v>
      </c>
      <c r="D816" s="1" t="s">
        <v>19</v>
      </c>
      <c r="E816">
        <v>3931</v>
      </c>
      <c r="F816" s="1" t="s">
        <v>32</v>
      </c>
      <c r="G816" s="1" t="s">
        <v>49</v>
      </c>
      <c r="H816">
        <v>4</v>
      </c>
      <c r="I816" s="1" t="s">
        <v>39</v>
      </c>
      <c r="J816" s="1" t="s">
        <v>23</v>
      </c>
      <c r="K816">
        <v>4</v>
      </c>
      <c r="L816" s="1" t="s">
        <v>65</v>
      </c>
      <c r="M816">
        <v>46</v>
      </c>
      <c r="N816" s="1" t="s">
        <v>23</v>
      </c>
      <c r="O816" s="1" t="s">
        <v>66</v>
      </c>
      <c r="P816">
        <v>1</v>
      </c>
      <c r="Q816" s="1" t="s">
        <v>41</v>
      </c>
      <c r="R816">
        <v>2</v>
      </c>
      <c r="S816" s="1" t="s">
        <v>23</v>
      </c>
      <c r="T816" s="1" t="s">
        <v>28</v>
      </c>
      <c r="U816" s="1" t="s">
        <v>56</v>
      </c>
    </row>
    <row r="817" spans="1:21" x14ac:dyDescent="0.3">
      <c r="A817" s="1" t="s">
        <v>30</v>
      </c>
      <c r="B817">
        <v>36</v>
      </c>
      <c r="C817" s="1" t="s">
        <v>59</v>
      </c>
      <c r="D817" s="1" t="s">
        <v>19</v>
      </c>
      <c r="E817">
        <v>7432</v>
      </c>
      <c r="F817" s="1" t="s">
        <v>32</v>
      </c>
      <c r="G817" s="1" t="s">
        <v>21</v>
      </c>
      <c r="H817">
        <v>2</v>
      </c>
      <c r="I817" s="1" t="s">
        <v>22</v>
      </c>
      <c r="J817" s="1" t="s">
        <v>23</v>
      </c>
      <c r="K817">
        <v>2</v>
      </c>
      <c r="L817" s="1" t="s">
        <v>48</v>
      </c>
      <c r="M817">
        <v>54</v>
      </c>
      <c r="N817" s="1" t="s">
        <v>23</v>
      </c>
      <c r="O817" s="1" t="s">
        <v>34</v>
      </c>
      <c r="P817">
        <v>1</v>
      </c>
      <c r="Q817" s="1" t="s">
        <v>41</v>
      </c>
      <c r="R817">
        <v>1</v>
      </c>
      <c r="S817" s="1" t="s">
        <v>23</v>
      </c>
      <c r="T817" s="1" t="s">
        <v>28</v>
      </c>
      <c r="U817" s="1" t="s">
        <v>29</v>
      </c>
    </row>
    <row r="818" spans="1:21" x14ac:dyDescent="0.3">
      <c r="A818" s="1" t="s">
        <v>17</v>
      </c>
      <c r="B818">
        <v>6</v>
      </c>
      <c r="C818" s="1" t="s">
        <v>31</v>
      </c>
      <c r="D818" s="1" t="s">
        <v>44</v>
      </c>
      <c r="E818">
        <v>1338</v>
      </c>
      <c r="F818" s="1" t="s">
        <v>37</v>
      </c>
      <c r="G818" s="1" t="s">
        <v>21</v>
      </c>
      <c r="H818">
        <v>1</v>
      </c>
      <c r="I818" s="1" t="s">
        <v>64</v>
      </c>
      <c r="J818" s="1" t="s">
        <v>23</v>
      </c>
      <c r="K818">
        <v>4</v>
      </c>
      <c r="L818" s="1" t="s">
        <v>24</v>
      </c>
      <c r="M818">
        <v>62</v>
      </c>
      <c r="N818" s="1" t="s">
        <v>23</v>
      </c>
      <c r="O818" s="1" t="s">
        <v>26</v>
      </c>
      <c r="P818">
        <v>1</v>
      </c>
      <c r="Q818" s="1" t="s">
        <v>41</v>
      </c>
      <c r="R818">
        <v>1</v>
      </c>
      <c r="S818" s="1" t="s">
        <v>23</v>
      </c>
      <c r="T818" s="1" t="s">
        <v>28</v>
      </c>
      <c r="U818" s="1" t="s">
        <v>29</v>
      </c>
    </row>
    <row r="819" spans="1:21" x14ac:dyDescent="0.3">
      <c r="A819" s="1" t="s">
        <v>17</v>
      </c>
      <c r="B819">
        <v>6</v>
      </c>
      <c r="C819" s="1" t="s">
        <v>18</v>
      </c>
      <c r="D819" s="1" t="s">
        <v>36</v>
      </c>
      <c r="E819">
        <v>1554</v>
      </c>
      <c r="F819" s="1" t="s">
        <v>32</v>
      </c>
      <c r="G819" s="1" t="s">
        <v>49</v>
      </c>
      <c r="H819">
        <v>1</v>
      </c>
      <c r="I819" s="1" t="s">
        <v>22</v>
      </c>
      <c r="J819" s="1" t="s">
        <v>23</v>
      </c>
      <c r="K819">
        <v>2</v>
      </c>
      <c r="L819" s="1" t="s">
        <v>40</v>
      </c>
      <c r="M819">
        <v>24</v>
      </c>
      <c r="N819" s="1" t="s">
        <v>23</v>
      </c>
      <c r="O819" s="1" t="s">
        <v>34</v>
      </c>
      <c r="P819">
        <v>2</v>
      </c>
      <c r="Q819" s="1" t="s">
        <v>41</v>
      </c>
      <c r="R819">
        <v>1</v>
      </c>
      <c r="S819" s="1" t="s">
        <v>28</v>
      </c>
      <c r="T819" s="1" t="s">
        <v>28</v>
      </c>
      <c r="U819" s="1" t="s">
        <v>29</v>
      </c>
    </row>
    <row r="820" spans="1:21" x14ac:dyDescent="0.3">
      <c r="A820" s="1" t="s">
        <v>35</v>
      </c>
      <c r="B820">
        <v>36</v>
      </c>
      <c r="C820" s="1" t="s">
        <v>31</v>
      </c>
      <c r="D820" s="1" t="s">
        <v>68</v>
      </c>
      <c r="E820">
        <v>15857</v>
      </c>
      <c r="F820" s="1" t="s">
        <v>32</v>
      </c>
      <c r="G820" s="1" t="s">
        <v>54</v>
      </c>
      <c r="H820">
        <v>2</v>
      </c>
      <c r="I820" s="1" t="s">
        <v>64</v>
      </c>
      <c r="J820" s="1" t="s">
        <v>55</v>
      </c>
      <c r="K820">
        <v>3</v>
      </c>
      <c r="L820" s="1" t="s">
        <v>40</v>
      </c>
      <c r="M820">
        <v>43</v>
      </c>
      <c r="N820" s="1" t="s">
        <v>23</v>
      </c>
      <c r="O820" s="1" t="s">
        <v>26</v>
      </c>
      <c r="P820">
        <v>1</v>
      </c>
      <c r="Q820" s="1" t="s">
        <v>63</v>
      </c>
      <c r="R820">
        <v>1</v>
      </c>
      <c r="S820" s="1" t="s">
        <v>23</v>
      </c>
      <c r="T820" s="1" t="s">
        <v>28</v>
      </c>
      <c r="U820" s="1" t="s">
        <v>29</v>
      </c>
    </row>
    <row r="821" spans="1:21" x14ac:dyDescent="0.3">
      <c r="A821" s="1" t="s">
        <v>35</v>
      </c>
      <c r="B821">
        <v>18</v>
      </c>
      <c r="C821" s="1" t="s">
        <v>31</v>
      </c>
      <c r="D821" s="1" t="s">
        <v>36</v>
      </c>
      <c r="E821">
        <v>1345</v>
      </c>
      <c r="F821" s="1" t="s">
        <v>32</v>
      </c>
      <c r="G821" s="1" t="s">
        <v>21</v>
      </c>
      <c r="H821">
        <v>4</v>
      </c>
      <c r="I821" s="1" t="s">
        <v>33</v>
      </c>
      <c r="J821" s="1" t="s">
        <v>23</v>
      </c>
      <c r="K821">
        <v>3</v>
      </c>
      <c r="L821" s="1" t="s">
        <v>24</v>
      </c>
      <c r="M821">
        <v>26</v>
      </c>
      <c r="N821" s="1" t="s">
        <v>25</v>
      </c>
      <c r="O821" s="1" t="s">
        <v>26</v>
      </c>
      <c r="P821">
        <v>1</v>
      </c>
      <c r="Q821" s="1" t="s">
        <v>41</v>
      </c>
      <c r="R821">
        <v>1</v>
      </c>
      <c r="S821" s="1" t="s">
        <v>23</v>
      </c>
      <c r="T821" s="1" t="s">
        <v>28</v>
      </c>
      <c r="U821" s="1" t="s">
        <v>56</v>
      </c>
    </row>
    <row r="822" spans="1:21" x14ac:dyDescent="0.3">
      <c r="A822" s="1" t="s">
        <v>17</v>
      </c>
      <c r="B822">
        <v>12</v>
      </c>
      <c r="C822" s="1" t="s">
        <v>31</v>
      </c>
      <c r="D822" s="1" t="s">
        <v>19</v>
      </c>
      <c r="E822">
        <v>1101</v>
      </c>
      <c r="F822" s="1" t="s">
        <v>32</v>
      </c>
      <c r="G822" s="1" t="s">
        <v>21</v>
      </c>
      <c r="H822">
        <v>3</v>
      </c>
      <c r="I822" s="1" t="s">
        <v>33</v>
      </c>
      <c r="J822" s="1" t="s">
        <v>23</v>
      </c>
      <c r="K822">
        <v>2</v>
      </c>
      <c r="L822" s="1" t="s">
        <v>24</v>
      </c>
      <c r="M822">
        <v>27</v>
      </c>
      <c r="N822" s="1" t="s">
        <v>23</v>
      </c>
      <c r="O822" s="1" t="s">
        <v>26</v>
      </c>
      <c r="P822">
        <v>2</v>
      </c>
      <c r="Q822" s="1" t="s">
        <v>41</v>
      </c>
      <c r="R822">
        <v>1</v>
      </c>
      <c r="S822" s="1" t="s">
        <v>28</v>
      </c>
      <c r="T822" s="1" t="s">
        <v>28</v>
      </c>
      <c r="U822" s="1" t="s">
        <v>29</v>
      </c>
    </row>
    <row r="823" spans="1:21" x14ac:dyDescent="0.3">
      <c r="A823" s="1" t="s">
        <v>50</v>
      </c>
      <c r="B823">
        <v>12</v>
      </c>
      <c r="C823" s="1" t="s">
        <v>31</v>
      </c>
      <c r="D823" s="1" t="s">
        <v>36</v>
      </c>
      <c r="E823">
        <v>3016</v>
      </c>
      <c r="F823" s="1" t="s">
        <v>32</v>
      </c>
      <c r="G823" s="1" t="s">
        <v>21</v>
      </c>
      <c r="H823">
        <v>3</v>
      </c>
      <c r="I823" s="1" t="s">
        <v>33</v>
      </c>
      <c r="J823" s="1" t="s">
        <v>23</v>
      </c>
      <c r="K823">
        <v>1</v>
      </c>
      <c r="L823" s="1" t="s">
        <v>40</v>
      </c>
      <c r="M823">
        <v>24</v>
      </c>
      <c r="N823" s="1" t="s">
        <v>23</v>
      </c>
      <c r="O823" s="1" t="s">
        <v>26</v>
      </c>
      <c r="P823">
        <v>1</v>
      </c>
      <c r="Q823" s="1" t="s">
        <v>41</v>
      </c>
      <c r="R823">
        <v>1</v>
      </c>
      <c r="S823" s="1" t="s">
        <v>23</v>
      </c>
      <c r="T823" s="1" t="s">
        <v>28</v>
      </c>
      <c r="U823" s="1" t="s">
        <v>29</v>
      </c>
    </row>
    <row r="824" spans="1:21" x14ac:dyDescent="0.3">
      <c r="A824" s="1" t="s">
        <v>35</v>
      </c>
      <c r="B824">
        <v>36</v>
      </c>
      <c r="C824" s="1" t="s">
        <v>31</v>
      </c>
      <c r="D824" s="1" t="s">
        <v>53</v>
      </c>
      <c r="E824">
        <v>2712</v>
      </c>
      <c r="F824" s="1" t="s">
        <v>32</v>
      </c>
      <c r="G824" s="1" t="s">
        <v>38</v>
      </c>
      <c r="H824">
        <v>2</v>
      </c>
      <c r="I824" s="1" t="s">
        <v>39</v>
      </c>
      <c r="J824" s="1" t="s">
        <v>23</v>
      </c>
      <c r="K824">
        <v>2</v>
      </c>
      <c r="L824" s="1" t="s">
        <v>48</v>
      </c>
      <c r="M824">
        <v>41</v>
      </c>
      <c r="N824" s="1" t="s">
        <v>25</v>
      </c>
      <c r="O824" s="1" t="s">
        <v>26</v>
      </c>
      <c r="P824">
        <v>1</v>
      </c>
      <c r="Q824" s="1" t="s">
        <v>41</v>
      </c>
      <c r="R824">
        <v>2</v>
      </c>
      <c r="S824" s="1" t="s">
        <v>23</v>
      </c>
      <c r="T824" s="1" t="s">
        <v>28</v>
      </c>
      <c r="U824" s="1" t="s">
        <v>56</v>
      </c>
    </row>
    <row r="825" spans="1:21" x14ac:dyDescent="0.3">
      <c r="A825" s="1" t="s">
        <v>35</v>
      </c>
      <c r="B825">
        <v>8</v>
      </c>
      <c r="C825" s="1" t="s">
        <v>18</v>
      </c>
      <c r="D825" s="1" t="s">
        <v>19</v>
      </c>
      <c r="E825">
        <v>731</v>
      </c>
      <c r="F825" s="1" t="s">
        <v>32</v>
      </c>
      <c r="G825" s="1" t="s">
        <v>38</v>
      </c>
      <c r="H825">
        <v>4</v>
      </c>
      <c r="I825" s="1" t="s">
        <v>39</v>
      </c>
      <c r="J825" s="1" t="s">
        <v>23</v>
      </c>
      <c r="K825">
        <v>4</v>
      </c>
      <c r="L825" s="1" t="s">
        <v>24</v>
      </c>
      <c r="M825">
        <v>47</v>
      </c>
      <c r="N825" s="1" t="s">
        <v>23</v>
      </c>
      <c r="O825" s="1" t="s">
        <v>26</v>
      </c>
      <c r="P825">
        <v>2</v>
      </c>
      <c r="Q825" s="1" t="s">
        <v>27</v>
      </c>
      <c r="R825">
        <v>1</v>
      </c>
      <c r="S825" s="1" t="s">
        <v>23</v>
      </c>
      <c r="T825" s="1" t="s">
        <v>28</v>
      </c>
      <c r="U825" s="1" t="s">
        <v>29</v>
      </c>
    </row>
    <row r="826" spans="1:21" x14ac:dyDescent="0.3">
      <c r="A826" s="1" t="s">
        <v>17</v>
      </c>
      <c r="B826">
        <v>18</v>
      </c>
      <c r="C826" s="1" t="s">
        <v>18</v>
      </c>
      <c r="D826" s="1" t="s">
        <v>53</v>
      </c>
      <c r="E826">
        <v>3780</v>
      </c>
      <c r="F826" s="1" t="s">
        <v>32</v>
      </c>
      <c r="G826" s="1" t="s">
        <v>45</v>
      </c>
      <c r="H826">
        <v>3</v>
      </c>
      <c r="I826" s="1" t="s">
        <v>64</v>
      </c>
      <c r="J826" s="1" t="s">
        <v>23</v>
      </c>
      <c r="K826">
        <v>2</v>
      </c>
      <c r="L826" s="1" t="s">
        <v>40</v>
      </c>
      <c r="M826">
        <v>35</v>
      </c>
      <c r="N826" s="1" t="s">
        <v>23</v>
      </c>
      <c r="O826" s="1" t="s">
        <v>26</v>
      </c>
      <c r="P826">
        <v>2</v>
      </c>
      <c r="Q826" s="1" t="s">
        <v>63</v>
      </c>
      <c r="R826">
        <v>1</v>
      </c>
      <c r="S826" s="1" t="s">
        <v>28</v>
      </c>
      <c r="T826" s="1" t="s">
        <v>28</v>
      </c>
      <c r="U826" s="1" t="s">
        <v>29</v>
      </c>
    </row>
    <row r="827" spans="1:21" x14ac:dyDescent="0.3">
      <c r="A827" s="1" t="s">
        <v>35</v>
      </c>
      <c r="B827">
        <v>21</v>
      </c>
      <c r="C827" s="1" t="s">
        <v>18</v>
      </c>
      <c r="D827" s="1" t="s">
        <v>19</v>
      </c>
      <c r="E827">
        <v>1602</v>
      </c>
      <c r="F827" s="1" t="s">
        <v>32</v>
      </c>
      <c r="G827" s="1" t="s">
        <v>38</v>
      </c>
      <c r="H827">
        <v>4</v>
      </c>
      <c r="I827" s="1" t="s">
        <v>33</v>
      </c>
      <c r="J827" s="1" t="s">
        <v>23</v>
      </c>
      <c r="K827">
        <v>3</v>
      </c>
      <c r="L827" s="1" t="s">
        <v>40</v>
      </c>
      <c r="M827">
        <v>30</v>
      </c>
      <c r="N827" s="1" t="s">
        <v>23</v>
      </c>
      <c r="O827" s="1" t="s">
        <v>26</v>
      </c>
      <c r="P827">
        <v>2</v>
      </c>
      <c r="Q827" s="1" t="s">
        <v>41</v>
      </c>
      <c r="R827">
        <v>1</v>
      </c>
      <c r="S827" s="1" t="s">
        <v>28</v>
      </c>
      <c r="T827" s="1" t="s">
        <v>28</v>
      </c>
      <c r="U827" s="1" t="s">
        <v>29</v>
      </c>
    </row>
    <row r="828" spans="1:21" x14ac:dyDescent="0.3">
      <c r="A828" s="1" t="s">
        <v>35</v>
      </c>
      <c r="B828">
        <v>18</v>
      </c>
      <c r="C828" s="1" t="s">
        <v>18</v>
      </c>
      <c r="D828" s="1" t="s">
        <v>19</v>
      </c>
      <c r="E828">
        <v>3966</v>
      </c>
      <c r="F828" s="1" t="s">
        <v>32</v>
      </c>
      <c r="G828" s="1" t="s">
        <v>38</v>
      </c>
      <c r="H828">
        <v>1</v>
      </c>
      <c r="I828" s="1" t="s">
        <v>22</v>
      </c>
      <c r="J828" s="1" t="s">
        <v>23</v>
      </c>
      <c r="K828">
        <v>4</v>
      </c>
      <c r="L828" s="1" t="s">
        <v>24</v>
      </c>
      <c r="M828">
        <v>33</v>
      </c>
      <c r="N828" s="1" t="s">
        <v>25</v>
      </c>
      <c r="O828" s="1" t="s">
        <v>34</v>
      </c>
      <c r="P828">
        <v>3</v>
      </c>
      <c r="Q828" s="1" t="s">
        <v>41</v>
      </c>
      <c r="R828">
        <v>1</v>
      </c>
      <c r="S828" s="1" t="s">
        <v>28</v>
      </c>
      <c r="T828" s="1" t="s">
        <v>28</v>
      </c>
      <c r="U828" s="1" t="s">
        <v>56</v>
      </c>
    </row>
    <row r="829" spans="1:21" x14ac:dyDescent="0.3">
      <c r="A829" s="1" t="s">
        <v>17</v>
      </c>
      <c r="B829">
        <v>18</v>
      </c>
      <c r="C829" s="1" t="s">
        <v>52</v>
      </c>
      <c r="D829" s="1" t="s">
        <v>61</v>
      </c>
      <c r="E829">
        <v>4165</v>
      </c>
      <c r="F829" s="1" t="s">
        <v>32</v>
      </c>
      <c r="G829" s="1" t="s">
        <v>21</v>
      </c>
      <c r="H829">
        <v>2</v>
      </c>
      <c r="I829" s="1" t="s">
        <v>39</v>
      </c>
      <c r="J829" s="1" t="s">
        <v>23</v>
      </c>
      <c r="K829">
        <v>2</v>
      </c>
      <c r="L829" s="1" t="s">
        <v>40</v>
      </c>
      <c r="M829">
        <v>36</v>
      </c>
      <c r="N829" s="1" t="s">
        <v>67</v>
      </c>
      <c r="O829" s="1" t="s">
        <v>26</v>
      </c>
      <c r="P829">
        <v>2</v>
      </c>
      <c r="Q829" s="1" t="s">
        <v>41</v>
      </c>
      <c r="R829">
        <v>2</v>
      </c>
      <c r="S829" s="1" t="s">
        <v>23</v>
      </c>
      <c r="T829" s="1" t="s">
        <v>28</v>
      </c>
      <c r="U829" s="1" t="s">
        <v>56</v>
      </c>
    </row>
    <row r="830" spans="1:21" x14ac:dyDescent="0.3">
      <c r="A830" s="1" t="s">
        <v>35</v>
      </c>
      <c r="B830">
        <v>36</v>
      </c>
      <c r="C830" s="1" t="s">
        <v>31</v>
      </c>
      <c r="D830" s="1" t="s">
        <v>69</v>
      </c>
      <c r="E830">
        <v>8335</v>
      </c>
      <c r="F830" s="1" t="s">
        <v>47</v>
      </c>
      <c r="G830" s="1" t="s">
        <v>38</v>
      </c>
      <c r="H830">
        <v>3</v>
      </c>
      <c r="I830" s="1" t="s">
        <v>39</v>
      </c>
      <c r="J830" s="1" t="s">
        <v>23</v>
      </c>
      <c r="K830">
        <v>4</v>
      </c>
      <c r="L830" s="1" t="s">
        <v>65</v>
      </c>
      <c r="M830">
        <v>47</v>
      </c>
      <c r="N830" s="1" t="s">
        <v>23</v>
      </c>
      <c r="O830" s="1" t="s">
        <v>66</v>
      </c>
      <c r="P830">
        <v>1</v>
      </c>
      <c r="Q830" s="1" t="s">
        <v>41</v>
      </c>
      <c r="R830">
        <v>1</v>
      </c>
      <c r="S830" s="1" t="s">
        <v>23</v>
      </c>
      <c r="T830" s="1" t="s">
        <v>28</v>
      </c>
      <c r="U830" s="1" t="s">
        <v>56</v>
      </c>
    </row>
    <row r="831" spans="1:21" x14ac:dyDescent="0.3">
      <c r="A831" s="1" t="s">
        <v>30</v>
      </c>
      <c r="B831">
        <v>48</v>
      </c>
      <c r="C831" s="1" t="s">
        <v>59</v>
      </c>
      <c r="D831" s="1" t="s">
        <v>61</v>
      </c>
      <c r="E831">
        <v>6681</v>
      </c>
      <c r="F831" s="1" t="s">
        <v>47</v>
      </c>
      <c r="G831" s="1" t="s">
        <v>21</v>
      </c>
      <c r="H831">
        <v>4</v>
      </c>
      <c r="I831" s="1" t="s">
        <v>39</v>
      </c>
      <c r="J831" s="1" t="s">
        <v>23</v>
      </c>
      <c r="K831">
        <v>4</v>
      </c>
      <c r="L831" s="1" t="s">
        <v>65</v>
      </c>
      <c r="M831">
        <v>38</v>
      </c>
      <c r="N831" s="1" t="s">
        <v>23</v>
      </c>
      <c r="O831" s="1" t="s">
        <v>66</v>
      </c>
      <c r="P831">
        <v>1</v>
      </c>
      <c r="Q831" s="1" t="s">
        <v>41</v>
      </c>
      <c r="R831">
        <v>2</v>
      </c>
      <c r="S831" s="1" t="s">
        <v>28</v>
      </c>
      <c r="T831" s="1" t="s">
        <v>28</v>
      </c>
      <c r="U831" s="1" t="s">
        <v>29</v>
      </c>
    </row>
    <row r="832" spans="1:21" x14ac:dyDescent="0.3">
      <c r="A832" s="1" t="s">
        <v>17</v>
      </c>
      <c r="B832">
        <v>24</v>
      </c>
      <c r="C832" s="1" t="s">
        <v>59</v>
      </c>
      <c r="D832" s="1" t="s">
        <v>61</v>
      </c>
      <c r="E832">
        <v>2375</v>
      </c>
      <c r="F832" s="1" t="s">
        <v>37</v>
      </c>
      <c r="G832" s="1" t="s">
        <v>21</v>
      </c>
      <c r="H832">
        <v>4</v>
      </c>
      <c r="I832" s="1" t="s">
        <v>39</v>
      </c>
      <c r="J832" s="1" t="s">
        <v>23</v>
      </c>
      <c r="K832">
        <v>2</v>
      </c>
      <c r="L832" s="1" t="s">
        <v>40</v>
      </c>
      <c r="M832">
        <v>44</v>
      </c>
      <c r="N832" s="1" t="s">
        <v>23</v>
      </c>
      <c r="O832" s="1" t="s">
        <v>26</v>
      </c>
      <c r="P832">
        <v>2</v>
      </c>
      <c r="Q832" s="1" t="s">
        <v>41</v>
      </c>
      <c r="R832">
        <v>2</v>
      </c>
      <c r="S832" s="1" t="s">
        <v>28</v>
      </c>
      <c r="T832" s="1" t="s">
        <v>28</v>
      </c>
      <c r="U832" s="1" t="s">
        <v>29</v>
      </c>
    </row>
    <row r="833" spans="1:21" x14ac:dyDescent="0.3">
      <c r="A833" s="1" t="s">
        <v>35</v>
      </c>
      <c r="B833">
        <v>18</v>
      </c>
      <c r="C833" s="1" t="s">
        <v>31</v>
      </c>
      <c r="D833" s="1" t="s">
        <v>19</v>
      </c>
      <c r="E833">
        <v>1216</v>
      </c>
      <c r="F833" s="1" t="s">
        <v>32</v>
      </c>
      <c r="G833" s="1" t="s">
        <v>45</v>
      </c>
      <c r="H833">
        <v>4</v>
      </c>
      <c r="I833" s="1" t="s">
        <v>22</v>
      </c>
      <c r="J833" s="1" t="s">
        <v>23</v>
      </c>
      <c r="K833">
        <v>3</v>
      </c>
      <c r="L833" s="1" t="s">
        <v>40</v>
      </c>
      <c r="M833">
        <v>23</v>
      </c>
      <c r="N833" s="1" t="s">
        <v>23</v>
      </c>
      <c r="O833" s="1" t="s">
        <v>34</v>
      </c>
      <c r="P833">
        <v>1</v>
      </c>
      <c r="Q833" s="1" t="s">
        <v>41</v>
      </c>
      <c r="R833">
        <v>1</v>
      </c>
      <c r="S833" s="1" t="s">
        <v>28</v>
      </c>
      <c r="T833" s="1" t="s">
        <v>28</v>
      </c>
      <c r="U833" s="1" t="s">
        <v>56</v>
      </c>
    </row>
    <row r="834" spans="1:21" x14ac:dyDescent="0.3">
      <c r="A834" s="1" t="s">
        <v>35</v>
      </c>
      <c r="B834">
        <v>45</v>
      </c>
      <c r="C834" s="1" t="s">
        <v>52</v>
      </c>
      <c r="D834" s="1" t="s">
        <v>61</v>
      </c>
      <c r="E834">
        <v>11816</v>
      </c>
      <c r="F834" s="1" t="s">
        <v>32</v>
      </c>
      <c r="G834" s="1" t="s">
        <v>38</v>
      </c>
      <c r="H834">
        <v>2</v>
      </c>
      <c r="I834" s="1" t="s">
        <v>39</v>
      </c>
      <c r="J834" s="1" t="s">
        <v>23</v>
      </c>
      <c r="K834">
        <v>4</v>
      </c>
      <c r="L834" s="1" t="s">
        <v>40</v>
      </c>
      <c r="M834">
        <v>29</v>
      </c>
      <c r="N834" s="1" t="s">
        <v>23</v>
      </c>
      <c r="O834" s="1" t="s">
        <v>34</v>
      </c>
      <c r="P834">
        <v>2</v>
      </c>
      <c r="Q834" s="1" t="s">
        <v>41</v>
      </c>
      <c r="R834">
        <v>1</v>
      </c>
      <c r="S834" s="1" t="s">
        <v>23</v>
      </c>
      <c r="T834" s="1" t="s">
        <v>28</v>
      </c>
      <c r="U834" s="1" t="s">
        <v>56</v>
      </c>
    </row>
    <row r="835" spans="1:21" x14ac:dyDescent="0.3">
      <c r="A835" s="1" t="s">
        <v>30</v>
      </c>
      <c r="B835">
        <v>24</v>
      </c>
      <c r="C835" s="1" t="s">
        <v>31</v>
      </c>
      <c r="D835" s="1" t="s">
        <v>36</v>
      </c>
      <c r="E835">
        <v>5084</v>
      </c>
      <c r="F835" s="1" t="s">
        <v>47</v>
      </c>
      <c r="G835" s="1" t="s">
        <v>38</v>
      </c>
      <c r="H835">
        <v>2</v>
      </c>
      <c r="I835" s="1" t="s">
        <v>22</v>
      </c>
      <c r="J835" s="1" t="s">
        <v>23</v>
      </c>
      <c r="K835">
        <v>4</v>
      </c>
      <c r="L835" s="1" t="s">
        <v>40</v>
      </c>
      <c r="M835">
        <v>42</v>
      </c>
      <c r="N835" s="1" t="s">
        <v>23</v>
      </c>
      <c r="O835" s="1" t="s">
        <v>26</v>
      </c>
      <c r="P835">
        <v>1</v>
      </c>
      <c r="Q835" s="1" t="s">
        <v>41</v>
      </c>
      <c r="R835">
        <v>1</v>
      </c>
      <c r="S835" s="1" t="s">
        <v>28</v>
      </c>
      <c r="T835" s="1" t="s">
        <v>28</v>
      </c>
      <c r="U835" s="1" t="s">
        <v>29</v>
      </c>
    </row>
    <row r="836" spans="1:21" x14ac:dyDescent="0.3">
      <c r="A836" s="1" t="s">
        <v>50</v>
      </c>
      <c r="B836">
        <v>15</v>
      </c>
      <c r="C836" s="1" t="s">
        <v>31</v>
      </c>
      <c r="D836" s="1" t="s">
        <v>36</v>
      </c>
      <c r="E836">
        <v>2327</v>
      </c>
      <c r="F836" s="1" t="s">
        <v>32</v>
      </c>
      <c r="G836" s="1" t="s">
        <v>45</v>
      </c>
      <c r="H836">
        <v>2</v>
      </c>
      <c r="I836" s="1" t="s">
        <v>22</v>
      </c>
      <c r="J836" s="1" t="s">
        <v>23</v>
      </c>
      <c r="K836">
        <v>3</v>
      </c>
      <c r="L836" s="1" t="s">
        <v>24</v>
      </c>
      <c r="M836">
        <v>25</v>
      </c>
      <c r="N836" s="1" t="s">
        <v>23</v>
      </c>
      <c r="O836" s="1" t="s">
        <v>26</v>
      </c>
      <c r="P836">
        <v>1</v>
      </c>
      <c r="Q836" s="1" t="s">
        <v>27</v>
      </c>
      <c r="R836">
        <v>1</v>
      </c>
      <c r="S836" s="1" t="s">
        <v>23</v>
      </c>
      <c r="T836" s="1" t="s">
        <v>28</v>
      </c>
      <c r="U836" s="1" t="s">
        <v>56</v>
      </c>
    </row>
    <row r="837" spans="1:21" x14ac:dyDescent="0.3">
      <c r="A837" s="1" t="s">
        <v>35</v>
      </c>
      <c r="B837">
        <v>12</v>
      </c>
      <c r="C837" s="1" t="s">
        <v>52</v>
      </c>
      <c r="D837" s="1" t="s">
        <v>19</v>
      </c>
      <c r="E837">
        <v>1082</v>
      </c>
      <c r="F837" s="1" t="s">
        <v>32</v>
      </c>
      <c r="G837" s="1" t="s">
        <v>21</v>
      </c>
      <c r="H837">
        <v>4</v>
      </c>
      <c r="I837" s="1" t="s">
        <v>39</v>
      </c>
      <c r="J837" s="1" t="s">
        <v>23</v>
      </c>
      <c r="K837">
        <v>4</v>
      </c>
      <c r="L837" s="1" t="s">
        <v>40</v>
      </c>
      <c r="M837">
        <v>48</v>
      </c>
      <c r="N837" s="1" t="s">
        <v>25</v>
      </c>
      <c r="O837" s="1" t="s">
        <v>26</v>
      </c>
      <c r="P837">
        <v>2</v>
      </c>
      <c r="Q837" s="1" t="s">
        <v>41</v>
      </c>
      <c r="R837">
        <v>1</v>
      </c>
      <c r="S837" s="1" t="s">
        <v>23</v>
      </c>
      <c r="T837" s="1" t="s">
        <v>28</v>
      </c>
      <c r="U837" s="1" t="s">
        <v>56</v>
      </c>
    </row>
    <row r="838" spans="1:21" x14ac:dyDescent="0.3">
      <c r="A838" s="1" t="s">
        <v>17</v>
      </c>
      <c r="B838">
        <v>12</v>
      </c>
      <c r="C838" s="1" t="s">
        <v>31</v>
      </c>
      <c r="D838" s="1" t="s">
        <v>36</v>
      </c>
      <c r="E838">
        <v>886</v>
      </c>
      <c r="F838" s="1" t="s">
        <v>47</v>
      </c>
      <c r="G838" s="1" t="s">
        <v>21</v>
      </c>
      <c r="H838">
        <v>4</v>
      </c>
      <c r="I838" s="1" t="s">
        <v>22</v>
      </c>
      <c r="J838" s="1" t="s">
        <v>23</v>
      </c>
      <c r="K838">
        <v>2</v>
      </c>
      <c r="L838" s="1" t="s">
        <v>40</v>
      </c>
      <c r="M838">
        <v>21</v>
      </c>
      <c r="N838" s="1" t="s">
        <v>23</v>
      </c>
      <c r="O838" s="1" t="s">
        <v>26</v>
      </c>
      <c r="P838">
        <v>1</v>
      </c>
      <c r="Q838" s="1" t="s">
        <v>41</v>
      </c>
      <c r="R838">
        <v>1</v>
      </c>
      <c r="S838" s="1" t="s">
        <v>23</v>
      </c>
      <c r="T838" s="1" t="s">
        <v>28</v>
      </c>
      <c r="U838" s="1" t="s">
        <v>29</v>
      </c>
    </row>
    <row r="839" spans="1:21" x14ac:dyDescent="0.3">
      <c r="A839" s="1" t="s">
        <v>17</v>
      </c>
      <c r="B839">
        <v>4</v>
      </c>
      <c r="C839" s="1" t="s">
        <v>31</v>
      </c>
      <c r="D839" s="1" t="s">
        <v>53</v>
      </c>
      <c r="E839">
        <v>601</v>
      </c>
      <c r="F839" s="1" t="s">
        <v>32</v>
      </c>
      <c r="G839" s="1" t="s">
        <v>45</v>
      </c>
      <c r="H839">
        <v>1</v>
      </c>
      <c r="I839" s="1" t="s">
        <v>22</v>
      </c>
      <c r="J839" s="1" t="s">
        <v>23</v>
      </c>
      <c r="K839">
        <v>3</v>
      </c>
      <c r="L839" s="1" t="s">
        <v>24</v>
      </c>
      <c r="M839">
        <v>23</v>
      </c>
      <c r="N839" s="1" t="s">
        <v>23</v>
      </c>
      <c r="O839" s="1" t="s">
        <v>34</v>
      </c>
      <c r="P839">
        <v>1</v>
      </c>
      <c r="Q839" s="1" t="s">
        <v>27</v>
      </c>
      <c r="R839">
        <v>2</v>
      </c>
      <c r="S839" s="1" t="s">
        <v>23</v>
      </c>
      <c r="T839" s="1" t="s">
        <v>28</v>
      </c>
      <c r="U839" s="1" t="s">
        <v>29</v>
      </c>
    </row>
    <row r="840" spans="1:21" x14ac:dyDescent="0.3">
      <c r="A840" s="1" t="s">
        <v>35</v>
      </c>
      <c r="B840">
        <v>24</v>
      </c>
      <c r="C840" s="1" t="s">
        <v>18</v>
      </c>
      <c r="D840" s="1" t="s">
        <v>69</v>
      </c>
      <c r="E840">
        <v>2957</v>
      </c>
      <c r="F840" s="1" t="s">
        <v>32</v>
      </c>
      <c r="G840" s="1" t="s">
        <v>38</v>
      </c>
      <c r="H840">
        <v>4</v>
      </c>
      <c r="I840" s="1" t="s">
        <v>39</v>
      </c>
      <c r="J840" s="1" t="s">
        <v>23</v>
      </c>
      <c r="K840">
        <v>4</v>
      </c>
      <c r="L840" s="1" t="s">
        <v>48</v>
      </c>
      <c r="M840">
        <v>63</v>
      </c>
      <c r="N840" s="1" t="s">
        <v>23</v>
      </c>
      <c r="O840" s="1" t="s">
        <v>26</v>
      </c>
      <c r="P840">
        <v>2</v>
      </c>
      <c r="Q840" s="1" t="s">
        <v>41</v>
      </c>
      <c r="R840">
        <v>1</v>
      </c>
      <c r="S840" s="1" t="s">
        <v>28</v>
      </c>
      <c r="T840" s="1" t="s">
        <v>28</v>
      </c>
      <c r="U840" s="1" t="s">
        <v>29</v>
      </c>
    </row>
    <row r="841" spans="1:21" x14ac:dyDescent="0.3">
      <c r="A841" s="1" t="s">
        <v>17</v>
      </c>
      <c r="B841">
        <v>24</v>
      </c>
      <c r="C841" s="1" t="s">
        <v>18</v>
      </c>
      <c r="D841" s="1" t="s">
        <v>36</v>
      </c>
      <c r="E841">
        <v>2611</v>
      </c>
      <c r="F841" s="1" t="s">
        <v>32</v>
      </c>
      <c r="G841" s="1" t="s">
        <v>38</v>
      </c>
      <c r="H841">
        <v>4</v>
      </c>
      <c r="I841" s="1" t="s">
        <v>33</v>
      </c>
      <c r="J841" s="1" t="s">
        <v>55</v>
      </c>
      <c r="K841">
        <v>3</v>
      </c>
      <c r="L841" s="1" t="s">
        <v>24</v>
      </c>
      <c r="M841">
        <v>46</v>
      </c>
      <c r="N841" s="1" t="s">
        <v>23</v>
      </c>
      <c r="O841" s="1" t="s">
        <v>26</v>
      </c>
      <c r="P841">
        <v>2</v>
      </c>
      <c r="Q841" s="1" t="s">
        <v>41</v>
      </c>
      <c r="R841">
        <v>1</v>
      </c>
      <c r="S841" s="1" t="s">
        <v>23</v>
      </c>
      <c r="T841" s="1" t="s">
        <v>28</v>
      </c>
      <c r="U841" s="1" t="s">
        <v>29</v>
      </c>
    </row>
    <row r="842" spans="1:21" x14ac:dyDescent="0.3">
      <c r="A842" s="1" t="s">
        <v>35</v>
      </c>
      <c r="B842">
        <v>36</v>
      </c>
      <c r="C842" s="1" t="s">
        <v>31</v>
      </c>
      <c r="D842" s="1" t="s">
        <v>53</v>
      </c>
      <c r="E842">
        <v>5179</v>
      </c>
      <c r="F842" s="1" t="s">
        <v>32</v>
      </c>
      <c r="G842" s="1" t="s">
        <v>49</v>
      </c>
      <c r="H842">
        <v>4</v>
      </c>
      <c r="I842" s="1" t="s">
        <v>39</v>
      </c>
      <c r="J842" s="1" t="s">
        <v>23</v>
      </c>
      <c r="K842">
        <v>2</v>
      </c>
      <c r="L842" s="1" t="s">
        <v>48</v>
      </c>
      <c r="M842">
        <v>29</v>
      </c>
      <c r="N842" s="1" t="s">
        <v>23</v>
      </c>
      <c r="O842" s="1" t="s">
        <v>26</v>
      </c>
      <c r="P842">
        <v>1</v>
      </c>
      <c r="Q842" s="1" t="s">
        <v>41</v>
      </c>
      <c r="R842">
        <v>1</v>
      </c>
      <c r="S842" s="1" t="s">
        <v>23</v>
      </c>
      <c r="T842" s="1" t="s">
        <v>28</v>
      </c>
      <c r="U842" s="1" t="s">
        <v>56</v>
      </c>
    </row>
    <row r="843" spans="1:21" x14ac:dyDescent="0.3">
      <c r="A843" s="1" t="s">
        <v>17</v>
      </c>
      <c r="B843">
        <v>21</v>
      </c>
      <c r="C843" s="1" t="s">
        <v>59</v>
      </c>
      <c r="D843" s="1" t="s">
        <v>69</v>
      </c>
      <c r="E843">
        <v>2993</v>
      </c>
      <c r="F843" s="1" t="s">
        <v>32</v>
      </c>
      <c r="G843" s="1" t="s">
        <v>21</v>
      </c>
      <c r="H843">
        <v>3</v>
      </c>
      <c r="I843" s="1" t="s">
        <v>39</v>
      </c>
      <c r="J843" s="1" t="s">
        <v>23</v>
      </c>
      <c r="K843">
        <v>2</v>
      </c>
      <c r="L843" s="1" t="s">
        <v>24</v>
      </c>
      <c r="M843">
        <v>28</v>
      </c>
      <c r="N843" s="1" t="s">
        <v>67</v>
      </c>
      <c r="O843" s="1" t="s">
        <v>26</v>
      </c>
      <c r="P843">
        <v>2</v>
      </c>
      <c r="Q843" s="1" t="s">
        <v>27</v>
      </c>
      <c r="R843">
        <v>1</v>
      </c>
      <c r="S843" s="1" t="s">
        <v>23</v>
      </c>
      <c r="T843" s="1" t="s">
        <v>28</v>
      </c>
      <c r="U843" s="1" t="s">
        <v>29</v>
      </c>
    </row>
    <row r="844" spans="1:21" x14ac:dyDescent="0.3">
      <c r="A844" s="1" t="s">
        <v>17</v>
      </c>
      <c r="B844">
        <v>18</v>
      </c>
      <c r="C844" s="1" t="s">
        <v>31</v>
      </c>
      <c r="D844" s="1" t="s">
        <v>57</v>
      </c>
      <c r="E844">
        <v>1943</v>
      </c>
      <c r="F844" s="1" t="s">
        <v>32</v>
      </c>
      <c r="G844" s="1" t="s">
        <v>45</v>
      </c>
      <c r="H844">
        <v>4</v>
      </c>
      <c r="I844" s="1" t="s">
        <v>22</v>
      </c>
      <c r="J844" s="1" t="s">
        <v>23</v>
      </c>
      <c r="K844">
        <v>4</v>
      </c>
      <c r="L844" s="1" t="s">
        <v>24</v>
      </c>
      <c r="M844">
        <v>23</v>
      </c>
      <c r="N844" s="1" t="s">
        <v>23</v>
      </c>
      <c r="O844" s="1" t="s">
        <v>26</v>
      </c>
      <c r="P844">
        <v>1</v>
      </c>
      <c r="Q844" s="1" t="s">
        <v>41</v>
      </c>
      <c r="R844">
        <v>1</v>
      </c>
      <c r="S844" s="1" t="s">
        <v>23</v>
      </c>
      <c r="T844" s="1" t="s">
        <v>28</v>
      </c>
      <c r="U844" s="1" t="s">
        <v>56</v>
      </c>
    </row>
    <row r="845" spans="1:21" x14ac:dyDescent="0.3">
      <c r="A845" s="1" t="s">
        <v>17</v>
      </c>
      <c r="B845">
        <v>24</v>
      </c>
      <c r="C845" s="1" t="s">
        <v>42</v>
      </c>
      <c r="D845" s="1" t="s">
        <v>61</v>
      </c>
      <c r="E845">
        <v>1559</v>
      </c>
      <c r="F845" s="1" t="s">
        <v>32</v>
      </c>
      <c r="G845" s="1" t="s">
        <v>49</v>
      </c>
      <c r="H845">
        <v>4</v>
      </c>
      <c r="I845" s="1" t="s">
        <v>39</v>
      </c>
      <c r="J845" s="1" t="s">
        <v>23</v>
      </c>
      <c r="K845">
        <v>4</v>
      </c>
      <c r="L845" s="1" t="s">
        <v>40</v>
      </c>
      <c r="M845">
        <v>50</v>
      </c>
      <c r="N845" s="1" t="s">
        <v>25</v>
      </c>
      <c r="O845" s="1" t="s">
        <v>26</v>
      </c>
      <c r="P845">
        <v>1</v>
      </c>
      <c r="Q845" s="1" t="s">
        <v>41</v>
      </c>
      <c r="R845">
        <v>1</v>
      </c>
      <c r="S845" s="1" t="s">
        <v>28</v>
      </c>
      <c r="T845" s="1" t="s">
        <v>28</v>
      </c>
      <c r="U845" s="1" t="s">
        <v>29</v>
      </c>
    </row>
    <row r="846" spans="1:21" x14ac:dyDescent="0.3">
      <c r="A846" s="1" t="s">
        <v>17</v>
      </c>
      <c r="B846">
        <v>18</v>
      </c>
      <c r="C846" s="1" t="s">
        <v>31</v>
      </c>
      <c r="D846" s="1" t="s">
        <v>53</v>
      </c>
      <c r="E846">
        <v>3422</v>
      </c>
      <c r="F846" s="1" t="s">
        <v>32</v>
      </c>
      <c r="G846" s="1" t="s">
        <v>38</v>
      </c>
      <c r="H846">
        <v>4</v>
      </c>
      <c r="I846" s="1" t="s">
        <v>39</v>
      </c>
      <c r="J846" s="1" t="s">
        <v>23</v>
      </c>
      <c r="K846">
        <v>4</v>
      </c>
      <c r="L846" s="1" t="s">
        <v>48</v>
      </c>
      <c r="M846">
        <v>47</v>
      </c>
      <c r="N846" s="1" t="s">
        <v>25</v>
      </c>
      <c r="O846" s="1" t="s">
        <v>26</v>
      </c>
      <c r="P846">
        <v>3</v>
      </c>
      <c r="Q846" s="1" t="s">
        <v>41</v>
      </c>
      <c r="R846">
        <v>2</v>
      </c>
      <c r="S846" s="1" t="s">
        <v>28</v>
      </c>
      <c r="T846" s="1" t="s">
        <v>28</v>
      </c>
      <c r="U846" s="1" t="s">
        <v>29</v>
      </c>
    </row>
    <row r="847" spans="1:21" x14ac:dyDescent="0.3">
      <c r="A847" s="1" t="s">
        <v>30</v>
      </c>
      <c r="B847">
        <v>21</v>
      </c>
      <c r="C847" s="1" t="s">
        <v>31</v>
      </c>
      <c r="D847" s="1" t="s">
        <v>53</v>
      </c>
      <c r="E847">
        <v>3976</v>
      </c>
      <c r="F847" s="1" t="s">
        <v>47</v>
      </c>
      <c r="G847" s="1" t="s">
        <v>49</v>
      </c>
      <c r="H847">
        <v>2</v>
      </c>
      <c r="I847" s="1" t="s">
        <v>39</v>
      </c>
      <c r="J847" s="1" t="s">
        <v>23</v>
      </c>
      <c r="K847">
        <v>3</v>
      </c>
      <c r="L847" s="1" t="s">
        <v>40</v>
      </c>
      <c r="M847">
        <v>35</v>
      </c>
      <c r="N847" s="1" t="s">
        <v>23</v>
      </c>
      <c r="O847" s="1" t="s">
        <v>26</v>
      </c>
      <c r="P847">
        <v>1</v>
      </c>
      <c r="Q847" s="1" t="s">
        <v>41</v>
      </c>
      <c r="R847">
        <v>1</v>
      </c>
      <c r="S847" s="1" t="s">
        <v>28</v>
      </c>
      <c r="T847" s="1" t="s">
        <v>28</v>
      </c>
      <c r="U847" s="1" t="s">
        <v>29</v>
      </c>
    </row>
    <row r="848" spans="1:21" x14ac:dyDescent="0.3">
      <c r="A848" s="1" t="s">
        <v>17</v>
      </c>
      <c r="B848">
        <v>18</v>
      </c>
      <c r="C848" s="1" t="s">
        <v>31</v>
      </c>
      <c r="D848" s="1" t="s">
        <v>19</v>
      </c>
      <c r="E848">
        <v>6761</v>
      </c>
      <c r="F848" s="1" t="s">
        <v>47</v>
      </c>
      <c r="G848" s="1" t="s">
        <v>21</v>
      </c>
      <c r="H848">
        <v>2</v>
      </c>
      <c r="I848" s="1" t="s">
        <v>39</v>
      </c>
      <c r="J848" s="1" t="s">
        <v>23</v>
      </c>
      <c r="K848">
        <v>4</v>
      </c>
      <c r="L848" s="1" t="s">
        <v>40</v>
      </c>
      <c r="M848">
        <v>68</v>
      </c>
      <c r="N848" s="1" t="s">
        <v>23</v>
      </c>
      <c r="O848" s="1" t="s">
        <v>34</v>
      </c>
      <c r="P848">
        <v>2</v>
      </c>
      <c r="Q848" s="1" t="s">
        <v>41</v>
      </c>
      <c r="R848">
        <v>1</v>
      </c>
      <c r="S848" s="1" t="s">
        <v>23</v>
      </c>
      <c r="T848" s="1" t="s">
        <v>28</v>
      </c>
      <c r="U848" s="1" t="s">
        <v>56</v>
      </c>
    </row>
    <row r="849" spans="1:21" x14ac:dyDescent="0.3">
      <c r="A849" s="1" t="s">
        <v>17</v>
      </c>
      <c r="B849">
        <v>24</v>
      </c>
      <c r="C849" s="1" t="s">
        <v>31</v>
      </c>
      <c r="D849" s="1" t="s">
        <v>19</v>
      </c>
      <c r="E849">
        <v>1249</v>
      </c>
      <c r="F849" s="1" t="s">
        <v>32</v>
      </c>
      <c r="G849" s="1" t="s">
        <v>45</v>
      </c>
      <c r="H849">
        <v>4</v>
      </c>
      <c r="I849" s="1" t="s">
        <v>33</v>
      </c>
      <c r="J849" s="1" t="s">
        <v>23</v>
      </c>
      <c r="K849">
        <v>2</v>
      </c>
      <c r="L849" s="1" t="s">
        <v>24</v>
      </c>
      <c r="M849">
        <v>28</v>
      </c>
      <c r="N849" s="1" t="s">
        <v>23</v>
      </c>
      <c r="O849" s="1" t="s">
        <v>26</v>
      </c>
      <c r="P849">
        <v>1</v>
      </c>
      <c r="Q849" s="1" t="s">
        <v>41</v>
      </c>
      <c r="R849">
        <v>1</v>
      </c>
      <c r="S849" s="1" t="s">
        <v>23</v>
      </c>
      <c r="T849" s="1" t="s">
        <v>28</v>
      </c>
      <c r="U849" s="1" t="s">
        <v>29</v>
      </c>
    </row>
    <row r="850" spans="1:21" x14ac:dyDescent="0.3">
      <c r="A850" s="1" t="s">
        <v>35</v>
      </c>
      <c r="B850">
        <v>9</v>
      </c>
      <c r="C850" s="1" t="s">
        <v>31</v>
      </c>
      <c r="D850" s="1" t="s">
        <v>36</v>
      </c>
      <c r="E850">
        <v>1364</v>
      </c>
      <c r="F850" s="1" t="s">
        <v>32</v>
      </c>
      <c r="G850" s="1" t="s">
        <v>49</v>
      </c>
      <c r="H850">
        <v>3</v>
      </c>
      <c r="I850" s="1" t="s">
        <v>39</v>
      </c>
      <c r="J850" s="1" t="s">
        <v>23</v>
      </c>
      <c r="K850">
        <v>4</v>
      </c>
      <c r="L850" s="1" t="s">
        <v>24</v>
      </c>
      <c r="M850">
        <v>59</v>
      </c>
      <c r="N850" s="1" t="s">
        <v>23</v>
      </c>
      <c r="O850" s="1" t="s">
        <v>26</v>
      </c>
      <c r="P850">
        <v>1</v>
      </c>
      <c r="Q850" s="1" t="s">
        <v>41</v>
      </c>
      <c r="R850">
        <v>1</v>
      </c>
      <c r="S850" s="1" t="s">
        <v>23</v>
      </c>
      <c r="T850" s="1" t="s">
        <v>28</v>
      </c>
      <c r="U850" s="1" t="s">
        <v>29</v>
      </c>
    </row>
    <row r="851" spans="1:21" x14ac:dyDescent="0.3">
      <c r="A851" s="1" t="s">
        <v>35</v>
      </c>
      <c r="B851">
        <v>12</v>
      </c>
      <c r="C851" s="1" t="s">
        <v>31</v>
      </c>
      <c r="D851" s="1" t="s">
        <v>36</v>
      </c>
      <c r="E851">
        <v>709</v>
      </c>
      <c r="F851" s="1" t="s">
        <v>32</v>
      </c>
      <c r="G851" s="1" t="s">
        <v>38</v>
      </c>
      <c r="H851">
        <v>4</v>
      </c>
      <c r="I851" s="1" t="s">
        <v>39</v>
      </c>
      <c r="J851" s="1" t="s">
        <v>23</v>
      </c>
      <c r="K851">
        <v>4</v>
      </c>
      <c r="L851" s="1" t="s">
        <v>24</v>
      </c>
      <c r="M851">
        <v>57</v>
      </c>
      <c r="N851" s="1" t="s">
        <v>67</v>
      </c>
      <c r="O851" s="1" t="s">
        <v>26</v>
      </c>
      <c r="P851">
        <v>1</v>
      </c>
      <c r="Q851" s="1" t="s">
        <v>27</v>
      </c>
      <c r="R851">
        <v>1</v>
      </c>
      <c r="S851" s="1" t="s">
        <v>23</v>
      </c>
      <c r="T851" s="1" t="s">
        <v>28</v>
      </c>
      <c r="U851" s="1" t="s">
        <v>56</v>
      </c>
    </row>
    <row r="852" spans="1:21" x14ac:dyDescent="0.3">
      <c r="A852" s="1" t="s">
        <v>35</v>
      </c>
      <c r="B852">
        <v>20</v>
      </c>
      <c r="C852" s="1" t="s">
        <v>18</v>
      </c>
      <c r="D852" s="1" t="s">
        <v>19</v>
      </c>
      <c r="E852">
        <v>2235</v>
      </c>
      <c r="F852" s="1" t="s">
        <v>32</v>
      </c>
      <c r="G852" s="1" t="s">
        <v>21</v>
      </c>
      <c r="H852">
        <v>4</v>
      </c>
      <c r="I852" s="1" t="s">
        <v>33</v>
      </c>
      <c r="J852" s="1" t="s">
        <v>58</v>
      </c>
      <c r="K852">
        <v>2</v>
      </c>
      <c r="L852" s="1" t="s">
        <v>48</v>
      </c>
      <c r="M852">
        <v>33</v>
      </c>
      <c r="N852" s="1" t="s">
        <v>25</v>
      </c>
      <c r="O852" s="1" t="s">
        <v>34</v>
      </c>
      <c r="P852">
        <v>2</v>
      </c>
      <c r="Q852" s="1" t="s">
        <v>41</v>
      </c>
      <c r="R852">
        <v>1</v>
      </c>
      <c r="S852" s="1" t="s">
        <v>23</v>
      </c>
      <c r="T852" s="1" t="s">
        <v>60</v>
      </c>
      <c r="U852" s="1" t="s">
        <v>56</v>
      </c>
    </row>
    <row r="853" spans="1:21" x14ac:dyDescent="0.3">
      <c r="A853" s="1" t="s">
        <v>17</v>
      </c>
      <c r="B853">
        <v>24</v>
      </c>
      <c r="C853" s="1" t="s">
        <v>18</v>
      </c>
      <c r="D853" s="1" t="s">
        <v>69</v>
      </c>
      <c r="E853">
        <v>4042</v>
      </c>
      <c r="F853" s="1" t="s">
        <v>47</v>
      </c>
      <c r="G853" s="1" t="s">
        <v>49</v>
      </c>
      <c r="H853">
        <v>3</v>
      </c>
      <c r="I853" s="1" t="s">
        <v>39</v>
      </c>
      <c r="J853" s="1" t="s">
        <v>23</v>
      </c>
      <c r="K853">
        <v>4</v>
      </c>
      <c r="L853" s="1" t="s">
        <v>48</v>
      </c>
      <c r="M853">
        <v>43</v>
      </c>
      <c r="N853" s="1" t="s">
        <v>23</v>
      </c>
      <c r="O853" s="1" t="s">
        <v>26</v>
      </c>
      <c r="P853">
        <v>2</v>
      </c>
      <c r="Q853" s="1" t="s">
        <v>41</v>
      </c>
      <c r="R853">
        <v>1</v>
      </c>
      <c r="S853" s="1" t="s">
        <v>28</v>
      </c>
      <c r="T853" s="1" t="s">
        <v>28</v>
      </c>
      <c r="U853" s="1" t="s">
        <v>29</v>
      </c>
    </row>
    <row r="854" spans="1:21" x14ac:dyDescent="0.3">
      <c r="A854" s="1" t="s">
        <v>17</v>
      </c>
      <c r="B854">
        <v>15</v>
      </c>
      <c r="C854" s="1" t="s">
        <v>18</v>
      </c>
      <c r="D854" s="1" t="s">
        <v>36</v>
      </c>
      <c r="E854">
        <v>1471</v>
      </c>
      <c r="F854" s="1" t="s">
        <v>32</v>
      </c>
      <c r="G854" s="1" t="s">
        <v>21</v>
      </c>
      <c r="H854">
        <v>4</v>
      </c>
      <c r="I854" s="1" t="s">
        <v>39</v>
      </c>
      <c r="J854" s="1" t="s">
        <v>23</v>
      </c>
      <c r="K854">
        <v>4</v>
      </c>
      <c r="L854" s="1" t="s">
        <v>65</v>
      </c>
      <c r="M854">
        <v>35</v>
      </c>
      <c r="N854" s="1" t="s">
        <v>23</v>
      </c>
      <c r="O854" s="1" t="s">
        <v>66</v>
      </c>
      <c r="P854">
        <v>2</v>
      </c>
      <c r="Q854" s="1" t="s">
        <v>41</v>
      </c>
      <c r="R854">
        <v>1</v>
      </c>
      <c r="S854" s="1" t="s">
        <v>28</v>
      </c>
      <c r="T854" s="1" t="s">
        <v>28</v>
      </c>
      <c r="U854" s="1" t="s">
        <v>29</v>
      </c>
    </row>
    <row r="855" spans="1:21" x14ac:dyDescent="0.3">
      <c r="A855" s="1" t="s">
        <v>35</v>
      </c>
      <c r="B855">
        <v>18</v>
      </c>
      <c r="C855" s="1" t="s">
        <v>42</v>
      </c>
      <c r="D855" s="1" t="s">
        <v>19</v>
      </c>
      <c r="E855">
        <v>1442</v>
      </c>
      <c r="F855" s="1" t="s">
        <v>32</v>
      </c>
      <c r="G855" s="1" t="s">
        <v>49</v>
      </c>
      <c r="H855">
        <v>4</v>
      </c>
      <c r="I855" s="1" t="s">
        <v>39</v>
      </c>
      <c r="J855" s="1" t="s">
        <v>23</v>
      </c>
      <c r="K855">
        <v>4</v>
      </c>
      <c r="L855" s="1" t="s">
        <v>65</v>
      </c>
      <c r="M855">
        <v>32</v>
      </c>
      <c r="N855" s="1" t="s">
        <v>23</v>
      </c>
      <c r="O855" s="1" t="s">
        <v>66</v>
      </c>
      <c r="P855">
        <v>2</v>
      </c>
      <c r="Q855" s="1" t="s">
        <v>27</v>
      </c>
      <c r="R855">
        <v>2</v>
      </c>
      <c r="S855" s="1" t="s">
        <v>23</v>
      </c>
      <c r="T855" s="1" t="s">
        <v>28</v>
      </c>
      <c r="U855" s="1" t="s">
        <v>56</v>
      </c>
    </row>
    <row r="856" spans="1:21" x14ac:dyDescent="0.3">
      <c r="A856" s="1" t="s">
        <v>17</v>
      </c>
      <c r="B856">
        <v>36</v>
      </c>
      <c r="C856" s="1" t="s">
        <v>59</v>
      </c>
      <c r="D856" s="1" t="s">
        <v>19</v>
      </c>
      <c r="E856">
        <v>10875</v>
      </c>
      <c r="F856" s="1" t="s">
        <v>32</v>
      </c>
      <c r="G856" s="1" t="s">
        <v>38</v>
      </c>
      <c r="H856">
        <v>2</v>
      </c>
      <c r="I856" s="1" t="s">
        <v>39</v>
      </c>
      <c r="J856" s="1" t="s">
        <v>23</v>
      </c>
      <c r="K856">
        <v>2</v>
      </c>
      <c r="L856" s="1" t="s">
        <v>40</v>
      </c>
      <c r="M856">
        <v>45</v>
      </c>
      <c r="N856" s="1" t="s">
        <v>23</v>
      </c>
      <c r="O856" s="1" t="s">
        <v>26</v>
      </c>
      <c r="P856">
        <v>2</v>
      </c>
      <c r="Q856" s="1" t="s">
        <v>41</v>
      </c>
      <c r="R856">
        <v>2</v>
      </c>
      <c r="S856" s="1" t="s">
        <v>28</v>
      </c>
      <c r="T856" s="1" t="s">
        <v>28</v>
      </c>
      <c r="U856" s="1" t="s">
        <v>29</v>
      </c>
    </row>
    <row r="857" spans="1:21" x14ac:dyDescent="0.3">
      <c r="A857" s="1" t="s">
        <v>17</v>
      </c>
      <c r="B857">
        <v>24</v>
      </c>
      <c r="C857" s="1" t="s">
        <v>31</v>
      </c>
      <c r="D857" s="1" t="s">
        <v>19</v>
      </c>
      <c r="E857">
        <v>1474</v>
      </c>
      <c r="F857" s="1" t="s">
        <v>46</v>
      </c>
      <c r="G857" s="1" t="s">
        <v>45</v>
      </c>
      <c r="H857">
        <v>4</v>
      </c>
      <c r="I857" s="1" t="s">
        <v>33</v>
      </c>
      <c r="J857" s="1" t="s">
        <v>23</v>
      </c>
      <c r="K857">
        <v>3</v>
      </c>
      <c r="L857" s="1" t="s">
        <v>24</v>
      </c>
      <c r="M857">
        <v>33</v>
      </c>
      <c r="N857" s="1" t="s">
        <v>23</v>
      </c>
      <c r="O857" s="1" t="s">
        <v>26</v>
      </c>
      <c r="P857">
        <v>1</v>
      </c>
      <c r="Q857" s="1" t="s">
        <v>41</v>
      </c>
      <c r="R857">
        <v>1</v>
      </c>
      <c r="S857" s="1" t="s">
        <v>28</v>
      </c>
      <c r="T857" s="1" t="s">
        <v>28</v>
      </c>
      <c r="U857" s="1" t="s">
        <v>29</v>
      </c>
    </row>
    <row r="858" spans="1:21" x14ac:dyDescent="0.3">
      <c r="A858" s="1" t="s">
        <v>17</v>
      </c>
      <c r="B858">
        <v>10</v>
      </c>
      <c r="C858" s="1" t="s">
        <v>31</v>
      </c>
      <c r="D858" s="1" t="s">
        <v>43</v>
      </c>
      <c r="E858">
        <v>894</v>
      </c>
      <c r="F858" s="1" t="s">
        <v>47</v>
      </c>
      <c r="G858" s="1" t="s">
        <v>49</v>
      </c>
      <c r="H858">
        <v>4</v>
      </c>
      <c r="I858" s="1" t="s">
        <v>22</v>
      </c>
      <c r="J858" s="1" t="s">
        <v>23</v>
      </c>
      <c r="K858">
        <v>3</v>
      </c>
      <c r="L858" s="1" t="s">
        <v>48</v>
      </c>
      <c r="M858">
        <v>40</v>
      </c>
      <c r="N858" s="1" t="s">
        <v>23</v>
      </c>
      <c r="O858" s="1" t="s">
        <v>26</v>
      </c>
      <c r="P858">
        <v>1</v>
      </c>
      <c r="Q858" s="1" t="s">
        <v>41</v>
      </c>
      <c r="R858">
        <v>1</v>
      </c>
      <c r="S858" s="1" t="s">
        <v>28</v>
      </c>
      <c r="T858" s="1" t="s">
        <v>28</v>
      </c>
      <c r="U858" s="1" t="s">
        <v>29</v>
      </c>
    </row>
    <row r="859" spans="1:21" x14ac:dyDescent="0.3">
      <c r="A859" s="1" t="s">
        <v>17</v>
      </c>
      <c r="B859">
        <v>15</v>
      </c>
      <c r="C859" s="1" t="s">
        <v>18</v>
      </c>
      <c r="D859" s="1" t="s">
        <v>53</v>
      </c>
      <c r="E859">
        <v>3343</v>
      </c>
      <c r="F859" s="1" t="s">
        <v>32</v>
      </c>
      <c r="G859" s="1" t="s">
        <v>21</v>
      </c>
      <c r="H859">
        <v>4</v>
      </c>
      <c r="I859" s="1" t="s">
        <v>39</v>
      </c>
      <c r="J859" s="1" t="s">
        <v>23</v>
      </c>
      <c r="K859">
        <v>2</v>
      </c>
      <c r="L859" s="1" t="s">
        <v>65</v>
      </c>
      <c r="M859">
        <v>28</v>
      </c>
      <c r="N859" s="1" t="s">
        <v>23</v>
      </c>
      <c r="O859" s="1" t="s">
        <v>66</v>
      </c>
      <c r="P859">
        <v>1</v>
      </c>
      <c r="Q859" s="1" t="s">
        <v>41</v>
      </c>
      <c r="R859">
        <v>1</v>
      </c>
      <c r="S859" s="1" t="s">
        <v>28</v>
      </c>
      <c r="T859" s="1" t="s">
        <v>28</v>
      </c>
      <c r="U859" s="1" t="s">
        <v>29</v>
      </c>
    </row>
    <row r="860" spans="1:21" x14ac:dyDescent="0.3">
      <c r="A860" s="1" t="s">
        <v>35</v>
      </c>
      <c r="B860">
        <v>15</v>
      </c>
      <c r="C860" s="1" t="s">
        <v>31</v>
      </c>
      <c r="D860" s="1" t="s">
        <v>19</v>
      </c>
      <c r="E860">
        <v>3959</v>
      </c>
      <c r="F860" s="1" t="s">
        <v>32</v>
      </c>
      <c r="G860" s="1" t="s">
        <v>21</v>
      </c>
      <c r="H860">
        <v>3</v>
      </c>
      <c r="I860" s="1" t="s">
        <v>22</v>
      </c>
      <c r="J860" s="1" t="s">
        <v>23</v>
      </c>
      <c r="K860">
        <v>2</v>
      </c>
      <c r="L860" s="1" t="s">
        <v>48</v>
      </c>
      <c r="M860">
        <v>29</v>
      </c>
      <c r="N860" s="1" t="s">
        <v>23</v>
      </c>
      <c r="O860" s="1" t="s">
        <v>26</v>
      </c>
      <c r="P860">
        <v>1</v>
      </c>
      <c r="Q860" s="1" t="s">
        <v>41</v>
      </c>
      <c r="R860">
        <v>1</v>
      </c>
      <c r="S860" s="1" t="s">
        <v>28</v>
      </c>
      <c r="T860" s="1" t="s">
        <v>28</v>
      </c>
      <c r="U860" s="1" t="s">
        <v>56</v>
      </c>
    </row>
    <row r="861" spans="1:21" x14ac:dyDescent="0.3">
      <c r="A861" s="1" t="s">
        <v>17</v>
      </c>
      <c r="B861">
        <v>9</v>
      </c>
      <c r="C861" s="1" t="s">
        <v>31</v>
      </c>
      <c r="D861" s="1" t="s">
        <v>19</v>
      </c>
      <c r="E861">
        <v>3577</v>
      </c>
      <c r="F861" s="1" t="s">
        <v>46</v>
      </c>
      <c r="G861" s="1" t="s">
        <v>21</v>
      </c>
      <c r="H861">
        <v>1</v>
      </c>
      <c r="I861" s="1" t="s">
        <v>39</v>
      </c>
      <c r="J861" s="1" t="s">
        <v>58</v>
      </c>
      <c r="K861">
        <v>2</v>
      </c>
      <c r="L861" s="1" t="s">
        <v>24</v>
      </c>
      <c r="M861">
        <v>26</v>
      </c>
      <c r="N861" s="1" t="s">
        <v>23</v>
      </c>
      <c r="O861" s="1" t="s">
        <v>34</v>
      </c>
      <c r="P861">
        <v>1</v>
      </c>
      <c r="Q861" s="1" t="s">
        <v>41</v>
      </c>
      <c r="R861">
        <v>2</v>
      </c>
      <c r="S861" s="1" t="s">
        <v>23</v>
      </c>
      <c r="T861" s="1" t="s">
        <v>60</v>
      </c>
      <c r="U861" s="1" t="s">
        <v>29</v>
      </c>
    </row>
    <row r="862" spans="1:21" x14ac:dyDescent="0.3">
      <c r="A862" s="1" t="s">
        <v>17</v>
      </c>
      <c r="B862">
        <v>24</v>
      </c>
      <c r="C862" s="1" t="s">
        <v>18</v>
      </c>
      <c r="D862" s="1" t="s">
        <v>69</v>
      </c>
      <c r="E862">
        <v>5804</v>
      </c>
      <c r="F862" s="1" t="s">
        <v>20</v>
      </c>
      <c r="G862" s="1" t="s">
        <v>21</v>
      </c>
      <c r="H862">
        <v>4</v>
      </c>
      <c r="I862" s="1" t="s">
        <v>39</v>
      </c>
      <c r="J862" s="1" t="s">
        <v>23</v>
      </c>
      <c r="K862">
        <v>2</v>
      </c>
      <c r="L862" s="1" t="s">
        <v>24</v>
      </c>
      <c r="M862">
        <v>27</v>
      </c>
      <c r="N862" s="1" t="s">
        <v>23</v>
      </c>
      <c r="O862" s="1" t="s">
        <v>26</v>
      </c>
      <c r="P862">
        <v>2</v>
      </c>
      <c r="Q862" s="1" t="s">
        <v>41</v>
      </c>
      <c r="R862">
        <v>1</v>
      </c>
      <c r="S862" s="1" t="s">
        <v>23</v>
      </c>
      <c r="T862" s="1" t="s">
        <v>28</v>
      </c>
      <c r="U862" s="1" t="s">
        <v>29</v>
      </c>
    </row>
    <row r="863" spans="1:21" x14ac:dyDescent="0.3">
      <c r="A863" s="1" t="s">
        <v>17</v>
      </c>
      <c r="B863">
        <v>18</v>
      </c>
      <c r="C863" s="1" t="s">
        <v>59</v>
      </c>
      <c r="D863" s="1" t="s">
        <v>61</v>
      </c>
      <c r="E863">
        <v>2169</v>
      </c>
      <c r="F863" s="1" t="s">
        <v>32</v>
      </c>
      <c r="G863" s="1" t="s">
        <v>21</v>
      </c>
      <c r="H863">
        <v>4</v>
      </c>
      <c r="I863" s="1" t="s">
        <v>33</v>
      </c>
      <c r="J863" s="1" t="s">
        <v>23</v>
      </c>
      <c r="K863">
        <v>2</v>
      </c>
      <c r="L863" s="1" t="s">
        <v>40</v>
      </c>
      <c r="M863">
        <v>28</v>
      </c>
      <c r="N863" s="1" t="s">
        <v>23</v>
      </c>
      <c r="O863" s="1" t="s">
        <v>26</v>
      </c>
      <c r="P863">
        <v>1</v>
      </c>
      <c r="Q863" s="1" t="s">
        <v>41</v>
      </c>
      <c r="R863">
        <v>1</v>
      </c>
      <c r="S863" s="1" t="s">
        <v>28</v>
      </c>
      <c r="T863" s="1" t="s">
        <v>28</v>
      </c>
      <c r="U863" s="1" t="s">
        <v>56</v>
      </c>
    </row>
    <row r="864" spans="1:21" x14ac:dyDescent="0.3">
      <c r="A864" s="1" t="s">
        <v>35</v>
      </c>
      <c r="B864">
        <v>24</v>
      </c>
      <c r="C864" s="1" t="s">
        <v>31</v>
      </c>
      <c r="D864" s="1" t="s">
        <v>36</v>
      </c>
      <c r="E864">
        <v>2439</v>
      </c>
      <c r="F864" s="1" t="s">
        <v>32</v>
      </c>
      <c r="G864" s="1" t="s">
        <v>45</v>
      </c>
      <c r="H864">
        <v>4</v>
      </c>
      <c r="I864" s="1" t="s">
        <v>22</v>
      </c>
      <c r="J864" s="1" t="s">
        <v>23</v>
      </c>
      <c r="K864">
        <v>4</v>
      </c>
      <c r="L864" s="1" t="s">
        <v>24</v>
      </c>
      <c r="M864">
        <v>35</v>
      </c>
      <c r="N864" s="1" t="s">
        <v>23</v>
      </c>
      <c r="O864" s="1" t="s">
        <v>26</v>
      </c>
      <c r="P864">
        <v>1</v>
      </c>
      <c r="Q864" s="1" t="s">
        <v>41</v>
      </c>
      <c r="R864">
        <v>1</v>
      </c>
      <c r="S864" s="1" t="s">
        <v>28</v>
      </c>
      <c r="T864" s="1" t="s">
        <v>28</v>
      </c>
      <c r="U864" s="1" t="s">
        <v>56</v>
      </c>
    </row>
    <row r="865" spans="1:21" x14ac:dyDescent="0.3">
      <c r="A865" s="1" t="s">
        <v>17</v>
      </c>
      <c r="B865">
        <v>27</v>
      </c>
      <c r="C865" s="1" t="s">
        <v>18</v>
      </c>
      <c r="D865" s="1" t="s">
        <v>53</v>
      </c>
      <c r="E865">
        <v>4526</v>
      </c>
      <c r="F865" s="1" t="s">
        <v>20</v>
      </c>
      <c r="G865" s="1" t="s">
        <v>45</v>
      </c>
      <c r="H865">
        <v>4</v>
      </c>
      <c r="I865" s="1" t="s">
        <v>39</v>
      </c>
      <c r="J865" s="1" t="s">
        <v>23</v>
      </c>
      <c r="K865">
        <v>2</v>
      </c>
      <c r="L865" s="1" t="s">
        <v>24</v>
      </c>
      <c r="M865">
        <v>32</v>
      </c>
      <c r="N865" s="1" t="s">
        <v>67</v>
      </c>
      <c r="O865" s="1" t="s">
        <v>26</v>
      </c>
      <c r="P865">
        <v>2</v>
      </c>
      <c r="Q865" s="1" t="s">
        <v>27</v>
      </c>
      <c r="R865">
        <v>2</v>
      </c>
      <c r="S865" s="1" t="s">
        <v>28</v>
      </c>
      <c r="T865" s="1" t="s">
        <v>28</v>
      </c>
      <c r="U865" s="1" t="s">
        <v>29</v>
      </c>
    </row>
    <row r="866" spans="1:21" x14ac:dyDescent="0.3">
      <c r="A866" s="1" t="s">
        <v>17</v>
      </c>
      <c r="B866">
        <v>10</v>
      </c>
      <c r="C866" s="1" t="s">
        <v>31</v>
      </c>
      <c r="D866" s="1" t="s">
        <v>53</v>
      </c>
      <c r="E866">
        <v>2210</v>
      </c>
      <c r="F866" s="1" t="s">
        <v>32</v>
      </c>
      <c r="G866" s="1" t="s">
        <v>21</v>
      </c>
      <c r="H866">
        <v>2</v>
      </c>
      <c r="I866" s="1" t="s">
        <v>39</v>
      </c>
      <c r="J866" s="1" t="s">
        <v>23</v>
      </c>
      <c r="K866">
        <v>2</v>
      </c>
      <c r="L866" s="1" t="s">
        <v>24</v>
      </c>
      <c r="M866">
        <v>25</v>
      </c>
      <c r="N866" s="1" t="s">
        <v>25</v>
      </c>
      <c r="O866" s="1" t="s">
        <v>34</v>
      </c>
      <c r="P866">
        <v>1</v>
      </c>
      <c r="Q866" s="1" t="s">
        <v>27</v>
      </c>
      <c r="R866">
        <v>1</v>
      </c>
      <c r="S866" s="1" t="s">
        <v>23</v>
      </c>
      <c r="T866" s="1" t="s">
        <v>28</v>
      </c>
      <c r="U866" s="1" t="s">
        <v>56</v>
      </c>
    </row>
    <row r="867" spans="1:21" x14ac:dyDescent="0.3">
      <c r="A867" s="1" t="s">
        <v>17</v>
      </c>
      <c r="B867">
        <v>15</v>
      </c>
      <c r="C867" s="1" t="s">
        <v>31</v>
      </c>
      <c r="D867" s="1" t="s">
        <v>53</v>
      </c>
      <c r="E867">
        <v>2221</v>
      </c>
      <c r="F867" s="1" t="s">
        <v>37</v>
      </c>
      <c r="G867" s="1" t="s">
        <v>21</v>
      </c>
      <c r="H867">
        <v>2</v>
      </c>
      <c r="I867" s="1" t="s">
        <v>22</v>
      </c>
      <c r="J867" s="1" t="s">
        <v>23</v>
      </c>
      <c r="K867">
        <v>4</v>
      </c>
      <c r="L867" s="1" t="s">
        <v>40</v>
      </c>
      <c r="M867">
        <v>20</v>
      </c>
      <c r="N867" s="1" t="s">
        <v>23</v>
      </c>
      <c r="O867" s="1" t="s">
        <v>34</v>
      </c>
      <c r="P867">
        <v>1</v>
      </c>
      <c r="Q867" s="1" t="s">
        <v>41</v>
      </c>
      <c r="R867">
        <v>1</v>
      </c>
      <c r="S867" s="1" t="s">
        <v>23</v>
      </c>
      <c r="T867" s="1" t="s">
        <v>28</v>
      </c>
      <c r="U867" s="1" t="s">
        <v>29</v>
      </c>
    </row>
    <row r="868" spans="1:21" x14ac:dyDescent="0.3">
      <c r="A868" s="1" t="s">
        <v>35</v>
      </c>
      <c r="B868">
        <v>18</v>
      </c>
      <c r="C868" s="1" t="s">
        <v>31</v>
      </c>
      <c r="D868" s="1" t="s">
        <v>36</v>
      </c>
      <c r="E868">
        <v>2389</v>
      </c>
      <c r="F868" s="1" t="s">
        <v>32</v>
      </c>
      <c r="G868" s="1" t="s">
        <v>45</v>
      </c>
      <c r="H868">
        <v>4</v>
      </c>
      <c r="I868" s="1" t="s">
        <v>22</v>
      </c>
      <c r="J868" s="1" t="s">
        <v>23</v>
      </c>
      <c r="K868">
        <v>1</v>
      </c>
      <c r="L868" s="1" t="s">
        <v>40</v>
      </c>
      <c r="M868">
        <v>27</v>
      </c>
      <c r="N868" s="1" t="s">
        <v>67</v>
      </c>
      <c r="O868" s="1" t="s">
        <v>26</v>
      </c>
      <c r="P868">
        <v>1</v>
      </c>
      <c r="Q868" s="1" t="s">
        <v>41</v>
      </c>
      <c r="R868">
        <v>1</v>
      </c>
      <c r="S868" s="1" t="s">
        <v>23</v>
      </c>
      <c r="T868" s="1" t="s">
        <v>28</v>
      </c>
      <c r="U868" s="1" t="s">
        <v>29</v>
      </c>
    </row>
    <row r="869" spans="1:21" x14ac:dyDescent="0.3">
      <c r="A869" s="1" t="s">
        <v>17</v>
      </c>
      <c r="B869">
        <v>12</v>
      </c>
      <c r="C869" s="1" t="s">
        <v>18</v>
      </c>
      <c r="D869" s="1" t="s">
        <v>53</v>
      </c>
      <c r="E869">
        <v>3331</v>
      </c>
      <c r="F869" s="1" t="s">
        <v>32</v>
      </c>
      <c r="G869" s="1" t="s">
        <v>38</v>
      </c>
      <c r="H869">
        <v>2</v>
      </c>
      <c r="I869" s="1" t="s">
        <v>39</v>
      </c>
      <c r="J869" s="1" t="s">
        <v>23</v>
      </c>
      <c r="K869">
        <v>4</v>
      </c>
      <c r="L869" s="1" t="s">
        <v>48</v>
      </c>
      <c r="M869">
        <v>42</v>
      </c>
      <c r="N869" s="1" t="s">
        <v>67</v>
      </c>
      <c r="O869" s="1" t="s">
        <v>26</v>
      </c>
      <c r="P869">
        <v>1</v>
      </c>
      <c r="Q869" s="1" t="s">
        <v>41</v>
      </c>
      <c r="R869">
        <v>1</v>
      </c>
      <c r="S869" s="1" t="s">
        <v>23</v>
      </c>
      <c r="T869" s="1" t="s">
        <v>28</v>
      </c>
      <c r="U869" s="1" t="s">
        <v>29</v>
      </c>
    </row>
    <row r="870" spans="1:21" x14ac:dyDescent="0.3">
      <c r="A870" s="1" t="s">
        <v>17</v>
      </c>
      <c r="B870">
        <v>36</v>
      </c>
      <c r="C870" s="1" t="s">
        <v>31</v>
      </c>
      <c r="D870" s="1" t="s">
        <v>61</v>
      </c>
      <c r="E870">
        <v>7409</v>
      </c>
      <c r="F870" s="1" t="s">
        <v>47</v>
      </c>
      <c r="G870" s="1" t="s">
        <v>38</v>
      </c>
      <c r="H870">
        <v>3</v>
      </c>
      <c r="I870" s="1" t="s">
        <v>39</v>
      </c>
      <c r="J870" s="1" t="s">
        <v>23</v>
      </c>
      <c r="K870">
        <v>2</v>
      </c>
      <c r="L870" s="1" t="s">
        <v>48</v>
      </c>
      <c r="M870">
        <v>37</v>
      </c>
      <c r="N870" s="1" t="s">
        <v>23</v>
      </c>
      <c r="O870" s="1" t="s">
        <v>26</v>
      </c>
      <c r="P870">
        <v>2</v>
      </c>
      <c r="Q870" s="1" t="s">
        <v>41</v>
      </c>
      <c r="R870">
        <v>1</v>
      </c>
      <c r="S870" s="1" t="s">
        <v>23</v>
      </c>
      <c r="T870" s="1" t="s">
        <v>28</v>
      </c>
      <c r="U870" s="1" t="s">
        <v>29</v>
      </c>
    </row>
    <row r="871" spans="1:21" x14ac:dyDescent="0.3">
      <c r="A871" s="1" t="s">
        <v>35</v>
      </c>
      <c r="B871">
        <v>12</v>
      </c>
      <c r="C871" s="1" t="s">
        <v>31</v>
      </c>
      <c r="D871" s="1" t="s">
        <v>53</v>
      </c>
      <c r="E871">
        <v>652</v>
      </c>
      <c r="F871" s="1" t="s">
        <v>32</v>
      </c>
      <c r="G871" s="1" t="s">
        <v>38</v>
      </c>
      <c r="H871">
        <v>4</v>
      </c>
      <c r="I871" s="1" t="s">
        <v>22</v>
      </c>
      <c r="J871" s="1" t="s">
        <v>23</v>
      </c>
      <c r="K871">
        <v>4</v>
      </c>
      <c r="L871" s="1" t="s">
        <v>48</v>
      </c>
      <c r="M871">
        <v>24</v>
      </c>
      <c r="N871" s="1" t="s">
        <v>23</v>
      </c>
      <c r="O871" s="1" t="s">
        <v>34</v>
      </c>
      <c r="P871">
        <v>1</v>
      </c>
      <c r="Q871" s="1" t="s">
        <v>41</v>
      </c>
      <c r="R871">
        <v>1</v>
      </c>
      <c r="S871" s="1" t="s">
        <v>23</v>
      </c>
      <c r="T871" s="1" t="s">
        <v>28</v>
      </c>
      <c r="U871" s="1" t="s">
        <v>29</v>
      </c>
    </row>
    <row r="872" spans="1:21" x14ac:dyDescent="0.3">
      <c r="A872" s="1" t="s">
        <v>17</v>
      </c>
      <c r="B872">
        <v>36</v>
      </c>
      <c r="C872" s="1" t="s">
        <v>59</v>
      </c>
      <c r="D872" s="1" t="s">
        <v>53</v>
      </c>
      <c r="E872">
        <v>7678</v>
      </c>
      <c r="F872" s="1" t="s">
        <v>37</v>
      </c>
      <c r="G872" s="1" t="s">
        <v>49</v>
      </c>
      <c r="H872">
        <v>2</v>
      </c>
      <c r="I872" s="1" t="s">
        <v>22</v>
      </c>
      <c r="J872" s="1" t="s">
        <v>23</v>
      </c>
      <c r="K872">
        <v>4</v>
      </c>
      <c r="L872" s="1" t="s">
        <v>40</v>
      </c>
      <c r="M872">
        <v>40</v>
      </c>
      <c r="N872" s="1" t="s">
        <v>23</v>
      </c>
      <c r="O872" s="1" t="s">
        <v>26</v>
      </c>
      <c r="P872">
        <v>2</v>
      </c>
      <c r="Q872" s="1" t="s">
        <v>41</v>
      </c>
      <c r="R872">
        <v>1</v>
      </c>
      <c r="S872" s="1" t="s">
        <v>28</v>
      </c>
      <c r="T872" s="1" t="s">
        <v>28</v>
      </c>
      <c r="U872" s="1" t="s">
        <v>29</v>
      </c>
    </row>
    <row r="873" spans="1:21" x14ac:dyDescent="0.3">
      <c r="A873" s="1" t="s">
        <v>50</v>
      </c>
      <c r="B873">
        <v>6</v>
      </c>
      <c r="C873" s="1" t="s">
        <v>18</v>
      </c>
      <c r="D873" s="1" t="s">
        <v>19</v>
      </c>
      <c r="E873">
        <v>1343</v>
      </c>
      <c r="F873" s="1" t="s">
        <v>32</v>
      </c>
      <c r="G873" s="1" t="s">
        <v>38</v>
      </c>
      <c r="H873">
        <v>1</v>
      </c>
      <c r="I873" s="1" t="s">
        <v>39</v>
      </c>
      <c r="J873" s="1" t="s">
        <v>23</v>
      </c>
      <c r="K873">
        <v>4</v>
      </c>
      <c r="L873" s="1" t="s">
        <v>24</v>
      </c>
      <c r="M873">
        <v>46</v>
      </c>
      <c r="N873" s="1" t="s">
        <v>23</v>
      </c>
      <c r="O873" s="1" t="s">
        <v>26</v>
      </c>
      <c r="P873">
        <v>2</v>
      </c>
      <c r="Q873" s="1" t="s">
        <v>41</v>
      </c>
      <c r="R873">
        <v>2</v>
      </c>
      <c r="S873" s="1" t="s">
        <v>23</v>
      </c>
      <c r="T873" s="1" t="s">
        <v>60</v>
      </c>
      <c r="U873" s="1" t="s">
        <v>29</v>
      </c>
    </row>
    <row r="874" spans="1:21" x14ac:dyDescent="0.3">
      <c r="A874" s="1" t="s">
        <v>35</v>
      </c>
      <c r="B874">
        <v>24</v>
      </c>
      <c r="C874" s="1" t="s">
        <v>18</v>
      </c>
      <c r="D874" s="1" t="s">
        <v>61</v>
      </c>
      <c r="E874">
        <v>1382</v>
      </c>
      <c r="F874" s="1" t="s">
        <v>46</v>
      </c>
      <c r="G874" s="1" t="s">
        <v>49</v>
      </c>
      <c r="H874">
        <v>4</v>
      </c>
      <c r="I874" s="1" t="s">
        <v>39</v>
      </c>
      <c r="J874" s="1" t="s">
        <v>23</v>
      </c>
      <c r="K874">
        <v>1</v>
      </c>
      <c r="L874" s="1" t="s">
        <v>24</v>
      </c>
      <c r="M874">
        <v>26</v>
      </c>
      <c r="N874" s="1" t="s">
        <v>23</v>
      </c>
      <c r="O874" s="1" t="s">
        <v>26</v>
      </c>
      <c r="P874">
        <v>2</v>
      </c>
      <c r="Q874" s="1" t="s">
        <v>41</v>
      </c>
      <c r="R874">
        <v>1</v>
      </c>
      <c r="S874" s="1" t="s">
        <v>28</v>
      </c>
      <c r="T874" s="1" t="s">
        <v>28</v>
      </c>
      <c r="U874" s="1" t="s">
        <v>29</v>
      </c>
    </row>
    <row r="875" spans="1:21" x14ac:dyDescent="0.3">
      <c r="A875" s="1" t="s">
        <v>17</v>
      </c>
      <c r="B875">
        <v>15</v>
      </c>
      <c r="C875" s="1" t="s">
        <v>31</v>
      </c>
      <c r="D875" s="1" t="s">
        <v>44</v>
      </c>
      <c r="E875">
        <v>874</v>
      </c>
      <c r="F875" s="1" t="s">
        <v>47</v>
      </c>
      <c r="G875" s="1" t="s">
        <v>45</v>
      </c>
      <c r="H875">
        <v>4</v>
      </c>
      <c r="I875" s="1" t="s">
        <v>22</v>
      </c>
      <c r="J875" s="1" t="s">
        <v>23</v>
      </c>
      <c r="K875">
        <v>1</v>
      </c>
      <c r="L875" s="1" t="s">
        <v>24</v>
      </c>
      <c r="M875">
        <v>24</v>
      </c>
      <c r="N875" s="1" t="s">
        <v>23</v>
      </c>
      <c r="O875" s="1" t="s">
        <v>26</v>
      </c>
      <c r="P875">
        <v>1</v>
      </c>
      <c r="Q875" s="1" t="s">
        <v>41</v>
      </c>
      <c r="R875">
        <v>1</v>
      </c>
      <c r="S875" s="1" t="s">
        <v>23</v>
      </c>
      <c r="T875" s="1" t="s">
        <v>28</v>
      </c>
      <c r="U875" s="1" t="s">
        <v>29</v>
      </c>
    </row>
    <row r="876" spans="1:21" x14ac:dyDescent="0.3">
      <c r="A876" s="1" t="s">
        <v>35</v>
      </c>
      <c r="B876">
        <v>12</v>
      </c>
      <c r="C876" s="1" t="s">
        <v>31</v>
      </c>
      <c r="D876" s="1" t="s">
        <v>53</v>
      </c>
      <c r="E876">
        <v>3590</v>
      </c>
      <c r="F876" s="1" t="s">
        <v>32</v>
      </c>
      <c r="G876" s="1" t="s">
        <v>21</v>
      </c>
      <c r="H876">
        <v>2</v>
      </c>
      <c r="I876" s="1" t="s">
        <v>39</v>
      </c>
      <c r="J876" s="1" t="s">
        <v>55</v>
      </c>
      <c r="K876">
        <v>2</v>
      </c>
      <c r="L876" s="1" t="s">
        <v>48</v>
      </c>
      <c r="M876">
        <v>29</v>
      </c>
      <c r="N876" s="1" t="s">
        <v>23</v>
      </c>
      <c r="O876" s="1" t="s">
        <v>26</v>
      </c>
      <c r="P876">
        <v>1</v>
      </c>
      <c r="Q876" s="1" t="s">
        <v>27</v>
      </c>
      <c r="R876">
        <v>2</v>
      </c>
      <c r="S876" s="1" t="s">
        <v>23</v>
      </c>
      <c r="T876" s="1" t="s">
        <v>28</v>
      </c>
      <c r="U876" s="1" t="s">
        <v>29</v>
      </c>
    </row>
    <row r="877" spans="1:21" x14ac:dyDescent="0.3">
      <c r="A877" s="1" t="s">
        <v>30</v>
      </c>
      <c r="B877">
        <v>11</v>
      </c>
      <c r="C877" s="1" t="s">
        <v>18</v>
      </c>
      <c r="D877" s="1" t="s">
        <v>19</v>
      </c>
      <c r="E877">
        <v>1322</v>
      </c>
      <c r="F877" s="1" t="s">
        <v>20</v>
      </c>
      <c r="G877" s="1" t="s">
        <v>21</v>
      </c>
      <c r="H877">
        <v>4</v>
      </c>
      <c r="I877" s="1" t="s">
        <v>22</v>
      </c>
      <c r="J877" s="1" t="s">
        <v>23</v>
      </c>
      <c r="K877">
        <v>4</v>
      </c>
      <c r="L877" s="1" t="s">
        <v>40</v>
      </c>
      <c r="M877">
        <v>40</v>
      </c>
      <c r="N877" s="1" t="s">
        <v>23</v>
      </c>
      <c r="O877" s="1" t="s">
        <v>26</v>
      </c>
      <c r="P877">
        <v>2</v>
      </c>
      <c r="Q877" s="1" t="s">
        <v>41</v>
      </c>
      <c r="R877">
        <v>1</v>
      </c>
      <c r="S877" s="1" t="s">
        <v>23</v>
      </c>
      <c r="T877" s="1" t="s">
        <v>28</v>
      </c>
      <c r="U877" s="1" t="s">
        <v>29</v>
      </c>
    </row>
    <row r="878" spans="1:21" x14ac:dyDescent="0.3">
      <c r="A878" s="1" t="s">
        <v>35</v>
      </c>
      <c r="B878">
        <v>18</v>
      </c>
      <c r="C878" s="1" t="s">
        <v>42</v>
      </c>
      <c r="D878" s="1" t="s">
        <v>36</v>
      </c>
      <c r="E878">
        <v>1940</v>
      </c>
      <c r="F878" s="1" t="s">
        <v>32</v>
      </c>
      <c r="G878" s="1" t="s">
        <v>45</v>
      </c>
      <c r="H878">
        <v>3</v>
      </c>
      <c r="I878" s="1" t="s">
        <v>39</v>
      </c>
      <c r="J878" s="1" t="s">
        <v>55</v>
      </c>
      <c r="K878">
        <v>4</v>
      </c>
      <c r="L878" s="1" t="s">
        <v>65</v>
      </c>
      <c r="M878">
        <v>36</v>
      </c>
      <c r="N878" s="1" t="s">
        <v>25</v>
      </c>
      <c r="O878" s="1" t="s">
        <v>66</v>
      </c>
      <c r="P878">
        <v>1</v>
      </c>
      <c r="Q878" s="1" t="s">
        <v>63</v>
      </c>
      <c r="R878">
        <v>1</v>
      </c>
      <c r="S878" s="1" t="s">
        <v>28</v>
      </c>
      <c r="T878" s="1" t="s">
        <v>28</v>
      </c>
      <c r="U878" s="1" t="s">
        <v>29</v>
      </c>
    </row>
    <row r="879" spans="1:21" x14ac:dyDescent="0.3">
      <c r="A879" s="1" t="s">
        <v>17</v>
      </c>
      <c r="B879">
        <v>36</v>
      </c>
      <c r="C879" s="1" t="s">
        <v>31</v>
      </c>
      <c r="D879" s="1" t="s">
        <v>36</v>
      </c>
      <c r="E879">
        <v>3595</v>
      </c>
      <c r="F879" s="1" t="s">
        <v>32</v>
      </c>
      <c r="G879" s="1" t="s">
        <v>38</v>
      </c>
      <c r="H879">
        <v>4</v>
      </c>
      <c r="I879" s="1" t="s">
        <v>39</v>
      </c>
      <c r="J879" s="1" t="s">
        <v>23</v>
      </c>
      <c r="K879">
        <v>2</v>
      </c>
      <c r="L879" s="1" t="s">
        <v>40</v>
      </c>
      <c r="M879">
        <v>28</v>
      </c>
      <c r="N879" s="1" t="s">
        <v>23</v>
      </c>
      <c r="O879" s="1" t="s">
        <v>26</v>
      </c>
      <c r="P879">
        <v>1</v>
      </c>
      <c r="Q879" s="1" t="s">
        <v>41</v>
      </c>
      <c r="R879">
        <v>1</v>
      </c>
      <c r="S879" s="1" t="s">
        <v>23</v>
      </c>
      <c r="T879" s="1" t="s">
        <v>28</v>
      </c>
      <c r="U879" s="1" t="s">
        <v>29</v>
      </c>
    </row>
    <row r="880" spans="1:21" x14ac:dyDescent="0.3">
      <c r="A880" s="1" t="s">
        <v>35</v>
      </c>
      <c r="B880">
        <v>9</v>
      </c>
      <c r="C880" s="1" t="s">
        <v>31</v>
      </c>
      <c r="D880" s="1" t="s">
        <v>19</v>
      </c>
      <c r="E880">
        <v>1422</v>
      </c>
      <c r="F880" s="1" t="s">
        <v>32</v>
      </c>
      <c r="G880" s="1" t="s">
        <v>45</v>
      </c>
      <c r="H880">
        <v>3</v>
      </c>
      <c r="I880" s="1" t="s">
        <v>39</v>
      </c>
      <c r="J880" s="1" t="s">
        <v>23</v>
      </c>
      <c r="K880">
        <v>2</v>
      </c>
      <c r="L880" s="1" t="s">
        <v>65</v>
      </c>
      <c r="M880">
        <v>27</v>
      </c>
      <c r="N880" s="1" t="s">
        <v>23</v>
      </c>
      <c r="O880" s="1" t="s">
        <v>66</v>
      </c>
      <c r="P880">
        <v>1</v>
      </c>
      <c r="Q880" s="1" t="s">
        <v>63</v>
      </c>
      <c r="R880">
        <v>1</v>
      </c>
      <c r="S880" s="1" t="s">
        <v>28</v>
      </c>
      <c r="T880" s="1" t="s">
        <v>28</v>
      </c>
      <c r="U880" s="1" t="s">
        <v>56</v>
      </c>
    </row>
    <row r="881" spans="1:21" x14ac:dyDescent="0.3">
      <c r="A881" s="1" t="s">
        <v>17</v>
      </c>
      <c r="B881">
        <v>30</v>
      </c>
      <c r="C881" s="1" t="s">
        <v>18</v>
      </c>
      <c r="D881" s="1" t="s">
        <v>36</v>
      </c>
      <c r="E881">
        <v>6742</v>
      </c>
      <c r="F881" s="1" t="s">
        <v>47</v>
      </c>
      <c r="G881" s="1" t="s">
        <v>49</v>
      </c>
      <c r="H881">
        <v>2</v>
      </c>
      <c r="I881" s="1" t="s">
        <v>39</v>
      </c>
      <c r="J881" s="1" t="s">
        <v>23</v>
      </c>
      <c r="K881">
        <v>3</v>
      </c>
      <c r="L881" s="1" t="s">
        <v>48</v>
      </c>
      <c r="M881">
        <v>36</v>
      </c>
      <c r="N881" s="1" t="s">
        <v>23</v>
      </c>
      <c r="O881" s="1" t="s">
        <v>26</v>
      </c>
      <c r="P881">
        <v>2</v>
      </c>
      <c r="Q881" s="1" t="s">
        <v>41</v>
      </c>
      <c r="R881">
        <v>1</v>
      </c>
      <c r="S881" s="1" t="s">
        <v>23</v>
      </c>
      <c r="T881" s="1" t="s">
        <v>28</v>
      </c>
      <c r="U881" s="1" t="s">
        <v>29</v>
      </c>
    </row>
    <row r="882" spans="1:21" x14ac:dyDescent="0.3">
      <c r="A882" s="1" t="s">
        <v>17</v>
      </c>
      <c r="B882">
        <v>24</v>
      </c>
      <c r="C882" s="1" t="s">
        <v>31</v>
      </c>
      <c r="D882" s="1" t="s">
        <v>69</v>
      </c>
      <c r="E882">
        <v>7814</v>
      </c>
      <c r="F882" s="1" t="s">
        <v>32</v>
      </c>
      <c r="G882" s="1" t="s">
        <v>49</v>
      </c>
      <c r="H882">
        <v>3</v>
      </c>
      <c r="I882" s="1" t="s">
        <v>39</v>
      </c>
      <c r="J882" s="1" t="s">
        <v>23</v>
      </c>
      <c r="K882">
        <v>3</v>
      </c>
      <c r="L882" s="1" t="s">
        <v>40</v>
      </c>
      <c r="M882">
        <v>38</v>
      </c>
      <c r="N882" s="1" t="s">
        <v>23</v>
      </c>
      <c r="O882" s="1" t="s">
        <v>26</v>
      </c>
      <c r="P882">
        <v>1</v>
      </c>
      <c r="Q882" s="1" t="s">
        <v>63</v>
      </c>
      <c r="R882">
        <v>1</v>
      </c>
      <c r="S882" s="1" t="s">
        <v>28</v>
      </c>
      <c r="T882" s="1" t="s">
        <v>28</v>
      </c>
      <c r="U882" s="1" t="s">
        <v>29</v>
      </c>
    </row>
    <row r="883" spans="1:21" x14ac:dyDescent="0.3">
      <c r="A883" s="1" t="s">
        <v>17</v>
      </c>
      <c r="B883">
        <v>24</v>
      </c>
      <c r="C883" s="1" t="s">
        <v>31</v>
      </c>
      <c r="D883" s="1" t="s">
        <v>69</v>
      </c>
      <c r="E883">
        <v>9277</v>
      </c>
      <c r="F883" s="1" t="s">
        <v>47</v>
      </c>
      <c r="G883" s="1" t="s">
        <v>21</v>
      </c>
      <c r="H883">
        <v>2</v>
      </c>
      <c r="I883" s="1" t="s">
        <v>64</v>
      </c>
      <c r="J883" s="1" t="s">
        <v>23</v>
      </c>
      <c r="K883">
        <v>4</v>
      </c>
      <c r="L883" s="1" t="s">
        <v>65</v>
      </c>
      <c r="M883">
        <v>48</v>
      </c>
      <c r="N883" s="1" t="s">
        <v>23</v>
      </c>
      <c r="O883" s="1" t="s">
        <v>66</v>
      </c>
      <c r="P883">
        <v>1</v>
      </c>
      <c r="Q883" s="1" t="s">
        <v>41</v>
      </c>
      <c r="R883">
        <v>1</v>
      </c>
      <c r="S883" s="1" t="s">
        <v>28</v>
      </c>
      <c r="T883" s="1" t="s">
        <v>28</v>
      </c>
      <c r="U883" s="1" t="s">
        <v>29</v>
      </c>
    </row>
    <row r="884" spans="1:21" x14ac:dyDescent="0.3">
      <c r="A884" s="1" t="s">
        <v>30</v>
      </c>
      <c r="B884">
        <v>30</v>
      </c>
      <c r="C884" s="1" t="s">
        <v>18</v>
      </c>
      <c r="D884" s="1" t="s">
        <v>19</v>
      </c>
      <c r="E884">
        <v>2181</v>
      </c>
      <c r="F884" s="1" t="s">
        <v>47</v>
      </c>
      <c r="G884" s="1" t="s">
        <v>38</v>
      </c>
      <c r="H884">
        <v>4</v>
      </c>
      <c r="I884" s="1" t="s">
        <v>39</v>
      </c>
      <c r="J884" s="1" t="s">
        <v>23</v>
      </c>
      <c r="K884">
        <v>4</v>
      </c>
      <c r="L884" s="1" t="s">
        <v>24</v>
      </c>
      <c r="M884">
        <v>36</v>
      </c>
      <c r="N884" s="1" t="s">
        <v>23</v>
      </c>
      <c r="O884" s="1" t="s">
        <v>26</v>
      </c>
      <c r="P884">
        <v>2</v>
      </c>
      <c r="Q884" s="1" t="s">
        <v>41</v>
      </c>
      <c r="R884">
        <v>1</v>
      </c>
      <c r="S884" s="1" t="s">
        <v>23</v>
      </c>
      <c r="T884" s="1" t="s">
        <v>28</v>
      </c>
      <c r="U884" s="1" t="s">
        <v>29</v>
      </c>
    </row>
    <row r="885" spans="1:21" x14ac:dyDescent="0.3">
      <c r="A885" s="1" t="s">
        <v>17</v>
      </c>
      <c r="B885">
        <v>18</v>
      </c>
      <c r="C885" s="1" t="s">
        <v>18</v>
      </c>
      <c r="D885" s="1" t="s">
        <v>36</v>
      </c>
      <c r="E885">
        <v>1098</v>
      </c>
      <c r="F885" s="1" t="s">
        <v>32</v>
      </c>
      <c r="G885" s="1" t="s">
        <v>54</v>
      </c>
      <c r="H885">
        <v>4</v>
      </c>
      <c r="I885" s="1" t="s">
        <v>22</v>
      </c>
      <c r="J885" s="1" t="s">
        <v>23</v>
      </c>
      <c r="K885">
        <v>4</v>
      </c>
      <c r="L885" s="1" t="s">
        <v>40</v>
      </c>
      <c r="M885">
        <v>65</v>
      </c>
      <c r="N885" s="1" t="s">
        <v>23</v>
      </c>
      <c r="O885" s="1" t="s">
        <v>26</v>
      </c>
      <c r="P885">
        <v>2</v>
      </c>
      <c r="Q885" s="1" t="s">
        <v>62</v>
      </c>
      <c r="R885">
        <v>1</v>
      </c>
      <c r="S885" s="1" t="s">
        <v>23</v>
      </c>
      <c r="T885" s="1" t="s">
        <v>28</v>
      </c>
      <c r="U885" s="1" t="s">
        <v>29</v>
      </c>
    </row>
    <row r="886" spans="1:21" x14ac:dyDescent="0.3">
      <c r="A886" s="1" t="s">
        <v>30</v>
      </c>
      <c r="B886">
        <v>24</v>
      </c>
      <c r="C886" s="1" t="s">
        <v>31</v>
      </c>
      <c r="D886" s="1" t="s">
        <v>53</v>
      </c>
      <c r="E886">
        <v>4057</v>
      </c>
      <c r="F886" s="1" t="s">
        <v>32</v>
      </c>
      <c r="G886" s="1" t="s">
        <v>49</v>
      </c>
      <c r="H886">
        <v>3</v>
      </c>
      <c r="I886" s="1" t="s">
        <v>64</v>
      </c>
      <c r="J886" s="1" t="s">
        <v>23</v>
      </c>
      <c r="K886">
        <v>3</v>
      </c>
      <c r="L886" s="1" t="s">
        <v>40</v>
      </c>
      <c r="M886">
        <v>43</v>
      </c>
      <c r="N886" s="1" t="s">
        <v>23</v>
      </c>
      <c r="O886" s="1" t="s">
        <v>26</v>
      </c>
      <c r="P886">
        <v>1</v>
      </c>
      <c r="Q886" s="1" t="s">
        <v>41</v>
      </c>
      <c r="R886">
        <v>1</v>
      </c>
      <c r="S886" s="1" t="s">
        <v>28</v>
      </c>
      <c r="T886" s="1" t="s">
        <v>28</v>
      </c>
      <c r="U886" s="1" t="s">
        <v>56</v>
      </c>
    </row>
    <row r="887" spans="1:21" x14ac:dyDescent="0.3">
      <c r="A887" s="1" t="s">
        <v>35</v>
      </c>
      <c r="B887">
        <v>12</v>
      </c>
      <c r="C887" s="1" t="s">
        <v>31</v>
      </c>
      <c r="D887" s="1" t="s">
        <v>51</v>
      </c>
      <c r="E887">
        <v>795</v>
      </c>
      <c r="F887" s="1" t="s">
        <v>32</v>
      </c>
      <c r="G887" s="1" t="s">
        <v>45</v>
      </c>
      <c r="H887">
        <v>4</v>
      </c>
      <c r="I887" s="1" t="s">
        <v>22</v>
      </c>
      <c r="J887" s="1" t="s">
        <v>23</v>
      </c>
      <c r="K887">
        <v>4</v>
      </c>
      <c r="L887" s="1" t="s">
        <v>48</v>
      </c>
      <c r="M887">
        <v>53</v>
      </c>
      <c r="N887" s="1" t="s">
        <v>23</v>
      </c>
      <c r="O887" s="1" t="s">
        <v>26</v>
      </c>
      <c r="P887">
        <v>1</v>
      </c>
      <c r="Q887" s="1" t="s">
        <v>41</v>
      </c>
      <c r="R887">
        <v>1</v>
      </c>
      <c r="S887" s="1" t="s">
        <v>23</v>
      </c>
      <c r="T887" s="1" t="s">
        <v>28</v>
      </c>
      <c r="U887" s="1" t="s">
        <v>56</v>
      </c>
    </row>
    <row r="888" spans="1:21" x14ac:dyDescent="0.3">
      <c r="A888" s="1" t="s">
        <v>30</v>
      </c>
      <c r="B888">
        <v>24</v>
      </c>
      <c r="C888" s="1" t="s">
        <v>18</v>
      </c>
      <c r="D888" s="1" t="s">
        <v>61</v>
      </c>
      <c r="E888">
        <v>2825</v>
      </c>
      <c r="F888" s="1" t="s">
        <v>47</v>
      </c>
      <c r="G888" s="1" t="s">
        <v>49</v>
      </c>
      <c r="H888">
        <v>4</v>
      </c>
      <c r="I888" s="1" t="s">
        <v>39</v>
      </c>
      <c r="J888" s="1" t="s">
        <v>23</v>
      </c>
      <c r="K888">
        <v>3</v>
      </c>
      <c r="L888" s="1" t="s">
        <v>65</v>
      </c>
      <c r="M888">
        <v>34</v>
      </c>
      <c r="N888" s="1" t="s">
        <v>23</v>
      </c>
      <c r="O888" s="1" t="s">
        <v>26</v>
      </c>
      <c r="P888">
        <v>2</v>
      </c>
      <c r="Q888" s="1" t="s">
        <v>41</v>
      </c>
      <c r="R888">
        <v>2</v>
      </c>
      <c r="S888" s="1" t="s">
        <v>28</v>
      </c>
      <c r="T888" s="1" t="s">
        <v>28</v>
      </c>
      <c r="U888" s="1" t="s">
        <v>29</v>
      </c>
    </row>
    <row r="889" spans="1:21" x14ac:dyDescent="0.3">
      <c r="A889" s="1" t="s">
        <v>30</v>
      </c>
      <c r="B889">
        <v>48</v>
      </c>
      <c r="C889" s="1" t="s">
        <v>31</v>
      </c>
      <c r="D889" s="1" t="s">
        <v>61</v>
      </c>
      <c r="E889">
        <v>15672</v>
      </c>
      <c r="F889" s="1" t="s">
        <v>32</v>
      </c>
      <c r="G889" s="1" t="s">
        <v>21</v>
      </c>
      <c r="H889">
        <v>2</v>
      </c>
      <c r="I889" s="1" t="s">
        <v>39</v>
      </c>
      <c r="J889" s="1" t="s">
        <v>23</v>
      </c>
      <c r="K889">
        <v>2</v>
      </c>
      <c r="L889" s="1" t="s">
        <v>40</v>
      </c>
      <c r="M889">
        <v>23</v>
      </c>
      <c r="N889" s="1" t="s">
        <v>23</v>
      </c>
      <c r="O889" s="1" t="s">
        <v>26</v>
      </c>
      <c r="P889">
        <v>1</v>
      </c>
      <c r="Q889" s="1" t="s">
        <v>41</v>
      </c>
      <c r="R889">
        <v>1</v>
      </c>
      <c r="S889" s="1" t="s">
        <v>28</v>
      </c>
      <c r="T889" s="1" t="s">
        <v>28</v>
      </c>
      <c r="U889" s="1" t="s">
        <v>56</v>
      </c>
    </row>
    <row r="890" spans="1:21" x14ac:dyDescent="0.3">
      <c r="A890" s="1" t="s">
        <v>17</v>
      </c>
      <c r="B890">
        <v>36</v>
      </c>
      <c r="C890" s="1" t="s">
        <v>18</v>
      </c>
      <c r="D890" s="1" t="s">
        <v>19</v>
      </c>
      <c r="E890">
        <v>6614</v>
      </c>
      <c r="F890" s="1" t="s">
        <v>32</v>
      </c>
      <c r="G890" s="1" t="s">
        <v>38</v>
      </c>
      <c r="H890">
        <v>4</v>
      </c>
      <c r="I890" s="1" t="s">
        <v>39</v>
      </c>
      <c r="J890" s="1" t="s">
        <v>23</v>
      </c>
      <c r="K890">
        <v>4</v>
      </c>
      <c r="L890" s="1" t="s">
        <v>40</v>
      </c>
      <c r="M890">
        <v>34</v>
      </c>
      <c r="N890" s="1" t="s">
        <v>23</v>
      </c>
      <c r="O890" s="1" t="s">
        <v>26</v>
      </c>
      <c r="P890">
        <v>2</v>
      </c>
      <c r="Q890" s="1" t="s">
        <v>63</v>
      </c>
      <c r="R890">
        <v>1</v>
      </c>
      <c r="S890" s="1" t="s">
        <v>28</v>
      </c>
      <c r="T890" s="1" t="s">
        <v>28</v>
      </c>
      <c r="U890" s="1" t="s">
        <v>29</v>
      </c>
    </row>
    <row r="891" spans="1:21" x14ac:dyDescent="0.3">
      <c r="A891" s="1" t="s">
        <v>17</v>
      </c>
      <c r="B891">
        <v>28</v>
      </c>
      <c r="C891" s="1" t="s">
        <v>42</v>
      </c>
      <c r="D891" s="1" t="s">
        <v>69</v>
      </c>
      <c r="E891">
        <v>7824</v>
      </c>
      <c r="F891" s="1" t="s">
        <v>47</v>
      </c>
      <c r="G891" s="1" t="s">
        <v>45</v>
      </c>
      <c r="H891">
        <v>3</v>
      </c>
      <c r="I891" s="1" t="s">
        <v>39</v>
      </c>
      <c r="J891" s="1" t="s">
        <v>58</v>
      </c>
      <c r="K891">
        <v>4</v>
      </c>
      <c r="L891" s="1" t="s">
        <v>24</v>
      </c>
      <c r="M891">
        <v>40</v>
      </c>
      <c r="N891" s="1" t="s">
        <v>25</v>
      </c>
      <c r="O891" s="1" t="s">
        <v>34</v>
      </c>
      <c r="P891">
        <v>2</v>
      </c>
      <c r="Q891" s="1" t="s">
        <v>41</v>
      </c>
      <c r="R891">
        <v>2</v>
      </c>
      <c r="S891" s="1" t="s">
        <v>28</v>
      </c>
      <c r="T891" s="1" t="s">
        <v>28</v>
      </c>
      <c r="U891" s="1" t="s">
        <v>29</v>
      </c>
    </row>
    <row r="892" spans="1:21" x14ac:dyDescent="0.3">
      <c r="A892" s="1" t="s">
        <v>35</v>
      </c>
      <c r="B892">
        <v>27</v>
      </c>
      <c r="C892" s="1" t="s">
        <v>18</v>
      </c>
      <c r="D892" s="1" t="s">
        <v>61</v>
      </c>
      <c r="E892">
        <v>2442</v>
      </c>
      <c r="F892" s="1" t="s">
        <v>32</v>
      </c>
      <c r="G892" s="1" t="s">
        <v>38</v>
      </c>
      <c r="H892">
        <v>4</v>
      </c>
      <c r="I892" s="1" t="s">
        <v>39</v>
      </c>
      <c r="J892" s="1" t="s">
        <v>23</v>
      </c>
      <c r="K892">
        <v>4</v>
      </c>
      <c r="L892" s="1" t="s">
        <v>40</v>
      </c>
      <c r="M892">
        <v>43</v>
      </c>
      <c r="N892" s="1" t="s">
        <v>67</v>
      </c>
      <c r="O892" s="1" t="s">
        <v>26</v>
      </c>
      <c r="P892">
        <v>4</v>
      </c>
      <c r="Q892" s="1" t="s">
        <v>63</v>
      </c>
      <c r="R892">
        <v>2</v>
      </c>
      <c r="S892" s="1" t="s">
        <v>28</v>
      </c>
      <c r="T892" s="1" t="s">
        <v>28</v>
      </c>
      <c r="U892" s="1" t="s">
        <v>29</v>
      </c>
    </row>
    <row r="893" spans="1:21" x14ac:dyDescent="0.3">
      <c r="A893" s="1" t="s">
        <v>17</v>
      </c>
      <c r="B893">
        <v>15</v>
      </c>
      <c r="C893" s="1" t="s">
        <v>18</v>
      </c>
      <c r="D893" s="1" t="s">
        <v>36</v>
      </c>
      <c r="E893">
        <v>1829</v>
      </c>
      <c r="F893" s="1" t="s">
        <v>32</v>
      </c>
      <c r="G893" s="1" t="s">
        <v>38</v>
      </c>
      <c r="H893">
        <v>4</v>
      </c>
      <c r="I893" s="1" t="s">
        <v>39</v>
      </c>
      <c r="J893" s="1" t="s">
        <v>23</v>
      </c>
      <c r="K893">
        <v>4</v>
      </c>
      <c r="L893" s="1" t="s">
        <v>40</v>
      </c>
      <c r="M893">
        <v>46</v>
      </c>
      <c r="N893" s="1" t="s">
        <v>23</v>
      </c>
      <c r="O893" s="1" t="s">
        <v>26</v>
      </c>
      <c r="P893">
        <v>2</v>
      </c>
      <c r="Q893" s="1" t="s">
        <v>41</v>
      </c>
      <c r="R893">
        <v>1</v>
      </c>
      <c r="S893" s="1" t="s">
        <v>28</v>
      </c>
      <c r="T893" s="1" t="s">
        <v>28</v>
      </c>
      <c r="U893" s="1" t="s">
        <v>29</v>
      </c>
    </row>
    <row r="894" spans="1:21" x14ac:dyDescent="0.3">
      <c r="A894" s="1" t="s">
        <v>35</v>
      </c>
      <c r="B894">
        <v>12</v>
      </c>
      <c r="C894" s="1" t="s">
        <v>18</v>
      </c>
      <c r="D894" s="1" t="s">
        <v>19</v>
      </c>
      <c r="E894">
        <v>2171</v>
      </c>
      <c r="F894" s="1" t="s">
        <v>32</v>
      </c>
      <c r="G894" s="1" t="s">
        <v>21</v>
      </c>
      <c r="H894">
        <v>4</v>
      </c>
      <c r="I894" s="1" t="s">
        <v>39</v>
      </c>
      <c r="J894" s="1" t="s">
        <v>23</v>
      </c>
      <c r="K894">
        <v>4</v>
      </c>
      <c r="L894" s="1" t="s">
        <v>48</v>
      </c>
      <c r="M894">
        <v>38</v>
      </c>
      <c r="N894" s="1" t="s">
        <v>25</v>
      </c>
      <c r="O894" s="1" t="s">
        <v>26</v>
      </c>
      <c r="P894">
        <v>2</v>
      </c>
      <c r="Q894" s="1" t="s">
        <v>27</v>
      </c>
      <c r="R894">
        <v>1</v>
      </c>
      <c r="S894" s="1" t="s">
        <v>23</v>
      </c>
      <c r="T894" s="1" t="s">
        <v>60</v>
      </c>
      <c r="U894" s="1" t="s">
        <v>29</v>
      </c>
    </row>
    <row r="895" spans="1:21" x14ac:dyDescent="0.3">
      <c r="A895" s="1" t="s">
        <v>30</v>
      </c>
      <c r="B895">
        <v>36</v>
      </c>
      <c r="C895" s="1" t="s">
        <v>18</v>
      </c>
      <c r="D895" s="1" t="s">
        <v>69</v>
      </c>
      <c r="E895">
        <v>5800</v>
      </c>
      <c r="F895" s="1" t="s">
        <v>32</v>
      </c>
      <c r="G895" s="1" t="s">
        <v>21</v>
      </c>
      <c r="H895">
        <v>3</v>
      </c>
      <c r="I895" s="1" t="s">
        <v>39</v>
      </c>
      <c r="J895" s="1" t="s">
        <v>23</v>
      </c>
      <c r="K895">
        <v>4</v>
      </c>
      <c r="L895" s="1" t="s">
        <v>40</v>
      </c>
      <c r="M895">
        <v>34</v>
      </c>
      <c r="N895" s="1" t="s">
        <v>23</v>
      </c>
      <c r="O895" s="1" t="s">
        <v>26</v>
      </c>
      <c r="P895">
        <v>2</v>
      </c>
      <c r="Q895" s="1" t="s">
        <v>41</v>
      </c>
      <c r="R895">
        <v>1</v>
      </c>
      <c r="S895" s="1" t="s">
        <v>28</v>
      </c>
      <c r="T895" s="1" t="s">
        <v>28</v>
      </c>
      <c r="U895" s="1" t="s">
        <v>29</v>
      </c>
    </row>
    <row r="896" spans="1:21" x14ac:dyDescent="0.3">
      <c r="A896" s="1" t="s">
        <v>17</v>
      </c>
      <c r="B896">
        <v>18</v>
      </c>
      <c r="C896" s="1" t="s">
        <v>18</v>
      </c>
      <c r="D896" s="1" t="s">
        <v>36</v>
      </c>
      <c r="E896">
        <v>1169</v>
      </c>
      <c r="F896" s="1" t="s">
        <v>47</v>
      </c>
      <c r="G896" s="1" t="s">
        <v>21</v>
      </c>
      <c r="H896">
        <v>4</v>
      </c>
      <c r="I896" s="1" t="s">
        <v>39</v>
      </c>
      <c r="J896" s="1" t="s">
        <v>23</v>
      </c>
      <c r="K896">
        <v>3</v>
      </c>
      <c r="L896" s="1" t="s">
        <v>48</v>
      </c>
      <c r="M896">
        <v>29</v>
      </c>
      <c r="N896" s="1" t="s">
        <v>23</v>
      </c>
      <c r="O896" s="1" t="s">
        <v>26</v>
      </c>
      <c r="P896">
        <v>2</v>
      </c>
      <c r="Q896" s="1" t="s">
        <v>41</v>
      </c>
      <c r="R896">
        <v>1</v>
      </c>
      <c r="S896" s="1" t="s">
        <v>28</v>
      </c>
      <c r="T896" s="1" t="s">
        <v>28</v>
      </c>
      <c r="U896" s="1" t="s">
        <v>29</v>
      </c>
    </row>
    <row r="897" spans="1:21" x14ac:dyDescent="0.3">
      <c r="A897" s="1" t="s">
        <v>17</v>
      </c>
      <c r="B897">
        <v>36</v>
      </c>
      <c r="C897" s="1" t="s">
        <v>59</v>
      </c>
      <c r="D897" s="1" t="s">
        <v>69</v>
      </c>
      <c r="E897">
        <v>8947</v>
      </c>
      <c r="F897" s="1" t="s">
        <v>47</v>
      </c>
      <c r="G897" s="1" t="s">
        <v>49</v>
      </c>
      <c r="H897">
        <v>3</v>
      </c>
      <c r="I897" s="1" t="s">
        <v>39</v>
      </c>
      <c r="J897" s="1" t="s">
        <v>23</v>
      </c>
      <c r="K897">
        <v>2</v>
      </c>
      <c r="L897" s="1" t="s">
        <v>40</v>
      </c>
      <c r="M897">
        <v>31</v>
      </c>
      <c r="N897" s="1" t="s">
        <v>67</v>
      </c>
      <c r="O897" s="1" t="s">
        <v>26</v>
      </c>
      <c r="P897">
        <v>1</v>
      </c>
      <c r="Q897" s="1" t="s">
        <v>63</v>
      </c>
      <c r="R897">
        <v>2</v>
      </c>
      <c r="S897" s="1" t="s">
        <v>28</v>
      </c>
      <c r="T897" s="1" t="s">
        <v>28</v>
      </c>
      <c r="U897" s="1" t="s">
        <v>29</v>
      </c>
    </row>
    <row r="898" spans="1:21" x14ac:dyDescent="0.3">
      <c r="A898" s="1" t="s">
        <v>35</v>
      </c>
      <c r="B898">
        <v>21</v>
      </c>
      <c r="C898" s="1" t="s">
        <v>31</v>
      </c>
      <c r="D898" s="1" t="s">
        <v>36</v>
      </c>
      <c r="E898">
        <v>2606</v>
      </c>
      <c r="F898" s="1" t="s">
        <v>32</v>
      </c>
      <c r="G898" s="1" t="s">
        <v>45</v>
      </c>
      <c r="H898">
        <v>4</v>
      </c>
      <c r="I898" s="1" t="s">
        <v>22</v>
      </c>
      <c r="J898" s="1" t="s">
        <v>23</v>
      </c>
      <c r="K898">
        <v>4</v>
      </c>
      <c r="L898" s="1" t="s">
        <v>48</v>
      </c>
      <c r="M898">
        <v>28</v>
      </c>
      <c r="N898" s="1" t="s">
        <v>23</v>
      </c>
      <c r="O898" s="1" t="s">
        <v>34</v>
      </c>
      <c r="P898">
        <v>1</v>
      </c>
      <c r="Q898" s="1" t="s">
        <v>63</v>
      </c>
      <c r="R898">
        <v>1</v>
      </c>
      <c r="S898" s="1" t="s">
        <v>28</v>
      </c>
      <c r="T898" s="1" t="s">
        <v>28</v>
      </c>
      <c r="U898" s="1" t="s">
        <v>29</v>
      </c>
    </row>
    <row r="899" spans="1:21" x14ac:dyDescent="0.3">
      <c r="A899" s="1" t="s">
        <v>17</v>
      </c>
      <c r="B899">
        <v>12</v>
      </c>
      <c r="C899" s="1" t="s">
        <v>18</v>
      </c>
      <c r="D899" s="1" t="s">
        <v>53</v>
      </c>
      <c r="E899">
        <v>1592</v>
      </c>
      <c r="F899" s="1" t="s">
        <v>20</v>
      </c>
      <c r="G899" s="1" t="s">
        <v>49</v>
      </c>
      <c r="H899">
        <v>3</v>
      </c>
      <c r="I899" s="1" t="s">
        <v>22</v>
      </c>
      <c r="J899" s="1" t="s">
        <v>23</v>
      </c>
      <c r="K899">
        <v>2</v>
      </c>
      <c r="L899" s="1" t="s">
        <v>48</v>
      </c>
      <c r="M899">
        <v>35</v>
      </c>
      <c r="N899" s="1" t="s">
        <v>23</v>
      </c>
      <c r="O899" s="1" t="s">
        <v>26</v>
      </c>
      <c r="P899">
        <v>1</v>
      </c>
      <c r="Q899" s="1" t="s">
        <v>41</v>
      </c>
      <c r="R899">
        <v>1</v>
      </c>
      <c r="S899" s="1" t="s">
        <v>23</v>
      </c>
      <c r="T899" s="1" t="s">
        <v>60</v>
      </c>
      <c r="U899" s="1" t="s">
        <v>29</v>
      </c>
    </row>
    <row r="900" spans="1:21" x14ac:dyDescent="0.3">
      <c r="A900" s="1" t="s">
        <v>17</v>
      </c>
      <c r="B900">
        <v>15</v>
      </c>
      <c r="C900" s="1" t="s">
        <v>31</v>
      </c>
      <c r="D900" s="1" t="s">
        <v>53</v>
      </c>
      <c r="E900">
        <v>2186</v>
      </c>
      <c r="F900" s="1" t="s">
        <v>47</v>
      </c>
      <c r="G900" s="1" t="s">
        <v>49</v>
      </c>
      <c r="H900">
        <v>1</v>
      </c>
      <c r="I900" s="1" t="s">
        <v>22</v>
      </c>
      <c r="J900" s="1" t="s">
        <v>23</v>
      </c>
      <c r="K900">
        <v>4</v>
      </c>
      <c r="L900" s="1" t="s">
        <v>24</v>
      </c>
      <c r="M900">
        <v>33</v>
      </c>
      <c r="N900" s="1" t="s">
        <v>25</v>
      </c>
      <c r="O900" s="1" t="s">
        <v>34</v>
      </c>
      <c r="P900">
        <v>1</v>
      </c>
      <c r="Q900" s="1" t="s">
        <v>27</v>
      </c>
      <c r="R900">
        <v>1</v>
      </c>
      <c r="S900" s="1" t="s">
        <v>23</v>
      </c>
      <c r="T900" s="1" t="s">
        <v>28</v>
      </c>
      <c r="U900" s="1" t="s">
        <v>29</v>
      </c>
    </row>
    <row r="901" spans="1:21" x14ac:dyDescent="0.3">
      <c r="A901" s="1" t="s">
        <v>35</v>
      </c>
      <c r="B901">
        <v>18</v>
      </c>
      <c r="C901" s="1" t="s">
        <v>31</v>
      </c>
      <c r="D901" s="1" t="s">
        <v>53</v>
      </c>
      <c r="E901">
        <v>4153</v>
      </c>
      <c r="F901" s="1" t="s">
        <v>32</v>
      </c>
      <c r="G901" s="1" t="s">
        <v>21</v>
      </c>
      <c r="H901">
        <v>2</v>
      </c>
      <c r="I901" s="1" t="s">
        <v>39</v>
      </c>
      <c r="J901" s="1" t="s">
        <v>55</v>
      </c>
      <c r="K901">
        <v>3</v>
      </c>
      <c r="L901" s="1" t="s">
        <v>40</v>
      </c>
      <c r="M901">
        <v>42</v>
      </c>
      <c r="N901" s="1" t="s">
        <v>23</v>
      </c>
      <c r="O901" s="1" t="s">
        <v>26</v>
      </c>
      <c r="P901">
        <v>1</v>
      </c>
      <c r="Q901" s="1" t="s">
        <v>41</v>
      </c>
      <c r="R901">
        <v>1</v>
      </c>
      <c r="S901" s="1" t="s">
        <v>23</v>
      </c>
      <c r="T901" s="1" t="s">
        <v>28</v>
      </c>
      <c r="U901" s="1" t="s">
        <v>56</v>
      </c>
    </row>
    <row r="902" spans="1:21" x14ac:dyDescent="0.3">
      <c r="A902" s="1" t="s">
        <v>35</v>
      </c>
      <c r="B902">
        <v>16</v>
      </c>
      <c r="C902" s="1" t="s">
        <v>18</v>
      </c>
      <c r="D902" s="1" t="s">
        <v>19</v>
      </c>
      <c r="E902">
        <v>2625</v>
      </c>
      <c r="F902" s="1" t="s">
        <v>32</v>
      </c>
      <c r="G902" s="1" t="s">
        <v>38</v>
      </c>
      <c r="H902">
        <v>2</v>
      </c>
      <c r="I902" s="1" t="s">
        <v>39</v>
      </c>
      <c r="J902" s="1" t="s">
        <v>58</v>
      </c>
      <c r="K902">
        <v>4</v>
      </c>
      <c r="L902" s="1" t="s">
        <v>48</v>
      </c>
      <c r="M902">
        <v>43</v>
      </c>
      <c r="N902" s="1" t="s">
        <v>25</v>
      </c>
      <c r="O902" s="1" t="s">
        <v>34</v>
      </c>
      <c r="P902">
        <v>1</v>
      </c>
      <c r="Q902" s="1" t="s">
        <v>41</v>
      </c>
      <c r="R902">
        <v>1</v>
      </c>
      <c r="S902" s="1" t="s">
        <v>28</v>
      </c>
      <c r="T902" s="1" t="s">
        <v>28</v>
      </c>
      <c r="U902" s="1" t="s">
        <v>56</v>
      </c>
    </row>
    <row r="903" spans="1:21" x14ac:dyDescent="0.3">
      <c r="A903" s="1" t="s">
        <v>17</v>
      </c>
      <c r="B903">
        <v>20</v>
      </c>
      <c r="C903" s="1" t="s">
        <v>18</v>
      </c>
      <c r="D903" s="1" t="s">
        <v>19</v>
      </c>
      <c r="E903">
        <v>3485</v>
      </c>
      <c r="F903" s="1" t="s">
        <v>47</v>
      </c>
      <c r="G903" s="1" t="s">
        <v>45</v>
      </c>
      <c r="H903">
        <v>2</v>
      </c>
      <c r="I903" s="1" t="s">
        <v>64</v>
      </c>
      <c r="J903" s="1" t="s">
        <v>23</v>
      </c>
      <c r="K903">
        <v>4</v>
      </c>
      <c r="L903" s="1" t="s">
        <v>24</v>
      </c>
      <c r="M903">
        <v>44</v>
      </c>
      <c r="N903" s="1" t="s">
        <v>23</v>
      </c>
      <c r="O903" s="1" t="s">
        <v>26</v>
      </c>
      <c r="P903">
        <v>2</v>
      </c>
      <c r="Q903" s="1" t="s">
        <v>41</v>
      </c>
      <c r="R903">
        <v>1</v>
      </c>
      <c r="S903" s="1" t="s">
        <v>28</v>
      </c>
      <c r="T903" s="1" t="s">
        <v>28</v>
      </c>
      <c r="U903" s="1" t="s">
        <v>29</v>
      </c>
    </row>
    <row r="904" spans="1:21" x14ac:dyDescent="0.3">
      <c r="A904" s="1" t="s">
        <v>17</v>
      </c>
      <c r="B904">
        <v>36</v>
      </c>
      <c r="C904" s="1" t="s">
        <v>18</v>
      </c>
      <c r="D904" s="1" t="s">
        <v>69</v>
      </c>
      <c r="E904">
        <v>10477</v>
      </c>
      <c r="F904" s="1" t="s">
        <v>47</v>
      </c>
      <c r="G904" s="1" t="s">
        <v>38</v>
      </c>
      <c r="H904">
        <v>2</v>
      </c>
      <c r="I904" s="1" t="s">
        <v>39</v>
      </c>
      <c r="J904" s="1" t="s">
        <v>23</v>
      </c>
      <c r="K904">
        <v>4</v>
      </c>
      <c r="L904" s="1" t="s">
        <v>65</v>
      </c>
      <c r="M904">
        <v>42</v>
      </c>
      <c r="N904" s="1" t="s">
        <v>23</v>
      </c>
      <c r="O904" s="1" t="s">
        <v>66</v>
      </c>
      <c r="P904">
        <v>2</v>
      </c>
      <c r="Q904" s="1" t="s">
        <v>41</v>
      </c>
      <c r="R904">
        <v>1</v>
      </c>
      <c r="S904" s="1" t="s">
        <v>23</v>
      </c>
      <c r="T904" s="1" t="s">
        <v>28</v>
      </c>
      <c r="U904" s="1" t="s">
        <v>29</v>
      </c>
    </row>
    <row r="905" spans="1:21" x14ac:dyDescent="0.3">
      <c r="A905" s="1" t="s">
        <v>17</v>
      </c>
      <c r="B905">
        <v>15</v>
      </c>
      <c r="C905" s="1" t="s">
        <v>31</v>
      </c>
      <c r="D905" s="1" t="s">
        <v>36</v>
      </c>
      <c r="E905">
        <v>1386</v>
      </c>
      <c r="F905" s="1" t="s">
        <v>47</v>
      </c>
      <c r="G905" s="1" t="s">
        <v>21</v>
      </c>
      <c r="H905">
        <v>4</v>
      </c>
      <c r="I905" s="1" t="s">
        <v>33</v>
      </c>
      <c r="J905" s="1" t="s">
        <v>23</v>
      </c>
      <c r="K905">
        <v>2</v>
      </c>
      <c r="L905" s="1" t="s">
        <v>24</v>
      </c>
      <c r="M905">
        <v>40</v>
      </c>
      <c r="N905" s="1" t="s">
        <v>23</v>
      </c>
      <c r="O905" s="1" t="s">
        <v>34</v>
      </c>
      <c r="P905">
        <v>1</v>
      </c>
      <c r="Q905" s="1" t="s">
        <v>41</v>
      </c>
      <c r="R905">
        <v>1</v>
      </c>
      <c r="S905" s="1" t="s">
        <v>28</v>
      </c>
      <c r="T905" s="1" t="s">
        <v>28</v>
      </c>
      <c r="U905" s="1" t="s">
        <v>29</v>
      </c>
    </row>
    <row r="906" spans="1:21" x14ac:dyDescent="0.3">
      <c r="A906" s="1" t="s">
        <v>17</v>
      </c>
      <c r="B906">
        <v>24</v>
      </c>
      <c r="C906" s="1" t="s">
        <v>31</v>
      </c>
      <c r="D906" s="1" t="s">
        <v>36</v>
      </c>
      <c r="E906">
        <v>1278</v>
      </c>
      <c r="F906" s="1" t="s">
        <v>32</v>
      </c>
      <c r="G906" s="1" t="s">
        <v>38</v>
      </c>
      <c r="H906">
        <v>4</v>
      </c>
      <c r="I906" s="1" t="s">
        <v>39</v>
      </c>
      <c r="J906" s="1" t="s">
        <v>23</v>
      </c>
      <c r="K906">
        <v>1</v>
      </c>
      <c r="L906" s="1" t="s">
        <v>24</v>
      </c>
      <c r="M906">
        <v>36</v>
      </c>
      <c r="N906" s="1" t="s">
        <v>23</v>
      </c>
      <c r="O906" s="1" t="s">
        <v>26</v>
      </c>
      <c r="P906">
        <v>1</v>
      </c>
      <c r="Q906" s="1" t="s">
        <v>63</v>
      </c>
      <c r="R906">
        <v>1</v>
      </c>
      <c r="S906" s="1" t="s">
        <v>28</v>
      </c>
      <c r="T906" s="1" t="s">
        <v>28</v>
      </c>
      <c r="U906" s="1" t="s">
        <v>29</v>
      </c>
    </row>
    <row r="907" spans="1:21" x14ac:dyDescent="0.3">
      <c r="A907" s="1" t="s">
        <v>35</v>
      </c>
      <c r="B907">
        <v>12</v>
      </c>
      <c r="C907" s="1" t="s">
        <v>31</v>
      </c>
      <c r="D907" s="1" t="s">
        <v>36</v>
      </c>
      <c r="E907">
        <v>1107</v>
      </c>
      <c r="F907" s="1" t="s">
        <v>32</v>
      </c>
      <c r="G907" s="1" t="s">
        <v>21</v>
      </c>
      <c r="H907">
        <v>2</v>
      </c>
      <c r="I907" s="1" t="s">
        <v>39</v>
      </c>
      <c r="J907" s="1" t="s">
        <v>23</v>
      </c>
      <c r="K907">
        <v>2</v>
      </c>
      <c r="L907" s="1" t="s">
        <v>24</v>
      </c>
      <c r="M907">
        <v>20</v>
      </c>
      <c r="N907" s="1" t="s">
        <v>23</v>
      </c>
      <c r="O907" s="1" t="s">
        <v>34</v>
      </c>
      <c r="P907">
        <v>1</v>
      </c>
      <c r="Q907" s="1" t="s">
        <v>63</v>
      </c>
      <c r="R907">
        <v>2</v>
      </c>
      <c r="S907" s="1" t="s">
        <v>28</v>
      </c>
      <c r="T907" s="1" t="s">
        <v>28</v>
      </c>
      <c r="U907" s="1" t="s">
        <v>29</v>
      </c>
    </row>
    <row r="908" spans="1:21" x14ac:dyDescent="0.3">
      <c r="A908" s="1" t="s">
        <v>35</v>
      </c>
      <c r="B908">
        <v>21</v>
      </c>
      <c r="C908" s="1" t="s">
        <v>31</v>
      </c>
      <c r="D908" s="1" t="s">
        <v>19</v>
      </c>
      <c r="E908">
        <v>3763</v>
      </c>
      <c r="F908" s="1" t="s">
        <v>47</v>
      </c>
      <c r="G908" s="1" t="s">
        <v>49</v>
      </c>
      <c r="H908">
        <v>2</v>
      </c>
      <c r="I908" s="1" t="s">
        <v>39</v>
      </c>
      <c r="J908" s="1" t="s">
        <v>55</v>
      </c>
      <c r="K908">
        <v>2</v>
      </c>
      <c r="L908" s="1" t="s">
        <v>24</v>
      </c>
      <c r="M908">
        <v>24</v>
      </c>
      <c r="N908" s="1" t="s">
        <v>23</v>
      </c>
      <c r="O908" s="1" t="s">
        <v>26</v>
      </c>
      <c r="P908">
        <v>1</v>
      </c>
      <c r="Q908" s="1" t="s">
        <v>27</v>
      </c>
      <c r="R908">
        <v>1</v>
      </c>
      <c r="S908" s="1" t="s">
        <v>23</v>
      </c>
      <c r="T908" s="1" t="s">
        <v>60</v>
      </c>
      <c r="U908" s="1" t="s">
        <v>29</v>
      </c>
    </row>
    <row r="909" spans="1:21" x14ac:dyDescent="0.3">
      <c r="A909" s="1" t="s">
        <v>30</v>
      </c>
      <c r="B909">
        <v>36</v>
      </c>
      <c r="C909" s="1" t="s">
        <v>31</v>
      </c>
      <c r="D909" s="1" t="s">
        <v>51</v>
      </c>
      <c r="E909">
        <v>3711</v>
      </c>
      <c r="F909" s="1" t="s">
        <v>47</v>
      </c>
      <c r="G909" s="1" t="s">
        <v>21</v>
      </c>
      <c r="H909">
        <v>2</v>
      </c>
      <c r="I909" s="1" t="s">
        <v>33</v>
      </c>
      <c r="J909" s="1" t="s">
        <v>23</v>
      </c>
      <c r="K909">
        <v>2</v>
      </c>
      <c r="L909" s="1" t="s">
        <v>40</v>
      </c>
      <c r="M909">
        <v>27</v>
      </c>
      <c r="N909" s="1" t="s">
        <v>23</v>
      </c>
      <c r="O909" s="1" t="s">
        <v>26</v>
      </c>
      <c r="P909">
        <v>1</v>
      </c>
      <c r="Q909" s="1" t="s">
        <v>41</v>
      </c>
      <c r="R909">
        <v>1</v>
      </c>
      <c r="S909" s="1" t="s">
        <v>23</v>
      </c>
      <c r="T909" s="1" t="s">
        <v>28</v>
      </c>
      <c r="U909" s="1" t="s">
        <v>29</v>
      </c>
    </row>
    <row r="910" spans="1:21" x14ac:dyDescent="0.3">
      <c r="A910" s="1" t="s">
        <v>17</v>
      </c>
      <c r="B910">
        <v>15</v>
      </c>
      <c r="C910" s="1" t="s">
        <v>59</v>
      </c>
      <c r="D910" s="1" t="s">
        <v>69</v>
      </c>
      <c r="E910">
        <v>3594</v>
      </c>
      <c r="F910" s="1" t="s">
        <v>32</v>
      </c>
      <c r="G910" s="1" t="s">
        <v>45</v>
      </c>
      <c r="H910">
        <v>1</v>
      </c>
      <c r="I910" s="1" t="s">
        <v>22</v>
      </c>
      <c r="J910" s="1" t="s">
        <v>23</v>
      </c>
      <c r="K910">
        <v>2</v>
      </c>
      <c r="L910" s="1" t="s">
        <v>48</v>
      </c>
      <c r="M910">
        <v>46</v>
      </c>
      <c r="N910" s="1" t="s">
        <v>23</v>
      </c>
      <c r="O910" s="1" t="s">
        <v>26</v>
      </c>
      <c r="P910">
        <v>2</v>
      </c>
      <c r="Q910" s="1" t="s">
        <v>27</v>
      </c>
      <c r="R910">
        <v>1</v>
      </c>
      <c r="S910" s="1" t="s">
        <v>23</v>
      </c>
      <c r="T910" s="1" t="s">
        <v>28</v>
      </c>
      <c r="U910" s="1" t="s">
        <v>29</v>
      </c>
    </row>
    <row r="911" spans="1:21" x14ac:dyDescent="0.3">
      <c r="A911" s="1" t="s">
        <v>30</v>
      </c>
      <c r="B911">
        <v>9</v>
      </c>
      <c r="C911" s="1" t="s">
        <v>31</v>
      </c>
      <c r="D911" s="1" t="s">
        <v>19</v>
      </c>
      <c r="E911">
        <v>3195</v>
      </c>
      <c r="F911" s="1" t="s">
        <v>47</v>
      </c>
      <c r="G911" s="1" t="s">
        <v>21</v>
      </c>
      <c r="H911">
        <v>1</v>
      </c>
      <c r="I911" s="1" t="s">
        <v>22</v>
      </c>
      <c r="J911" s="1" t="s">
        <v>23</v>
      </c>
      <c r="K911">
        <v>2</v>
      </c>
      <c r="L911" s="1" t="s">
        <v>24</v>
      </c>
      <c r="M911">
        <v>33</v>
      </c>
      <c r="N911" s="1" t="s">
        <v>23</v>
      </c>
      <c r="O911" s="1" t="s">
        <v>26</v>
      </c>
      <c r="P911">
        <v>1</v>
      </c>
      <c r="Q911" s="1" t="s">
        <v>27</v>
      </c>
      <c r="R911">
        <v>1</v>
      </c>
      <c r="S911" s="1" t="s">
        <v>23</v>
      </c>
      <c r="T911" s="1" t="s">
        <v>28</v>
      </c>
      <c r="U911" s="1" t="s">
        <v>29</v>
      </c>
    </row>
    <row r="912" spans="1:21" x14ac:dyDescent="0.3">
      <c r="A912" s="1" t="s">
        <v>17</v>
      </c>
      <c r="B912">
        <v>36</v>
      </c>
      <c r="C912" s="1" t="s">
        <v>59</v>
      </c>
      <c r="D912" s="1" t="s">
        <v>36</v>
      </c>
      <c r="E912">
        <v>4454</v>
      </c>
      <c r="F912" s="1" t="s">
        <v>32</v>
      </c>
      <c r="G912" s="1" t="s">
        <v>21</v>
      </c>
      <c r="H912">
        <v>4</v>
      </c>
      <c r="I912" s="1" t="s">
        <v>22</v>
      </c>
      <c r="J912" s="1" t="s">
        <v>23</v>
      </c>
      <c r="K912">
        <v>4</v>
      </c>
      <c r="L912" s="1" t="s">
        <v>24</v>
      </c>
      <c r="M912">
        <v>34</v>
      </c>
      <c r="N912" s="1" t="s">
        <v>23</v>
      </c>
      <c r="O912" s="1" t="s">
        <v>26</v>
      </c>
      <c r="P912">
        <v>2</v>
      </c>
      <c r="Q912" s="1" t="s">
        <v>41</v>
      </c>
      <c r="R912">
        <v>1</v>
      </c>
      <c r="S912" s="1" t="s">
        <v>23</v>
      </c>
      <c r="T912" s="1" t="s">
        <v>28</v>
      </c>
      <c r="U912" s="1" t="s">
        <v>29</v>
      </c>
    </row>
    <row r="913" spans="1:21" x14ac:dyDescent="0.3">
      <c r="A913" s="1" t="s">
        <v>30</v>
      </c>
      <c r="B913">
        <v>24</v>
      </c>
      <c r="C913" s="1" t="s">
        <v>18</v>
      </c>
      <c r="D913" s="1" t="s">
        <v>53</v>
      </c>
      <c r="E913">
        <v>4736</v>
      </c>
      <c r="F913" s="1" t="s">
        <v>32</v>
      </c>
      <c r="G913" s="1" t="s">
        <v>45</v>
      </c>
      <c r="H913">
        <v>2</v>
      </c>
      <c r="I913" s="1" t="s">
        <v>22</v>
      </c>
      <c r="J913" s="1" t="s">
        <v>23</v>
      </c>
      <c r="K913">
        <v>4</v>
      </c>
      <c r="L913" s="1" t="s">
        <v>40</v>
      </c>
      <c r="M913">
        <v>25</v>
      </c>
      <c r="N913" s="1" t="s">
        <v>25</v>
      </c>
      <c r="O913" s="1" t="s">
        <v>26</v>
      </c>
      <c r="P913">
        <v>1</v>
      </c>
      <c r="Q913" s="1" t="s">
        <v>27</v>
      </c>
      <c r="R913">
        <v>1</v>
      </c>
      <c r="S913" s="1" t="s">
        <v>23</v>
      </c>
      <c r="T913" s="1" t="s">
        <v>28</v>
      </c>
      <c r="U913" s="1" t="s">
        <v>56</v>
      </c>
    </row>
    <row r="914" spans="1:21" x14ac:dyDescent="0.3">
      <c r="A914" s="1" t="s">
        <v>30</v>
      </c>
      <c r="B914">
        <v>30</v>
      </c>
      <c r="C914" s="1" t="s">
        <v>31</v>
      </c>
      <c r="D914" s="1" t="s">
        <v>36</v>
      </c>
      <c r="E914">
        <v>2991</v>
      </c>
      <c r="F914" s="1" t="s">
        <v>47</v>
      </c>
      <c r="G914" s="1" t="s">
        <v>38</v>
      </c>
      <c r="H914">
        <v>2</v>
      </c>
      <c r="I914" s="1" t="s">
        <v>22</v>
      </c>
      <c r="J914" s="1" t="s">
        <v>23</v>
      </c>
      <c r="K914">
        <v>4</v>
      </c>
      <c r="L914" s="1" t="s">
        <v>40</v>
      </c>
      <c r="M914">
        <v>25</v>
      </c>
      <c r="N914" s="1" t="s">
        <v>23</v>
      </c>
      <c r="O914" s="1" t="s">
        <v>26</v>
      </c>
      <c r="P914">
        <v>1</v>
      </c>
      <c r="Q914" s="1" t="s">
        <v>41</v>
      </c>
      <c r="R914">
        <v>1</v>
      </c>
      <c r="S914" s="1" t="s">
        <v>23</v>
      </c>
      <c r="T914" s="1" t="s">
        <v>28</v>
      </c>
      <c r="U914" s="1" t="s">
        <v>29</v>
      </c>
    </row>
    <row r="915" spans="1:21" x14ac:dyDescent="0.3">
      <c r="A915" s="1" t="s">
        <v>17</v>
      </c>
      <c r="B915">
        <v>11</v>
      </c>
      <c r="C915" s="1" t="s">
        <v>31</v>
      </c>
      <c r="D915" s="1" t="s">
        <v>61</v>
      </c>
      <c r="E915">
        <v>2142</v>
      </c>
      <c r="F915" s="1" t="s">
        <v>20</v>
      </c>
      <c r="G915" s="1" t="s">
        <v>38</v>
      </c>
      <c r="H915">
        <v>1</v>
      </c>
      <c r="I915" s="1" t="s">
        <v>64</v>
      </c>
      <c r="J915" s="1" t="s">
        <v>23</v>
      </c>
      <c r="K915">
        <v>2</v>
      </c>
      <c r="L915" s="1" t="s">
        <v>24</v>
      </c>
      <c r="M915">
        <v>28</v>
      </c>
      <c r="N915" s="1" t="s">
        <v>23</v>
      </c>
      <c r="O915" s="1" t="s">
        <v>26</v>
      </c>
      <c r="P915">
        <v>1</v>
      </c>
      <c r="Q915" s="1" t="s">
        <v>41</v>
      </c>
      <c r="R915">
        <v>1</v>
      </c>
      <c r="S915" s="1" t="s">
        <v>28</v>
      </c>
      <c r="T915" s="1" t="s">
        <v>28</v>
      </c>
      <c r="U915" s="1" t="s">
        <v>29</v>
      </c>
    </row>
    <row r="916" spans="1:21" x14ac:dyDescent="0.3">
      <c r="A916" s="1" t="s">
        <v>35</v>
      </c>
      <c r="B916">
        <v>24</v>
      </c>
      <c r="C916" s="1" t="s">
        <v>42</v>
      </c>
      <c r="D916" s="1" t="s">
        <v>61</v>
      </c>
      <c r="E916">
        <v>3161</v>
      </c>
      <c r="F916" s="1" t="s">
        <v>32</v>
      </c>
      <c r="G916" s="1" t="s">
        <v>21</v>
      </c>
      <c r="H916">
        <v>4</v>
      </c>
      <c r="I916" s="1" t="s">
        <v>39</v>
      </c>
      <c r="J916" s="1" t="s">
        <v>23</v>
      </c>
      <c r="K916">
        <v>2</v>
      </c>
      <c r="L916" s="1" t="s">
        <v>48</v>
      </c>
      <c r="M916">
        <v>31</v>
      </c>
      <c r="N916" s="1" t="s">
        <v>23</v>
      </c>
      <c r="O916" s="1" t="s">
        <v>34</v>
      </c>
      <c r="P916">
        <v>1</v>
      </c>
      <c r="Q916" s="1" t="s">
        <v>41</v>
      </c>
      <c r="R916">
        <v>1</v>
      </c>
      <c r="S916" s="1" t="s">
        <v>28</v>
      </c>
      <c r="T916" s="1" t="s">
        <v>28</v>
      </c>
      <c r="U916" s="1" t="s">
        <v>56</v>
      </c>
    </row>
    <row r="917" spans="1:21" x14ac:dyDescent="0.3">
      <c r="A917" s="1" t="s">
        <v>30</v>
      </c>
      <c r="B917">
        <v>48</v>
      </c>
      <c r="C917" s="1" t="s">
        <v>52</v>
      </c>
      <c r="D917" s="1" t="s">
        <v>68</v>
      </c>
      <c r="E917">
        <v>18424</v>
      </c>
      <c r="F917" s="1" t="s">
        <v>32</v>
      </c>
      <c r="G917" s="1" t="s">
        <v>21</v>
      </c>
      <c r="H917">
        <v>1</v>
      </c>
      <c r="I917" s="1" t="s">
        <v>22</v>
      </c>
      <c r="J917" s="1" t="s">
        <v>23</v>
      </c>
      <c r="K917">
        <v>2</v>
      </c>
      <c r="L917" s="1" t="s">
        <v>48</v>
      </c>
      <c r="M917">
        <v>32</v>
      </c>
      <c r="N917" s="1" t="s">
        <v>25</v>
      </c>
      <c r="O917" s="1" t="s">
        <v>26</v>
      </c>
      <c r="P917">
        <v>1</v>
      </c>
      <c r="Q917" s="1" t="s">
        <v>63</v>
      </c>
      <c r="R917">
        <v>1</v>
      </c>
      <c r="S917" s="1" t="s">
        <v>28</v>
      </c>
      <c r="T917" s="1" t="s">
        <v>60</v>
      </c>
      <c r="U917" s="1" t="s">
        <v>56</v>
      </c>
    </row>
    <row r="918" spans="1:21" x14ac:dyDescent="0.3">
      <c r="A918" s="1" t="s">
        <v>17</v>
      </c>
      <c r="B918">
        <v>10</v>
      </c>
      <c r="C918" s="1" t="s">
        <v>31</v>
      </c>
      <c r="D918" s="1" t="s">
        <v>69</v>
      </c>
      <c r="E918">
        <v>2848</v>
      </c>
      <c r="F918" s="1" t="s">
        <v>46</v>
      </c>
      <c r="G918" s="1" t="s">
        <v>21</v>
      </c>
      <c r="H918">
        <v>1</v>
      </c>
      <c r="I918" s="1" t="s">
        <v>39</v>
      </c>
      <c r="J918" s="1" t="s">
        <v>55</v>
      </c>
      <c r="K918">
        <v>2</v>
      </c>
      <c r="L918" s="1" t="s">
        <v>24</v>
      </c>
      <c r="M918">
        <v>32</v>
      </c>
      <c r="N918" s="1" t="s">
        <v>23</v>
      </c>
      <c r="O918" s="1" t="s">
        <v>26</v>
      </c>
      <c r="P918">
        <v>1</v>
      </c>
      <c r="Q918" s="1" t="s">
        <v>41</v>
      </c>
      <c r="R918">
        <v>2</v>
      </c>
      <c r="S918" s="1" t="s">
        <v>23</v>
      </c>
      <c r="T918" s="1" t="s">
        <v>28</v>
      </c>
      <c r="U918" s="1" t="s">
        <v>29</v>
      </c>
    </row>
    <row r="919" spans="1:21" x14ac:dyDescent="0.3">
      <c r="A919" s="1" t="s">
        <v>35</v>
      </c>
      <c r="B919">
        <v>6</v>
      </c>
      <c r="C919" s="1" t="s">
        <v>31</v>
      </c>
      <c r="D919" s="1" t="s">
        <v>19</v>
      </c>
      <c r="E919">
        <v>14896</v>
      </c>
      <c r="F919" s="1" t="s">
        <v>32</v>
      </c>
      <c r="G919" s="1" t="s">
        <v>38</v>
      </c>
      <c r="H919">
        <v>1</v>
      </c>
      <c r="I919" s="1" t="s">
        <v>39</v>
      </c>
      <c r="J919" s="1" t="s">
        <v>23</v>
      </c>
      <c r="K919">
        <v>4</v>
      </c>
      <c r="L919" s="1" t="s">
        <v>65</v>
      </c>
      <c r="M919">
        <v>68</v>
      </c>
      <c r="N919" s="1" t="s">
        <v>25</v>
      </c>
      <c r="O919" s="1" t="s">
        <v>26</v>
      </c>
      <c r="P919">
        <v>1</v>
      </c>
      <c r="Q919" s="1" t="s">
        <v>63</v>
      </c>
      <c r="R919">
        <v>1</v>
      </c>
      <c r="S919" s="1" t="s">
        <v>28</v>
      </c>
      <c r="T919" s="1" t="s">
        <v>28</v>
      </c>
      <c r="U919" s="1" t="s">
        <v>56</v>
      </c>
    </row>
    <row r="920" spans="1:21" x14ac:dyDescent="0.3">
      <c r="A920" s="1" t="s">
        <v>35</v>
      </c>
      <c r="B920">
        <v>24</v>
      </c>
      <c r="C920" s="1" t="s">
        <v>31</v>
      </c>
      <c r="D920" s="1" t="s">
        <v>53</v>
      </c>
      <c r="E920">
        <v>2359</v>
      </c>
      <c r="F920" s="1" t="s">
        <v>46</v>
      </c>
      <c r="G920" s="1" t="s">
        <v>54</v>
      </c>
      <c r="H920">
        <v>1</v>
      </c>
      <c r="I920" s="1" t="s">
        <v>64</v>
      </c>
      <c r="J920" s="1" t="s">
        <v>23</v>
      </c>
      <c r="K920">
        <v>1</v>
      </c>
      <c r="L920" s="1" t="s">
        <v>48</v>
      </c>
      <c r="M920">
        <v>33</v>
      </c>
      <c r="N920" s="1" t="s">
        <v>23</v>
      </c>
      <c r="O920" s="1" t="s">
        <v>26</v>
      </c>
      <c r="P920">
        <v>1</v>
      </c>
      <c r="Q920" s="1" t="s">
        <v>41</v>
      </c>
      <c r="R920">
        <v>1</v>
      </c>
      <c r="S920" s="1" t="s">
        <v>23</v>
      </c>
      <c r="T920" s="1" t="s">
        <v>28</v>
      </c>
      <c r="U920" s="1" t="s">
        <v>56</v>
      </c>
    </row>
    <row r="921" spans="1:21" x14ac:dyDescent="0.3">
      <c r="A921" s="1" t="s">
        <v>35</v>
      </c>
      <c r="B921">
        <v>24</v>
      </c>
      <c r="C921" s="1" t="s">
        <v>31</v>
      </c>
      <c r="D921" s="1" t="s">
        <v>53</v>
      </c>
      <c r="E921">
        <v>3345</v>
      </c>
      <c r="F921" s="1" t="s">
        <v>32</v>
      </c>
      <c r="G921" s="1" t="s">
        <v>38</v>
      </c>
      <c r="H921">
        <v>4</v>
      </c>
      <c r="I921" s="1" t="s">
        <v>39</v>
      </c>
      <c r="J921" s="1" t="s">
        <v>23</v>
      </c>
      <c r="K921">
        <v>2</v>
      </c>
      <c r="L921" s="1" t="s">
        <v>48</v>
      </c>
      <c r="M921">
        <v>39</v>
      </c>
      <c r="N921" s="1" t="s">
        <v>23</v>
      </c>
      <c r="O921" s="1" t="s">
        <v>34</v>
      </c>
      <c r="P921">
        <v>1</v>
      </c>
      <c r="Q921" s="1" t="s">
        <v>63</v>
      </c>
      <c r="R921">
        <v>1</v>
      </c>
      <c r="S921" s="1" t="s">
        <v>28</v>
      </c>
      <c r="T921" s="1" t="s">
        <v>28</v>
      </c>
      <c r="U921" s="1" t="s">
        <v>56</v>
      </c>
    </row>
    <row r="922" spans="1:21" x14ac:dyDescent="0.3">
      <c r="A922" s="1" t="s">
        <v>17</v>
      </c>
      <c r="B922">
        <v>18</v>
      </c>
      <c r="C922" s="1" t="s">
        <v>18</v>
      </c>
      <c r="D922" s="1" t="s">
        <v>53</v>
      </c>
      <c r="E922">
        <v>1817</v>
      </c>
      <c r="F922" s="1" t="s">
        <v>32</v>
      </c>
      <c r="G922" s="1" t="s">
        <v>21</v>
      </c>
      <c r="H922">
        <v>4</v>
      </c>
      <c r="I922" s="1" t="s">
        <v>22</v>
      </c>
      <c r="J922" s="1" t="s">
        <v>23</v>
      </c>
      <c r="K922">
        <v>2</v>
      </c>
      <c r="L922" s="1" t="s">
        <v>65</v>
      </c>
      <c r="M922">
        <v>28</v>
      </c>
      <c r="N922" s="1" t="s">
        <v>23</v>
      </c>
      <c r="O922" s="1" t="s">
        <v>26</v>
      </c>
      <c r="P922">
        <v>2</v>
      </c>
      <c r="Q922" s="1" t="s">
        <v>41</v>
      </c>
      <c r="R922">
        <v>1</v>
      </c>
      <c r="S922" s="1" t="s">
        <v>23</v>
      </c>
      <c r="T922" s="1" t="s">
        <v>28</v>
      </c>
      <c r="U922" s="1" t="s">
        <v>29</v>
      </c>
    </row>
    <row r="923" spans="1:21" x14ac:dyDescent="0.3">
      <c r="A923" s="1" t="s">
        <v>17</v>
      </c>
      <c r="B923">
        <v>48</v>
      </c>
      <c r="C923" s="1" t="s">
        <v>59</v>
      </c>
      <c r="D923" s="1" t="s">
        <v>36</v>
      </c>
      <c r="E923">
        <v>12749</v>
      </c>
      <c r="F923" s="1" t="s">
        <v>37</v>
      </c>
      <c r="G923" s="1" t="s">
        <v>49</v>
      </c>
      <c r="H923">
        <v>4</v>
      </c>
      <c r="I923" s="1" t="s">
        <v>39</v>
      </c>
      <c r="J923" s="1" t="s">
        <v>23</v>
      </c>
      <c r="K923">
        <v>1</v>
      </c>
      <c r="L923" s="1" t="s">
        <v>40</v>
      </c>
      <c r="M923">
        <v>37</v>
      </c>
      <c r="N923" s="1" t="s">
        <v>23</v>
      </c>
      <c r="O923" s="1" t="s">
        <v>26</v>
      </c>
      <c r="P923">
        <v>1</v>
      </c>
      <c r="Q923" s="1" t="s">
        <v>63</v>
      </c>
      <c r="R923">
        <v>1</v>
      </c>
      <c r="S923" s="1" t="s">
        <v>28</v>
      </c>
      <c r="T923" s="1" t="s">
        <v>28</v>
      </c>
      <c r="U923" s="1" t="s">
        <v>29</v>
      </c>
    </row>
    <row r="924" spans="1:21" x14ac:dyDescent="0.3">
      <c r="A924" s="1" t="s">
        <v>35</v>
      </c>
      <c r="B924">
        <v>9</v>
      </c>
      <c r="C924" s="1" t="s">
        <v>31</v>
      </c>
      <c r="D924" s="1" t="s">
        <v>36</v>
      </c>
      <c r="E924">
        <v>1366</v>
      </c>
      <c r="F924" s="1" t="s">
        <v>32</v>
      </c>
      <c r="G924" s="1" t="s">
        <v>45</v>
      </c>
      <c r="H924">
        <v>3</v>
      </c>
      <c r="I924" s="1" t="s">
        <v>22</v>
      </c>
      <c r="J924" s="1" t="s">
        <v>23</v>
      </c>
      <c r="K924">
        <v>4</v>
      </c>
      <c r="L924" s="1" t="s">
        <v>48</v>
      </c>
      <c r="M924">
        <v>22</v>
      </c>
      <c r="N924" s="1" t="s">
        <v>23</v>
      </c>
      <c r="O924" s="1" t="s">
        <v>34</v>
      </c>
      <c r="P924">
        <v>1</v>
      </c>
      <c r="Q924" s="1" t="s">
        <v>41</v>
      </c>
      <c r="R924">
        <v>1</v>
      </c>
      <c r="S924" s="1" t="s">
        <v>23</v>
      </c>
      <c r="T924" s="1" t="s">
        <v>28</v>
      </c>
      <c r="U924" s="1" t="s">
        <v>56</v>
      </c>
    </row>
    <row r="925" spans="1:21" x14ac:dyDescent="0.3">
      <c r="A925" s="1" t="s">
        <v>30</v>
      </c>
      <c r="B925">
        <v>12</v>
      </c>
      <c r="C925" s="1" t="s">
        <v>31</v>
      </c>
      <c r="D925" s="1" t="s">
        <v>19</v>
      </c>
      <c r="E925">
        <v>2002</v>
      </c>
      <c r="F925" s="1" t="s">
        <v>32</v>
      </c>
      <c r="G925" s="1" t="s">
        <v>49</v>
      </c>
      <c r="H925">
        <v>3</v>
      </c>
      <c r="I925" s="1" t="s">
        <v>39</v>
      </c>
      <c r="J925" s="1" t="s">
        <v>23</v>
      </c>
      <c r="K925">
        <v>4</v>
      </c>
      <c r="L925" s="1" t="s">
        <v>48</v>
      </c>
      <c r="M925">
        <v>30</v>
      </c>
      <c r="N925" s="1" t="s">
        <v>23</v>
      </c>
      <c r="O925" s="1" t="s">
        <v>34</v>
      </c>
      <c r="P925">
        <v>1</v>
      </c>
      <c r="Q925" s="1" t="s">
        <v>41</v>
      </c>
      <c r="R925">
        <v>2</v>
      </c>
      <c r="S925" s="1" t="s">
        <v>28</v>
      </c>
      <c r="T925" s="1" t="s">
        <v>28</v>
      </c>
      <c r="U925" s="1" t="s">
        <v>29</v>
      </c>
    </row>
    <row r="926" spans="1:21" x14ac:dyDescent="0.3">
      <c r="A926" s="1" t="s">
        <v>35</v>
      </c>
      <c r="B926">
        <v>24</v>
      </c>
      <c r="C926" s="1" t="s">
        <v>42</v>
      </c>
      <c r="D926" s="1" t="s">
        <v>53</v>
      </c>
      <c r="E926">
        <v>6872</v>
      </c>
      <c r="F926" s="1" t="s">
        <v>32</v>
      </c>
      <c r="G926" s="1" t="s">
        <v>45</v>
      </c>
      <c r="H926">
        <v>2</v>
      </c>
      <c r="I926" s="1" t="s">
        <v>64</v>
      </c>
      <c r="J926" s="1" t="s">
        <v>23</v>
      </c>
      <c r="K926">
        <v>1</v>
      </c>
      <c r="L926" s="1" t="s">
        <v>48</v>
      </c>
      <c r="M926">
        <v>55</v>
      </c>
      <c r="N926" s="1" t="s">
        <v>25</v>
      </c>
      <c r="O926" s="1" t="s">
        <v>26</v>
      </c>
      <c r="P926">
        <v>1</v>
      </c>
      <c r="Q926" s="1" t="s">
        <v>41</v>
      </c>
      <c r="R926">
        <v>1</v>
      </c>
      <c r="S926" s="1" t="s">
        <v>28</v>
      </c>
      <c r="T926" s="1" t="s">
        <v>28</v>
      </c>
      <c r="U926" s="1" t="s">
        <v>56</v>
      </c>
    </row>
    <row r="927" spans="1:21" x14ac:dyDescent="0.3">
      <c r="A927" s="1" t="s">
        <v>35</v>
      </c>
      <c r="B927">
        <v>12</v>
      </c>
      <c r="C927" s="1" t="s">
        <v>42</v>
      </c>
      <c r="D927" s="1" t="s">
        <v>19</v>
      </c>
      <c r="E927">
        <v>697</v>
      </c>
      <c r="F927" s="1" t="s">
        <v>32</v>
      </c>
      <c r="G927" s="1" t="s">
        <v>45</v>
      </c>
      <c r="H927">
        <v>4</v>
      </c>
      <c r="I927" s="1" t="s">
        <v>39</v>
      </c>
      <c r="J927" s="1" t="s">
        <v>23</v>
      </c>
      <c r="K927">
        <v>2</v>
      </c>
      <c r="L927" s="1" t="s">
        <v>40</v>
      </c>
      <c r="M927">
        <v>46</v>
      </c>
      <c r="N927" s="1" t="s">
        <v>25</v>
      </c>
      <c r="O927" s="1" t="s">
        <v>26</v>
      </c>
      <c r="P927">
        <v>2</v>
      </c>
      <c r="Q927" s="1" t="s">
        <v>41</v>
      </c>
      <c r="R927">
        <v>1</v>
      </c>
      <c r="S927" s="1" t="s">
        <v>28</v>
      </c>
      <c r="T927" s="1" t="s">
        <v>28</v>
      </c>
      <c r="U927" s="1" t="s">
        <v>56</v>
      </c>
    </row>
    <row r="928" spans="1:21" x14ac:dyDescent="0.3">
      <c r="A928" s="1" t="s">
        <v>35</v>
      </c>
      <c r="B928">
        <v>18</v>
      </c>
      <c r="C928" s="1" t="s">
        <v>18</v>
      </c>
      <c r="D928" s="1" t="s">
        <v>53</v>
      </c>
      <c r="E928">
        <v>1049</v>
      </c>
      <c r="F928" s="1" t="s">
        <v>32</v>
      </c>
      <c r="G928" s="1" t="s">
        <v>45</v>
      </c>
      <c r="H928">
        <v>4</v>
      </c>
      <c r="I928" s="1" t="s">
        <v>22</v>
      </c>
      <c r="J928" s="1" t="s">
        <v>23</v>
      </c>
      <c r="K928">
        <v>4</v>
      </c>
      <c r="L928" s="1" t="s">
        <v>48</v>
      </c>
      <c r="M928">
        <v>21</v>
      </c>
      <c r="N928" s="1" t="s">
        <v>23</v>
      </c>
      <c r="O928" s="1" t="s">
        <v>34</v>
      </c>
      <c r="P928">
        <v>1</v>
      </c>
      <c r="Q928" s="1" t="s">
        <v>41</v>
      </c>
      <c r="R928">
        <v>1</v>
      </c>
      <c r="S928" s="1" t="s">
        <v>23</v>
      </c>
      <c r="T928" s="1" t="s">
        <v>28</v>
      </c>
      <c r="U928" s="1" t="s">
        <v>29</v>
      </c>
    </row>
    <row r="929" spans="1:21" x14ac:dyDescent="0.3">
      <c r="A929" s="1" t="s">
        <v>35</v>
      </c>
      <c r="B929">
        <v>48</v>
      </c>
      <c r="C929" s="1" t="s">
        <v>31</v>
      </c>
      <c r="D929" s="1" t="s">
        <v>69</v>
      </c>
      <c r="E929">
        <v>10297</v>
      </c>
      <c r="F929" s="1" t="s">
        <v>32</v>
      </c>
      <c r="G929" s="1" t="s">
        <v>49</v>
      </c>
      <c r="H929">
        <v>4</v>
      </c>
      <c r="I929" s="1" t="s">
        <v>39</v>
      </c>
      <c r="J929" s="1" t="s">
        <v>23</v>
      </c>
      <c r="K929">
        <v>4</v>
      </c>
      <c r="L929" s="1" t="s">
        <v>65</v>
      </c>
      <c r="M929">
        <v>39</v>
      </c>
      <c r="N929" s="1" t="s">
        <v>67</v>
      </c>
      <c r="O929" s="1" t="s">
        <v>66</v>
      </c>
      <c r="P929">
        <v>3</v>
      </c>
      <c r="Q929" s="1" t="s">
        <v>41</v>
      </c>
      <c r="R929">
        <v>2</v>
      </c>
      <c r="S929" s="1" t="s">
        <v>28</v>
      </c>
      <c r="T929" s="1" t="s">
        <v>28</v>
      </c>
      <c r="U929" s="1" t="s">
        <v>56</v>
      </c>
    </row>
    <row r="930" spans="1:21" x14ac:dyDescent="0.3">
      <c r="A930" s="1" t="s">
        <v>17</v>
      </c>
      <c r="B930">
        <v>30</v>
      </c>
      <c r="C930" s="1" t="s">
        <v>31</v>
      </c>
      <c r="D930" s="1" t="s">
        <v>36</v>
      </c>
      <c r="E930">
        <v>1867</v>
      </c>
      <c r="F930" s="1" t="s">
        <v>47</v>
      </c>
      <c r="G930" s="1" t="s">
        <v>38</v>
      </c>
      <c r="H930">
        <v>4</v>
      </c>
      <c r="I930" s="1" t="s">
        <v>39</v>
      </c>
      <c r="J930" s="1" t="s">
        <v>23</v>
      </c>
      <c r="K930">
        <v>4</v>
      </c>
      <c r="L930" s="1" t="s">
        <v>40</v>
      </c>
      <c r="M930">
        <v>58</v>
      </c>
      <c r="N930" s="1" t="s">
        <v>23</v>
      </c>
      <c r="O930" s="1" t="s">
        <v>26</v>
      </c>
      <c r="P930">
        <v>1</v>
      </c>
      <c r="Q930" s="1" t="s">
        <v>41</v>
      </c>
      <c r="R930">
        <v>1</v>
      </c>
      <c r="S930" s="1" t="s">
        <v>28</v>
      </c>
      <c r="T930" s="1" t="s">
        <v>28</v>
      </c>
      <c r="U930" s="1" t="s">
        <v>29</v>
      </c>
    </row>
    <row r="931" spans="1:21" x14ac:dyDescent="0.3">
      <c r="A931" s="1" t="s">
        <v>35</v>
      </c>
      <c r="B931">
        <v>12</v>
      </c>
      <c r="C931" s="1" t="s">
        <v>59</v>
      </c>
      <c r="D931" s="1" t="s">
        <v>19</v>
      </c>
      <c r="E931">
        <v>1344</v>
      </c>
      <c r="F931" s="1" t="s">
        <v>32</v>
      </c>
      <c r="G931" s="1" t="s">
        <v>21</v>
      </c>
      <c r="H931">
        <v>4</v>
      </c>
      <c r="I931" s="1" t="s">
        <v>39</v>
      </c>
      <c r="J931" s="1" t="s">
        <v>23</v>
      </c>
      <c r="K931">
        <v>2</v>
      </c>
      <c r="L931" s="1" t="s">
        <v>24</v>
      </c>
      <c r="M931">
        <v>43</v>
      </c>
      <c r="N931" s="1" t="s">
        <v>23</v>
      </c>
      <c r="O931" s="1" t="s">
        <v>26</v>
      </c>
      <c r="P931">
        <v>2</v>
      </c>
      <c r="Q931" s="1" t="s">
        <v>27</v>
      </c>
      <c r="R931">
        <v>2</v>
      </c>
      <c r="S931" s="1" t="s">
        <v>23</v>
      </c>
      <c r="T931" s="1" t="s">
        <v>28</v>
      </c>
      <c r="U931" s="1" t="s">
        <v>29</v>
      </c>
    </row>
    <row r="932" spans="1:21" x14ac:dyDescent="0.3">
      <c r="A932" s="1" t="s">
        <v>35</v>
      </c>
      <c r="B932">
        <v>24</v>
      </c>
      <c r="C932" s="1" t="s">
        <v>31</v>
      </c>
      <c r="D932" s="1" t="s">
        <v>53</v>
      </c>
      <c r="E932">
        <v>1747</v>
      </c>
      <c r="F932" s="1" t="s">
        <v>32</v>
      </c>
      <c r="G932" s="1" t="s">
        <v>45</v>
      </c>
      <c r="H932">
        <v>4</v>
      </c>
      <c r="I932" s="1" t="s">
        <v>39</v>
      </c>
      <c r="J932" s="1" t="s">
        <v>55</v>
      </c>
      <c r="K932">
        <v>1</v>
      </c>
      <c r="L932" s="1" t="s">
        <v>48</v>
      </c>
      <c r="M932">
        <v>24</v>
      </c>
      <c r="N932" s="1" t="s">
        <v>23</v>
      </c>
      <c r="O932" s="1" t="s">
        <v>26</v>
      </c>
      <c r="P932">
        <v>1</v>
      </c>
      <c r="Q932" s="1" t="s">
        <v>27</v>
      </c>
      <c r="R932">
        <v>1</v>
      </c>
      <c r="S932" s="1" t="s">
        <v>23</v>
      </c>
      <c r="T932" s="1" t="s">
        <v>60</v>
      </c>
      <c r="U932" s="1" t="s">
        <v>29</v>
      </c>
    </row>
    <row r="933" spans="1:21" x14ac:dyDescent="0.3">
      <c r="A933" s="1" t="s">
        <v>30</v>
      </c>
      <c r="B933">
        <v>9</v>
      </c>
      <c r="C933" s="1" t="s">
        <v>31</v>
      </c>
      <c r="D933" s="1" t="s">
        <v>36</v>
      </c>
      <c r="E933">
        <v>1670</v>
      </c>
      <c r="F933" s="1" t="s">
        <v>32</v>
      </c>
      <c r="G933" s="1" t="s">
        <v>45</v>
      </c>
      <c r="H933">
        <v>4</v>
      </c>
      <c r="I933" s="1" t="s">
        <v>22</v>
      </c>
      <c r="J933" s="1" t="s">
        <v>23</v>
      </c>
      <c r="K933">
        <v>2</v>
      </c>
      <c r="L933" s="1" t="s">
        <v>40</v>
      </c>
      <c r="M933">
        <v>22</v>
      </c>
      <c r="N933" s="1" t="s">
        <v>23</v>
      </c>
      <c r="O933" s="1" t="s">
        <v>26</v>
      </c>
      <c r="P933">
        <v>1</v>
      </c>
      <c r="Q933" s="1" t="s">
        <v>41</v>
      </c>
      <c r="R933">
        <v>1</v>
      </c>
      <c r="S933" s="1" t="s">
        <v>28</v>
      </c>
      <c r="T933" s="1" t="s">
        <v>28</v>
      </c>
      <c r="U933" s="1" t="s">
        <v>56</v>
      </c>
    </row>
    <row r="934" spans="1:21" x14ac:dyDescent="0.3">
      <c r="A934" s="1" t="s">
        <v>17</v>
      </c>
      <c r="B934">
        <v>9</v>
      </c>
      <c r="C934" s="1" t="s">
        <v>18</v>
      </c>
      <c r="D934" s="1" t="s">
        <v>19</v>
      </c>
      <c r="E934">
        <v>1224</v>
      </c>
      <c r="F934" s="1" t="s">
        <v>32</v>
      </c>
      <c r="G934" s="1" t="s">
        <v>21</v>
      </c>
      <c r="H934">
        <v>3</v>
      </c>
      <c r="I934" s="1" t="s">
        <v>39</v>
      </c>
      <c r="J934" s="1" t="s">
        <v>23</v>
      </c>
      <c r="K934">
        <v>1</v>
      </c>
      <c r="L934" s="1" t="s">
        <v>24</v>
      </c>
      <c r="M934">
        <v>30</v>
      </c>
      <c r="N934" s="1" t="s">
        <v>23</v>
      </c>
      <c r="O934" s="1" t="s">
        <v>26</v>
      </c>
      <c r="P934">
        <v>2</v>
      </c>
      <c r="Q934" s="1" t="s">
        <v>41</v>
      </c>
      <c r="R934">
        <v>1</v>
      </c>
      <c r="S934" s="1" t="s">
        <v>23</v>
      </c>
      <c r="T934" s="1" t="s">
        <v>28</v>
      </c>
      <c r="U934" s="1" t="s">
        <v>29</v>
      </c>
    </row>
    <row r="935" spans="1:21" x14ac:dyDescent="0.3">
      <c r="A935" s="1" t="s">
        <v>17</v>
      </c>
      <c r="B935">
        <v>12</v>
      </c>
      <c r="C935" s="1" t="s">
        <v>18</v>
      </c>
      <c r="D935" s="1" t="s">
        <v>36</v>
      </c>
      <c r="E935">
        <v>522</v>
      </c>
      <c r="F935" s="1" t="s">
        <v>37</v>
      </c>
      <c r="G935" s="1" t="s">
        <v>38</v>
      </c>
      <c r="H935">
        <v>4</v>
      </c>
      <c r="I935" s="1" t="s">
        <v>39</v>
      </c>
      <c r="J935" s="1" t="s">
        <v>23</v>
      </c>
      <c r="K935">
        <v>4</v>
      </c>
      <c r="L935" s="1" t="s">
        <v>48</v>
      </c>
      <c r="M935">
        <v>42</v>
      </c>
      <c r="N935" s="1" t="s">
        <v>23</v>
      </c>
      <c r="O935" s="1" t="s">
        <v>26</v>
      </c>
      <c r="P935">
        <v>2</v>
      </c>
      <c r="Q935" s="1" t="s">
        <v>41</v>
      </c>
      <c r="R935">
        <v>2</v>
      </c>
      <c r="S935" s="1" t="s">
        <v>28</v>
      </c>
      <c r="T935" s="1" t="s">
        <v>28</v>
      </c>
      <c r="U935" s="1" t="s">
        <v>29</v>
      </c>
    </row>
    <row r="936" spans="1:21" x14ac:dyDescent="0.3">
      <c r="A936" s="1" t="s">
        <v>35</v>
      </c>
      <c r="B936">
        <v>12</v>
      </c>
      <c r="C936" s="1" t="s">
        <v>31</v>
      </c>
      <c r="D936" s="1" t="s">
        <v>36</v>
      </c>
      <c r="E936">
        <v>1498</v>
      </c>
      <c r="F936" s="1" t="s">
        <v>32</v>
      </c>
      <c r="G936" s="1" t="s">
        <v>21</v>
      </c>
      <c r="H936">
        <v>4</v>
      </c>
      <c r="I936" s="1" t="s">
        <v>22</v>
      </c>
      <c r="J936" s="1" t="s">
        <v>23</v>
      </c>
      <c r="K936">
        <v>1</v>
      </c>
      <c r="L936" s="1" t="s">
        <v>40</v>
      </c>
      <c r="M936">
        <v>23</v>
      </c>
      <c r="N936" s="1" t="s">
        <v>25</v>
      </c>
      <c r="O936" s="1" t="s">
        <v>26</v>
      </c>
      <c r="P936">
        <v>1</v>
      </c>
      <c r="Q936" s="1" t="s">
        <v>41</v>
      </c>
      <c r="R936">
        <v>1</v>
      </c>
      <c r="S936" s="1" t="s">
        <v>23</v>
      </c>
      <c r="T936" s="1" t="s">
        <v>28</v>
      </c>
      <c r="U936" s="1" t="s">
        <v>29</v>
      </c>
    </row>
    <row r="937" spans="1:21" x14ac:dyDescent="0.3">
      <c r="A937" s="1" t="s">
        <v>30</v>
      </c>
      <c r="B937">
        <v>30</v>
      </c>
      <c r="C937" s="1" t="s">
        <v>59</v>
      </c>
      <c r="D937" s="1" t="s">
        <v>36</v>
      </c>
      <c r="E937">
        <v>1919</v>
      </c>
      <c r="F937" s="1" t="s">
        <v>46</v>
      </c>
      <c r="G937" s="1" t="s">
        <v>45</v>
      </c>
      <c r="H937">
        <v>4</v>
      </c>
      <c r="I937" s="1" t="s">
        <v>39</v>
      </c>
      <c r="J937" s="1" t="s">
        <v>23</v>
      </c>
      <c r="K937">
        <v>3</v>
      </c>
      <c r="L937" s="1" t="s">
        <v>65</v>
      </c>
      <c r="M937">
        <v>30</v>
      </c>
      <c r="N937" s="1" t="s">
        <v>67</v>
      </c>
      <c r="O937" s="1" t="s">
        <v>26</v>
      </c>
      <c r="P937">
        <v>2</v>
      </c>
      <c r="Q937" s="1" t="s">
        <v>63</v>
      </c>
      <c r="R937">
        <v>1</v>
      </c>
      <c r="S937" s="1" t="s">
        <v>23</v>
      </c>
      <c r="T937" s="1" t="s">
        <v>28</v>
      </c>
      <c r="U937" s="1" t="s">
        <v>56</v>
      </c>
    </row>
    <row r="938" spans="1:21" x14ac:dyDescent="0.3">
      <c r="A938" s="1" t="s">
        <v>50</v>
      </c>
      <c r="B938">
        <v>9</v>
      </c>
      <c r="C938" s="1" t="s">
        <v>31</v>
      </c>
      <c r="D938" s="1" t="s">
        <v>36</v>
      </c>
      <c r="E938">
        <v>745</v>
      </c>
      <c r="F938" s="1" t="s">
        <v>32</v>
      </c>
      <c r="G938" s="1" t="s">
        <v>21</v>
      </c>
      <c r="H938">
        <v>3</v>
      </c>
      <c r="I938" s="1" t="s">
        <v>22</v>
      </c>
      <c r="J938" s="1" t="s">
        <v>23</v>
      </c>
      <c r="K938">
        <v>2</v>
      </c>
      <c r="L938" s="1" t="s">
        <v>24</v>
      </c>
      <c r="M938">
        <v>28</v>
      </c>
      <c r="N938" s="1" t="s">
        <v>23</v>
      </c>
      <c r="O938" s="1" t="s">
        <v>26</v>
      </c>
      <c r="P938">
        <v>1</v>
      </c>
      <c r="Q938" s="1" t="s">
        <v>27</v>
      </c>
      <c r="R938">
        <v>1</v>
      </c>
      <c r="S938" s="1" t="s">
        <v>23</v>
      </c>
      <c r="T938" s="1" t="s">
        <v>28</v>
      </c>
      <c r="U938" s="1" t="s">
        <v>56</v>
      </c>
    </row>
    <row r="939" spans="1:21" x14ac:dyDescent="0.3">
      <c r="A939" s="1" t="s">
        <v>30</v>
      </c>
      <c r="B939">
        <v>6</v>
      </c>
      <c r="C939" s="1" t="s">
        <v>31</v>
      </c>
      <c r="D939" s="1" t="s">
        <v>36</v>
      </c>
      <c r="E939">
        <v>2063</v>
      </c>
      <c r="F939" s="1" t="s">
        <v>32</v>
      </c>
      <c r="G939" s="1" t="s">
        <v>45</v>
      </c>
      <c r="H939">
        <v>4</v>
      </c>
      <c r="I939" s="1" t="s">
        <v>33</v>
      </c>
      <c r="J939" s="1" t="s">
        <v>23</v>
      </c>
      <c r="K939">
        <v>3</v>
      </c>
      <c r="L939" s="1" t="s">
        <v>40</v>
      </c>
      <c r="M939">
        <v>30</v>
      </c>
      <c r="N939" s="1" t="s">
        <v>23</v>
      </c>
      <c r="O939" s="1" t="s">
        <v>34</v>
      </c>
      <c r="P939">
        <v>1</v>
      </c>
      <c r="Q939" s="1" t="s">
        <v>63</v>
      </c>
      <c r="R939">
        <v>1</v>
      </c>
      <c r="S939" s="1" t="s">
        <v>28</v>
      </c>
      <c r="T939" s="1" t="s">
        <v>28</v>
      </c>
      <c r="U939" s="1" t="s">
        <v>29</v>
      </c>
    </row>
    <row r="940" spans="1:21" x14ac:dyDescent="0.3">
      <c r="A940" s="1" t="s">
        <v>30</v>
      </c>
      <c r="B940">
        <v>60</v>
      </c>
      <c r="C940" s="1" t="s">
        <v>31</v>
      </c>
      <c r="D940" s="1" t="s">
        <v>51</v>
      </c>
      <c r="E940">
        <v>6288</v>
      </c>
      <c r="F940" s="1" t="s">
        <v>32</v>
      </c>
      <c r="G940" s="1" t="s">
        <v>21</v>
      </c>
      <c r="H940">
        <v>4</v>
      </c>
      <c r="I940" s="1" t="s">
        <v>39</v>
      </c>
      <c r="J940" s="1" t="s">
        <v>23</v>
      </c>
      <c r="K940">
        <v>4</v>
      </c>
      <c r="L940" s="1" t="s">
        <v>65</v>
      </c>
      <c r="M940">
        <v>42</v>
      </c>
      <c r="N940" s="1" t="s">
        <v>23</v>
      </c>
      <c r="O940" s="1" t="s">
        <v>66</v>
      </c>
      <c r="P940">
        <v>1</v>
      </c>
      <c r="Q940" s="1" t="s">
        <v>41</v>
      </c>
      <c r="R940">
        <v>1</v>
      </c>
      <c r="S940" s="1" t="s">
        <v>23</v>
      </c>
      <c r="T940" s="1" t="s">
        <v>28</v>
      </c>
      <c r="U940" s="1" t="s">
        <v>56</v>
      </c>
    </row>
    <row r="941" spans="1:21" x14ac:dyDescent="0.3">
      <c r="A941" s="1" t="s">
        <v>17</v>
      </c>
      <c r="B941">
        <v>24</v>
      </c>
      <c r="C941" s="1" t="s">
        <v>18</v>
      </c>
      <c r="D941" s="1" t="s">
        <v>69</v>
      </c>
      <c r="E941">
        <v>6842</v>
      </c>
      <c r="F941" s="1" t="s">
        <v>47</v>
      </c>
      <c r="G941" s="1" t="s">
        <v>21</v>
      </c>
      <c r="H941">
        <v>2</v>
      </c>
      <c r="I941" s="1" t="s">
        <v>39</v>
      </c>
      <c r="J941" s="1" t="s">
        <v>23</v>
      </c>
      <c r="K941">
        <v>4</v>
      </c>
      <c r="L941" s="1" t="s">
        <v>48</v>
      </c>
      <c r="M941">
        <v>46</v>
      </c>
      <c r="N941" s="1" t="s">
        <v>23</v>
      </c>
      <c r="O941" s="1" t="s">
        <v>26</v>
      </c>
      <c r="P941">
        <v>2</v>
      </c>
      <c r="Q941" s="1" t="s">
        <v>63</v>
      </c>
      <c r="R941">
        <v>2</v>
      </c>
      <c r="S941" s="1" t="s">
        <v>28</v>
      </c>
      <c r="T941" s="1" t="s">
        <v>28</v>
      </c>
      <c r="U941" s="1" t="s">
        <v>29</v>
      </c>
    </row>
    <row r="942" spans="1:21" x14ac:dyDescent="0.3">
      <c r="A942" s="1" t="s">
        <v>17</v>
      </c>
      <c r="B942">
        <v>12</v>
      </c>
      <c r="C942" s="1" t="s">
        <v>31</v>
      </c>
      <c r="D942" s="1" t="s">
        <v>19</v>
      </c>
      <c r="E942">
        <v>3527</v>
      </c>
      <c r="F942" s="1" t="s">
        <v>47</v>
      </c>
      <c r="G942" s="1" t="s">
        <v>45</v>
      </c>
      <c r="H942">
        <v>2</v>
      </c>
      <c r="I942" s="1" t="s">
        <v>39</v>
      </c>
      <c r="J942" s="1" t="s">
        <v>23</v>
      </c>
      <c r="K942">
        <v>3</v>
      </c>
      <c r="L942" s="1" t="s">
        <v>48</v>
      </c>
      <c r="M942">
        <v>45</v>
      </c>
      <c r="N942" s="1" t="s">
        <v>23</v>
      </c>
      <c r="O942" s="1" t="s">
        <v>26</v>
      </c>
      <c r="P942">
        <v>1</v>
      </c>
      <c r="Q942" s="1" t="s">
        <v>63</v>
      </c>
      <c r="R942">
        <v>2</v>
      </c>
      <c r="S942" s="1" t="s">
        <v>28</v>
      </c>
      <c r="T942" s="1" t="s">
        <v>28</v>
      </c>
      <c r="U942" s="1" t="s">
        <v>29</v>
      </c>
    </row>
    <row r="943" spans="1:21" x14ac:dyDescent="0.3">
      <c r="A943" s="1" t="s">
        <v>17</v>
      </c>
      <c r="B943">
        <v>10</v>
      </c>
      <c r="C943" s="1" t="s">
        <v>31</v>
      </c>
      <c r="D943" s="1" t="s">
        <v>19</v>
      </c>
      <c r="E943">
        <v>1546</v>
      </c>
      <c r="F943" s="1" t="s">
        <v>32</v>
      </c>
      <c r="G943" s="1" t="s">
        <v>21</v>
      </c>
      <c r="H943">
        <v>3</v>
      </c>
      <c r="I943" s="1" t="s">
        <v>39</v>
      </c>
      <c r="J943" s="1" t="s">
        <v>23</v>
      </c>
      <c r="K943">
        <v>2</v>
      </c>
      <c r="L943" s="1" t="s">
        <v>24</v>
      </c>
      <c r="M943">
        <v>31</v>
      </c>
      <c r="N943" s="1" t="s">
        <v>23</v>
      </c>
      <c r="O943" s="1" t="s">
        <v>26</v>
      </c>
      <c r="P943">
        <v>1</v>
      </c>
      <c r="Q943" s="1" t="s">
        <v>27</v>
      </c>
      <c r="R943">
        <v>2</v>
      </c>
      <c r="S943" s="1" t="s">
        <v>23</v>
      </c>
      <c r="T943" s="1" t="s">
        <v>60</v>
      </c>
      <c r="U943" s="1" t="s">
        <v>29</v>
      </c>
    </row>
    <row r="944" spans="1:21" x14ac:dyDescent="0.3">
      <c r="A944" s="1" t="s">
        <v>17</v>
      </c>
      <c r="B944">
        <v>24</v>
      </c>
      <c r="C944" s="1" t="s">
        <v>31</v>
      </c>
      <c r="D944" s="1" t="s">
        <v>53</v>
      </c>
      <c r="E944">
        <v>929</v>
      </c>
      <c r="F944" s="1" t="s">
        <v>47</v>
      </c>
      <c r="G944" s="1" t="s">
        <v>49</v>
      </c>
      <c r="H944">
        <v>4</v>
      </c>
      <c r="I944" s="1" t="s">
        <v>39</v>
      </c>
      <c r="J944" s="1" t="s">
        <v>23</v>
      </c>
      <c r="K944">
        <v>2</v>
      </c>
      <c r="L944" s="1" t="s">
        <v>40</v>
      </c>
      <c r="M944">
        <v>31</v>
      </c>
      <c r="N944" s="1" t="s">
        <v>67</v>
      </c>
      <c r="O944" s="1" t="s">
        <v>26</v>
      </c>
      <c r="P944">
        <v>1</v>
      </c>
      <c r="Q944" s="1" t="s">
        <v>41</v>
      </c>
      <c r="R944">
        <v>1</v>
      </c>
      <c r="S944" s="1" t="s">
        <v>28</v>
      </c>
      <c r="T944" s="1" t="s">
        <v>28</v>
      </c>
      <c r="U944" s="1" t="s">
        <v>29</v>
      </c>
    </row>
    <row r="945" spans="1:21" x14ac:dyDescent="0.3">
      <c r="A945" s="1" t="s">
        <v>17</v>
      </c>
      <c r="B945">
        <v>4</v>
      </c>
      <c r="C945" s="1" t="s">
        <v>18</v>
      </c>
      <c r="D945" s="1" t="s">
        <v>19</v>
      </c>
      <c r="E945">
        <v>1455</v>
      </c>
      <c r="F945" s="1" t="s">
        <v>32</v>
      </c>
      <c r="G945" s="1" t="s">
        <v>49</v>
      </c>
      <c r="H945">
        <v>2</v>
      </c>
      <c r="I945" s="1" t="s">
        <v>39</v>
      </c>
      <c r="J945" s="1" t="s">
        <v>23</v>
      </c>
      <c r="K945">
        <v>1</v>
      </c>
      <c r="L945" s="1" t="s">
        <v>24</v>
      </c>
      <c r="M945">
        <v>42</v>
      </c>
      <c r="N945" s="1" t="s">
        <v>23</v>
      </c>
      <c r="O945" s="1" t="s">
        <v>26</v>
      </c>
      <c r="P945">
        <v>3</v>
      </c>
      <c r="Q945" s="1" t="s">
        <v>27</v>
      </c>
      <c r="R945">
        <v>2</v>
      </c>
      <c r="S945" s="1" t="s">
        <v>23</v>
      </c>
      <c r="T945" s="1" t="s">
        <v>28</v>
      </c>
      <c r="U945" s="1" t="s">
        <v>29</v>
      </c>
    </row>
    <row r="946" spans="1:21" x14ac:dyDescent="0.3">
      <c r="A946" s="1" t="s">
        <v>35</v>
      </c>
      <c r="B946">
        <v>15</v>
      </c>
      <c r="C946" s="1" t="s">
        <v>31</v>
      </c>
      <c r="D946" s="1" t="s">
        <v>53</v>
      </c>
      <c r="E946">
        <v>1845</v>
      </c>
      <c r="F946" s="1" t="s">
        <v>32</v>
      </c>
      <c r="G946" s="1" t="s">
        <v>45</v>
      </c>
      <c r="H946">
        <v>4</v>
      </c>
      <c r="I946" s="1" t="s">
        <v>22</v>
      </c>
      <c r="J946" s="1" t="s">
        <v>58</v>
      </c>
      <c r="K946">
        <v>1</v>
      </c>
      <c r="L946" s="1" t="s">
        <v>48</v>
      </c>
      <c r="M946">
        <v>46</v>
      </c>
      <c r="N946" s="1" t="s">
        <v>23</v>
      </c>
      <c r="O946" s="1" t="s">
        <v>34</v>
      </c>
      <c r="P946">
        <v>1</v>
      </c>
      <c r="Q946" s="1" t="s">
        <v>41</v>
      </c>
      <c r="R946">
        <v>1</v>
      </c>
      <c r="S946" s="1" t="s">
        <v>23</v>
      </c>
      <c r="T946" s="1" t="s">
        <v>28</v>
      </c>
      <c r="U946" s="1" t="s">
        <v>29</v>
      </c>
    </row>
    <row r="947" spans="1:21" x14ac:dyDescent="0.3">
      <c r="A947" s="1" t="s">
        <v>30</v>
      </c>
      <c r="B947">
        <v>48</v>
      </c>
      <c r="C947" s="1" t="s">
        <v>52</v>
      </c>
      <c r="D947" s="1" t="s">
        <v>19</v>
      </c>
      <c r="E947">
        <v>8358</v>
      </c>
      <c r="F947" s="1" t="s">
        <v>37</v>
      </c>
      <c r="G947" s="1" t="s">
        <v>45</v>
      </c>
      <c r="H947">
        <v>1</v>
      </c>
      <c r="I947" s="1" t="s">
        <v>22</v>
      </c>
      <c r="J947" s="1" t="s">
        <v>23</v>
      </c>
      <c r="K947">
        <v>1</v>
      </c>
      <c r="L947" s="1" t="s">
        <v>40</v>
      </c>
      <c r="M947">
        <v>30</v>
      </c>
      <c r="N947" s="1" t="s">
        <v>23</v>
      </c>
      <c r="O947" s="1" t="s">
        <v>26</v>
      </c>
      <c r="P947">
        <v>2</v>
      </c>
      <c r="Q947" s="1" t="s">
        <v>41</v>
      </c>
      <c r="R947">
        <v>1</v>
      </c>
      <c r="S947" s="1" t="s">
        <v>23</v>
      </c>
      <c r="T947" s="1" t="s">
        <v>28</v>
      </c>
      <c r="U947" s="1" t="s">
        <v>29</v>
      </c>
    </row>
    <row r="948" spans="1:21" x14ac:dyDescent="0.3">
      <c r="A948" s="1" t="s">
        <v>35</v>
      </c>
      <c r="B948">
        <v>24</v>
      </c>
      <c r="C948" s="1" t="s">
        <v>42</v>
      </c>
      <c r="D948" s="1" t="s">
        <v>53</v>
      </c>
      <c r="E948">
        <v>3349</v>
      </c>
      <c r="F948" s="1" t="s">
        <v>37</v>
      </c>
      <c r="G948" s="1" t="s">
        <v>45</v>
      </c>
      <c r="H948">
        <v>4</v>
      </c>
      <c r="I948" s="1" t="s">
        <v>39</v>
      </c>
      <c r="J948" s="1" t="s">
        <v>23</v>
      </c>
      <c r="K948">
        <v>4</v>
      </c>
      <c r="L948" s="1" t="s">
        <v>65</v>
      </c>
      <c r="M948">
        <v>30</v>
      </c>
      <c r="N948" s="1" t="s">
        <v>23</v>
      </c>
      <c r="O948" s="1" t="s">
        <v>66</v>
      </c>
      <c r="P948">
        <v>1</v>
      </c>
      <c r="Q948" s="1" t="s">
        <v>41</v>
      </c>
      <c r="R948">
        <v>2</v>
      </c>
      <c r="S948" s="1" t="s">
        <v>28</v>
      </c>
      <c r="T948" s="1" t="s">
        <v>28</v>
      </c>
      <c r="U948" s="1" t="s">
        <v>56</v>
      </c>
    </row>
    <row r="949" spans="1:21" x14ac:dyDescent="0.3">
      <c r="A949" s="1" t="s">
        <v>17</v>
      </c>
      <c r="B949">
        <v>12</v>
      </c>
      <c r="C949" s="1" t="s">
        <v>31</v>
      </c>
      <c r="D949" s="1" t="s">
        <v>19</v>
      </c>
      <c r="E949">
        <v>2859</v>
      </c>
      <c r="F949" s="1" t="s">
        <v>47</v>
      </c>
      <c r="G949" s="1" t="s">
        <v>54</v>
      </c>
      <c r="H949">
        <v>4</v>
      </c>
      <c r="I949" s="1" t="s">
        <v>39</v>
      </c>
      <c r="J949" s="1" t="s">
        <v>23</v>
      </c>
      <c r="K949">
        <v>4</v>
      </c>
      <c r="L949" s="1" t="s">
        <v>65</v>
      </c>
      <c r="M949">
        <v>38</v>
      </c>
      <c r="N949" s="1" t="s">
        <v>23</v>
      </c>
      <c r="O949" s="1" t="s">
        <v>26</v>
      </c>
      <c r="P949">
        <v>1</v>
      </c>
      <c r="Q949" s="1" t="s">
        <v>63</v>
      </c>
      <c r="R949">
        <v>1</v>
      </c>
      <c r="S949" s="1" t="s">
        <v>28</v>
      </c>
      <c r="T949" s="1" t="s">
        <v>28</v>
      </c>
      <c r="U949" s="1" t="s">
        <v>29</v>
      </c>
    </row>
    <row r="950" spans="1:21" x14ac:dyDescent="0.3">
      <c r="A950" s="1" t="s">
        <v>17</v>
      </c>
      <c r="B950">
        <v>18</v>
      </c>
      <c r="C950" s="1" t="s">
        <v>31</v>
      </c>
      <c r="D950" s="1" t="s">
        <v>53</v>
      </c>
      <c r="E950">
        <v>1533</v>
      </c>
      <c r="F950" s="1" t="s">
        <v>32</v>
      </c>
      <c r="G950" s="1" t="s">
        <v>45</v>
      </c>
      <c r="H950">
        <v>4</v>
      </c>
      <c r="I950" s="1" t="s">
        <v>33</v>
      </c>
      <c r="J950" s="1" t="s">
        <v>55</v>
      </c>
      <c r="K950">
        <v>1</v>
      </c>
      <c r="L950" s="1" t="s">
        <v>48</v>
      </c>
      <c r="M950">
        <v>43</v>
      </c>
      <c r="N950" s="1" t="s">
        <v>23</v>
      </c>
      <c r="O950" s="1" t="s">
        <v>26</v>
      </c>
      <c r="P950">
        <v>1</v>
      </c>
      <c r="Q950" s="1" t="s">
        <v>27</v>
      </c>
      <c r="R950">
        <v>2</v>
      </c>
      <c r="S950" s="1" t="s">
        <v>23</v>
      </c>
      <c r="T950" s="1" t="s">
        <v>28</v>
      </c>
      <c r="U950" s="1" t="s">
        <v>56</v>
      </c>
    </row>
    <row r="951" spans="1:21" x14ac:dyDescent="0.3">
      <c r="A951" s="1" t="s">
        <v>17</v>
      </c>
      <c r="B951">
        <v>24</v>
      </c>
      <c r="C951" s="1" t="s">
        <v>31</v>
      </c>
      <c r="D951" s="1" t="s">
        <v>36</v>
      </c>
      <c r="E951">
        <v>3621</v>
      </c>
      <c r="F951" s="1" t="s">
        <v>46</v>
      </c>
      <c r="G951" s="1" t="s">
        <v>38</v>
      </c>
      <c r="H951">
        <v>2</v>
      </c>
      <c r="I951" s="1" t="s">
        <v>39</v>
      </c>
      <c r="J951" s="1" t="s">
        <v>23</v>
      </c>
      <c r="K951">
        <v>4</v>
      </c>
      <c r="L951" s="1" t="s">
        <v>40</v>
      </c>
      <c r="M951">
        <v>31</v>
      </c>
      <c r="N951" s="1" t="s">
        <v>23</v>
      </c>
      <c r="O951" s="1" t="s">
        <v>26</v>
      </c>
      <c r="P951">
        <v>2</v>
      </c>
      <c r="Q951" s="1" t="s">
        <v>41</v>
      </c>
      <c r="R951">
        <v>1</v>
      </c>
      <c r="S951" s="1" t="s">
        <v>23</v>
      </c>
      <c r="T951" s="1" t="s">
        <v>28</v>
      </c>
      <c r="U951" s="1" t="s">
        <v>56</v>
      </c>
    </row>
    <row r="952" spans="1:21" x14ac:dyDescent="0.3">
      <c r="A952" s="1" t="s">
        <v>30</v>
      </c>
      <c r="B952">
        <v>18</v>
      </c>
      <c r="C952" s="1" t="s">
        <v>18</v>
      </c>
      <c r="D952" s="1" t="s">
        <v>61</v>
      </c>
      <c r="E952">
        <v>3590</v>
      </c>
      <c r="F952" s="1" t="s">
        <v>32</v>
      </c>
      <c r="G952" s="1" t="s">
        <v>54</v>
      </c>
      <c r="H952">
        <v>3</v>
      </c>
      <c r="I952" s="1" t="s">
        <v>33</v>
      </c>
      <c r="J952" s="1" t="s">
        <v>23</v>
      </c>
      <c r="K952">
        <v>3</v>
      </c>
      <c r="L952" s="1" t="s">
        <v>40</v>
      </c>
      <c r="M952">
        <v>40</v>
      </c>
      <c r="N952" s="1" t="s">
        <v>23</v>
      </c>
      <c r="O952" s="1" t="s">
        <v>26</v>
      </c>
      <c r="P952">
        <v>3</v>
      </c>
      <c r="Q952" s="1" t="s">
        <v>62</v>
      </c>
      <c r="R952">
        <v>2</v>
      </c>
      <c r="S952" s="1" t="s">
        <v>28</v>
      </c>
      <c r="T952" s="1" t="s">
        <v>28</v>
      </c>
      <c r="U952" s="1" t="s">
        <v>29</v>
      </c>
    </row>
    <row r="953" spans="1:21" x14ac:dyDescent="0.3">
      <c r="A953" s="1" t="s">
        <v>35</v>
      </c>
      <c r="B953">
        <v>36</v>
      </c>
      <c r="C953" s="1" t="s">
        <v>59</v>
      </c>
      <c r="D953" s="1" t="s">
        <v>61</v>
      </c>
      <c r="E953">
        <v>2145</v>
      </c>
      <c r="F953" s="1" t="s">
        <v>32</v>
      </c>
      <c r="G953" s="1" t="s">
        <v>49</v>
      </c>
      <c r="H953">
        <v>2</v>
      </c>
      <c r="I953" s="1" t="s">
        <v>39</v>
      </c>
      <c r="J953" s="1" t="s">
        <v>23</v>
      </c>
      <c r="K953">
        <v>1</v>
      </c>
      <c r="L953" s="1" t="s">
        <v>40</v>
      </c>
      <c r="M953">
        <v>24</v>
      </c>
      <c r="N953" s="1" t="s">
        <v>23</v>
      </c>
      <c r="O953" s="1" t="s">
        <v>26</v>
      </c>
      <c r="P953">
        <v>2</v>
      </c>
      <c r="Q953" s="1" t="s">
        <v>41</v>
      </c>
      <c r="R953">
        <v>1</v>
      </c>
      <c r="S953" s="1" t="s">
        <v>28</v>
      </c>
      <c r="T953" s="1" t="s">
        <v>28</v>
      </c>
      <c r="U953" s="1" t="s">
        <v>56</v>
      </c>
    </row>
    <row r="954" spans="1:21" x14ac:dyDescent="0.3">
      <c r="A954" s="1" t="s">
        <v>30</v>
      </c>
      <c r="B954">
        <v>24</v>
      </c>
      <c r="C954" s="1" t="s">
        <v>31</v>
      </c>
      <c r="D954" s="1" t="s">
        <v>69</v>
      </c>
      <c r="E954">
        <v>4113</v>
      </c>
      <c r="F954" s="1" t="s">
        <v>37</v>
      </c>
      <c r="G954" s="1" t="s">
        <v>45</v>
      </c>
      <c r="H954">
        <v>3</v>
      </c>
      <c r="I954" s="1" t="s">
        <v>22</v>
      </c>
      <c r="J954" s="1" t="s">
        <v>23</v>
      </c>
      <c r="K954">
        <v>4</v>
      </c>
      <c r="L954" s="1" t="s">
        <v>40</v>
      </c>
      <c r="M954">
        <v>28</v>
      </c>
      <c r="N954" s="1" t="s">
        <v>23</v>
      </c>
      <c r="O954" s="1" t="s">
        <v>34</v>
      </c>
      <c r="P954">
        <v>1</v>
      </c>
      <c r="Q954" s="1" t="s">
        <v>41</v>
      </c>
      <c r="R954">
        <v>1</v>
      </c>
      <c r="S954" s="1" t="s">
        <v>23</v>
      </c>
      <c r="T954" s="1" t="s">
        <v>28</v>
      </c>
      <c r="U954" s="1" t="s">
        <v>56</v>
      </c>
    </row>
    <row r="955" spans="1:21" x14ac:dyDescent="0.3">
      <c r="A955" s="1" t="s">
        <v>17</v>
      </c>
      <c r="B955">
        <v>36</v>
      </c>
      <c r="C955" s="1" t="s">
        <v>31</v>
      </c>
      <c r="D955" s="1" t="s">
        <v>53</v>
      </c>
      <c r="E955">
        <v>10974</v>
      </c>
      <c r="F955" s="1" t="s">
        <v>32</v>
      </c>
      <c r="G955" s="1" t="s">
        <v>54</v>
      </c>
      <c r="H955">
        <v>4</v>
      </c>
      <c r="I955" s="1" t="s">
        <v>22</v>
      </c>
      <c r="J955" s="1" t="s">
        <v>23</v>
      </c>
      <c r="K955">
        <v>2</v>
      </c>
      <c r="L955" s="1" t="s">
        <v>40</v>
      </c>
      <c r="M955">
        <v>26</v>
      </c>
      <c r="N955" s="1" t="s">
        <v>23</v>
      </c>
      <c r="O955" s="1" t="s">
        <v>26</v>
      </c>
      <c r="P955">
        <v>2</v>
      </c>
      <c r="Q955" s="1" t="s">
        <v>63</v>
      </c>
      <c r="R955">
        <v>1</v>
      </c>
      <c r="S955" s="1" t="s">
        <v>28</v>
      </c>
      <c r="T955" s="1" t="s">
        <v>28</v>
      </c>
      <c r="U955" s="1" t="s">
        <v>56</v>
      </c>
    </row>
    <row r="956" spans="1:21" x14ac:dyDescent="0.3">
      <c r="A956" s="1" t="s">
        <v>35</v>
      </c>
      <c r="B956">
        <v>12</v>
      </c>
      <c r="C956" s="1" t="s">
        <v>31</v>
      </c>
      <c r="D956" s="1" t="s">
        <v>19</v>
      </c>
      <c r="E956">
        <v>1893</v>
      </c>
      <c r="F956" s="1" t="s">
        <v>32</v>
      </c>
      <c r="G956" s="1" t="s">
        <v>21</v>
      </c>
      <c r="H956">
        <v>4</v>
      </c>
      <c r="I956" s="1" t="s">
        <v>22</v>
      </c>
      <c r="J956" s="1" t="s">
        <v>58</v>
      </c>
      <c r="K956">
        <v>4</v>
      </c>
      <c r="L956" s="1" t="s">
        <v>48</v>
      </c>
      <c r="M956">
        <v>29</v>
      </c>
      <c r="N956" s="1" t="s">
        <v>23</v>
      </c>
      <c r="O956" s="1" t="s">
        <v>26</v>
      </c>
      <c r="P956">
        <v>1</v>
      </c>
      <c r="Q956" s="1" t="s">
        <v>41</v>
      </c>
      <c r="R956">
        <v>1</v>
      </c>
      <c r="S956" s="1" t="s">
        <v>28</v>
      </c>
      <c r="T956" s="1" t="s">
        <v>28</v>
      </c>
      <c r="U956" s="1" t="s">
        <v>29</v>
      </c>
    </row>
    <row r="957" spans="1:21" x14ac:dyDescent="0.3">
      <c r="A957" s="1" t="s">
        <v>35</v>
      </c>
      <c r="B957">
        <v>24</v>
      </c>
      <c r="C957" s="1" t="s">
        <v>18</v>
      </c>
      <c r="D957" s="1" t="s">
        <v>36</v>
      </c>
      <c r="E957">
        <v>1231</v>
      </c>
      <c r="F957" s="1" t="s">
        <v>20</v>
      </c>
      <c r="G957" s="1" t="s">
        <v>38</v>
      </c>
      <c r="H957">
        <v>4</v>
      </c>
      <c r="I957" s="1" t="s">
        <v>22</v>
      </c>
      <c r="J957" s="1" t="s">
        <v>23</v>
      </c>
      <c r="K957">
        <v>4</v>
      </c>
      <c r="L957" s="1" t="s">
        <v>48</v>
      </c>
      <c r="M957">
        <v>57</v>
      </c>
      <c r="N957" s="1" t="s">
        <v>23</v>
      </c>
      <c r="O957" s="1" t="s">
        <v>34</v>
      </c>
      <c r="P957">
        <v>2</v>
      </c>
      <c r="Q957" s="1" t="s">
        <v>63</v>
      </c>
      <c r="R957">
        <v>1</v>
      </c>
      <c r="S957" s="1" t="s">
        <v>28</v>
      </c>
      <c r="T957" s="1" t="s">
        <v>28</v>
      </c>
      <c r="U957" s="1" t="s">
        <v>29</v>
      </c>
    </row>
    <row r="958" spans="1:21" x14ac:dyDescent="0.3">
      <c r="A958" s="1" t="s">
        <v>50</v>
      </c>
      <c r="B958">
        <v>30</v>
      </c>
      <c r="C958" s="1" t="s">
        <v>18</v>
      </c>
      <c r="D958" s="1" t="s">
        <v>36</v>
      </c>
      <c r="E958">
        <v>3656</v>
      </c>
      <c r="F958" s="1" t="s">
        <v>47</v>
      </c>
      <c r="G958" s="1" t="s">
        <v>38</v>
      </c>
      <c r="H958">
        <v>4</v>
      </c>
      <c r="I958" s="1" t="s">
        <v>39</v>
      </c>
      <c r="J958" s="1" t="s">
        <v>23</v>
      </c>
      <c r="K958">
        <v>4</v>
      </c>
      <c r="L958" s="1" t="s">
        <v>48</v>
      </c>
      <c r="M958">
        <v>49</v>
      </c>
      <c r="N958" s="1" t="s">
        <v>67</v>
      </c>
      <c r="O958" s="1" t="s">
        <v>26</v>
      </c>
      <c r="P958">
        <v>2</v>
      </c>
      <c r="Q958" s="1" t="s">
        <v>27</v>
      </c>
      <c r="R958">
        <v>1</v>
      </c>
      <c r="S958" s="1" t="s">
        <v>23</v>
      </c>
      <c r="T958" s="1" t="s">
        <v>28</v>
      </c>
      <c r="U958" s="1" t="s">
        <v>29</v>
      </c>
    </row>
    <row r="959" spans="1:21" x14ac:dyDescent="0.3">
      <c r="A959" s="1" t="s">
        <v>30</v>
      </c>
      <c r="B959">
        <v>9</v>
      </c>
      <c r="C959" s="1" t="s">
        <v>18</v>
      </c>
      <c r="D959" s="1" t="s">
        <v>36</v>
      </c>
      <c r="E959">
        <v>1154</v>
      </c>
      <c r="F959" s="1" t="s">
        <v>32</v>
      </c>
      <c r="G959" s="1" t="s">
        <v>38</v>
      </c>
      <c r="H959">
        <v>2</v>
      </c>
      <c r="I959" s="1" t="s">
        <v>39</v>
      </c>
      <c r="J959" s="1" t="s">
        <v>23</v>
      </c>
      <c r="K959">
        <v>4</v>
      </c>
      <c r="L959" s="1" t="s">
        <v>24</v>
      </c>
      <c r="M959">
        <v>37</v>
      </c>
      <c r="N959" s="1" t="s">
        <v>23</v>
      </c>
      <c r="O959" s="1" t="s">
        <v>26</v>
      </c>
      <c r="P959">
        <v>3</v>
      </c>
      <c r="Q959" s="1" t="s">
        <v>27</v>
      </c>
      <c r="R959">
        <v>1</v>
      </c>
      <c r="S959" s="1" t="s">
        <v>23</v>
      </c>
      <c r="T959" s="1" t="s">
        <v>28</v>
      </c>
      <c r="U959" s="1" t="s">
        <v>29</v>
      </c>
    </row>
    <row r="960" spans="1:21" x14ac:dyDescent="0.3">
      <c r="A960" s="1" t="s">
        <v>35</v>
      </c>
      <c r="B960">
        <v>28</v>
      </c>
      <c r="C960" s="1" t="s">
        <v>31</v>
      </c>
      <c r="D960" s="1" t="s">
        <v>19</v>
      </c>
      <c r="E960">
        <v>4006</v>
      </c>
      <c r="F960" s="1" t="s">
        <v>32</v>
      </c>
      <c r="G960" s="1" t="s">
        <v>21</v>
      </c>
      <c r="H960">
        <v>3</v>
      </c>
      <c r="I960" s="1" t="s">
        <v>39</v>
      </c>
      <c r="J960" s="1" t="s">
        <v>23</v>
      </c>
      <c r="K960">
        <v>2</v>
      </c>
      <c r="L960" s="1" t="s">
        <v>40</v>
      </c>
      <c r="M960">
        <v>45</v>
      </c>
      <c r="N960" s="1" t="s">
        <v>23</v>
      </c>
      <c r="O960" s="1" t="s">
        <v>26</v>
      </c>
      <c r="P960">
        <v>1</v>
      </c>
      <c r="Q960" s="1" t="s">
        <v>27</v>
      </c>
      <c r="R960">
        <v>1</v>
      </c>
      <c r="S960" s="1" t="s">
        <v>23</v>
      </c>
      <c r="T960" s="1" t="s">
        <v>28</v>
      </c>
      <c r="U960" s="1" t="s">
        <v>56</v>
      </c>
    </row>
    <row r="961" spans="1:21" x14ac:dyDescent="0.3">
      <c r="A961" s="1" t="s">
        <v>30</v>
      </c>
      <c r="B961">
        <v>24</v>
      </c>
      <c r="C961" s="1" t="s">
        <v>31</v>
      </c>
      <c r="D961" s="1" t="s">
        <v>53</v>
      </c>
      <c r="E961">
        <v>3069</v>
      </c>
      <c r="F961" s="1" t="s">
        <v>46</v>
      </c>
      <c r="G961" s="1" t="s">
        <v>38</v>
      </c>
      <c r="H961">
        <v>4</v>
      </c>
      <c r="I961" s="1" t="s">
        <v>39</v>
      </c>
      <c r="J961" s="1" t="s">
        <v>23</v>
      </c>
      <c r="K961">
        <v>4</v>
      </c>
      <c r="L961" s="1" t="s">
        <v>65</v>
      </c>
      <c r="M961">
        <v>30</v>
      </c>
      <c r="N961" s="1" t="s">
        <v>23</v>
      </c>
      <c r="O961" s="1" t="s">
        <v>66</v>
      </c>
      <c r="P961">
        <v>1</v>
      </c>
      <c r="Q961" s="1" t="s">
        <v>41</v>
      </c>
      <c r="R961">
        <v>1</v>
      </c>
      <c r="S961" s="1" t="s">
        <v>23</v>
      </c>
      <c r="T961" s="1" t="s">
        <v>28</v>
      </c>
      <c r="U961" s="1" t="s">
        <v>29</v>
      </c>
    </row>
    <row r="962" spans="1:21" x14ac:dyDescent="0.3">
      <c r="A962" s="1" t="s">
        <v>17</v>
      </c>
      <c r="B962">
        <v>6</v>
      </c>
      <c r="C962" s="1" t="s">
        <v>18</v>
      </c>
      <c r="D962" s="1" t="s">
        <v>36</v>
      </c>
      <c r="E962">
        <v>1740</v>
      </c>
      <c r="F962" s="1" t="s">
        <v>32</v>
      </c>
      <c r="G962" s="1" t="s">
        <v>38</v>
      </c>
      <c r="H962">
        <v>2</v>
      </c>
      <c r="I962" s="1" t="s">
        <v>33</v>
      </c>
      <c r="J962" s="1" t="s">
        <v>23</v>
      </c>
      <c r="K962">
        <v>2</v>
      </c>
      <c r="L962" s="1" t="s">
        <v>24</v>
      </c>
      <c r="M962">
        <v>30</v>
      </c>
      <c r="N962" s="1" t="s">
        <v>23</v>
      </c>
      <c r="O962" s="1" t="s">
        <v>34</v>
      </c>
      <c r="P962">
        <v>2</v>
      </c>
      <c r="Q962" s="1" t="s">
        <v>41</v>
      </c>
      <c r="R962">
        <v>1</v>
      </c>
      <c r="S962" s="1" t="s">
        <v>23</v>
      </c>
      <c r="T962" s="1" t="s">
        <v>28</v>
      </c>
      <c r="U962" s="1" t="s">
        <v>29</v>
      </c>
    </row>
    <row r="963" spans="1:21" x14ac:dyDescent="0.3">
      <c r="A963" s="1" t="s">
        <v>30</v>
      </c>
      <c r="B963">
        <v>21</v>
      </c>
      <c r="C963" s="1" t="s">
        <v>59</v>
      </c>
      <c r="D963" s="1" t="s">
        <v>19</v>
      </c>
      <c r="E963">
        <v>2353</v>
      </c>
      <c r="F963" s="1" t="s">
        <v>32</v>
      </c>
      <c r="G963" s="1" t="s">
        <v>21</v>
      </c>
      <c r="H963">
        <v>1</v>
      </c>
      <c r="I963" s="1" t="s">
        <v>64</v>
      </c>
      <c r="J963" s="1" t="s">
        <v>23</v>
      </c>
      <c r="K963">
        <v>4</v>
      </c>
      <c r="L963" s="1" t="s">
        <v>48</v>
      </c>
      <c r="M963">
        <v>47</v>
      </c>
      <c r="N963" s="1" t="s">
        <v>23</v>
      </c>
      <c r="O963" s="1" t="s">
        <v>26</v>
      </c>
      <c r="P963">
        <v>2</v>
      </c>
      <c r="Q963" s="1" t="s">
        <v>41</v>
      </c>
      <c r="R963">
        <v>1</v>
      </c>
      <c r="S963" s="1" t="s">
        <v>23</v>
      </c>
      <c r="T963" s="1" t="s">
        <v>28</v>
      </c>
      <c r="U963" s="1" t="s">
        <v>29</v>
      </c>
    </row>
    <row r="964" spans="1:21" x14ac:dyDescent="0.3">
      <c r="A964" s="1" t="s">
        <v>17</v>
      </c>
      <c r="B964">
        <v>15</v>
      </c>
      <c r="C964" s="1" t="s">
        <v>31</v>
      </c>
      <c r="D964" s="1" t="s">
        <v>19</v>
      </c>
      <c r="E964">
        <v>3556</v>
      </c>
      <c r="F964" s="1" t="s">
        <v>47</v>
      </c>
      <c r="G964" s="1" t="s">
        <v>21</v>
      </c>
      <c r="H964">
        <v>3</v>
      </c>
      <c r="I964" s="1" t="s">
        <v>39</v>
      </c>
      <c r="J964" s="1" t="s">
        <v>23</v>
      </c>
      <c r="K964">
        <v>2</v>
      </c>
      <c r="L964" s="1" t="s">
        <v>65</v>
      </c>
      <c r="M964">
        <v>29</v>
      </c>
      <c r="N964" s="1" t="s">
        <v>23</v>
      </c>
      <c r="O964" s="1" t="s">
        <v>26</v>
      </c>
      <c r="P964">
        <v>1</v>
      </c>
      <c r="Q964" s="1" t="s">
        <v>41</v>
      </c>
      <c r="R964">
        <v>1</v>
      </c>
      <c r="S964" s="1" t="s">
        <v>23</v>
      </c>
      <c r="T964" s="1" t="s">
        <v>28</v>
      </c>
      <c r="U964" s="1" t="s">
        <v>29</v>
      </c>
    </row>
    <row r="965" spans="1:21" x14ac:dyDescent="0.3">
      <c r="A965" s="1" t="s">
        <v>17</v>
      </c>
      <c r="B965">
        <v>24</v>
      </c>
      <c r="C965" s="1" t="s">
        <v>31</v>
      </c>
      <c r="D965" s="1" t="s">
        <v>36</v>
      </c>
      <c r="E965">
        <v>2397</v>
      </c>
      <c r="F965" s="1" t="s">
        <v>37</v>
      </c>
      <c r="G965" s="1" t="s">
        <v>38</v>
      </c>
      <c r="H965">
        <v>3</v>
      </c>
      <c r="I965" s="1" t="s">
        <v>39</v>
      </c>
      <c r="J965" s="1" t="s">
        <v>23</v>
      </c>
      <c r="K965">
        <v>2</v>
      </c>
      <c r="L965" s="1" t="s">
        <v>40</v>
      </c>
      <c r="M965">
        <v>35</v>
      </c>
      <c r="N965" s="1" t="s">
        <v>25</v>
      </c>
      <c r="O965" s="1" t="s">
        <v>26</v>
      </c>
      <c r="P965">
        <v>2</v>
      </c>
      <c r="Q965" s="1" t="s">
        <v>41</v>
      </c>
      <c r="R965">
        <v>1</v>
      </c>
      <c r="S965" s="1" t="s">
        <v>28</v>
      </c>
      <c r="T965" s="1" t="s">
        <v>28</v>
      </c>
      <c r="U965" s="1" t="s">
        <v>56</v>
      </c>
    </row>
    <row r="966" spans="1:21" x14ac:dyDescent="0.3">
      <c r="A966" s="1" t="s">
        <v>30</v>
      </c>
      <c r="B966">
        <v>6</v>
      </c>
      <c r="C966" s="1" t="s">
        <v>31</v>
      </c>
      <c r="D966" s="1" t="s">
        <v>57</v>
      </c>
      <c r="E966">
        <v>454</v>
      </c>
      <c r="F966" s="1" t="s">
        <v>32</v>
      </c>
      <c r="G966" s="1" t="s">
        <v>45</v>
      </c>
      <c r="H966">
        <v>3</v>
      </c>
      <c r="I966" s="1" t="s">
        <v>33</v>
      </c>
      <c r="J966" s="1" t="s">
        <v>23</v>
      </c>
      <c r="K966">
        <v>1</v>
      </c>
      <c r="L966" s="1" t="s">
        <v>48</v>
      </c>
      <c r="M966">
        <v>22</v>
      </c>
      <c r="N966" s="1" t="s">
        <v>23</v>
      </c>
      <c r="O966" s="1" t="s">
        <v>26</v>
      </c>
      <c r="P966">
        <v>1</v>
      </c>
      <c r="Q966" s="1" t="s">
        <v>27</v>
      </c>
      <c r="R966">
        <v>1</v>
      </c>
      <c r="S966" s="1" t="s">
        <v>23</v>
      </c>
      <c r="T966" s="1" t="s">
        <v>28</v>
      </c>
      <c r="U966" s="1" t="s">
        <v>29</v>
      </c>
    </row>
    <row r="967" spans="1:21" x14ac:dyDescent="0.3">
      <c r="A967" s="1" t="s">
        <v>30</v>
      </c>
      <c r="B967">
        <v>30</v>
      </c>
      <c r="C967" s="1" t="s">
        <v>31</v>
      </c>
      <c r="D967" s="1" t="s">
        <v>36</v>
      </c>
      <c r="E967">
        <v>1715</v>
      </c>
      <c r="F967" s="1" t="s">
        <v>47</v>
      </c>
      <c r="G967" s="1" t="s">
        <v>21</v>
      </c>
      <c r="H967">
        <v>4</v>
      </c>
      <c r="I967" s="1" t="s">
        <v>22</v>
      </c>
      <c r="J967" s="1" t="s">
        <v>23</v>
      </c>
      <c r="K967">
        <v>1</v>
      </c>
      <c r="L967" s="1" t="s">
        <v>40</v>
      </c>
      <c r="M967">
        <v>26</v>
      </c>
      <c r="N967" s="1" t="s">
        <v>23</v>
      </c>
      <c r="O967" s="1" t="s">
        <v>26</v>
      </c>
      <c r="P967">
        <v>1</v>
      </c>
      <c r="Q967" s="1" t="s">
        <v>41</v>
      </c>
      <c r="R967">
        <v>1</v>
      </c>
      <c r="S967" s="1" t="s">
        <v>23</v>
      </c>
      <c r="T967" s="1" t="s">
        <v>28</v>
      </c>
      <c r="U967" s="1" t="s">
        <v>29</v>
      </c>
    </row>
    <row r="968" spans="1:21" x14ac:dyDescent="0.3">
      <c r="A968" s="1" t="s">
        <v>30</v>
      </c>
      <c r="B968">
        <v>27</v>
      </c>
      <c r="C968" s="1" t="s">
        <v>18</v>
      </c>
      <c r="D968" s="1" t="s">
        <v>36</v>
      </c>
      <c r="E968">
        <v>2520</v>
      </c>
      <c r="F968" s="1" t="s">
        <v>37</v>
      </c>
      <c r="G968" s="1" t="s">
        <v>21</v>
      </c>
      <c r="H968">
        <v>4</v>
      </c>
      <c r="I968" s="1" t="s">
        <v>39</v>
      </c>
      <c r="J968" s="1" t="s">
        <v>23</v>
      </c>
      <c r="K968">
        <v>2</v>
      </c>
      <c r="L968" s="1" t="s">
        <v>48</v>
      </c>
      <c r="M968">
        <v>23</v>
      </c>
      <c r="N968" s="1" t="s">
        <v>23</v>
      </c>
      <c r="O968" s="1" t="s">
        <v>26</v>
      </c>
      <c r="P968">
        <v>2</v>
      </c>
      <c r="Q968" s="1" t="s">
        <v>27</v>
      </c>
      <c r="R968">
        <v>1</v>
      </c>
      <c r="S968" s="1" t="s">
        <v>23</v>
      </c>
      <c r="T968" s="1" t="s">
        <v>28</v>
      </c>
      <c r="U968" s="1" t="s">
        <v>56</v>
      </c>
    </row>
    <row r="969" spans="1:21" x14ac:dyDescent="0.3">
      <c r="A969" s="1" t="s">
        <v>17</v>
      </c>
      <c r="B969">
        <v>15</v>
      </c>
      <c r="C969" s="1" t="s">
        <v>31</v>
      </c>
      <c r="D969" s="1" t="s">
        <v>36</v>
      </c>
      <c r="E969">
        <v>3568</v>
      </c>
      <c r="F969" s="1" t="s">
        <v>32</v>
      </c>
      <c r="G969" s="1" t="s">
        <v>38</v>
      </c>
      <c r="H969">
        <v>4</v>
      </c>
      <c r="I969" s="1" t="s">
        <v>22</v>
      </c>
      <c r="J969" s="1" t="s">
        <v>23</v>
      </c>
      <c r="K969">
        <v>2</v>
      </c>
      <c r="L969" s="1" t="s">
        <v>40</v>
      </c>
      <c r="M969">
        <v>54</v>
      </c>
      <c r="N969" s="1" t="s">
        <v>25</v>
      </c>
      <c r="O969" s="1" t="s">
        <v>34</v>
      </c>
      <c r="P969">
        <v>1</v>
      </c>
      <c r="Q969" s="1" t="s">
        <v>63</v>
      </c>
      <c r="R969">
        <v>1</v>
      </c>
      <c r="S969" s="1" t="s">
        <v>28</v>
      </c>
      <c r="T969" s="1" t="s">
        <v>28</v>
      </c>
      <c r="U969" s="1" t="s">
        <v>29</v>
      </c>
    </row>
    <row r="970" spans="1:21" x14ac:dyDescent="0.3">
      <c r="A970" s="1" t="s">
        <v>17</v>
      </c>
      <c r="B970">
        <v>42</v>
      </c>
      <c r="C970" s="1" t="s">
        <v>31</v>
      </c>
      <c r="D970" s="1" t="s">
        <v>36</v>
      </c>
      <c r="E970">
        <v>7166</v>
      </c>
      <c r="F970" s="1" t="s">
        <v>47</v>
      </c>
      <c r="G970" s="1" t="s">
        <v>49</v>
      </c>
      <c r="H970">
        <v>2</v>
      </c>
      <c r="I970" s="1" t="s">
        <v>33</v>
      </c>
      <c r="J970" s="1" t="s">
        <v>23</v>
      </c>
      <c r="K970">
        <v>4</v>
      </c>
      <c r="L970" s="1" t="s">
        <v>48</v>
      </c>
      <c r="M970">
        <v>29</v>
      </c>
      <c r="N970" s="1" t="s">
        <v>23</v>
      </c>
      <c r="O970" s="1" t="s">
        <v>34</v>
      </c>
      <c r="P970">
        <v>1</v>
      </c>
      <c r="Q970" s="1" t="s">
        <v>41</v>
      </c>
      <c r="R970">
        <v>1</v>
      </c>
      <c r="S970" s="1" t="s">
        <v>28</v>
      </c>
      <c r="T970" s="1" t="s">
        <v>28</v>
      </c>
      <c r="U970" s="1" t="s">
        <v>29</v>
      </c>
    </row>
    <row r="971" spans="1:21" x14ac:dyDescent="0.3">
      <c r="A971" s="1" t="s">
        <v>35</v>
      </c>
      <c r="B971">
        <v>11</v>
      </c>
      <c r="C971" s="1" t="s">
        <v>18</v>
      </c>
      <c r="D971" s="1" t="s">
        <v>19</v>
      </c>
      <c r="E971">
        <v>3939</v>
      </c>
      <c r="F971" s="1" t="s">
        <v>32</v>
      </c>
      <c r="G971" s="1" t="s">
        <v>21</v>
      </c>
      <c r="H971">
        <v>1</v>
      </c>
      <c r="I971" s="1" t="s">
        <v>39</v>
      </c>
      <c r="J971" s="1" t="s">
        <v>23</v>
      </c>
      <c r="K971">
        <v>2</v>
      </c>
      <c r="L971" s="1" t="s">
        <v>24</v>
      </c>
      <c r="M971">
        <v>40</v>
      </c>
      <c r="N971" s="1" t="s">
        <v>23</v>
      </c>
      <c r="O971" s="1" t="s">
        <v>26</v>
      </c>
      <c r="P971">
        <v>2</v>
      </c>
      <c r="Q971" s="1" t="s">
        <v>27</v>
      </c>
      <c r="R971">
        <v>2</v>
      </c>
      <c r="S971" s="1" t="s">
        <v>23</v>
      </c>
      <c r="T971" s="1" t="s">
        <v>28</v>
      </c>
      <c r="U971" s="1" t="s">
        <v>29</v>
      </c>
    </row>
    <row r="972" spans="1:21" x14ac:dyDescent="0.3">
      <c r="A972" s="1" t="s">
        <v>30</v>
      </c>
      <c r="B972">
        <v>15</v>
      </c>
      <c r="C972" s="1" t="s">
        <v>31</v>
      </c>
      <c r="D972" s="1" t="s">
        <v>57</v>
      </c>
      <c r="E972">
        <v>1514</v>
      </c>
      <c r="F972" s="1" t="s">
        <v>46</v>
      </c>
      <c r="G972" s="1" t="s">
        <v>21</v>
      </c>
      <c r="H972">
        <v>4</v>
      </c>
      <c r="I972" s="1" t="s">
        <v>39</v>
      </c>
      <c r="J972" s="1" t="s">
        <v>58</v>
      </c>
      <c r="K972">
        <v>2</v>
      </c>
      <c r="L972" s="1" t="s">
        <v>24</v>
      </c>
      <c r="M972">
        <v>22</v>
      </c>
      <c r="N972" s="1" t="s">
        <v>23</v>
      </c>
      <c r="O972" s="1" t="s">
        <v>26</v>
      </c>
      <c r="P972">
        <v>1</v>
      </c>
      <c r="Q972" s="1" t="s">
        <v>41</v>
      </c>
      <c r="R972">
        <v>1</v>
      </c>
      <c r="S972" s="1" t="s">
        <v>23</v>
      </c>
      <c r="T972" s="1" t="s">
        <v>28</v>
      </c>
      <c r="U972" s="1" t="s">
        <v>29</v>
      </c>
    </row>
    <row r="973" spans="1:21" x14ac:dyDescent="0.3">
      <c r="A973" s="1" t="s">
        <v>17</v>
      </c>
      <c r="B973">
        <v>24</v>
      </c>
      <c r="C973" s="1" t="s">
        <v>31</v>
      </c>
      <c r="D973" s="1" t="s">
        <v>19</v>
      </c>
      <c r="E973">
        <v>7393</v>
      </c>
      <c r="F973" s="1" t="s">
        <v>32</v>
      </c>
      <c r="G973" s="1" t="s">
        <v>21</v>
      </c>
      <c r="H973">
        <v>1</v>
      </c>
      <c r="I973" s="1" t="s">
        <v>39</v>
      </c>
      <c r="J973" s="1" t="s">
        <v>23</v>
      </c>
      <c r="K973">
        <v>4</v>
      </c>
      <c r="L973" s="1" t="s">
        <v>48</v>
      </c>
      <c r="M973">
        <v>43</v>
      </c>
      <c r="N973" s="1" t="s">
        <v>23</v>
      </c>
      <c r="O973" s="1" t="s">
        <v>26</v>
      </c>
      <c r="P973">
        <v>1</v>
      </c>
      <c r="Q973" s="1" t="s">
        <v>27</v>
      </c>
      <c r="R973">
        <v>2</v>
      </c>
      <c r="S973" s="1" t="s">
        <v>23</v>
      </c>
      <c r="T973" s="1" t="s">
        <v>28</v>
      </c>
      <c r="U973" s="1" t="s">
        <v>29</v>
      </c>
    </row>
    <row r="974" spans="1:21" x14ac:dyDescent="0.3">
      <c r="A974" s="1" t="s">
        <v>35</v>
      </c>
      <c r="B974">
        <v>24</v>
      </c>
      <c r="C974" s="1" t="s">
        <v>42</v>
      </c>
      <c r="D974" s="1" t="s">
        <v>19</v>
      </c>
      <c r="E974">
        <v>1193</v>
      </c>
      <c r="F974" s="1" t="s">
        <v>32</v>
      </c>
      <c r="G974" s="1" t="s">
        <v>54</v>
      </c>
      <c r="H974">
        <v>1</v>
      </c>
      <c r="I974" s="1" t="s">
        <v>22</v>
      </c>
      <c r="J974" s="1" t="s">
        <v>55</v>
      </c>
      <c r="K974">
        <v>4</v>
      </c>
      <c r="L974" s="1" t="s">
        <v>65</v>
      </c>
      <c r="M974">
        <v>29</v>
      </c>
      <c r="N974" s="1" t="s">
        <v>23</v>
      </c>
      <c r="O974" s="1" t="s">
        <v>34</v>
      </c>
      <c r="P974">
        <v>2</v>
      </c>
      <c r="Q974" s="1" t="s">
        <v>62</v>
      </c>
      <c r="R974">
        <v>1</v>
      </c>
      <c r="S974" s="1" t="s">
        <v>23</v>
      </c>
      <c r="T974" s="1" t="s">
        <v>28</v>
      </c>
      <c r="U974" s="1" t="s">
        <v>56</v>
      </c>
    </row>
    <row r="975" spans="1:21" x14ac:dyDescent="0.3">
      <c r="A975" s="1" t="s">
        <v>35</v>
      </c>
      <c r="B975">
        <v>60</v>
      </c>
      <c r="C975" s="1" t="s">
        <v>31</v>
      </c>
      <c r="D975" s="1" t="s">
        <v>61</v>
      </c>
      <c r="E975">
        <v>7297</v>
      </c>
      <c r="F975" s="1" t="s">
        <v>32</v>
      </c>
      <c r="G975" s="1" t="s">
        <v>38</v>
      </c>
      <c r="H975">
        <v>4</v>
      </c>
      <c r="I975" s="1" t="s">
        <v>39</v>
      </c>
      <c r="J975" s="1" t="s">
        <v>55</v>
      </c>
      <c r="K975">
        <v>4</v>
      </c>
      <c r="L975" s="1" t="s">
        <v>65</v>
      </c>
      <c r="M975">
        <v>36</v>
      </c>
      <c r="N975" s="1" t="s">
        <v>23</v>
      </c>
      <c r="O975" s="1" t="s">
        <v>34</v>
      </c>
      <c r="P975">
        <v>1</v>
      </c>
      <c r="Q975" s="1" t="s">
        <v>41</v>
      </c>
      <c r="R975">
        <v>1</v>
      </c>
      <c r="S975" s="1" t="s">
        <v>23</v>
      </c>
      <c r="T975" s="1" t="s">
        <v>28</v>
      </c>
      <c r="U975" s="1" t="s">
        <v>56</v>
      </c>
    </row>
    <row r="976" spans="1:21" x14ac:dyDescent="0.3">
      <c r="A976" s="1" t="s">
        <v>17</v>
      </c>
      <c r="B976">
        <v>30</v>
      </c>
      <c r="C976" s="1" t="s">
        <v>18</v>
      </c>
      <c r="D976" s="1" t="s">
        <v>36</v>
      </c>
      <c r="E976">
        <v>2831</v>
      </c>
      <c r="F976" s="1" t="s">
        <v>32</v>
      </c>
      <c r="G976" s="1" t="s">
        <v>21</v>
      </c>
      <c r="H976">
        <v>4</v>
      </c>
      <c r="I976" s="1" t="s">
        <v>22</v>
      </c>
      <c r="J976" s="1" t="s">
        <v>23</v>
      </c>
      <c r="K976">
        <v>2</v>
      </c>
      <c r="L976" s="1" t="s">
        <v>40</v>
      </c>
      <c r="M976">
        <v>33</v>
      </c>
      <c r="N976" s="1" t="s">
        <v>23</v>
      </c>
      <c r="O976" s="1" t="s">
        <v>26</v>
      </c>
      <c r="P976">
        <v>1</v>
      </c>
      <c r="Q976" s="1" t="s">
        <v>41</v>
      </c>
      <c r="R976">
        <v>1</v>
      </c>
      <c r="S976" s="1" t="s">
        <v>28</v>
      </c>
      <c r="T976" s="1" t="s">
        <v>28</v>
      </c>
      <c r="U976" s="1" t="s">
        <v>29</v>
      </c>
    </row>
    <row r="977" spans="1:21" x14ac:dyDescent="0.3">
      <c r="A977" s="1" t="s">
        <v>50</v>
      </c>
      <c r="B977">
        <v>24</v>
      </c>
      <c r="C977" s="1" t="s">
        <v>31</v>
      </c>
      <c r="D977" s="1" t="s">
        <v>36</v>
      </c>
      <c r="E977">
        <v>1258</v>
      </c>
      <c r="F977" s="1" t="s">
        <v>37</v>
      </c>
      <c r="G977" s="1" t="s">
        <v>21</v>
      </c>
      <c r="H977">
        <v>3</v>
      </c>
      <c r="I977" s="1" t="s">
        <v>22</v>
      </c>
      <c r="J977" s="1" t="s">
        <v>23</v>
      </c>
      <c r="K977">
        <v>3</v>
      </c>
      <c r="L977" s="1" t="s">
        <v>40</v>
      </c>
      <c r="M977">
        <v>57</v>
      </c>
      <c r="N977" s="1" t="s">
        <v>23</v>
      </c>
      <c r="O977" s="1" t="s">
        <v>26</v>
      </c>
      <c r="P977">
        <v>1</v>
      </c>
      <c r="Q977" s="1" t="s">
        <v>27</v>
      </c>
      <c r="R977">
        <v>1</v>
      </c>
      <c r="S977" s="1" t="s">
        <v>23</v>
      </c>
      <c r="T977" s="1" t="s">
        <v>28</v>
      </c>
      <c r="U977" s="1" t="s">
        <v>29</v>
      </c>
    </row>
    <row r="978" spans="1:21" x14ac:dyDescent="0.3">
      <c r="A978" s="1" t="s">
        <v>30</v>
      </c>
      <c r="B978">
        <v>6</v>
      </c>
      <c r="C978" s="1" t="s">
        <v>31</v>
      </c>
      <c r="D978" s="1" t="s">
        <v>36</v>
      </c>
      <c r="E978">
        <v>753</v>
      </c>
      <c r="F978" s="1" t="s">
        <v>32</v>
      </c>
      <c r="G978" s="1" t="s">
        <v>21</v>
      </c>
      <c r="H978">
        <v>2</v>
      </c>
      <c r="I978" s="1" t="s">
        <v>22</v>
      </c>
      <c r="J978" s="1" t="s">
        <v>58</v>
      </c>
      <c r="K978">
        <v>3</v>
      </c>
      <c r="L978" s="1" t="s">
        <v>24</v>
      </c>
      <c r="M978">
        <v>64</v>
      </c>
      <c r="N978" s="1" t="s">
        <v>23</v>
      </c>
      <c r="O978" s="1" t="s">
        <v>26</v>
      </c>
      <c r="P978">
        <v>1</v>
      </c>
      <c r="Q978" s="1" t="s">
        <v>41</v>
      </c>
      <c r="R978">
        <v>1</v>
      </c>
      <c r="S978" s="1" t="s">
        <v>23</v>
      </c>
      <c r="T978" s="1" t="s">
        <v>28</v>
      </c>
      <c r="U978" s="1" t="s">
        <v>29</v>
      </c>
    </row>
    <row r="979" spans="1:21" x14ac:dyDescent="0.3">
      <c r="A979" s="1" t="s">
        <v>30</v>
      </c>
      <c r="B979">
        <v>18</v>
      </c>
      <c r="C979" s="1" t="s">
        <v>59</v>
      </c>
      <c r="D979" s="1" t="s">
        <v>61</v>
      </c>
      <c r="E979">
        <v>2427</v>
      </c>
      <c r="F979" s="1" t="s">
        <v>47</v>
      </c>
      <c r="G979" s="1" t="s">
        <v>38</v>
      </c>
      <c r="H979">
        <v>4</v>
      </c>
      <c r="I979" s="1" t="s">
        <v>39</v>
      </c>
      <c r="J979" s="1" t="s">
        <v>23</v>
      </c>
      <c r="K979">
        <v>2</v>
      </c>
      <c r="L979" s="1" t="s">
        <v>48</v>
      </c>
      <c r="M979">
        <v>42</v>
      </c>
      <c r="N979" s="1" t="s">
        <v>23</v>
      </c>
      <c r="O979" s="1" t="s">
        <v>26</v>
      </c>
      <c r="P979">
        <v>2</v>
      </c>
      <c r="Q979" s="1" t="s">
        <v>41</v>
      </c>
      <c r="R979">
        <v>1</v>
      </c>
      <c r="S979" s="1" t="s">
        <v>23</v>
      </c>
      <c r="T979" s="1" t="s">
        <v>28</v>
      </c>
      <c r="U979" s="1" t="s">
        <v>29</v>
      </c>
    </row>
    <row r="980" spans="1:21" x14ac:dyDescent="0.3">
      <c r="A980" s="1" t="s">
        <v>17</v>
      </c>
      <c r="B980">
        <v>24</v>
      </c>
      <c r="C980" s="1" t="s">
        <v>59</v>
      </c>
      <c r="D980" s="1" t="s">
        <v>19</v>
      </c>
      <c r="E980">
        <v>2538</v>
      </c>
      <c r="F980" s="1" t="s">
        <v>32</v>
      </c>
      <c r="G980" s="1" t="s">
        <v>38</v>
      </c>
      <c r="H980">
        <v>4</v>
      </c>
      <c r="I980" s="1" t="s">
        <v>39</v>
      </c>
      <c r="J980" s="1" t="s">
        <v>23</v>
      </c>
      <c r="K980">
        <v>4</v>
      </c>
      <c r="L980" s="1" t="s">
        <v>40</v>
      </c>
      <c r="M980">
        <v>47</v>
      </c>
      <c r="N980" s="1" t="s">
        <v>23</v>
      </c>
      <c r="O980" s="1" t="s">
        <v>26</v>
      </c>
      <c r="P980">
        <v>2</v>
      </c>
      <c r="Q980" s="1" t="s">
        <v>27</v>
      </c>
      <c r="R980">
        <v>2</v>
      </c>
      <c r="S980" s="1" t="s">
        <v>23</v>
      </c>
      <c r="T980" s="1" t="s">
        <v>28</v>
      </c>
      <c r="U980" s="1" t="s">
        <v>56</v>
      </c>
    </row>
    <row r="981" spans="1:21" x14ac:dyDescent="0.3">
      <c r="A981" s="1" t="s">
        <v>30</v>
      </c>
      <c r="B981">
        <v>15</v>
      </c>
      <c r="C981" s="1" t="s">
        <v>42</v>
      </c>
      <c r="D981" s="1" t="s">
        <v>19</v>
      </c>
      <c r="E981">
        <v>1264</v>
      </c>
      <c r="F981" s="1" t="s">
        <v>46</v>
      </c>
      <c r="G981" s="1" t="s">
        <v>21</v>
      </c>
      <c r="H981">
        <v>2</v>
      </c>
      <c r="I981" s="1" t="s">
        <v>33</v>
      </c>
      <c r="J981" s="1" t="s">
        <v>23</v>
      </c>
      <c r="K981">
        <v>2</v>
      </c>
      <c r="L981" s="1" t="s">
        <v>48</v>
      </c>
      <c r="M981">
        <v>25</v>
      </c>
      <c r="N981" s="1" t="s">
        <v>23</v>
      </c>
      <c r="O981" s="1" t="s">
        <v>34</v>
      </c>
      <c r="P981">
        <v>1</v>
      </c>
      <c r="Q981" s="1" t="s">
        <v>41</v>
      </c>
      <c r="R981">
        <v>1</v>
      </c>
      <c r="S981" s="1" t="s">
        <v>23</v>
      </c>
      <c r="T981" s="1" t="s">
        <v>28</v>
      </c>
      <c r="U981" s="1" t="s">
        <v>56</v>
      </c>
    </row>
    <row r="982" spans="1:21" x14ac:dyDescent="0.3">
      <c r="A982" s="1" t="s">
        <v>30</v>
      </c>
      <c r="B982">
        <v>30</v>
      </c>
      <c r="C982" s="1" t="s">
        <v>18</v>
      </c>
      <c r="D982" s="1" t="s">
        <v>53</v>
      </c>
      <c r="E982">
        <v>8386</v>
      </c>
      <c r="F982" s="1" t="s">
        <v>32</v>
      </c>
      <c r="G982" s="1" t="s">
        <v>49</v>
      </c>
      <c r="H982">
        <v>2</v>
      </c>
      <c r="I982" s="1" t="s">
        <v>39</v>
      </c>
      <c r="J982" s="1" t="s">
        <v>23</v>
      </c>
      <c r="K982">
        <v>2</v>
      </c>
      <c r="L982" s="1" t="s">
        <v>48</v>
      </c>
      <c r="M982">
        <v>49</v>
      </c>
      <c r="N982" s="1" t="s">
        <v>23</v>
      </c>
      <c r="O982" s="1" t="s">
        <v>26</v>
      </c>
      <c r="P982">
        <v>1</v>
      </c>
      <c r="Q982" s="1" t="s">
        <v>41</v>
      </c>
      <c r="R982">
        <v>1</v>
      </c>
      <c r="S982" s="1" t="s">
        <v>23</v>
      </c>
      <c r="T982" s="1" t="s">
        <v>28</v>
      </c>
      <c r="U982" s="1" t="s">
        <v>56</v>
      </c>
    </row>
    <row r="983" spans="1:21" x14ac:dyDescent="0.3">
      <c r="A983" s="1" t="s">
        <v>17</v>
      </c>
      <c r="B983">
        <v>48</v>
      </c>
      <c r="C983" s="1" t="s">
        <v>31</v>
      </c>
      <c r="D983" s="1" t="s">
        <v>61</v>
      </c>
      <c r="E983">
        <v>4844</v>
      </c>
      <c r="F983" s="1" t="s">
        <v>32</v>
      </c>
      <c r="G983" s="1" t="s">
        <v>54</v>
      </c>
      <c r="H983">
        <v>3</v>
      </c>
      <c r="I983" s="1" t="s">
        <v>39</v>
      </c>
      <c r="J983" s="1" t="s">
        <v>23</v>
      </c>
      <c r="K983">
        <v>2</v>
      </c>
      <c r="L983" s="1" t="s">
        <v>40</v>
      </c>
      <c r="M983">
        <v>33</v>
      </c>
      <c r="N983" s="1" t="s">
        <v>25</v>
      </c>
      <c r="O983" s="1" t="s">
        <v>34</v>
      </c>
      <c r="P983">
        <v>1</v>
      </c>
      <c r="Q983" s="1" t="s">
        <v>63</v>
      </c>
      <c r="R983">
        <v>1</v>
      </c>
      <c r="S983" s="1" t="s">
        <v>28</v>
      </c>
      <c r="T983" s="1" t="s">
        <v>28</v>
      </c>
      <c r="U983" s="1" t="s">
        <v>56</v>
      </c>
    </row>
    <row r="984" spans="1:21" x14ac:dyDescent="0.3">
      <c r="A984" s="1" t="s">
        <v>50</v>
      </c>
      <c r="B984">
        <v>21</v>
      </c>
      <c r="C984" s="1" t="s">
        <v>31</v>
      </c>
      <c r="D984" s="1" t="s">
        <v>19</v>
      </c>
      <c r="E984">
        <v>2923</v>
      </c>
      <c r="F984" s="1" t="s">
        <v>46</v>
      </c>
      <c r="G984" s="1" t="s">
        <v>21</v>
      </c>
      <c r="H984">
        <v>1</v>
      </c>
      <c r="I984" s="1" t="s">
        <v>22</v>
      </c>
      <c r="J984" s="1" t="s">
        <v>23</v>
      </c>
      <c r="K984">
        <v>1</v>
      </c>
      <c r="L984" s="1" t="s">
        <v>40</v>
      </c>
      <c r="M984">
        <v>28</v>
      </c>
      <c r="N984" s="1" t="s">
        <v>25</v>
      </c>
      <c r="O984" s="1" t="s">
        <v>26</v>
      </c>
      <c r="P984">
        <v>1</v>
      </c>
      <c r="Q984" s="1" t="s">
        <v>63</v>
      </c>
      <c r="R984">
        <v>1</v>
      </c>
      <c r="S984" s="1" t="s">
        <v>28</v>
      </c>
      <c r="T984" s="1" t="s">
        <v>28</v>
      </c>
      <c r="U984" s="1" t="s">
        <v>29</v>
      </c>
    </row>
    <row r="985" spans="1:21" x14ac:dyDescent="0.3">
      <c r="A985" s="1" t="s">
        <v>35</v>
      </c>
      <c r="B985">
        <v>36</v>
      </c>
      <c r="C985" s="1" t="s">
        <v>31</v>
      </c>
      <c r="D985" s="1" t="s">
        <v>69</v>
      </c>
      <c r="E985">
        <v>8229</v>
      </c>
      <c r="F985" s="1" t="s">
        <v>32</v>
      </c>
      <c r="G985" s="1" t="s">
        <v>21</v>
      </c>
      <c r="H985">
        <v>2</v>
      </c>
      <c r="I985" s="1" t="s">
        <v>39</v>
      </c>
      <c r="J985" s="1" t="s">
        <v>23</v>
      </c>
      <c r="K985">
        <v>2</v>
      </c>
      <c r="L985" s="1" t="s">
        <v>48</v>
      </c>
      <c r="M985">
        <v>26</v>
      </c>
      <c r="N985" s="1" t="s">
        <v>23</v>
      </c>
      <c r="O985" s="1" t="s">
        <v>26</v>
      </c>
      <c r="P985">
        <v>1</v>
      </c>
      <c r="Q985" s="1" t="s">
        <v>41</v>
      </c>
      <c r="R985">
        <v>2</v>
      </c>
      <c r="S985" s="1" t="s">
        <v>23</v>
      </c>
      <c r="T985" s="1" t="s">
        <v>28</v>
      </c>
      <c r="U985" s="1" t="s">
        <v>56</v>
      </c>
    </row>
    <row r="986" spans="1:21" x14ac:dyDescent="0.3">
      <c r="A986" s="1" t="s">
        <v>17</v>
      </c>
      <c r="B986">
        <v>24</v>
      </c>
      <c r="C986" s="1" t="s">
        <v>18</v>
      </c>
      <c r="D986" s="1" t="s">
        <v>53</v>
      </c>
      <c r="E986">
        <v>2028</v>
      </c>
      <c r="F986" s="1" t="s">
        <v>32</v>
      </c>
      <c r="G986" s="1" t="s">
        <v>49</v>
      </c>
      <c r="H986">
        <v>2</v>
      </c>
      <c r="I986" s="1" t="s">
        <v>39</v>
      </c>
      <c r="J986" s="1" t="s">
        <v>23</v>
      </c>
      <c r="K986">
        <v>2</v>
      </c>
      <c r="L986" s="1" t="s">
        <v>48</v>
      </c>
      <c r="M986">
        <v>30</v>
      </c>
      <c r="N986" s="1" t="s">
        <v>23</v>
      </c>
      <c r="O986" s="1" t="s">
        <v>26</v>
      </c>
      <c r="P986">
        <v>2</v>
      </c>
      <c r="Q986" s="1" t="s">
        <v>27</v>
      </c>
      <c r="R986">
        <v>1</v>
      </c>
      <c r="S986" s="1" t="s">
        <v>23</v>
      </c>
      <c r="T986" s="1" t="s">
        <v>28</v>
      </c>
      <c r="U986" s="1" t="s">
        <v>29</v>
      </c>
    </row>
    <row r="987" spans="1:21" x14ac:dyDescent="0.3">
      <c r="A987" s="1" t="s">
        <v>35</v>
      </c>
      <c r="B987">
        <v>15</v>
      </c>
      <c r="C987" s="1" t="s">
        <v>18</v>
      </c>
      <c r="D987" s="1" t="s">
        <v>53</v>
      </c>
      <c r="E987">
        <v>1433</v>
      </c>
      <c r="F987" s="1" t="s">
        <v>32</v>
      </c>
      <c r="G987" s="1" t="s">
        <v>21</v>
      </c>
      <c r="H987">
        <v>4</v>
      </c>
      <c r="I987" s="1" t="s">
        <v>22</v>
      </c>
      <c r="J987" s="1" t="s">
        <v>23</v>
      </c>
      <c r="K987">
        <v>3</v>
      </c>
      <c r="L987" s="1" t="s">
        <v>48</v>
      </c>
      <c r="M987">
        <v>25</v>
      </c>
      <c r="N987" s="1" t="s">
        <v>23</v>
      </c>
      <c r="O987" s="1" t="s">
        <v>34</v>
      </c>
      <c r="P987">
        <v>2</v>
      </c>
      <c r="Q987" s="1" t="s">
        <v>41</v>
      </c>
      <c r="R987">
        <v>1</v>
      </c>
      <c r="S987" s="1" t="s">
        <v>23</v>
      </c>
      <c r="T987" s="1" t="s">
        <v>28</v>
      </c>
      <c r="U987" s="1" t="s">
        <v>29</v>
      </c>
    </row>
    <row r="988" spans="1:21" x14ac:dyDescent="0.3">
      <c r="A988" s="1" t="s">
        <v>50</v>
      </c>
      <c r="B988">
        <v>42</v>
      </c>
      <c r="C988" s="1" t="s">
        <v>52</v>
      </c>
      <c r="D988" s="1" t="s">
        <v>61</v>
      </c>
      <c r="E988">
        <v>6289</v>
      </c>
      <c r="F988" s="1" t="s">
        <v>32</v>
      </c>
      <c r="G988" s="1" t="s">
        <v>45</v>
      </c>
      <c r="H988">
        <v>2</v>
      </c>
      <c r="I988" s="1" t="s">
        <v>64</v>
      </c>
      <c r="J988" s="1" t="s">
        <v>23</v>
      </c>
      <c r="K988">
        <v>1</v>
      </c>
      <c r="L988" s="1" t="s">
        <v>48</v>
      </c>
      <c r="M988">
        <v>33</v>
      </c>
      <c r="N988" s="1" t="s">
        <v>23</v>
      </c>
      <c r="O988" s="1" t="s">
        <v>26</v>
      </c>
      <c r="P988">
        <v>2</v>
      </c>
      <c r="Q988" s="1" t="s">
        <v>41</v>
      </c>
      <c r="R988">
        <v>1</v>
      </c>
      <c r="S988" s="1" t="s">
        <v>23</v>
      </c>
      <c r="T988" s="1" t="s">
        <v>28</v>
      </c>
      <c r="U988" s="1" t="s">
        <v>29</v>
      </c>
    </row>
    <row r="989" spans="1:21" x14ac:dyDescent="0.3">
      <c r="A989" s="1" t="s">
        <v>17</v>
      </c>
      <c r="B989">
        <v>13</v>
      </c>
      <c r="C989" s="1" t="s">
        <v>31</v>
      </c>
      <c r="D989" s="1" t="s">
        <v>36</v>
      </c>
      <c r="E989">
        <v>1409</v>
      </c>
      <c r="F989" s="1" t="s">
        <v>46</v>
      </c>
      <c r="G989" s="1" t="s">
        <v>54</v>
      </c>
      <c r="H989">
        <v>2</v>
      </c>
      <c r="I989" s="1" t="s">
        <v>22</v>
      </c>
      <c r="J989" s="1" t="s">
        <v>23</v>
      </c>
      <c r="K989">
        <v>4</v>
      </c>
      <c r="L989" s="1" t="s">
        <v>24</v>
      </c>
      <c r="M989">
        <v>64</v>
      </c>
      <c r="N989" s="1" t="s">
        <v>23</v>
      </c>
      <c r="O989" s="1" t="s">
        <v>26</v>
      </c>
      <c r="P989">
        <v>1</v>
      </c>
      <c r="Q989" s="1" t="s">
        <v>41</v>
      </c>
      <c r="R989">
        <v>1</v>
      </c>
      <c r="S989" s="1" t="s">
        <v>23</v>
      </c>
      <c r="T989" s="1" t="s">
        <v>28</v>
      </c>
      <c r="U989" s="1" t="s">
        <v>29</v>
      </c>
    </row>
    <row r="990" spans="1:21" x14ac:dyDescent="0.3">
      <c r="A990" s="1" t="s">
        <v>35</v>
      </c>
      <c r="B990">
        <v>24</v>
      </c>
      <c r="C990" s="1" t="s">
        <v>31</v>
      </c>
      <c r="D990" s="1" t="s">
        <v>69</v>
      </c>
      <c r="E990">
        <v>6579</v>
      </c>
      <c r="F990" s="1" t="s">
        <v>32</v>
      </c>
      <c r="G990" s="1" t="s">
        <v>54</v>
      </c>
      <c r="H990">
        <v>4</v>
      </c>
      <c r="I990" s="1" t="s">
        <v>39</v>
      </c>
      <c r="J990" s="1" t="s">
        <v>23</v>
      </c>
      <c r="K990">
        <v>2</v>
      </c>
      <c r="L990" s="1" t="s">
        <v>65</v>
      </c>
      <c r="M990">
        <v>29</v>
      </c>
      <c r="N990" s="1" t="s">
        <v>23</v>
      </c>
      <c r="O990" s="1" t="s">
        <v>66</v>
      </c>
      <c r="P990">
        <v>1</v>
      </c>
      <c r="Q990" s="1" t="s">
        <v>63</v>
      </c>
      <c r="R990">
        <v>1</v>
      </c>
      <c r="S990" s="1" t="s">
        <v>28</v>
      </c>
      <c r="T990" s="1" t="s">
        <v>28</v>
      </c>
      <c r="U990" s="1" t="s">
        <v>29</v>
      </c>
    </row>
    <row r="991" spans="1:21" x14ac:dyDescent="0.3">
      <c r="A991" s="1" t="s">
        <v>30</v>
      </c>
      <c r="B991">
        <v>24</v>
      </c>
      <c r="C991" s="1" t="s">
        <v>18</v>
      </c>
      <c r="D991" s="1" t="s">
        <v>36</v>
      </c>
      <c r="E991">
        <v>1743</v>
      </c>
      <c r="F991" s="1" t="s">
        <v>32</v>
      </c>
      <c r="G991" s="1" t="s">
        <v>38</v>
      </c>
      <c r="H991">
        <v>4</v>
      </c>
      <c r="I991" s="1" t="s">
        <v>39</v>
      </c>
      <c r="J991" s="1" t="s">
        <v>23</v>
      </c>
      <c r="K991">
        <v>2</v>
      </c>
      <c r="L991" s="1" t="s">
        <v>48</v>
      </c>
      <c r="M991">
        <v>48</v>
      </c>
      <c r="N991" s="1" t="s">
        <v>23</v>
      </c>
      <c r="O991" s="1" t="s">
        <v>26</v>
      </c>
      <c r="P991">
        <v>2</v>
      </c>
      <c r="Q991" s="1" t="s">
        <v>27</v>
      </c>
      <c r="R991">
        <v>1</v>
      </c>
      <c r="S991" s="1" t="s">
        <v>23</v>
      </c>
      <c r="T991" s="1" t="s">
        <v>28</v>
      </c>
      <c r="U991" s="1" t="s">
        <v>29</v>
      </c>
    </row>
    <row r="992" spans="1:21" x14ac:dyDescent="0.3">
      <c r="A992" s="1" t="s">
        <v>17</v>
      </c>
      <c r="B992">
        <v>12</v>
      </c>
      <c r="C992" s="1" t="s">
        <v>18</v>
      </c>
      <c r="D992" s="1" t="s">
        <v>51</v>
      </c>
      <c r="E992">
        <v>3565</v>
      </c>
      <c r="F992" s="1" t="s">
        <v>47</v>
      </c>
      <c r="G992" s="1" t="s">
        <v>45</v>
      </c>
      <c r="H992">
        <v>2</v>
      </c>
      <c r="I992" s="1" t="s">
        <v>39</v>
      </c>
      <c r="J992" s="1" t="s">
        <v>23</v>
      </c>
      <c r="K992">
        <v>1</v>
      </c>
      <c r="L992" s="1" t="s">
        <v>48</v>
      </c>
      <c r="M992">
        <v>37</v>
      </c>
      <c r="N992" s="1" t="s">
        <v>23</v>
      </c>
      <c r="O992" s="1" t="s">
        <v>26</v>
      </c>
      <c r="P992">
        <v>2</v>
      </c>
      <c r="Q992" s="1" t="s">
        <v>27</v>
      </c>
      <c r="R992">
        <v>2</v>
      </c>
      <c r="S992" s="1" t="s">
        <v>23</v>
      </c>
      <c r="T992" s="1" t="s">
        <v>28</v>
      </c>
      <c r="U992" s="1" t="s">
        <v>29</v>
      </c>
    </row>
    <row r="993" spans="1:21" x14ac:dyDescent="0.3">
      <c r="A993" s="1" t="s">
        <v>17</v>
      </c>
      <c r="B993">
        <v>15</v>
      </c>
      <c r="C993" s="1" t="s">
        <v>42</v>
      </c>
      <c r="D993" s="1" t="s">
        <v>36</v>
      </c>
      <c r="E993">
        <v>1569</v>
      </c>
      <c r="F993" s="1" t="s">
        <v>46</v>
      </c>
      <c r="G993" s="1" t="s">
        <v>38</v>
      </c>
      <c r="H993">
        <v>4</v>
      </c>
      <c r="I993" s="1" t="s">
        <v>39</v>
      </c>
      <c r="J993" s="1" t="s">
        <v>23</v>
      </c>
      <c r="K993">
        <v>4</v>
      </c>
      <c r="L993" s="1" t="s">
        <v>40</v>
      </c>
      <c r="M993">
        <v>34</v>
      </c>
      <c r="N993" s="1" t="s">
        <v>25</v>
      </c>
      <c r="O993" s="1" t="s">
        <v>26</v>
      </c>
      <c r="P993">
        <v>1</v>
      </c>
      <c r="Q993" s="1" t="s">
        <v>27</v>
      </c>
      <c r="R993">
        <v>2</v>
      </c>
      <c r="S993" s="1" t="s">
        <v>23</v>
      </c>
      <c r="T993" s="1" t="s">
        <v>28</v>
      </c>
      <c r="U993" s="1" t="s">
        <v>29</v>
      </c>
    </row>
    <row r="994" spans="1:21" x14ac:dyDescent="0.3">
      <c r="A994" s="1" t="s">
        <v>35</v>
      </c>
      <c r="B994">
        <v>18</v>
      </c>
      <c r="C994" s="1" t="s">
        <v>31</v>
      </c>
      <c r="D994" s="1" t="s">
        <v>36</v>
      </c>
      <c r="E994">
        <v>1936</v>
      </c>
      <c r="F994" s="1" t="s">
        <v>47</v>
      </c>
      <c r="G994" s="1" t="s">
        <v>49</v>
      </c>
      <c r="H994">
        <v>2</v>
      </c>
      <c r="I994" s="1" t="s">
        <v>33</v>
      </c>
      <c r="J994" s="1" t="s">
        <v>23</v>
      </c>
      <c r="K994">
        <v>4</v>
      </c>
      <c r="L994" s="1" t="s">
        <v>40</v>
      </c>
      <c r="M994">
        <v>23</v>
      </c>
      <c r="N994" s="1" t="s">
        <v>23</v>
      </c>
      <c r="O994" s="1" t="s">
        <v>34</v>
      </c>
      <c r="P994">
        <v>2</v>
      </c>
      <c r="Q994" s="1" t="s">
        <v>27</v>
      </c>
      <c r="R994">
        <v>1</v>
      </c>
      <c r="S994" s="1" t="s">
        <v>23</v>
      </c>
      <c r="T994" s="1" t="s">
        <v>28</v>
      </c>
      <c r="U994" s="1" t="s">
        <v>29</v>
      </c>
    </row>
    <row r="995" spans="1:21" x14ac:dyDescent="0.3">
      <c r="A995" s="1" t="s">
        <v>35</v>
      </c>
      <c r="B995">
        <v>36</v>
      </c>
      <c r="C995" s="1" t="s">
        <v>31</v>
      </c>
      <c r="D995" s="1" t="s">
        <v>53</v>
      </c>
      <c r="E995">
        <v>3959</v>
      </c>
      <c r="F995" s="1" t="s">
        <v>32</v>
      </c>
      <c r="G995" s="1" t="s">
        <v>54</v>
      </c>
      <c r="H995">
        <v>4</v>
      </c>
      <c r="I995" s="1" t="s">
        <v>39</v>
      </c>
      <c r="J995" s="1" t="s">
        <v>23</v>
      </c>
      <c r="K995">
        <v>3</v>
      </c>
      <c r="L995" s="1" t="s">
        <v>48</v>
      </c>
      <c r="M995">
        <v>30</v>
      </c>
      <c r="N995" s="1" t="s">
        <v>23</v>
      </c>
      <c r="O995" s="1" t="s">
        <v>26</v>
      </c>
      <c r="P995">
        <v>1</v>
      </c>
      <c r="Q995" s="1" t="s">
        <v>63</v>
      </c>
      <c r="R995">
        <v>1</v>
      </c>
      <c r="S995" s="1" t="s">
        <v>28</v>
      </c>
      <c r="T995" s="1" t="s">
        <v>28</v>
      </c>
      <c r="U995" s="1" t="s">
        <v>29</v>
      </c>
    </row>
    <row r="996" spans="1:21" x14ac:dyDescent="0.3">
      <c r="A996" s="1" t="s">
        <v>17</v>
      </c>
      <c r="B996">
        <v>12</v>
      </c>
      <c r="C996" s="1" t="s">
        <v>31</v>
      </c>
      <c r="D996" s="1" t="s">
        <v>19</v>
      </c>
      <c r="E996">
        <v>2390</v>
      </c>
      <c r="F996" s="1" t="s">
        <v>47</v>
      </c>
      <c r="G996" s="1" t="s">
        <v>38</v>
      </c>
      <c r="H996">
        <v>4</v>
      </c>
      <c r="I996" s="1" t="s">
        <v>39</v>
      </c>
      <c r="J996" s="1" t="s">
        <v>23</v>
      </c>
      <c r="K996">
        <v>3</v>
      </c>
      <c r="L996" s="1" t="s">
        <v>40</v>
      </c>
      <c r="M996">
        <v>50</v>
      </c>
      <c r="N996" s="1" t="s">
        <v>23</v>
      </c>
      <c r="O996" s="1" t="s">
        <v>26</v>
      </c>
      <c r="P996">
        <v>1</v>
      </c>
      <c r="Q996" s="1" t="s">
        <v>41</v>
      </c>
      <c r="R996">
        <v>1</v>
      </c>
      <c r="S996" s="1" t="s">
        <v>28</v>
      </c>
      <c r="T996" s="1" t="s">
        <v>28</v>
      </c>
      <c r="U996" s="1" t="s">
        <v>29</v>
      </c>
    </row>
    <row r="997" spans="1:21" x14ac:dyDescent="0.3">
      <c r="A997" s="1" t="s">
        <v>17</v>
      </c>
      <c r="B997">
        <v>12</v>
      </c>
      <c r="C997" s="1" t="s">
        <v>31</v>
      </c>
      <c r="D997" s="1" t="s">
        <v>53</v>
      </c>
      <c r="E997">
        <v>1736</v>
      </c>
      <c r="F997" s="1" t="s">
        <v>32</v>
      </c>
      <c r="G997" s="1" t="s">
        <v>49</v>
      </c>
      <c r="H997">
        <v>3</v>
      </c>
      <c r="I997" s="1" t="s">
        <v>22</v>
      </c>
      <c r="J997" s="1" t="s">
        <v>23</v>
      </c>
      <c r="K997">
        <v>4</v>
      </c>
      <c r="L997" s="1" t="s">
        <v>24</v>
      </c>
      <c r="M997">
        <v>31</v>
      </c>
      <c r="N997" s="1" t="s">
        <v>23</v>
      </c>
      <c r="O997" s="1" t="s">
        <v>26</v>
      </c>
      <c r="P997">
        <v>1</v>
      </c>
      <c r="Q997" s="1" t="s">
        <v>27</v>
      </c>
      <c r="R997">
        <v>1</v>
      </c>
      <c r="S997" s="1" t="s">
        <v>23</v>
      </c>
      <c r="T997" s="1" t="s">
        <v>28</v>
      </c>
      <c r="U997" s="1" t="s">
        <v>29</v>
      </c>
    </row>
    <row r="998" spans="1:21" x14ac:dyDescent="0.3">
      <c r="A998" s="1" t="s">
        <v>35</v>
      </c>
      <c r="B998">
        <v>30</v>
      </c>
      <c r="C998" s="1" t="s">
        <v>31</v>
      </c>
      <c r="D998" s="1" t="s">
        <v>69</v>
      </c>
      <c r="E998">
        <v>3857</v>
      </c>
      <c r="F998" s="1" t="s">
        <v>32</v>
      </c>
      <c r="G998" s="1" t="s">
        <v>21</v>
      </c>
      <c r="H998">
        <v>4</v>
      </c>
      <c r="I998" s="1" t="s">
        <v>64</v>
      </c>
      <c r="J998" s="1" t="s">
        <v>23</v>
      </c>
      <c r="K998">
        <v>4</v>
      </c>
      <c r="L998" s="1" t="s">
        <v>48</v>
      </c>
      <c r="M998">
        <v>40</v>
      </c>
      <c r="N998" s="1" t="s">
        <v>23</v>
      </c>
      <c r="O998" s="1" t="s">
        <v>26</v>
      </c>
      <c r="P998">
        <v>1</v>
      </c>
      <c r="Q998" s="1" t="s">
        <v>63</v>
      </c>
      <c r="R998">
        <v>1</v>
      </c>
      <c r="S998" s="1" t="s">
        <v>28</v>
      </c>
      <c r="T998" s="1" t="s">
        <v>28</v>
      </c>
      <c r="U998" s="1" t="s">
        <v>29</v>
      </c>
    </row>
    <row r="999" spans="1:21" x14ac:dyDescent="0.3">
      <c r="A999" s="1" t="s">
        <v>17</v>
      </c>
      <c r="B999">
        <v>12</v>
      </c>
      <c r="C999" s="1" t="s">
        <v>31</v>
      </c>
      <c r="D999" s="1" t="s">
        <v>36</v>
      </c>
      <c r="E999">
        <v>804</v>
      </c>
      <c r="F999" s="1" t="s">
        <v>32</v>
      </c>
      <c r="G999" s="1" t="s">
        <v>38</v>
      </c>
      <c r="H999">
        <v>4</v>
      </c>
      <c r="I999" s="1" t="s">
        <v>39</v>
      </c>
      <c r="J999" s="1" t="s">
        <v>23</v>
      </c>
      <c r="K999">
        <v>4</v>
      </c>
      <c r="L999" s="1" t="s">
        <v>40</v>
      </c>
      <c r="M999">
        <v>38</v>
      </c>
      <c r="N999" s="1" t="s">
        <v>23</v>
      </c>
      <c r="O999" s="1" t="s">
        <v>26</v>
      </c>
      <c r="P999">
        <v>1</v>
      </c>
      <c r="Q999" s="1" t="s">
        <v>41</v>
      </c>
      <c r="R999">
        <v>1</v>
      </c>
      <c r="S999" s="1" t="s">
        <v>23</v>
      </c>
      <c r="T999" s="1" t="s">
        <v>28</v>
      </c>
      <c r="U999" s="1" t="s">
        <v>29</v>
      </c>
    </row>
    <row r="1000" spans="1:21" x14ac:dyDescent="0.3">
      <c r="A1000" s="1" t="s">
        <v>35</v>
      </c>
      <c r="B1000">
        <v>45</v>
      </c>
      <c r="C1000" s="1" t="s">
        <v>31</v>
      </c>
      <c r="D1000" s="1" t="s">
        <v>36</v>
      </c>
      <c r="E1000">
        <v>1845</v>
      </c>
      <c r="F1000" s="1" t="s">
        <v>32</v>
      </c>
      <c r="G1000" s="1" t="s">
        <v>21</v>
      </c>
      <c r="H1000">
        <v>4</v>
      </c>
      <c r="I1000" s="1" t="s">
        <v>39</v>
      </c>
      <c r="J1000" s="1" t="s">
        <v>23</v>
      </c>
      <c r="K1000">
        <v>4</v>
      </c>
      <c r="L1000" s="1" t="s">
        <v>65</v>
      </c>
      <c r="M1000">
        <v>23</v>
      </c>
      <c r="N1000" s="1" t="s">
        <v>23</v>
      </c>
      <c r="O1000" s="1" t="s">
        <v>66</v>
      </c>
      <c r="P1000">
        <v>1</v>
      </c>
      <c r="Q1000" s="1" t="s">
        <v>41</v>
      </c>
      <c r="R1000">
        <v>1</v>
      </c>
      <c r="S1000" s="1" t="s">
        <v>28</v>
      </c>
      <c r="T1000" s="1" t="s">
        <v>28</v>
      </c>
      <c r="U1000" s="1" t="s">
        <v>56</v>
      </c>
    </row>
    <row r="1001" spans="1:21" x14ac:dyDescent="0.3">
      <c r="A1001" s="1" t="s">
        <v>30</v>
      </c>
      <c r="B1001">
        <v>45</v>
      </c>
      <c r="C1001" s="1" t="s">
        <v>18</v>
      </c>
      <c r="D1001" s="1" t="s">
        <v>69</v>
      </c>
      <c r="E1001">
        <v>4576</v>
      </c>
      <c r="F1001" s="1" t="s">
        <v>46</v>
      </c>
      <c r="G1001" s="1" t="s">
        <v>54</v>
      </c>
      <c r="H1001">
        <v>3</v>
      </c>
      <c r="I1001" s="1" t="s">
        <v>39</v>
      </c>
      <c r="J1001" s="1" t="s">
        <v>23</v>
      </c>
      <c r="K1001">
        <v>4</v>
      </c>
      <c r="L1001" s="1" t="s">
        <v>40</v>
      </c>
      <c r="M1001">
        <v>27</v>
      </c>
      <c r="N1001" s="1" t="s">
        <v>23</v>
      </c>
      <c r="O1001" s="1" t="s">
        <v>26</v>
      </c>
      <c r="P1001">
        <v>1</v>
      </c>
      <c r="Q1001" s="1" t="s">
        <v>41</v>
      </c>
      <c r="R1001">
        <v>1</v>
      </c>
      <c r="S1001" s="1" t="s">
        <v>23</v>
      </c>
      <c r="T1001" s="1" t="s">
        <v>28</v>
      </c>
      <c r="U1001" s="1"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N1002"/>
  <sheetViews>
    <sheetView topLeftCell="Q1" zoomScale="60" workbookViewId="0">
      <pane ySplit="2" topLeftCell="A3" activePane="bottomLeft" state="frozen"/>
      <selection pane="bottomLeft" activeCell="AD3" sqref="AD3"/>
    </sheetView>
  </sheetViews>
  <sheetFormatPr defaultRowHeight="14.4" x14ac:dyDescent="0.3"/>
  <cols>
    <col min="1" max="1" width="6.77734375" style="4" customWidth="1"/>
    <col min="2" max="2" width="16.33203125" style="11" bestFit="1" customWidth="1"/>
    <col min="3" max="3" width="12.6640625" style="2" bestFit="1" customWidth="1"/>
    <col min="4" max="4" width="29.109375" style="4" hidden="1" customWidth="1"/>
    <col min="6" max="6" width="23.6640625" customWidth="1"/>
    <col min="7" max="7" width="19.6640625" customWidth="1"/>
    <col min="8" max="8" width="29.109375" style="13" bestFit="1" customWidth="1"/>
    <col min="9" max="9" width="22.6640625" style="2" bestFit="1" customWidth="1"/>
    <col min="10" max="10" width="21.44140625" bestFit="1" customWidth="1"/>
    <col min="11" max="11" width="20.21875" bestFit="1" customWidth="1"/>
    <col min="12" max="12" width="18.6640625" bestFit="1" customWidth="1"/>
    <col min="13" max="13" width="18.6640625" style="13" bestFit="1" customWidth="1"/>
    <col min="14" max="14" width="23.6640625" hidden="1" customWidth="1"/>
    <col min="15" max="15" width="20.21875" bestFit="1" customWidth="1"/>
    <col min="16" max="16" width="23" style="12" hidden="1" customWidth="1"/>
    <col min="17" max="17" width="21.21875" bestFit="1" customWidth="1"/>
    <col min="18" max="18" width="20.77734375" hidden="1" customWidth="1"/>
    <col min="19" max="19" width="11.109375" bestFit="1" customWidth="1"/>
    <col min="20" max="20" width="20.77734375" bestFit="1" customWidth="1"/>
    <col min="21" max="21" width="23.6640625" hidden="1" customWidth="1"/>
    <col min="22" max="22" width="22.77734375" style="12" bestFit="1" customWidth="1"/>
    <col min="23" max="23" width="23.21875" style="2" hidden="1" customWidth="1"/>
    <col min="24" max="24" width="23.77734375" style="3" bestFit="1" customWidth="1"/>
    <col min="25" max="25" width="22.33203125" bestFit="1" customWidth="1"/>
    <col min="26" max="26" width="24.6640625" hidden="1" customWidth="1"/>
    <col min="27" max="27" width="23.77734375" bestFit="1" customWidth="1"/>
    <col min="28" max="28" width="21" hidden="1" customWidth="1"/>
    <col min="29" max="29" width="23.21875" bestFit="1" customWidth="1"/>
    <col min="30" max="30" width="23.6640625" style="22" bestFit="1" customWidth="1"/>
    <col min="31" max="31" width="18" bestFit="1" customWidth="1"/>
    <col min="32" max="32" width="22.109375" bestFit="1" customWidth="1"/>
    <col min="33" max="33" width="23.21875" style="12" bestFit="1" customWidth="1"/>
    <col min="34" max="35" width="23.21875" style="2" bestFit="1" customWidth="1"/>
    <col min="36" max="36" width="23" bestFit="1" customWidth="1"/>
    <col min="37" max="37" width="18" bestFit="1" customWidth="1"/>
    <col min="38" max="38" width="23.5546875" bestFit="1" customWidth="1"/>
    <col min="40" max="40" width="24" customWidth="1"/>
    <col min="41" max="41" width="16.44140625" bestFit="1" customWidth="1"/>
    <col min="42" max="42" width="17.33203125" bestFit="1" customWidth="1"/>
    <col min="43" max="43" width="23.77734375" customWidth="1"/>
    <col min="44" max="44" width="23.21875" bestFit="1" customWidth="1"/>
    <col min="45" max="45" width="18" bestFit="1" customWidth="1"/>
    <col min="46" max="46" width="23.5546875" bestFit="1" customWidth="1"/>
    <col min="47" max="47" width="24.6640625" bestFit="1" customWidth="1"/>
    <col min="49" max="49" width="21.21875" bestFit="1" customWidth="1"/>
    <col min="50" max="50" width="23.21875" bestFit="1" customWidth="1"/>
    <col min="51" max="51" width="22" bestFit="1" customWidth="1"/>
    <col min="52" max="52" width="20.77734375" style="2" bestFit="1" customWidth="1"/>
    <col min="53" max="53" width="19.88671875" bestFit="1" customWidth="1"/>
    <col min="54" max="54" width="21.21875" bestFit="1" customWidth="1"/>
    <col min="55" max="55" width="23.77734375" style="2" customWidth="1"/>
    <col min="56" max="56" width="18" bestFit="1" customWidth="1"/>
    <col min="57" max="57" width="23.5546875" style="3" customWidth="1"/>
    <col min="58" max="58" width="24.6640625" hidden="1" customWidth="1"/>
    <col min="60" max="60" width="12.5546875" bestFit="1" customWidth="1"/>
    <col min="62" max="62" width="17.33203125" bestFit="1" customWidth="1"/>
    <col min="63" max="63" width="15.5546875" bestFit="1" customWidth="1"/>
    <col min="64" max="64" width="21.21875" style="2" bestFit="1" customWidth="1"/>
    <col min="65" max="65" width="18" bestFit="1" customWidth="1"/>
    <col min="66" max="66" width="17.33203125" bestFit="1" customWidth="1"/>
    <col min="75" max="75" width="16.44140625" bestFit="1" customWidth="1"/>
    <col min="76" max="76" width="22.6640625" bestFit="1" customWidth="1"/>
    <col min="78" max="78" width="23.21875" style="2" bestFit="1" customWidth="1"/>
    <col min="79" max="79" width="20.21875" style="2" bestFit="1" customWidth="1"/>
    <col min="84" max="84" width="13.6640625" style="3" customWidth="1"/>
    <col min="85" max="85" width="23" style="2" bestFit="1" customWidth="1"/>
    <col min="86" max="86" width="16.33203125" style="2" bestFit="1" customWidth="1"/>
    <col min="87" max="87" width="19.21875" style="3" bestFit="1" customWidth="1"/>
    <col min="88" max="88" width="18.6640625" bestFit="1" customWidth="1"/>
    <col min="89" max="89" width="21.44140625" style="2" bestFit="1" customWidth="1"/>
    <col min="90" max="90" width="19.21875" bestFit="1" customWidth="1"/>
    <col min="91" max="91" width="18.6640625" bestFit="1" customWidth="1"/>
    <col min="92" max="92" width="21.44140625" style="3" customWidth="1"/>
    <col min="93" max="93" width="17.109375" bestFit="1" customWidth="1"/>
    <col min="94" max="94" width="16.77734375" bestFit="1" customWidth="1"/>
    <col min="95" max="95" width="12.5546875" bestFit="1" customWidth="1"/>
  </cols>
  <sheetData>
    <row r="1" spans="1:92" ht="18" x14ac:dyDescent="0.35">
      <c r="A1" s="33"/>
      <c r="B1" s="41" t="s">
        <v>163</v>
      </c>
      <c r="C1" s="42"/>
      <c r="D1" s="42"/>
      <c r="E1" s="42"/>
      <c r="F1" s="42"/>
      <c r="G1" s="42"/>
      <c r="H1" s="43"/>
      <c r="I1" s="41" t="s">
        <v>164</v>
      </c>
      <c r="J1" s="42"/>
      <c r="K1" s="42"/>
      <c r="L1" s="42"/>
      <c r="M1" s="43"/>
      <c r="N1" s="41" t="s">
        <v>166</v>
      </c>
      <c r="O1" s="42"/>
      <c r="P1" s="48"/>
      <c r="Q1" s="49"/>
      <c r="R1" s="47" t="s">
        <v>165</v>
      </c>
      <c r="S1" s="45"/>
      <c r="T1" s="45"/>
      <c r="U1" s="45"/>
      <c r="V1" s="46"/>
      <c r="W1" s="44" t="s">
        <v>168</v>
      </c>
      <c r="X1" s="45"/>
      <c r="Y1" s="45"/>
      <c r="Z1" s="45"/>
      <c r="AA1" s="45"/>
      <c r="AB1" s="45"/>
      <c r="AC1" s="45"/>
      <c r="AD1" s="46"/>
      <c r="AE1" s="44" t="s">
        <v>167</v>
      </c>
      <c r="AF1" s="45"/>
      <c r="AG1" s="46"/>
      <c r="AH1" s="34" t="s">
        <v>169</v>
      </c>
      <c r="AI1"/>
      <c r="AJ1" s="2"/>
      <c r="AL1" s="3"/>
      <c r="AS1" s="2"/>
      <c r="AZ1"/>
      <c r="BC1"/>
      <c r="BE1"/>
      <c r="BG1" s="2"/>
      <c r="BH1" s="2"/>
      <c r="BL1"/>
      <c r="BM1" s="3"/>
      <c r="BN1" s="2"/>
      <c r="BO1" s="2"/>
      <c r="BP1" s="3"/>
      <c r="BR1" s="2"/>
      <c r="BU1" s="3"/>
      <c r="BZ1"/>
      <c r="CA1"/>
      <c r="CF1"/>
      <c r="CG1"/>
      <c r="CH1"/>
      <c r="CI1"/>
      <c r="CK1"/>
      <c r="CN1"/>
    </row>
    <row r="2" spans="1:92" x14ac:dyDescent="0.3">
      <c r="A2" s="4" t="s">
        <v>182</v>
      </c>
      <c r="B2" s="11" t="s">
        <v>9</v>
      </c>
      <c r="C2" s="2" t="s">
        <v>170</v>
      </c>
      <c r="D2" t="s">
        <v>91</v>
      </c>
      <c r="E2" s="2" t="s">
        <v>128</v>
      </c>
      <c r="F2" s="2" t="s">
        <v>132</v>
      </c>
      <c r="G2" s="3" t="s">
        <v>13</v>
      </c>
      <c r="H2" s="13" t="s">
        <v>15</v>
      </c>
      <c r="I2" s="2" t="s">
        <v>159</v>
      </c>
      <c r="J2" s="2" t="s">
        <v>10</v>
      </c>
      <c r="K2" s="3" t="s">
        <v>7</v>
      </c>
      <c r="L2" s="2" t="s">
        <v>8</v>
      </c>
      <c r="M2" s="13" t="s">
        <v>14</v>
      </c>
      <c r="N2" t="s">
        <v>0</v>
      </c>
      <c r="O2" s="2" t="s">
        <v>155</v>
      </c>
      <c r="P2" s="19" t="s">
        <v>5</v>
      </c>
      <c r="Q2" s="20" t="s">
        <v>156</v>
      </c>
      <c r="R2" s="19" t="s">
        <v>12</v>
      </c>
      <c r="S2" s="2" t="s">
        <v>157</v>
      </c>
      <c r="T2" t="s">
        <v>158</v>
      </c>
      <c r="U2" t="s">
        <v>6</v>
      </c>
      <c r="V2" s="14" t="s">
        <v>211</v>
      </c>
      <c r="W2" t="s">
        <v>2</v>
      </c>
      <c r="X2" s="2" t="s">
        <v>99</v>
      </c>
      <c r="Y2" s="3" t="s">
        <v>250</v>
      </c>
      <c r="Z2" s="3" t="s">
        <v>11</v>
      </c>
      <c r="AA2" s="5" t="s">
        <v>4</v>
      </c>
      <c r="AB2" t="s">
        <v>101</v>
      </c>
      <c r="AC2" s="2" t="s">
        <v>139</v>
      </c>
      <c r="AD2" s="13" t="s">
        <v>102</v>
      </c>
      <c r="AE2" s="2" t="s">
        <v>3</v>
      </c>
      <c r="AF2" s="2" t="s">
        <v>213</v>
      </c>
      <c r="AG2" s="21" t="s">
        <v>1</v>
      </c>
      <c r="AH2" s="2" t="s">
        <v>16</v>
      </c>
      <c r="AI2"/>
      <c r="AZ2"/>
      <c r="BC2"/>
      <c r="BE2"/>
      <c r="BL2"/>
      <c r="BZ2"/>
      <c r="CA2"/>
      <c r="CF2"/>
      <c r="CG2"/>
      <c r="CH2"/>
      <c r="CI2"/>
      <c r="CK2"/>
      <c r="CN2"/>
    </row>
    <row r="3" spans="1:92" x14ac:dyDescent="0.3">
      <c r="A3" s="4">
        <v>1</v>
      </c>
      <c r="B3" s="11">
        <v>32</v>
      </c>
      <c r="C3" s="2" t="str">
        <f>_xlfn.XLOOKUP(Table1[[#This Row],[Age]],Table7[Start_Age],Table7[Age_Range],,-1)</f>
        <v>29-39</v>
      </c>
      <c r="D3" t="s">
        <v>136</v>
      </c>
      <c r="E3" s="2" t="s">
        <v>131</v>
      </c>
      <c r="F3" s="2" t="s">
        <v>137</v>
      </c>
      <c r="G3" s="3">
        <v>1</v>
      </c>
      <c r="H3" s="13" t="s">
        <v>151</v>
      </c>
      <c r="I3" s="2" t="str" cm="1">
        <f t="array" ref="I3">_xlfn.IFS(Table1[[#This Row],[Job_Type]] = "unskilled resident", "Resident",
Table1[[#This Row],[Job_Type]] = "unemp/unskilled non res", "Non-resident",
TRUE, "Unknown")</f>
        <v>Unknown</v>
      </c>
      <c r="J3" s="2" t="s">
        <v>148</v>
      </c>
      <c r="K3" s="3">
        <v>2</v>
      </c>
      <c r="L3" s="2" t="s">
        <v>143</v>
      </c>
      <c r="M3" s="13" t="s">
        <v>152</v>
      </c>
      <c r="N3" t="s">
        <v>30</v>
      </c>
      <c r="O3" s="2" t="str">
        <f>_xlfn.XLOOKUP(Table1[[#This Row],[Checking_Acct_Status]],Table3[Checking_Acct_Original],Table3[Category])</f>
        <v>Low Balance</v>
      </c>
      <c r="P3" s="10" t="s">
        <v>32</v>
      </c>
      <c r="Q3" s="13" t="str">
        <f>_xlfn.XLOOKUP(Table1[[#This Row],[Saving_Acct_Status]],Table5[Saving_Acct_Original],Table5[Category])</f>
        <v>Low Savings</v>
      </c>
      <c r="R3" t="s">
        <v>63</v>
      </c>
      <c r="S3" s="2" t="str">
        <f>IF(
      OR(Table1[[#This Row],[Job_Type]] = "high qualif/self emp/mgmt", Table1[[#This Row],[Job_Type]] = "skilled"),
      "Skilled", "Unskilled")</f>
        <v>Skilled</v>
      </c>
      <c r="T3" t="str">
        <f>IF(Table1[[#This Row],[Job_Type]] = "unemp/unskilled non res", "Unemployed", "Employed")</f>
        <v>Employed</v>
      </c>
      <c r="U3" t="s">
        <v>21</v>
      </c>
      <c r="V3" s="14" t="str" cm="1">
        <f t="array" ref="V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 t="s">
        <v>52</v>
      </c>
      <c r="X3" s="2" t="str">
        <f>_xlfn.XLOOKUP(Table1[[#This Row],[Loan_Credit_History]],Table4[Credit History],Table4[[ Category]])</f>
        <v>No Credit History</v>
      </c>
      <c r="Y3" s="3">
        <v>1</v>
      </c>
      <c r="Z3" s="3">
        <v>1</v>
      </c>
      <c r="AA3" s="5">
        <v>18424</v>
      </c>
      <c r="AB3" t="s">
        <v>151</v>
      </c>
      <c r="AC3" s="2" t="str" cm="1">
        <f t="array" ref="AC3">_xlfn.IFS(Table1[[#This Row],[Others_Parties]] = "No", "None",
Table1[[#This Row],[Others_Parties]] = "co applicant", "Co-applicant",
Table1[[#This Row],[Others_Parties]] = "guarantor", "Guarantor")</f>
        <v>None</v>
      </c>
      <c r="AD3" s="13" t="s">
        <v>146</v>
      </c>
      <c r="AE3" s="2" t="s">
        <v>104</v>
      </c>
      <c r="AF3" s="28" t="str" cm="1">
        <f t="array" ref="AF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3" s="21">
        <v>48</v>
      </c>
      <c r="AH3" s="2" t="s">
        <v>153</v>
      </c>
      <c r="AI3"/>
      <c r="AZ3"/>
      <c r="BC3"/>
      <c r="BE3"/>
      <c r="BL3"/>
      <c r="BZ3"/>
      <c r="CA3"/>
      <c r="CF3"/>
      <c r="CG3"/>
      <c r="CH3"/>
      <c r="CI3"/>
      <c r="CK3"/>
      <c r="CN3"/>
    </row>
    <row r="4" spans="1:92" x14ac:dyDescent="0.3">
      <c r="A4" s="4">
        <v>2</v>
      </c>
      <c r="B4" s="11">
        <v>24</v>
      </c>
      <c r="C4" s="2" t="str">
        <f>_xlfn.XLOOKUP(Table1[[#This Row],[Age]],Table7[Start_Age],Table7[Age_Range],,-1)</f>
        <v>19-29</v>
      </c>
      <c r="D4" t="s">
        <v>130</v>
      </c>
      <c r="E4" s="2" t="s">
        <v>129</v>
      </c>
      <c r="F4" s="2" t="s">
        <v>133</v>
      </c>
      <c r="G4" s="3">
        <v>1</v>
      </c>
      <c r="H4" s="13" t="s">
        <v>151</v>
      </c>
      <c r="I4" s="2" t="str" cm="1">
        <f t="array" ref="I4">_xlfn.IFS(Table1[[#This Row],[Job_Type]] = "unskilled resident", "Resident",
Table1[[#This Row],[Job_Type]] = "unemp/unskilled non res", "Non-resident",
TRUE, "Unknown")</f>
        <v>Resident</v>
      </c>
      <c r="J4" s="2" t="s">
        <v>148</v>
      </c>
      <c r="K4" s="3">
        <v>1</v>
      </c>
      <c r="L4" s="2" t="s">
        <v>143</v>
      </c>
      <c r="M4" s="13" t="s">
        <v>151</v>
      </c>
      <c r="N4" t="s">
        <v>35</v>
      </c>
      <c r="O4" s="2" t="str">
        <f>_xlfn.XLOOKUP(Table1[[#This Row],[Checking_Acct_Status]],Table3[Checking_Acct_Original],Table3[Category])</f>
        <v>Negative Balance</v>
      </c>
      <c r="P4" s="10" t="s">
        <v>32</v>
      </c>
      <c r="Q4" s="13" t="str">
        <f>_xlfn.XLOOKUP(Table1[[#This Row],[Saving_Acct_Status]],Table5[Saving_Acct_Original],Table5[Category])</f>
        <v>Low Savings</v>
      </c>
      <c r="R4" t="s">
        <v>27</v>
      </c>
      <c r="S4" s="2" t="str">
        <f>IF(
      OR(Table1[[#This Row],[Job_Type]] = "high qualif/self emp/mgmt", Table1[[#This Row],[Job_Type]] = "skilled"),
      "Skilled", "Unskilled")</f>
        <v>Unskilled</v>
      </c>
      <c r="T4" t="str">
        <f>IF(Table1[[#This Row],[Job_Type]] = "unemp/unskilled non res", "Unemployed", "Employed")</f>
        <v>Employed</v>
      </c>
      <c r="U4" t="s">
        <v>45</v>
      </c>
      <c r="V4" s="14" t="str" cm="1">
        <f t="array" ref="V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 t="s">
        <v>31</v>
      </c>
      <c r="X4" s="2" t="str">
        <f>_xlfn.XLOOKUP(Table1[[#This Row],[Loan_Credit_History]],Table4[Credit History],Table4[[ Category]])</f>
        <v>Existing Credits Paid</v>
      </c>
      <c r="Y4" s="3">
        <v>4</v>
      </c>
      <c r="Z4" s="3">
        <v>1</v>
      </c>
      <c r="AA4" s="5">
        <v>1747</v>
      </c>
      <c r="AB4" t="s">
        <v>55</v>
      </c>
      <c r="AC4" s="2" t="str" cm="1">
        <f t="array" ref="AC4">_xlfn.IFS(Table1[[#This Row],[Others_Parties]] = "No", "None",
Table1[[#This Row],[Others_Parties]] = "co applicant", "Co-applicant",
Table1[[#This Row],[Others_Parties]] = "guarantor", "Guarantor")</f>
        <v>Co-applicant</v>
      </c>
      <c r="AD4" s="13" t="s">
        <v>145</v>
      </c>
      <c r="AE4" s="2" t="s">
        <v>108</v>
      </c>
      <c r="AF4" s="28" t="str" cm="1">
        <f t="array" ref="AF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 s="21">
        <v>24</v>
      </c>
      <c r="AH4" s="2" t="s">
        <v>154</v>
      </c>
      <c r="AI4"/>
      <c r="AZ4"/>
      <c r="BC4"/>
      <c r="BE4"/>
      <c r="BL4"/>
      <c r="BZ4"/>
      <c r="CA4"/>
      <c r="CF4"/>
      <c r="CG4"/>
      <c r="CH4"/>
      <c r="CI4"/>
      <c r="CK4"/>
      <c r="CN4"/>
    </row>
    <row r="5" spans="1:92" x14ac:dyDescent="0.3">
      <c r="A5" s="4">
        <v>3</v>
      </c>
      <c r="B5" s="11">
        <v>22</v>
      </c>
      <c r="C5" s="2" t="str">
        <f>_xlfn.XLOOKUP(Table1[[#This Row],[Age]],Table7[Start_Age],Table7[Age_Range],,-1)</f>
        <v>19-29</v>
      </c>
      <c r="D5" t="s">
        <v>136</v>
      </c>
      <c r="E5" s="2" t="s">
        <v>131</v>
      </c>
      <c r="F5" s="2" t="s">
        <v>137</v>
      </c>
      <c r="G5" s="3">
        <v>1</v>
      </c>
      <c r="H5" s="13" t="s">
        <v>151</v>
      </c>
      <c r="I5" s="2" t="str" cm="1">
        <f t="array" ref="I5">_xlfn.IFS(Table1[[#This Row],[Job_Type]] = "unskilled resident", "Resident",
Table1[[#This Row],[Job_Type]] = "unemp/unskilled non res", "Non-resident",
TRUE, "Unknown")</f>
        <v>Unknown</v>
      </c>
      <c r="J5" s="2" t="s">
        <v>149</v>
      </c>
      <c r="K5" s="3">
        <v>4</v>
      </c>
      <c r="L5" s="2" t="s">
        <v>140</v>
      </c>
      <c r="M5" s="13" t="s">
        <v>151</v>
      </c>
      <c r="N5" t="s">
        <v>35</v>
      </c>
      <c r="O5" s="2" t="str">
        <f>_xlfn.XLOOKUP(Table1[[#This Row],[Checking_Acct_Status]],Table3[Checking_Acct_Original],Table3[Category])</f>
        <v>Negative Balance</v>
      </c>
      <c r="P5" s="10" t="s">
        <v>32</v>
      </c>
      <c r="Q5" s="13" t="str">
        <f>_xlfn.XLOOKUP(Table1[[#This Row],[Saving_Acct_Status]],Table5[Saving_Acct_Original],Table5[Category])</f>
        <v>Low Savings</v>
      </c>
      <c r="R5" t="s">
        <v>41</v>
      </c>
      <c r="S5" s="2" t="str">
        <f>IF(
      OR(Table1[[#This Row],[Job_Type]] = "high qualif/self emp/mgmt", Table1[[#This Row],[Job_Type]] = "skilled"),
      "Skilled", "Unskilled")</f>
        <v>Skilled</v>
      </c>
      <c r="T5" t="str">
        <f>IF(Table1[[#This Row],[Job_Type]] = "unemp/unskilled non res", "Unemployed", "Employed")</f>
        <v>Employed</v>
      </c>
      <c r="U5" t="s">
        <v>21</v>
      </c>
      <c r="V5" s="14" t="str" cm="1">
        <f t="array" ref="V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 t="s">
        <v>42</v>
      </c>
      <c r="X5" s="2" t="str">
        <f>_xlfn.XLOOKUP(Table1[[#This Row],[Loan_Credit_History]],Table4[Credit History],Table4[[ Category]])</f>
        <v>All Paid</v>
      </c>
      <c r="Y5" s="3">
        <v>1</v>
      </c>
      <c r="Z5" s="3">
        <v>1</v>
      </c>
      <c r="AA5" s="5">
        <v>3632</v>
      </c>
      <c r="AB5" t="s">
        <v>58</v>
      </c>
      <c r="AC5" s="2" t="str" cm="1">
        <f t="array" ref="AC5">_xlfn.IFS(Table1[[#This Row],[Others_Parties]] = "No", "None",
Table1[[#This Row],[Others_Parties]] = "co applicant", "Co-applicant",
Table1[[#This Row],[Others_Parties]] = "guarantor", "Guarantor")</f>
        <v>Guarantor</v>
      </c>
      <c r="AD5" s="13" t="s">
        <v>146</v>
      </c>
      <c r="AE5" s="2" t="s">
        <v>107</v>
      </c>
      <c r="AF5" s="28" t="str" cm="1">
        <f t="array" ref="AF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 s="21">
        <v>24</v>
      </c>
      <c r="AH5" s="2" t="s">
        <v>154</v>
      </c>
      <c r="AI5"/>
      <c r="AZ5"/>
      <c r="BC5"/>
      <c r="BE5"/>
      <c r="BL5"/>
      <c r="BZ5"/>
      <c r="CA5"/>
      <c r="CF5"/>
      <c r="CG5"/>
      <c r="CH5"/>
      <c r="CI5"/>
      <c r="CK5"/>
      <c r="CN5"/>
    </row>
    <row r="6" spans="1:92" x14ac:dyDescent="0.3">
      <c r="A6" s="4">
        <v>4</v>
      </c>
      <c r="B6" s="11">
        <v>30</v>
      </c>
      <c r="C6" s="2" t="str">
        <f>_xlfn.XLOOKUP(Table1[[#This Row],[Age]],Table7[Start_Age],Table7[Age_Range],,-1)</f>
        <v>29-39</v>
      </c>
      <c r="D6" t="s">
        <v>136</v>
      </c>
      <c r="E6" s="2" t="s">
        <v>131</v>
      </c>
      <c r="F6" s="2" t="s">
        <v>137</v>
      </c>
      <c r="G6" s="3">
        <v>1</v>
      </c>
      <c r="H6" s="13" t="s">
        <v>151</v>
      </c>
      <c r="I6" s="2" t="str" cm="1">
        <f t="array" ref="I6">_xlfn.IFS(Table1[[#This Row],[Job_Type]] = "unskilled resident", "Resident",
Table1[[#This Row],[Job_Type]] = "unemp/unskilled non res", "Non-resident",
TRUE, "Unknown")</f>
        <v>Unknown</v>
      </c>
      <c r="J6" s="2" t="s">
        <v>148</v>
      </c>
      <c r="K6" s="3">
        <v>2</v>
      </c>
      <c r="L6" s="2" t="s">
        <v>143</v>
      </c>
      <c r="M6" s="13" t="s">
        <v>152</v>
      </c>
      <c r="N6" t="s">
        <v>35</v>
      </c>
      <c r="O6" s="2" t="str">
        <f>_xlfn.XLOOKUP(Table1[[#This Row],[Checking_Acct_Status]],Table3[Checking_Acct_Original],Table3[Category])</f>
        <v>Negative Balance</v>
      </c>
      <c r="P6" s="10" t="s">
        <v>47</v>
      </c>
      <c r="Q6" s="13" t="str">
        <f>_xlfn.XLOOKUP(Table1[[#This Row],[Saving_Acct_Status]],Table5[Saving_Acct_Original],Table5[Category])</f>
        <v>No Savings</v>
      </c>
      <c r="R6" t="s">
        <v>41</v>
      </c>
      <c r="S6" s="2" t="str">
        <f>IF(
      OR(Table1[[#This Row],[Job_Type]] = "high qualif/self emp/mgmt", Table1[[#This Row],[Job_Type]] = "skilled"),
      "Skilled", "Unskilled")</f>
        <v>Skilled</v>
      </c>
      <c r="T6" t="str">
        <f>IF(Table1[[#This Row],[Job_Type]] = "unemp/unskilled non res", "Unemployed", "Employed")</f>
        <v>Employed</v>
      </c>
      <c r="U6" t="s">
        <v>45</v>
      </c>
      <c r="V6" s="14" t="str" cm="1">
        <f t="array" ref="V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 t="s">
        <v>31</v>
      </c>
      <c r="X6" s="2" t="str">
        <f>_xlfn.XLOOKUP(Table1[[#This Row],[Loan_Credit_History]],Table4[Credit History],Table4[[ Category]])</f>
        <v>Existing Credits Paid</v>
      </c>
      <c r="Y6" s="3">
        <v>1</v>
      </c>
      <c r="Z6" s="3">
        <v>1</v>
      </c>
      <c r="AA6" s="5">
        <v>7721</v>
      </c>
      <c r="AB6" t="s">
        <v>151</v>
      </c>
      <c r="AC6" s="2" t="str" cm="1">
        <f t="array" ref="AC6">_xlfn.IFS(Table1[[#This Row],[Others_Parties]] = "No", "None",
Table1[[#This Row],[Others_Parties]] = "co applicant", "Co-applicant",
Table1[[#This Row],[Others_Parties]] = "guarantor", "Guarantor")</f>
        <v>None</v>
      </c>
      <c r="AD6" s="13" t="s">
        <v>145</v>
      </c>
      <c r="AE6" s="2" t="s">
        <v>108</v>
      </c>
      <c r="AF6" s="28" t="str" cm="1">
        <f t="array" ref="AF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 s="21">
        <v>24</v>
      </c>
      <c r="AH6" s="2" t="s">
        <v>154</v>
      </c>
      <c r="AI6"/>
      <c r="AZ6"/>
      <c r="BC6"/>
      <c r="BE6"/>
      <c r="BL6"/>
      <c r="BZ6"/>
      <c r="CA6"/>
      <c r="CF6"/>
      <c r="CG6"/>
      <c r="CH6"/>
      <c r="CI6"/>
      <c r="CK6"/>
      <c r="CN6"/>
    </row>
    <row r="7" spans="1:92" x14ac:dyDescent="0.3">
      <c r="A7" s="4">
        <v>5</v>
      </c>
      <c r="B7" s="11">
        <v>24</v>
      </c>
      <c r="C7" s="2" t="str">
        <f>_xlfn.XLOOKUP(Table1[[#This Row],[Age]],Table7[Start_Age],Table7[Age_Range],,-1)</f>
        <v>19-29</v>
      </c>
      <c r="D7" t="s">
        <v>130</v>
      </c>
      <c r="E7" s="2" t="s">
        <v>129</v>
      </c>
      <c r="F7" s="2" t="s">
        <v>133</v>
      </c>
      <c r="G7" s="3">
        <v>1</v>
      </c>
      <c r="H7" s="13" t="s">
        <v>151</v>
      </c>
      <c r="I7" s="2" t="str" cm="1">
        <f t="array" ref="I7">_xlfn.IFS(Table1[[#This Row],[Job_Type]] = "unskilled resident", "Resident",
Table1[[#This Row],[Job_Type]] = "unemp/unskilled non res", "Non-resident",
TRUE, "Unknown")</f>
        <v>Resident</v>
      </c>
      <c r="J7" s="2" t="s">
        <v>148</v>
      </c>
      <c r="K7" s="3">
        <v>2</v>
      </c>
      <c r="L7" s="2" t="s">
        <v>144</v>
      </c>
      <c r="M7" s="13" t="s">
        <v>151</v>
      </c>
      <c r="N7" t="s">
        <v>35</v>
      </c>
      <c r="O7" s="2" t="str">
        <f>_xlfn.XLOOKUP(Table1[[#This Row],[Checking_Acct_Status]],Table3[Checking_Acct_Original],Table3[Category])</f>
        <v>Negative Balance</v>
      </c>
      <c r="P7" s="10" t="s">
        <v>47</v>
      </c>
      <c r="Q7" s="13" t="str">
        <f>_xlfn.XLOOKUP(Table1[[#This Row],[Saving_Acct_Status]],Table5[Saving_Acct_Original],Table5[Category])</f>
        <v>No Savings</v>
      </c>
      <c r="R7" t="s">
        <v>27</v>
      </c>
      <c r="S7" s="2" t="str">
        <f>IF(
      OR(Table1[[#This Row],[Job_Type]] = "high qualif/self emp/mgmt", Table1[[#This Row],[Job_Type]] = "skilled"),
      "Skilled", "Unskilled")</f>
        <v>Unskilled</v>
      </c>
      <c r="T7" t="str">
        <f>IF(Table1[[#This Row],[Job_Type]] = "unemp/unskilled non res", "Unemployed", "Employed")</f>
        <v>Employed</v>
      </c>
      <c r="U7" t="s">
        <v>49</v>
      </c>
      <c r="V7" s="14" t="str" cm="1">
        <f t="array" ref="V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 t="s">
        <v>31</v>
      </c>
      <c r="X7" s="2" t="str">
        <f>_xlfn.XLOOKUP(Table1[[#This Row],[Loan_Credit_History]],Table4[Credit History],Table4[[ Category]])</f>
        <v>Existing Credits Paid</v>
      </c>
      <c r="Y7" s="3">
        <v>2</v>
      </c>
      <c r="Z7" s="3">
        <v>1</v>
      </c>
      <c r="AA7" s="5">
        <v>3763</v>
      </c>
      <c r="AB7" t="s">
        <v>55</v>
      </c>
      <c r="AC7" s="2" t="str" cm="1">
        <f t="array" ref="AC7">_xlfn.IFS(Table1[[#This Row],[Others_Parties]] = "No", "None",
Table1[[#This Row],[Others_Parties]] = "co applicant", "Co-applicant",
Table1[[#This Row],[Others_Parties]] = "guarantor", "Guarantor")</f>
        <v>Co-applicant</v>
      </c>
      <c r="AD7" s="13" t="s">
        <v>145</v>
      </c>
      <c r="AE7" s="2" t="s">
        <v>141</v>
      </c>
      <c r="AF7" s="28" t="str" cm="1">
        <f t="array" ref="AF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7" s="21">
        <v>21</v>
      </c>
      <c r="AH7" s="2" t="s">
        <v>154</v>
      </c>
      <c r="AI7"/>
      <c r="AZ7"/>
      <c r="BC7"/>
      <c r="BE7"/>
      <c r="BL7"/>
      <c r="BZ7"/>
      <c r="CA7"/>
      <c r="CF7"/>
      <c r="CG7"/>
      <c r="CH7"/>
      <c r="CI7"/>
      <c r="CK7"/>
      <c r="CN7"/>
    </row>
    <row r="8" spans="1:92" x14ac:dyDescent="0.3">
      <c r="A8" s="4">
        <v>6</v>
      </c>
      <c r="B8" s="11">
        <v>33</v>
      </c>
      <c r="C8" s="2" t="str">
        <f>_xlfn.XLOOKUP(Table1[[#This Row],[Age]],Table7[Start_Age],Table7[Age_Range],,-1)</f>
        <v>29-39</v>
      </c>
      <c r="D8" t="s">
        <v>134</v>
      </c>
      <c r="E8" s="2" t="s">
        <v>129</v>
      </c>
      <c r="F8" s="2" t="s">
        <v>135</v>
      </c>
      <c r="G8" s="3">
        <v>1</v>
      </c>
      <c r="H8" s="13" t="s">
        <v>151</v>
      </c>
      <c r="I8" s="2" t="str" cm="1">
        <f t="array" ref="I8">_xlfn.IFS(Table1[[#This Row],[Job_Type]] = "unskilled resident", "Resident",
Table1[[#This Row],[Job_Type]] = "unemp/unskilled non res", "Non-resident",
TRUE, "Unknown")</f>
        <v>Unknown</v>
      </c>
      <c r="J8" s="2" t="s">
        <v>149</v>
      </c>
      <c r="K8" s="3">
        <v>2</v>
      </c>
      <c r="L8" s="2" t="s">
        <v>143</v>
      </c>
      <c r="M8" s="13" t="s">
        <v>151</v>
      </c>
      <c r="N8" t="s">
        <v>35</v>
      </c>
      <c r="O8" s="2" t="str">
        <f>_xlfn.XLOOKUP(Table1[[#This Row],[Checking_Acct_Status]],Table3[Checking_Acct_Original],Table3[Category])</f>
        <v>Negative Balance</v>
      </c>
      <c r="P8" s="10" t="s">
        <v>32</v>
      </c>
      <c r="Q8" s="13" t="str">
        <f>_xlfn.XLOOKUP(Table1[[#This Row],[Saving_Acct_Status]],Table5[Saving_Acct_Original],Table5[Category])</f>
        <v>Low Savings</v>
      </c>
      <c r="R8" t="s">
        <v>41</v>
      </c>
      <c r="S8" s="2" t="str">
        <f>IF(
      OR(Table1[[#This Row],[Job_Type]] = "high qualif/self emp/mgmt", Table1[[#This Row],[Job_Type]] = "skilled"),
      "Skilled", "Unskilled")</f>
        <v>Skilled</v>
      </c>
      <c r="T8" t="str">
        <f>IF(Table1[[#This Row],[Job_Type]] = "unemp/unskilled non res", "Unemployed", "Employed")</f>
        <v>Employed</v>
      </c>
      <c r="U8" t="s">
        <v>21</v>
      </c>
      <c r="V8" s="14" t="str" cm="1">
        <f t="array" ref="V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 t="s">
        <v>103</v>
      </c>
      <c r="X8" s="2" t="str">
        <f>_xlfn.XLOOKUP(Table1[[#This Row],[Loan_Credit_History]],Table4[Credit History],Table4[[ Category]])</f>
        <v>Critical Credit History</v>
      </c>
      <c r="Y8" s="3">
        <v>4</v>
      </c>
      <c r="Z8" s="3">
        <v>2</v>
      </c>
      <c r="AA8" s="5">
        <v>2235</v>
      </c>
      <c r="AB8" t="s">
        <v>58</v>
      </c>
      <c r="AC8" s="2" t="str" cm="1">
        <f t="array" ref="AC8">_xlfn.IFS(Table1[[#This Row],[Others_Parties]] = "No", "None",
Table1[[#This Row],[Others_Parties]] = "co applicant", "Co-applicant",
Table1[[#This Row],[Others_Parties]] = "guarantor", "Guarantor")</f>
        <v>Guarantor</v>
      </c>
      <c r="AD8" s="13" t="s">
        <v>146</v>
      </c>
      <c r="AE8" s="2" t="s">
        <v>141</v>
      </c>
      <c r="AF8" s="28" t="str" cm="1">
        <f t="array" ref="AF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8" s="21">
        <v>20</v>
      </c>
      <c r="AH8" s="2" t="s">
        <v>153</v>
      </c>
      <c r="AI8"/>
      <c r="AZ8"/>
      <c r="BC8"/>
      <c r="BE8"/>
      <c r="BL8"/>
      <c r="BZ8"/>
      <c r="CA8"/>
      <c r="CF8"/>
      <c r="CG8"/>
      <c r="CH8"/>
      <c r="CI8"/>
      <c r="CK8"/>
      <c r="CN8"/>
    </row>
    <row r="9" spans="1:92" x14ac:dyDescent="0.3">
      <c r="A9" s="4">
        <v>7</v>
      </c>
      <c r="B9" s="11">
        <v>32</v>
      </c>
      <c r="C9" s="2" t="str">
        <f>_xlfn.XLOOKUP(Table1[[#This Row],[Age]],Table7[Start_Age],Table7[Age_Range],,-1)</f>
        <v>29-39</v>
      </c>
      <c r="D9" t="s">
        <v>130</v>
      </c>
      <c r="E9" s="2" t="s">
        <v>129</v>
      </c>
      <c r="F9" s="2" t="s">
        <v>133</v>
      </c>
      <c r="G9" s="3">
        <v>1</v>
      </c>
      <c r="H9" s="13" t="s">
        <v>151</v>
      </c>
      <c r="I9" s="2" t="str" cm="1">
        <f t="array" ref="I9">_xlfn.IFS(Table1[[#This Row],[Job_Type]] = "unskilled resident", "Resident",
Table1[[#This Row],[Job_Type]] = "unemp/unskilled non res", "Non-resident",
TRUE, "Unknown")</f>
        <v>Unknown</v>
      </c>
      <c r="J9" s="2" t="s">
        <v>148</v>
      </c>
      <c r="K9" s="3">
        <v>3</v>
      </c>
      <c r="L9" s="2" t="s">
        <v>143</v>
      </c>
      <c r="M9" s="13" t="s">
        <v>151</v>
      </c>
      <c r="N9" t="s">
        <v>17</v>
      </c>
      <c r="O9" s="2" t="str">
        <f>_xlfn.XLOOKUP(Table1[[#This Row],[Checking_Acct_Status]],Table3[Checking_Acct_Original],Table3[Category])</f>
        <v>No Account</v>
      </c>
      <c r="P9" s="10" t="s">
        <v>47</v>
      </c>
      <c r="Q9" s="13" t="str">
        <f>_xlfn.XLOOKUP(Table1[[#This Row],[Saving_Acct_Status]],Table5[Saving_Acct_Original],Table5[Category])</f>
        <v>No Savings</v>
      </c>
      <c r="R9" t="s">
        <v>41</v>
      </c>
      <c r="S9" s="2" t="str">
        <f>IF(
      OR(Table1[[#This Row],[Job_Type]] = "high qualif/self emp/mgmt", Table1[[#This Row],[Job_Type]] = "skilled"),
      "Skilled", "Unskilled")</f>
        <v>Skilled</v>
      </c>
      <c r="T9" t="str">
        <f>IF(Table1[[#This Row],[Job_Type]] = "unemp/unskilled non res", "Unemployed", "Employed")</f>
        <v>Employed</v>
      </c>
      <c r="U9" t="s">
        <v>49</v>
      </c>
      <c r="V9" s="14" t="str" cm="1">
        <f t="array" ref="V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 t="s">
        <v>31</v>
      </c>
      <c r="X9" s="2" t="str">
        <f>_xlfn.XLOOKUP(Table1[[#This Row],[Loan_Credit_History]],Table4[Credit History],Table4[[ Category]])</f>
        <v>Existing Credits Paid</v>
      </c>
      <c r="Y9" s="3">
        <v>4</v>
      </c>
      <c r="Z9" s="3">
        <v>1</v>
      </c>
      <c r="AA9" s="5">
        <v>2662</v>
      </c>
      <c r="AB9" t="s">
        <v>151</v>
      </c>
      <c r="AC9" s="2" t="str" cm="1">
        <f t="array" ref="AC9">_xlfn.IFS(Table1[[#This Row],[Others_Parties]] = "No", "None",
Table1[[#This Row],[Others_Parties]] = "co applicant", "Co-applicant",
Table1[[#This Row],[Others_Parties]] = "guarantor", "Guarantor")</f>
        <v>None</v>
      </c>
      <c r="AD9" s="13" t="s">
        <v>145</v>
      </c>
      <c r="AE9" s="2" t="s">
        <v>141</v>
      </c>
      <c r="AF9" s="28" t="str" cm="1">
        <f t="array" ref="AF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9" s="21">
        <v>18</v>
      </c>
      <c r="AH9" s="2" t="s">
        <v>154</v>
      </c>
      <c r="AI9"/>
      <c r="AZ9"/>
      <c r="BC9"/>
      <c r="BE9"/>
      <c r="BL9"/>
      <c r="BZ9"/>
      <c r="CA9"/>
      <c r="CF9"/>
      <c r="CG9"/>
      <c r="CH9"/>
      <c r="CI9"/>
      <c r="CK9"/>
      <c r="CN9"/>
    </row>
    <row r="10" spans="1:92" x14ac:dyDescent="0.3">
      <c r="A10" s="4">
        <v>8</v>
      </c>
      <c r="B10" s="11">
        <v>27</v>
      </c>
      <c r="C10" s="2" t="str">
        <f>_xlfn.XLOOKUP(Table1[[#This Row],[Age]],Table7[Start_Age],Table7[Age_Range],,-1)</f>
        <v>19-29</v>
      </c>
      <c r="D10" t="s">
        <v>134</v>
      </c>
      <c r="E10" s="2" t="s">
        <v>129</v>
      </c>
      <c r="F10" s="2" t="s">
        <v>135</v>
      </c>
      <c r="G10" s="3">
        <v>1</v>
      </c>
      <c r="H10" s="13" t="s">
        <v>151</v>
      </c>
      <c r="I10" s="2" t="str" cm="1">
        <f t="array" ref="I10">_xlfn.IFS(Table1[[#This Row],[Job_Type]] = "unskilled resident", "Resident",
Table1[[#This Row],[Job_Type]] = "unemp/unskilled non res", "Non-resident",
TRUE, "Unknown")</f>
        <v>Unknown</v>
      </c>
      <c r="J10" s="2" t="s">
        <v>148</v>
      </c>
      <c r="K10" s="3">
        <v>2</v>
      </c>
      <c r="L10" s="2" t="s">
        <v>144</v>
      </c>
      <c r="M10" s="13" t="s">
        <v>151</v>
      </c>
      <c r="N10" t="s">
        <v>35</v>
      </c>
      <c r="O10" s="2" t="str">
        <f>_xlfn.XLOOKUP(Table1[[#This Row],[Checking_Acct_Status]],Table3[Checking_Acct_Original],Table3[Category])</f>
        <v>Negative Balance</v>
      </c>
      <c r="P10" s="10" t="s">
        <v>32</v>
      </c>
      <c r="Q10" s="13" t="str">
        <f>_xlfn.XLOOKUP(Table1[[#This Row],[Saving_Acct_Status]],Table5[Saving_Acct_Original],Table5[Category])</f>
        <v>Low Savings</v>
      </c>
      <c r="R10" t="s">
        <v>41</v>
      </c>
      <c r="S10" s="2" t="str">
        <f>IF(
      OR(Table1[[#This Row],[Job_Type]] = "high qualif/self emp/mgmt", Table1[[#This Row],[Job_Type]] = "skilled"),
      "Skilled", "Unskilled")</f>
        <v>Skilled</v>
      </c>
      <c r="T10" t="str">
        <f>IF(Table1[[#This Row],[Job_Type]] = "unemp/unskilled non res", "Unemployed", "Employed")</f>
        <v>Employed</v>
      </c>
      <c r="U10" t="s">
        <v>45</v>
      </c>
      <c r="V10" s="14" t="str" cm="1">
        <f t="array" ref="V1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0" t="s">
        <v>31</v>
      </c>
      <c r="X10" s="2" t="str">
        <f>_xlfn.XLOOKUP(Table1[[#This Row],[Loan_Credit_History]],Table4[Credit History],Table4[[ Category]])</f>
        <v>Existing Credits Paid</v>
      </c>
      <c r="Y10" s="3">
        <v>4</v>
      </c>
      <c r="Z10" s="3">
        <v>1</v>
      </c>
      <c r="AA10" s="5">
        <v>1053</v>
      </c>
      <c r="AB10" t="s">
        <v>151</v>
      </c>
      <c r="AC10" s="2" t="str" cm="1">
        <f t="array" ref="AC10">_xlfn.IFS(Table1[[#This Row],[Others_Parties]] = "No", "None",
Table1[[#This Row],[Others_Parties]] = "co applicant", "Co-applicant",
Table1[[#This Row],[Others_Parties]] = "guarantor", "Guarantor")</f>
        <v>None</v>
      </c>
      <c r="AD10" s="13" t="s">
        <v>145</v>
      </c>
      <c r="AE10" s="2" t="s">
        <v>111</v>
      </c>
      <c r="AF10" s="28" t="str" cm="1">
        <f t="array" ref="AF1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10" s="21">
        <v>15</v>
      </c>
      <c r="AH10" s="2" t="s">
        <v>154</v>
      </c>
      <c r="AI10"/>
      <c r="AZ10"/>
      <c r="BC10"/>
      <c r="BE10"/>
      <c r="BL10"/>
      <c r="BZ10"/>
      <c r="CA10"/>
      <c r="CF10"/>
      <c r="CG10"/>
      <c r="CH10"/>
      <c r="CI10"/>
      <c r="CK10"/>
      <c r="CN10"/>
    </row>
    <row r="11" spans="1:92" x14ac:dyDescent="0.3">
      <c r="A11" s="4">
        <v>9</v>
      </c>
      <c r="B11" s="11">
        <v>45</v>
      </c>
      <c r="C11" s="2" t="str">
        <f>_xlfn.XLOOKUP(Table1[[#This Row],[Age]],Table7[Start_Age],Table7[Age_Range],,-1)</f>
        <v>39-49</v>
      </c>
      <c r="D11" t="s">
        <v>138</v>
      </c>
      <c r="E11" s="2" t="s">
        <v>129</v>
      </c>
      <c r="F11" s="2" t="s">
        <v>178</v>
      </c>
      <c r="G11" s="3">
        <v>1</v>
      </c>
      <c r="H11" s="13" t="s">
        <v>151</v>
      </c>
      <c r="I11" s="2" t="str" cm="1">
        <f t="array" ref="I11">_xlfn.IFS(Table1[[#This Row],[Job_Type]] = "unskilled resident", "Resident",
Table1[[#This Row],[Job_Type]] = "unemp/unskilled non res", "Non-resident",
TRUE, "Unknown")</f>
        <v>Unknown</v>
      </c>
      <c r="J11" s="2" t="s">
        <v>148</v>
      </c>
      <c r="K11" s="3">
        <v>4</v>
      </c>
      <c r="L11" s="2" t="s">
        <v>143</v>
      </c>
      <c r="M11" s="13" t="s">
        <v>152</v>
      </c>
      <c r="N11" t="s">
        <v>35</v>
      </c>
      <c r="O11" s="2" t="str">
        <f>_xlfn.XLOOKUP(Table1[[#This Row],[Checking_Acct_Status]],Table3[Checking_Acct_Original],Table3[Category])</f>
        <v>Negative Balance</v>
      </c>
      <c r="P11" s="10" t="s">
        <v>32</v>
      </c>
      <c r="Q11" s="13" t="str">
        <f>_xlfn.XLOOKUP(Table1[[#This Row],[Saving_Acct_Status]],Table5[Saving_Acct_Original],Table5[Category])</f>
        <v>Low Savings</v>
      </c>
      <c r="R11" t="s">
        <v>63</v>
      </c>
      <c r="S11" s="2" t="str">
        <f>IF(
      OR(Table1[[#This Row],[Job_Type]] = "high qualif/self emp/mgmt", Table1[[#This Row],[Job_Type]] = "skilled"),
      "Skilled", "Unskilled")</f>
        <v>Skilled</v>
      </c>
      <c r="T11" t="str">
        <f>IF(Table1[[#This Row],[Job_Type]] = "unemp/unskilled non res", "Unemployed", "Employed")</f>
        <v>Employed</v>
      </c>
      <c r="U11" t="s">
        <v>38</v>
      </c>
      <c r="V11" s="14" t="str" cm="1">
        <f t="array" ref="V1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1" t="s">
        <v>31</v>
      </c>
      <c r="X11" s="2" t="str">
        <f>_xlfn.XLOOKUP(Table1[[#This Row],[Loan_Credit_History]],Table4[Credit History],Table4[[ Category]])</f>
        <v>Existing Credits Paid</v>
      </c>
      <c r="Y11" s="3">
        <v>1</v>
      </c>
      <c r="Z11" s="3">
        <v>1</v>
      </c>
      <c r="AA11" s="5">
        <v>8978</v>
      </c>
      <c r="AB11" t="s">
        <v>151</v>
      </c>
      <c r="AC11" s="2" t="str" cm="1">
        <f t="array" ref="AC11">_xlfn.IFS(Table1[[#This Row],[Others_Parties]] = "No", "None",
Table1[[#This Row],[Others_Parties]] = "co applicant", "Co-applicant",
Table1[[#This Row],[Others_Parties]] = "guarantor", "Guarantor")</f>
        <v>None</v>
      </c>
      <c r="AD11" s="13" t="s">
        <v>145</v>
      </c>
      <c r="AE11" s="2" t="s">
        <v>141</v>
      </c>
      <c r="AF11" s="28" t="str" cm="1">
        <f t="array" ref="AF1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11" s="21">
        <v>14</v>
      </c>
      <c r="AH11" s="2" t="s">
        <v>153</v>
      </c>
      <c r="AI11"/>
      <c r="AZ11"/>
      <c r="BC11"/>
      <c r="BE11"/>
      <c r="BL11"/>
      <c r="BZ11"/>
      <c r="CA11"/>
      <c r="CF11"/>
      <c r="CG11"/>
      <c r="CH11"/>
      <c r="CI11"/>
      <c r="CK11"/>
      <c r="CN11"/>
    </row>
    <row r="12" spans="1:92" x14ac:dyDescent="0.3">
      <c r="A12" s="4">
        <v>10</v>
      </c>
      <c r="B12" s="11">
        <v>26</v>
      </c>
      <c r="C12" s="2" t="str">
        <f>_xlfn.XLOOKUP(Table1[[#This Row],[Age]],Table7[Start_Age],Table7[Age_Range],,-1)</f>
        <v>19-29</v>
      </c>
      <c r="D12" t="s">
        <v>134</v>
      </c>
      <c r="E12" s="2" t="s">
        <v>129</v>
      </c>
      <c r="F12" s="2" t="s">
        <v>135</v>
      </c>
      <c r="G12" s="3">
        <v>1</v>
      </c>
      <c r="H12" s="13" t="s">
        <v>151</v>
      </c>
      <c r="I12" s="2" t="str" cm="1">
        <f t="array" ref="I12">_xlfn.IFS(Table1[[#This Row],[Job_Type]] = "unskilled resident", "Resident",
Table1[[#This Row],[Job_Type]] = "unemp/unskilled non res", "Non-resident",
TRUE, "Unknown")</f>
        <v>Unknown</v>
      </c>
      <c r="J12" s="2" t="s">
        <v>148</v>
      </c>
      <c r="K12" s="3">
        <v>2</v>
      </c>
      <c r="L12" s="2" t="s">
        <v>144</v>
      </c>
      <c r="M12" s="13" t="s">
        <v>152</v>
      </c>
      <c r="N12" t="s">
        <v>17</v>
      </c>
      <c r="O12" s="2" t="str">
        <f>_xlfn.XLOOKUP(Table1[[#This Row],[Checking_Acct_Status]],Table3[Checking_Acct_Original],Table3[Category])</f>
        <v>No Account</v>
      </c>
      <c r="P12" s="10" t="s">
        <v>32</v>
      </c>
      <c r="Q12" s="13" t="str">
        <f>_xlfn.XLOOKUP(Table1[[#This Row],[Saving_Acct_Status]],Table5[Saving_Acct_Original],Table5[Category])</f>
        <v>Low Savings</v>
      </c>
      <c r="R12" t="s">
        <v>41</v>
      </c>
      <c r="S12" s="2" t="str">
        <f>IF(
      OR(Table1[[#This Row],[Job_Type]] = "high qualif/self emp/mgmt", Table1[[#This Row],[Job_Type]] = "skilled"),
      "Skilled", "Unskilled")</f>
        <v>Skilled</v>
      </c>
      <c r="T12" t="str">
        <f>IF(Table1[[#This Row],[Job_Type]] = "unemp/unskilled non res", "Unemployed", "Employed")</f>
        <v>Employed</v>
      </c>
      <c r="U12" t="s">
        <v>21</v>
      </c>
      <c r="V12" s="14" t="str" cm="1">
        <f t="array" ref="V1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2" t="s">
        <v>31</v>
      </c>
      <c r="X12" s="2" t="str">
        <f>_xlfn.XLOOKUP(Table1[[#This Row],[Loan_Credit_History]],Table4[Credit History],Table4[[ Category]])</f>
        <v>Existing Credits Paid</v>
      </c>
      <c r="Y12" s="3">
        <v>2</v>
      </c>
      <c r="Z12" s="3">
        <v>1</v>
      </c>
      <c r="AA12" s="5">
        <v>1076</v>
      </c>
      <c r="AB12" t="s">
        <v>151</v>
      </c>
      <c r="AC12" s="2" t="str" cm="1">
        <f t="array" ref="AC12">_xlfn.IFS(Table1[[#This Row],[Others_Parties]] = "No", "None",
Table1[[#This Row],[Others_Parties]] = "co applicant", "Co-applicant",
Table1[[#This Row],[Others_Parties]] = "guarantor", "Guarantor")</f>
        <v>None</v>
      </c>
      <c r="AD12" s="13" t="s">
        <v>145</v>
      </c>
      <c r="AE12" s="2" t="s">
        <v>105</v>
      </c>
      <c r="AF12" s="28" t="str" cm="1">
        <f t="array" ref="AF1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2" s="21">
        <v>12</v>
      </c>
      <c r="AH12" s="2" t="s">
        <v>154</v>
      </c>
      <c r="AI12"/>
      <c r="AZ12"/>
      <c r="BC12"/>
      <c r="BE12"/>
      <c r="BL12"/>
      <c r="BZ12"/>
      <c r="CA12"/>
      <c r="CF12"/>
      <c r="CG12"/>
      <c r="CH12"/>
      <c r="CI12"/>
      <c r="CK12"/>
      <c r="CN12"/>
    </row>
    <row r="13" spans="1:92" x14ac:dyDescent="0.3">
      <c r="A13" s="4">
        <v>11</v>
      </c>
      <c r="B13" s="11">
        <v>29</v>
      </c>
      <c r="C13" s="2" t="str">
        <f>_xlfn.XLOOKUP(Table1[[#This Row],[Age]],Table7[Start_Age],Table7[Age_Range],,-1)</f>
        <v>29-39</v>
      </c>
      <c r="D13" t="s">
        <v>130</v>
      </c>
      <c r="E13" s="2" t="s">
        <v>129</v>
      </c>
      <c r="F13" s="2" t="s">
        <v>133</v>
      </c>
      <c r="G13" s="3">
        <v>1</v>
      </c>
      <c r="H13" s="13" t="s">
        <v>151</v>
      </c>
      <c r="I13" s="2" t="str" cm="1">
        <f t="array" ref="I13">_xlfn.IFS(Table1[[#This Row],[Job_Type]] = "unskilled resident", "Resident",
Table1[[#This Row],[Job_Type]] = "unemp/unskilled non res", "Non-resident",
TRUE, "Unknown")</f>
        <v>Unknown</v>
      </c>
      <c r="J13" s="2" t="s">
        <v>148</v>
      </c>
      <c r="K13" s="3">
        <v>3</v>
      </c>
      <c r="L13" s="2" t="s">
        <v>144</v>
      </c>
      <c r="M13" s="13" t="s">
        <v>151</v>
      </c>
      <c r="N13" t="s">
        <v>30</v>
      </c>
      <c r="O13" s="2" t="str">
        <f>_xlfn.XLOOKUP(Table1[[#This Row],[Checking_Acct_Status]],Table3[Checking_Acct_Original],Table3[Category])</f>
        <v>Low Balance</v>
      </c>
      <c r="P13" s="10" t="s">
        <v>32</v>
      </c>
      <c r="Q13" s="13" t="str">
        <f>_xlfn.XLOOKUP(Table1[[#This Row],[Saving_Acct_Status]],Table5[Saving_Acct_Original],Table5[Category])</f>
        <v>Low Savings</v>
      </c>
      <c r="R13" t="s">
        <v>41</v>
      </c>
      <c r="S13" s="2" t="str">
        <f>IF(
      OR(Table1[[#This Row],[Job_Type]] = "high qualif/self emp/mgmt", Table1[[#This Row],[Job_Type]] = "skilled"),
      "Skilled", "Unskilled")</f>
        <v>Skilled</v>
      </c>
      <c r="T13" t="str">
        <f>IF(Table1[[#This Row],[Job_Type]] = "unemp/unskilled non res", "Unemployed", "Employed")</f>
        <v>Employed</v>
      </c>
      <c r="U13" t="s">
        <v>49</v>
      </c>
      <c r="V13" s="14" t="str" cm="1">
        <f t="array" ref="V1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3" t="s">
        <v>31</v>
      </c>
      <c r="X13" s="2" t="str">
        <f>_xlfn.XLOOKUP(Table1[[#This Row],[Loan_Credit_History]],Table4[Credit History],Table4[[ Category]])</f>
        <v>Existing Credits Paid</v>
      </c>
      <c r="Y13" s="3">
        <v>4</v>
      </c>
      <c r="Z13" s="3">
        <v>2</v>
      </c>
      <c r="AA13" s="5">
        <v>1103</v>
      </c>
      <c r="AB13" t="s">
        <v>58</v>
      </c>
      <c r="AC13" s="2" t="str" cm="1">
        <f t="array" ref="AC13">_xlfn.IFS(Table1[[#This Row],[Others_Parties]] = "No", "None",
Table1[[#This Row],[Others_Parties]] = "co applicant", "Co-applicant",
Table1[[#This Row],[Others_Parties]] = "guarantor", "Guarantor")</f>
        <v>Guarantor</v>
      </c>
      <c r="AD13" s="13" t="s">
        <v>145</v>
      </c>
      <c r="AE13" s="2" t="s">
        <v>111</v>
      </c>
      <c r="AF13" s="28" t="str" cm="1">
        <f t="array" ref="AF1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3" s="21">
        <v>12</v>
      </c>
      <c r="AH13" s="2" t="s">
        <v>154</v>
      </c>
      <c r="AI13"/>
      <c r="AZ13"/>
      <c r="BC13"/>
      <c r="BE13"/>
      <c r="BL13"/>
      <c r="BZ13"/>
      <c r="CA13"/>
      <c r="CF13"/>
      <c r="CG13"/>
      <c r="CH13"/>
      <c r="CI13"/>
      <c r="CK13"/>
      <c r="CN13"/>
    </row>
    <row r="14" spans="1:92" x14ac:dyDescent="0.3">
      <c r="A14" s="4">
        <v>12</v>
      </c>
      <c r="B14" s="11">
        <v>55</v>
      </c>
      <c r="C14" s="2" t="str">
        <f>_xlfn.XLOOKUP(Table1[[#This Row],[Age]],Table7[Start_Age],Table7[Age_Range],,-1)</f>
        <v>49-59</v>
      </c>
      <c r="D14" t="s">
        <v>130</v>
      </c>
      <c r="E14" s="2" t="s">
        <v>129</v>
      </c>
      <c r="F14" s="2" t="s">
        <v>133</v>
      </c>
      <c r="G14" s="3">
        <v>1</v>
      </c>
      <c r="H14" s="13" t="s">
        <v>151</v>
      </c>
      <c r="I14" s="2" t="str" cm="1">
        <f t="array" ref="I14">_xlfn.IFS(Table1[[#This Row],[Job_Type]] = "unskilled resident", "Resident",
Table1[[#This Row],[Job_Type]] = "unemp/unskilled non res", "Non-resident",
TRUE, "Unknown")</f>
        <v>Unknown</v>
      </c>
      <c r="J14" s="2" t="s">
        <v>148</v>
      </c>
      <c r="K14" s="3">
        <v>2</v>
      </c>
      <c r="L14" s="2" t="s">
        <v>143</v>
      </c>
      <c r="M14" s="13" t="s">
        <v>151</v>
      </c>
      <c r="N14" t="s">
        <v>17</v>
      </c>
      <c r="O14" s="2" t="str">
        <f>_xlfn.XLOOKUP(Table1[[#This Row],[Checking_Acct_Status]],Table3[Checking_Acct_Original],Table3[Category])</f>
        <v>No Account</v>
      </c>
      <c r="P14" s="10" t="s">
        <v>20</v>
      </c>
      <c r="Q14" s="13" t="str">
        <f>_xlfn.XLOOKUP(Table1[[#This Row],[Saving_Acct_Status]],Table5[Saving_Acct_Original],Table5[Category])</f>
        <v>Very High Savings</v>
      </c>
      <c r="R14" t="s">
        <v>41</v>
      </c>
      <c r="S14" s="2" t="str">
        <f>IF(
      OR(Table1[[#This Row],[Job_Type]] = "high qualif/self emp/mgmt", Table1[[#This Row],[Job_Type]] = "skilled"),
      "Skilled", "Unskilled")</f>
        <v>Skilled</v>
      </c>
      <c r="T14" t="str">
        <f>IF(Table1[[#This Row],[Job_Type]] = "unemp/unskilled non res", "Unemployed", "Employed")</f>
        <v>Employed</v>
      </c>
      <c r="U14" t="s">
        <v>49</v>
      </c>
      <c r="V14" s="14" t="str" cm="1">
        <f t="array" ref="V1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4" t="s">
        <v>31</v>
      </c>
      <c r="X14" s="2" t="str">
        <f>_xlfn.XLOOKUP(Table1[[#This Row],[Loan_Credit_History]],Table4[Credit History],Table4[[ Category]])</f>
        <v>Existing Credits Paid</v>
      </c>
      <c r="Y14" s="3">
        <v>3</v>
      </c>
      <c r="Z14" s="3">
        <v>1</v>
      </c>
      <c r="AA14" s="5">
        <v>1413</v>
      </c>
      <c r="AB14" t="s">
        <v>151</v>
      </c>
      <c r="AC14" s="2" t="str" cm="1">
        <f t="array" ref="AC14">_xlfn.IFS(Table1[[#This Row],[Others_Parties]] = "No", "None",
Table1[[#This Row],[Others_Parties]] = "co applicant", "Co-applicant",
Table1[[#This Row],[Others_Parties]] = "guarantor", "Guarantor")</f>
        <v>None</v>
      </c>
      <c r="AD14" s="13" t="s">
        <v>145</v>
      </c>
      <c r="AE14" s="2" t="s">
        <v>107</v>
      </c>
      <c r="AF14" s="28" t="str" cm="1">
        <f t="array" ref="AF1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4" s="21">
        <v>12</v>
      </c>
      <c r="AH14" s="2" t="s">
        <v>154</v>
      </c>
      <c r="AI14"/>
      <c r="AZ14"/>
      <c r="BC14"/>
      <c r="BE14"/>
      <c r="BL14"/>
      <c r="BZ14"/>
      <c r="CA14"/>
      <c r="CF14"/>
      <c r="CG14"/>
      <c r="CH14"/>
      <c r="CI14"/>
      <c r="CK14"/>
      <c r="CN14"/>
    </row>
    <row r="15" spans="1:92" x14ac:dyDescent="0.3">
      <c r="A15" s="4">
        <v>13</v>
      </c>
      <c r="B15" s="11">
        <v>35</v>
      </c>
      <c r="C15" s="2" t="str">
        <f>_xlfn.XLOOKUP(Table1[[#This Row],[Age]],Table7[Start_Age],Table7[Age_Range],,-1)</f>
        <v>29-39</v>
      </c>
      <c r="D15" t="s">
        <v>136</v>
      </c>
      <c r="E15" s="2" t="s">
        <v>131</v>
      </c>
      <c r="F15" s="2" t="s">
        <v>137</v>
      </c>
      <c r="G15" s="3">
        <v>1</v>
      </c>
      <c r="H15" s="13" t="s">
        <v>151</v>
      </c>
      <c r="I15" s="2" t="str" cm="1">
        <f t="array" ref="I15">_xlfn.IFS(Table1[[#This Row],[Job_Type]] = "unskilled resident", "Resident",
Table1[[#This Row],[Job_Type]] = "unemp/unskilled non res", "Non-resident",
TRUE, "Unknown")</f>
        <v>Unknown</v>
      </c>
      <c r="J15" s="2" t="s">
        <v>148</v>
      </c>
      <c r="K15" s="3">
        <v>2</v>
      </c>
      <c r="L15" s="2" t="s">
        <v>143</v>
      </c>
      <c r="M15" s="13" t="s">
        <v>151</v>
      </c>
      <c r="N15" t="s">
        <v>17</v>
      </c>
      <c r="O15" s="2" t="str">
        <f>_xlfn.XLOOKUP(Table1[[#This Row],[Checking_Acct_Status]],Table3[Checking_Acct_Original],Table3[Category])</f>
        <v>No Account</v>
      </c>
      <c r="P15" s="10" t="s">
        <v>20</v>
      </c>
      <c r="Q15" s="13" t="str">
        <f>_xlfn.XLOOKUP(Table1[[#This Row],[Saving_Acct_Status]],Table5[Saving_Acct_Original],Table5[Category])</f>
        <v>Very High Savings</v>
      </c>
      <c r="R15" t="s">
        <v>41</v>
      </c>
      <c r="S15" s="2" t="str">
        <f>IF(
      OR(Table1[[#This Row],[Job_Type]] = "high qualif/self emp/mgmt", Table1[[#This Row],[Job_Type]] = "skilled"),
      "Skilled", "Unskilled")</f>
        <v>Skilled</v>
      </c>
      <c r="T15" t="str">
        <f>IF(Table1[[#This Row],[Job_Type]] = "unemp/unskilled non res", "Unemployed", "Employed")</f>
        <v>Employed</v>
      </c>
      <c r="U15" t="s">
        <v>49</v>
      </c>
      <c r="V15" s="14" t="str" cm="1">
        <f t="array" ref="V1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5" t="s">
        <v>103</v>
      </c>
      <c r="X15" s="2" t="str">
        <f>_xlfn.XLOOKUP(Table1[[#This Row],[Loan_Credit_History]],Table4[Credit History],Table4[[ Category]])</f>
        <v>Critical Credit History</v>
      </c>
      <c r="Y15" s="3">
        <v>3</v>
      </c>
      <c r="Z15" s="3">
        <v>1</v>
      </c>
      <c r="AA15" s="5">
        <v>1592</v>
      </c>
      <c r="AB15" t="s">
        <v>151</v>
      </c>
      <c r="AC15" s="2" t="str" cm="1">
        <f t="array" ref="AC15">_xlfn.IFS(Table1[[#This Row],[Others_Parties]] = "No", "None",
Table1[[#This Row],[Others_Parties]] = "co applicant", "Co-applicant",
Table1[[#This Row],[Others_Parties]] = "guarantor", "Guarantor")</f>
        <v>None</v>
      </c>
      <c r="AD15" s="13" t="s">
        <v>145</v>
      </c>
      <c r="AE15" s="2" t="s">
        <v>108</v>
      </c>
      <c r="AF15" s="28" t="str" cm="1">
        <f t="array" ref="AF1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5" s="21">
        <v>12</v>
      </c>
      <c r="AH15" s="2" t="s">
        <v>154</v>
      </c>
      <c r="AI15"/>
      <c r="AZ15"/>
      <c r="BC15"/>
      <c r="BE15"/>
      <c r="BL15"/>
      <c r="BZ15"/>
      <c r="CA15"/>
      <c r="CF15"/>
      <c r="CG15"/>
      <c r="CH15"/>
      <c r="CI15"/>
      <c r="CK15"/>
      <c r="CN15"/>
    </row>
    <row r="16" spans="1:92" x14ac:dyDescent="0.3">
      <c r="A16" s="4">
        <v>14</v>
      </c>
      <c r="B16" s="11">
        <v>39</v>
      </c>
      <c r="C16" s="2" t="str">
        <f>_xlfn.XLOOKUP(Table1[[#This Row],[Age]],Table7[Start_Age],Table7[Age_Range],,-1)</f>
        <v>39-49</v>
      </c>
      <c r="D16" t="s">
        <v>130</v>
      </c>
      <c r="E16" s="2" t="s">
        <v>129</v>
      </c>
      <c r="F16" s="2" t="s">
        <v>133</v>
      </c>
      <c r="G16" s="3">
        <v>2</v>
      </c>
      <c r="H16" s="13" t="s">
        <v>151</v>
      </c>
      <c r="I16" s="2" t="str" cm="1">
        <f t="array" ref="I16">_xlfn.IFS(Table1[[#This Row],[Job_Type]] = "unskilled resident", "Resident",
Table1[[#This Row],[Job_Type]] = "unemp/unskilled non res", "Non-resident",
TRUE, "Unknown")</f>
        <v>Resident</v>
      </c>
      <c r="J16" s="2" t="s">
        <v>149</v>
      </c>
      <c r="K16" s="3">
        <v>2</v>
      </c>
      <c r="L16" s="2" t="s">
        <v>144</v>
      </c>
      <c r="M16" s="13" t="s">
        <v>151</v>
      </c>
      <c r="N16" t="s">
        <v>35</v>
      </c>
      <c r="O16" s="2" t="str">
        <f>_xlfn.XLOOKUP(Table1[[#This Row],[Checking_Acct_Status]],Table3[Checking_Acct_Original],Table3[Category])</f>
        <v>Negative Balance</v>
      </c>
      <c r="P16" s="10" t="s">
        <v>32</v>
      </c>
      <c r="Q16" s="13" t="str">
        <f>_xlfn.XLOOKUP(Table1[[#This Row],[Saving_Acct_Status]],Table5[Saving_Acct_Original],Table5[Category])</f>
        <v>Low Savings</v>
      </c>
      <c r="R16" t="s">
        <v>27</v>
      </c>
      <c r="S16" s="2" t="str">
        <f>IF(
      OR(Table1[[#This Row],[Job_Type]] = "high qualif/self emp/mgmt", Table1[[#This Row],[Job_Type]] = "skilled"),
      "Skilled", "Unskilled")</f>
        <v>Unskilled</v>
      </c>
      <c r="T16" t="str">
        <f>IF(Table1[[#This Row],[Job_Type]] = "unemp/unskilled non res", "Unemployed", "Employed")</f>
        <v>Employed</v>
      </c>
      <c r="U16" t="s">
        <v>21</v>
      </c>
      <c r="V16" s="14" t="str" cm="1">
        <f t="array" ref="V1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6" t="s">
        <v>103</v>
      </c>
      <c r="X16" s="2" t="str">
        <f>_xlfn.XLOOKUP(Table1[[#This Row],[Loan_Credit_History]],Table4[Credit History],Table4[[ Category]])</f>
        <v>Critical Credit History</v>
      </c>
      <c r="Y16" s="3">
        <v>3</v>
      </c>
      <c r="Z16" s="3">
        <v>2</v>
      </c>
      <c r="AA16" s="5">
        <v>2122</v>
      </c>
      <c r="AB16" t="s">
        <v>151</v>
      </c>
      <c r="AC16" s="2" t="str" cm="1">
        <f t="array" ref="AC16">_xlfn.IFS(Table1[[#This Row],[Others_Parties]] = "No", "None",
Table1[[#This Row],[Others_Parties]] = "co applicant", "Co-applicant",
Table1[[#This Row],[Others_Parties]] = "guarantor", "Guarantor")</f>
        <v>None</v>
      </c>
      <c r="AD16" s="13" t="s">
        <v>145</v>
      </c>
      <c r="AE16" s="2" t="s">
        <v>141</v>
      </c>
      <c r="AF16" s="28" t="str" cm="1">
        <f t="array" ref="AF1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6" s="21">
        <v>12</v>
      </c>
      <c r="AH16" s="2" t="s">
        <v>154</v>
      </c>
      <c r="AI16"/>
      <c r="AZ16"/>
      <c r="BC16"/>
      <c r="BE16"/>
      <c r="BL16"/>
      <c r="BZ16"/>
      <c r="CA16"/>
      <c r="CF16"/>
      <c r="CG16"/>
      <c r="CH16"/>
      <c r="CI16"/>
      <c r="CK16"/>
      <c r="CN16"/>
    </row>
    <row r="17" spans="1:92" x14ac:dyDescent="0.3">
      <c r="A17" s="4">
        <v>15</v>
      </c>
      <c r="B17" s="11">
        <v>38</v>
      </c>
      <c r="C17" s="2" t="str">
        <f>_xlfn.XLOOKUP(Table1[[#This Row],[Age]],Table7[Start_Age],Table7[Age_Range],,-1)</f>
        <v>29-39</v>
      </c>
      <c r="D17" t="s">
        <v>130</v>
      </c>
      <c r="E17" s="2" t="s">
        <v>129</v>
      </c>
      <c r="F17" s="2" t="s">
        <v>133</v>
      </c>
      <c r="G17" s="3">
        <v>1</v>
      </c>
      <c r="H17" s="13" t="s">
        <v>151</v>
      </c>
      <c r="I17" s="2" t="str" cm="1">
        <f t="array" ref="I17">_xlfn.IFS(Table1[[#This Row],[Job_Type]] = "unskilled resident", "Resident",
Table1[[#This Row],[Job_Type]] = "unemp/unskilled non res", "Non-resident",
TRUE, "Unknown")</f>
        <v>Resident</v>
      </c>
      <c r="J17" s="2" t="s">
        <v>148</v>
      </c>
      <c r="K17" s="3">
        <v>4</v>
      </c>
      <c r="L17" s="2" t="s">
        <v>143</v>
      </c>
      <c r="M17" s="13" t="s">
        <v>151</v>
      </c>
      <c r="N17" t="s">
        <v>35</v>
      </c>
      <c r="O17" s="2" t="str">
        <f>_xlfn.XLOOKUP(Table1[[#This Row],[Checking_Acct_Status]],Table3[Checking_Acct_Original],Table3[Category])</f>
        <v>Negative Balance</v>
      </c>
      <c r="P17" s="10" t="s">
        <v>32</v>
      </c>
      <c r="Q17" s="13" t="str">
        <f>_xlfn.XLOOKUP(Table1[[#This Row],[Saving_Acct_Status]],Table5[Saving_Acct_Original],Table5[Category])</f>
        <v>Low Savings</v>
      </c>
      <c r="R17" t="s">
        <v>27</v>
      </c>
      <c r="S17" s="2" t="str">
        <f>IF(
      OR(Table1[[#This Row],[Job_Type]] = "high qualif/self emp/mgmt", Table1[[#This Row],[Job_Type]] = "skilled"),
      "Skilled", "Unskilled")</f>
        <v>Unskilled</v>
      </c>
      <c r="T17" t="str">
        <f>IF(Table1[[#This Row],[Job_Type]] = "unemp/unskilled non res", "Unemployed", "Employed")</f>
        <v>Employed</v>
      </c>
      <c r="U17" t="s">
        <v>21</v>
      </c>
      <c r="V17" s="14" t="str" cm="1">
        <f t="array" ref="V1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7" t="s">
        <v>103</v>
      </c>
      <c r="X17" s="2" t="str">
        <f>_xlfn.XLOOKUP(Table1[[#This Row],[Loan_Credit_History]],Table4[Credit History],Table4[[ Category]])</f>
        <v>Critical Credit History</v>
      </c>
      <c r="Y17" s="3">
        <v>4</v>
      </c>
      <c r="Z17" s="3">
        <v>2</v>
      </c>
      <c r="AA17" s="5">
        <v>2171</v>
      </c>
      <c r="AB17" t="s">
        <v>151</v>
      </c>
      <c r="AC17" s="2" t="str" cm="1">
        <f t="array" ref="AC17">_xlfn.IFS(Table1[[#This Row],[Others_Parties]] = "No", "None",
Table1[[#This Row],[Others_Parties]] = "co applicant", "Co-applicant",
Table1[[#This Row],[Others_Parties]] = "guarantor", "Guarantor")</f>
        <v>None</v>
      </c>
      <c r="AD17" s="13" t="s">
        <v>146</v>
      </c>
      <c r="AE17" s="2" t="s">
        <v>141</v>
      </c>
      <c r="AF17" s="28" t="str" cm="1">
        <f t="array" ref="AF1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7" s="21">
        <v>12</v>
      </c>
      <c r="AH17" s="2" t="s">
        <v>154</v>
      </c>
      <c r="AI17"/>
      <c r="AZ17"/>
      <c r="BC17"/>
      <c r="BE17"/>
      <c r="BL17"/>
      <c r="BZ17"/>
      <c r="CA17"/>
      <c r="CF17"/>
      <c r="CG17"/>
      <c r="CH17"/>
      <c r="CI17"/>
      <c r="CK17"/>
      <c r="CN17"/>
    </row>
    <row r="18" spans="1:92" x14ac:dyDescent="0.3">
      <c r="A18" s="4">
        <v>16</v>
      </c>
      <c r="B18" s="11">
        <v>32</v>
      </c>
      <c r="C18" s="2" t="str">
        <f>_xlfn.XLOOKUP(Table1[[#This Row],[Age]],Table7[Start_Age],Table7[Age_Range],,-1)</f>
        <v>29-39</v>
      </c>
      <c r="D18" t="s">
        <v>130</v>
      </c>
      <c r="E18" s="2" t="s">
        <v>129</v>
      </c>
      <c r="F18" s="2" t="s">
        <v>133</v>
      </c>
      <c r="G18" s="3">
        <v>2</v>
      </c>
      <c r="H18" s="13" t="s">
        <v>151</v>
      </c>
      <c r="I18" s="2" t="str" cm="1">
        <f t="array" ref="I18">_xlfn.IFS(Table1[[#This Row],[Job_Type]] = "unskilled resident", "Resident",
Table1[[#This Row],[Job_Type]] = "unemp/unskilled non res", "Non-resident",
TRUE, "Unknown")</f>
        <v>Resident</v>
      </c>
      <c r="J18" s="2" t="s">
        <v>148</v>
      </c>
      <c r="K18" s="3">
        <v>4</v>
      </c>
      <c r="L18" s="2" t="s">
        <v>144</v>
      </c>
      <c r="M18" s="13" t="s">
        <v>151</v>
      </c>
      <c r="N18" t="s">
        <v>17</v>
      </c>
      <c r="O18" s="2" t="str">
        <f>_xlfn.XLOOKUP(Table1[[#This Row],[Checking_Acct_Status]],Table3[Checking_Acct_Original],Table3[Category])</f>
        <v>No Account</v>
      </c>
      <c r="P18" s="10" t="s">
        <v>32</v>
      </c>
      <c r="Q18" s="13" t="str">
        <f>_xlfn.XLOOKUP(Table1[[#This Row],[Saving_Acct_Status]],Table5[Saving_Acct_Original],Table5[Category])</f>
        <v>Low Savings</v>
      </c>
      <c r="R18" t="s">
        <v>27</v>
      </c>
      <c r="S18" s="2" t="str">
        <f>IF(
      OR(Table1[[#This Row],[Job_Type]] = "high qualif/self emp/mgmt", Table1[[#This Row],[Job_Type]] = "skilled"),
      "Skilled", "Unskilled")</f>
        <v>Unskilled</v>
      </c>
      <c r="T18" t="str">
        <f>IF(Table1[[#This Row],[Job_Type]] = "unemp/unskilled non res", "Unemployed", "Employed")</f>
        <v>Employed</v>
      </c>
      <c r="U18" t="s">
        <v>38</v>
      </c>
      <c r="V18" s="14" t="str" cm="1">
        <f t="array" ref="V1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8" t="s">
        <v>103</v>
      </c>
      <c r="X18" s="2" t="str">
        <f>_xlfn.XLOOKUP(Table1[[#This Row],[Loan_Credit_History]],Table4[Credit History],Table4[[ Category]])</f>
        <v>Critical Credit History</v>
      </c>
      <c r="Y18" s="3">
        <v>3</v>
      </c>
      <c r="Z18" s="3">
        <v>2</v>
      </c>
      <c r="AA18" s="5">
        <v>1231</v>
      </c>
      <c r="AB18" t="s">
        <v>151</v>
      </c>
      <c r="AC18" s="2" t="str" cm="1">
        <f t="array" ref="AC18">_xlfn.IFS(Table1[[#This Row],[Others_Parties]] = "No", "None",
Table1[[#This Row],[Others_Parties]] = "co applicant", "Co-applicant",
Table1[[#This Row],[Others_Parties]] = "guarantor", "Guarantor")</f>
        <v>None</v>
      </c>
      <c r="AD18" s="13" t="s">
        <v>145</v>
      </c>
      <c r="AE18" s="2" t="s">
        <v>141</v>
      </c>
      <c r="AF18" s="28" t="str" cm="1">
        <f t="array" ref="AF1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8" s="21">
        <v>10</v>
      </c>
      <c r="AH18" s="2" t="s">
        <v>154</v>
      </c>
      <c r="AI18"/>
      <c r="AZ18"/>
      <c r="BC18"/>
      <c r="BE18"/>
      <c r="BL18"/>
      <c r="BZ18"/>
      <c r="CA18"/>
      <c r="CF18"/>
      <c r="CG18"/>
      <c r="CH18"/>
      <c r="CI18"/>
      <c r="CK18"/>
      <c r="CN18"/>
    </row>
    <row r="19" spans="1:92" x14ac:dyDescent="0.3">
      <c r="A19" s="4">
        <v>17</v>
      </c>
      <c r="B19" s="11">
        <v>45</v>
      </c>
      <c r="C19" s="2" t="str">
        <f>_xlfn.XLOOKUP(Table1[[#This Row],[Age]],Table7[Start_Age],Table7[Age_Range],,-1)</f>
        <v>39-49</v>
      </c>
      <c r="D19" t="s">
        <v>130</v>
      </c>
      <c r="E19" s="2" t="s">
        <v>129</v>
      </c>
      <c r="F19" s="2" t="s">
        <v>133</v>
      </c>
      <c r="G19" s="3">
        <v>1</v>
      </c>
      <c r="H19" s="13" t="s">
        <v>151</v>
      </c>
      <c r="I19" s="2" t="str" cm="1">
        <f t="array" ref="I19">_xlfn.IFS(Table1[[#This Row],[Job_Type]] = "unskilled resident", "Resident",
Table1[[#This Row],[Job_Type]] = "unemp/unskilled non res", "Non-resident",
TRUE, "Unknown")</f>
        <v>Resident</v>
      </c>
      <c r="J19" s="2" t="s">
        <v>148</v>
      </c>
      <c r="K19" s="3">
        <v>2</v>
      </c>
      <c r="L19" s="2" t="s">
        <v>143</v>
      </c>
      <c r="M19" s="13" t="s">
        <v>151</v>
      </c>
      <c r="N19" t="s">
        <v>17</v>
      </c>
      <c r="O19" s="2" t="str">
        <f>_xlfn.XLOOKUP(Table1[[#This Row],[Checking_Acct_Status]],Table3[Checking_Acct_Original],Table3[Category])</f>
        <v>No Account</v>
      </c>
      <c r="P19" s="10" t="s">
        <v>47</v>
      </c>
      <c r="Q19" s="13" t="str">
        <f>_xlfn.XLOOKUP(Table1[[#This Row],[Saving_Acct_Status]],Table5[Saving_Acct_Original],Table5[Category])</f>
        <v>No Savings</v>
      </c>
      <c r="R19" t="s">
        <v>27</v>
      </c>
      <c r="S19" s="2" t="str">
        <f>IF(
      OR(Table1[[#This Row],[Job_Type]] = "high qualif/self emp/mgmt", Table1[[#This Row],[Job_Type]] = "skilled"),
      "Skilled", "Unskilled")</f>
        <v>Unskilled</v>
      </c>
      <c r="T19" t="str">
        <f>IF(Table1[[#This Row],[Job_Type]] = "unemp/unskilled non res", "Unemployed", "Employed")</f>
        <v>Employed</v>
      </c>
      <c r="U19" t="s">
        <v>38</v>
      </c>
      <c r="V19" s="14" t="str" cm="1">
        <f t="array" ref="V1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9" t="s">
        <v>31</v>
      </c>
      <c r="X19" s="2" t="str">
        <f>_xlfn.XLOOKUP(Table1[[#This Row],[Loan_Credit_History]],Table4[Credit History],Table4[[ Category]])</f>
        <v>Existing Credits Paid</v>
      </c>
      <c r="Y19" s="3">
        <v>4</v>
      </c>
      <c r="Z19" s="3">
        <v>1</v>
      </c>
      <c r="AA19" s="5">
        <v>1287</v>
      </c>
      <c r="AB19" t="s">
        <v>55</v>
      </c>
      <c r="AC19" s="2" t="str" cm="1">
        <f t="array" ref="AC19">_xlfn.IFS(Table1[[#This Row],[Others_Parties]] = "No", "None",
Table1[[#This Row],[Others_Parties]] = "co applicant", "Co-applicant",
Table1[[#This Row],[Others_Parties]] = "guarantor", "Guarantor")</f>
        <v>Co-applicant</v>
      </c>
      <c r="AD19" s="13" t="s">
        <v>145</v>
      </c>
      <c r="AE19" s="2" t="s">
        <v>141</v>
      </c>
      <c r="AF19" s="28" t="str" cm="1">
        <f t="array" ref="AF1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9" s="21">
        <v>10</v>
      </c>
      <c r="AH19" s="2" t="s">
        <v>154</v>
      </c>
      <c r="AI19"/>
      <c r="AZ19"/>
      <c r="BC19"/>
      <c r="BE19"/>
      <c r="BL19"/>
      <c r="BZ19"/>
      <c r="CA19"/>
      <c r="CF19"/>
      <c r="CG19"/>
      <c r="CH19"/>
      <c r="CI19"/>
      <c r="CK19"/>
      <c r="CN19"/>
    </row>
    <row r="20" spans="1:92" x14ac:dyDescent="0.3">
      <c r="A20" s="4">
        <v>18</v>
      </c>
      <c r="B20" s="11">
        <v>35</v>
      </c>
      <c r="C20" s="2" t="str">
        <f>_xlfn.XLOOKUP(Table1[[#This Row],[Age]],Table7[Start_Age],Table7[Age_Range],,-1)</f>
        <v>29-39</v>
      </c>
      <c r="D20" t="s">
        <v>130</v>
      </c>
      <c r="E20" s="2" t="s">
        <v>129</v>
      </c>
      <c r="F20" s="2" t="s">
        <v>133</v>
      </c>
      <c r="G20" s="3">
        <v>1</v>
      </c>
      <c r="H20" s="13" t="s">
        <v>151</v>
      </c>
      <c r="I20" s="2" t="str" cm="1">
        <f t="array" ref="I20">_xlfn.IFS(Table1[[#This Row],[Job_Type]] = "unskilled resident", "Resident",
Table1[[#This Row],[Job_Type]] = "unemp/unskilled non res", "Non-resident",
TRUE, "Unknown")</f>
        <v>Resident</v>
      </c>
      <c r="J20" s="2" t="s">
        <v>149</v>
      </c>
      <c r="K20" s="3">
        <v>2</v>
      </c>
      <c r="L20" s="2" t="s">
        <v>144</v>
      </c>
      <c r="M20" s="13" t="s">
        <v>151</v>
      </c>
      <c r="N20" t="s">
        <v>17</v>
      </c>
      <c r="O20" s="2" t="str">
        <f>_xlfn.XLOOKUP(Table1[[#This Row],[Checking_Acct_Status]],Table3[Checking_Acct_Original],Table3[Category])</f>
        <v>No Account</v>
      </c>
      <c r="P20" s="10" t="s">
        <v>46</v>
      </c>
      <c r="Q20" s="13" t="str">
        <f>_xlfn.XLOOKUP(Table1[[#This Row],[Saving_Acct_Status]],Table5[Saving_Acct_Original],Table5[Category])</f>
        <v>Medium Savings</v>
      </c>
      <c r="R20" t="s">
        <v>27</v>
      </c>
      <c r="S20" s="2" t="str">
        <f>IF(
      OR(Table1[[#This Row],[Job_Type]] = "high qualif/self emp/mgmt", Table1[[#This Row],[Job_Type]] = "skilled"),
      "Skilled", "Unskilled")</f>
        <v>Unskilled</v>
      </c>
      <c r="T20" t="str">
        <f>IF(Table1[[#This Row],[Job_Type]] = "unemp/unskilled non res", "Unemployed", "Employed")</f>
        <v>Employed</v>
      </c>
      <c r="U20" t="s">
        <v>21</v>
      </c>
      <c r="V20" s="14" t="str" cm="1">
        <f t="array" ref="V2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0" t="s">
        <v>31</v>
      </c>
      <c r="X20" s="2" t="str">
        <f>_xlfn.XLOOKUP(Table1[[#This Row],[Loan_Credit_History]],Table4[Credit History],Table4[[ Category]])</f>
        <v>Existing Credits Paid</v>
      </c>
      <c r="Y20" s="3">
        <v>3</v>
      </c>
      <c r="Z20" s="3">
        <v>1</v>
      </c>
      <c r="AA20" s="5">
        <v>1418</v>
      </c>
      <c r="AB20" t="s">
        <v>151</v>
      </c>
      <c r="AC20" s="2" t="str" cm="1">
        <f t="array" ref="AC20">_xlfn.IFS(Table1[[#This Row],[Others_Parties]] = "No", "None",
Table1[[#This Row],[Others_Parties]] = "co applicant", "Co-applicant",
Table1[[#This Row],[Others_Parties]] = "guarantor", "Guarantor")</f>
        <v>None</v>
      </c>
      <c r="AD20" s="13" t="s">
        <v>145</v>
      </c>
      <c r="AE20" s="2" t="s">
        <v>141</v>
      </c>
      <c r="AF20" s="28" t="str" cm="1">
        <f t="array" ref="AF2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20" s="21">
        <v>10</v>
      </c>
      <c r="AH20" s="2" t="s">
        <v>154</v>
      </c>
      <c r="AI20"/>
      <c r="AZ20"/>
      <c r="BC20"/>
      <c r="BE20"/>
      <c r="BL20"/>
      <c r="BZ20"/>
      <c r="CA20"/>
      <c r="CF20"/>
      <c r="CG20"/>
      <c r="CH20"/>
      <c r="CI20"/>
      <c r="CK20"/>
      <c r="CN20"/>
    </row>
    <row r="21" spans="1:92" x14ac:dyDescent="0.3">
      <c r="A21" s="4">
        <v>19</v>
      </c>
      <c r="B21" s="11">
        <v>31</v>
      </c>
      <c r="C21" s="2" t="str">
        <f>_xlfn.XLOOKUP(Table1[[#This Row],[Age]],Table7[Start_Age],Table7[Age_Range],,-1)</f>
        <v>29-39</v>
      </c>
      <c r="D21" t="s">
        <v>130</v>
      </c>
      <c r="E21" s="2" t="s">
        <v>129</v>
      </c>
      <c r="F21" s="2" t="s">
        <v>133</v>
      </c>
      <c r="G21" s="3">
        <v>2</v>
      </c>
      <c r="H21" s="13" t="s">
        <v>151</v>
      </c>
      <c r="I21" s="2" t="str" cm="1">
        <f t="array" ref="I21">_xlfn.IFS(Table1[[#This Row],[Job_Type]] = "unskilled resident", "Resident",
Table1[[#This Row],[Job_Type]] = "unemp/unskilled non res", "Non-resident",
TRUE, "Unknown")</f>
        <v>Resident</v>
      </c>
      <c r="J21" s="2" t="s">
        <v>148</v>
      </c>
      <c r="K21" s="3">
        <v>2</v>
      </c>
      <c r="L21" s="2" t="s">
        <v>144</v>
      </c>
      <c r="M21" s="13" t="s">
        <v>151</v>
      </c>
      <c r="N21" t="s">
        <v>17</v>
      </c>
      <c r="O21" s="2" t="str">
        <f>_xlfn.XLOOKUP(Table1[[#This Row],[Checking_Acct_Status]],Table3[Checking_Acct_Original],Table3[Category])</f>
        <v>No Account</v>
      </c>
      <c r="P21" s="10" t="s">
        <v>32</v>
      </c>
      <c r="Q21" s="13" t="str">
        <f>_xlfn.XLOOKUP(Table1[[#This Row],[Saving_Acct_Status]],Table5[Saving_Acct_Original],Table5[Category])</f>
        <v>Low Savings</v>
      </c>
      <c r="R21" t="s">
        <v>27</v>
      </c>
      <c r="S21" s="2" t="str">
        <f>IF(
      OR(Table1[[#This Row],[Job_Type]] = "high qualif/self emp/mgmt", Table1[[#This Row],[Job_Type]] = "skilled"),
      "Skilled", "Unskilled")</f>
        <v>Unskilled</v>
      </c>
      <c r="T21" t="str">
        <f>IF(Table1[[#This Row],[Job_Type]] = "unemp/unskilled non res", "Unemployed", "Employed")</f>
        <v>Employed</v>
      </c>
      <c r="U21" t="s">
        <v>21</v>
      </c>
      <c r="V21" s="14" t="str" cm="1">
        <f t="array" ref="V2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1" t="s">
        <v>31</v>
      </c>
      <c r="X21" s="2" t="str">
        <f>_xlfn.XLOOKUP(Table1[[#This Row],[Loan_Credit_History]],Table4[Credit History],Table4[[ Category]])</f>
        <v>Existing Credits Paid</v>
      </c>
      <c r="Y21" s="3">
        <v>3</v>
      </c>
      <c r="Z21" s="3">
        <v>1</v>
      </c>
      <c r="AA21" s="5">
        <v>1546</v>
      </c>
      <c r="AB21" t="s">
        <v>151</v>
      </c>
      <c r="AC21" s="2" t="str" cm="1">
        <f t="array" ref="AC21">_xlfn.IFS(Table1[[#This Row],[Others_Parties]] = "No", "None",
Table1[[#This Row],[Others_Parties]] = "co applicant", "Co-applicant",
Table1[[#This Row],[Others_Parties]] = "guarantor", "Guarantor")</f>
        <v>None</v>
      </c>
      <c r="AD21" s="13" t="s">
        <v>145</v>
      </c>
      <c r="AE21" s="2" t="s">
        <v>141</v>
      </c>
      <c r="AF21" s="28" t="str" cm="1">
        <f t="array" ref="AF2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21" s="21">
        <v>10</v>
      </c>
      <c r="AH21" s="2" t="s">
        <v>154</v>
      </c>
      <c r="AI21"/>
      <c r="AZ21"/>
      <c r="BC21"/>
      <c r="BE21"/>
      <c r="BL21"/>
      <c r="BZ21"/>
      <c r="CA21"/>
      <c r="CF21"/>
      <c r="CG21"/>
      <c r="CH21"/>
      <c r="CI21"/>
      <c r="CK21"/>
      <c r="CN21"/>
    </row>
    <row r="22" spans="1:92" x14ac:dyDescent="0.3">
      <c r="A22" s="4">
        <v>20</v>
      </c>
      <c r="B22" s="11">
        <v>40</v>
      </c>
      <c r="C22" s="2" t="str">
        <f>_xlfn.XLOOKUP(Table1[[#This Row],[Age]],Table7[Start_Age],Table7[Age_Range],,-1)</f>
        <v>39-49</v>
      </c>
      <c r="D22" t="s">
        <v>130</v>
      </c>
      <c r="E22" s="2" t="s">
        <v>129</v>
      </c>
      <c r="F22" s="2" t="s">
        <v>133</v>
      </c>
      <c r="G22" s="3">
        <v>2</v>
      </c>
      <c r="H22" s="13" t="s">
        <v>151</v>
      </c>
      <c r="I22" s="2" t="str" cm="1">
        <f t="array" ref="I22">_xlfn.IFS(Table1[[#This Row],[Job_Type]] = "unskilled resident", "Resident",
Table1[[#This Row],[Job_Type]] = "unemp/unskilled non res", "Non-resident",
TRUE, "Unknown")</f>
        <v>Resident</v>
      </c>
      <c r="J22" s="2" t="s">
        <v>149</v>
      </c>
      <c r="K22" s="3">
        <v>2</v>
      </c>
      <c r="L22" s="2" t="s">
        <v>142</v>
      </c>
      <c r="M22" s="13" t="s">
        <v>151</v>
      </c>
      <c r="N22" t="s">
        <v>17</v>
      </c>
      <c r="O22" s="2" t="str">
        <f>_xlfn.XLOOKUP(Table1[[#This Row],[Checking_Acct_Status]],Table3[Checking_Acct_Original],Table3[Category])</f>
        <v>No Account</v>
      </c>
      <c r="P22" s="10" t="s">
        <v>37</v>
      </c>
      <c r="Q22" s="13" t="str">
        <f>_xlfn.XLOOKUP(Table1[[#This Row],[Saving_Acct_Status]],Table5[Saving_Acct_Original],Table5[Category])</f>
        <v>High Savings</v>
      </c>
      <c r="R22" t="s">
        <v>27</v>
      </c>
      <c r="S22" s="2" t="str">
        <f>IF(
      OR(Table1[[#This Row],[Job_Type]] = "high qualif/self emp/mgmt", Table1[[#This Row],[Job_Type]] = "skilled"),
      "Skilled", "Unskilled")</f>
        <v>Unskilled</v>
      </c>
      <c r="T22" t="str">
        <f>IF(Table1[[#This Row],[Job_Type]] = "unemp/unskilled non res", "Unemployed", "Employed")</f>
        <v>Employed</v>
      </c>
      <c r="U22" t="s">
        <v>21</v>
      </c>
      <c r="V22" s="14" t="str" cm="1">
        <f t="array" ref="V2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2" t="s">
        <v>31</v>
      </c>
      <c r="X22" s="2" t="str">
        <f>_xlfn.XLOOKUP(Table1[[#This Row],[Loan_Credit_History]],Table4[Credit History],Table4[[ Category]])</f>
        <v>Existing Credits Paid</v>
      </c>
      <c r="Y22" s="3">
        <v>3</v>
      </c>
      <c r="Z22" s="3">
        <v>1</v>
      </c>
      <c r="AA22" s="5">
        <v>1597</v>
      </c>
      <c r="AB22" t="s">
        <v>151</v>
      </c>
      <c r="AC22" s="2" t="str" cm="1">
        <f t="array" ref="AC22">_xlfn.IFS(Table1[[#This Row],[Others_Parties]] = "No", "None",
Table1[[#This Row],[Others_Parties]] = "co applicant", "Co-applicant",
Table1[[#This Row],[Others_Parties]] = "guarantor", "Guarantor")</f>
        <v>None</v>
      </c>
      <c r="AD22" s="13" t="s">
        <v>145</v>
      </c>
      <c r="AE22" s="2" t="s">
        <v>141</v>
      </c>
      <c r="AF22" s="28" t="str" cm="1">
        <f t="array" ref="AF2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22" s="21">
        <v>10</v>
      </c>
      <c r="AH22" s="2" t="s">
        <v>154</v>
      </c>
      <c r="AI22"/>
      <c r="AZ22"/>
      <c r="BC22"/>
      <c r="BE22"/>
      <c r="BL22"/>
      <c r="BZ22"/>
      <c r="CA22"/>
      <c r="CF22"/>
      <c r="CG22"/>
      <c r="CH22"/>
      <c r="CI22"/>
      <c r="CK22"/>
      <c r="CN22"/>
    </row>
    <row r="23" spans="1:92" x14ac:dyDescent="0.3">
      <c r="A23" s="4">
        <v>21</v>
      </c>
      <c r="B23" s="11">
        <v>38</v>
      </c>
      <c r="C23" s="2" t="str">
        <f>_xlfn.XLOOKUP(Table1[[#This Row],[Age]],Table7[Start_Age],Table7[Age_Range],,-1)</f>
        <v>29-39</v>
      </c>
      <c r="D23" t="s">
        <v>130</v>
      </c>
      <c r="E23" s="2" t="s">
        <v>129</v>
      </c>
      <c r="F23" s="2" t="s">
        <v>133</v>
      </c>
      <c r="G23" s="3">
        <v>1</v>
      </c>
      <c r="H23" s="13" t="s">
        <v>151</v>
      </c>
      <c r="I23" s="2" t="str" cm="1">
        <f t="array" ref="I23">_xlfn.IFS(Table1[[#This Row],[Job_Type]] = "unskilled resident", "Resident",
Table1[[#This Row],[Job_Type]] = "unemp/unskilled non res", "Non-resident",
TRUE, "Unknown")</f>
        <v>Unknown</v>
      </c>
      <c r="J23" s="2" t="s">
        <v>148</v>
      </c>
      <c r="K23" s="3">
        <v>4</v>
      </c>
      <c r="L23" s="2" t="s">
        <v>143</v>
      </c>
      <c r="M23" s="13" t="s">
        <v>152</v>
      </c>
      <c r="N23" t="s">
        <v>17</v>
      </c>
      <c r="O23" s="2" t="str">
        <f>_xlfn.XLOOKUP(Table1[[#This Row],[Checking_Acct_Status]],Table3[Checking_Acct_Original],Table3[Category])</f>
        <v>No Account</v>
      </c>
      <c r="P23" s="10" t="s">
        <v>32</v>
      </c>
      <c r="Q23" s="13" t="str">
        <f>_xlfn.XLOOKUP(Table1[[#This Row],[Saving_Acct_Status]],Table5[Saving_Acct_Original],Table5[Category])</f>
        <v>Low Savings</v>
      </c>
      <c r="R23" t="s">
        <v>41</v>
      </c>
      <c r="S23" s="2" t="str">
        <f>IF(
      OR(Table1[[#This Row],[Job_Type]] = "high qualif/self emp/mgmt", Table1[[#This Row],[Job_Type]] = "skilled"),
      "Skilled", "Unskilled")</f>
        <v>Skilled</v>
      </c>
      <c r="T23" t="str">
        <f>IF(Table1[[#This Row],[Job_Type]] = "unemp/unskilled non res", "Unemployed", "Employed")</f>
        <v>Employed</v>
      </c>
      <c r="U23" t="s">
        <v>21</v>
      </c>
      <c r="V23" s="14" t="str" cm="1">
        <f t="array" ref="V2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3" t="s">
        <v>31</v>
      </c>
      <c r="X23" s="2" t="str">
        <f>_xlfn.XLOOKUP(Table1[[#This Row],[Loan_Credit_History]],Table4[Credit History],Table4[[ Category]])</f>
        <v>Existing Credits Paid</v>
      </c>
      <c r="Y23" s="3">
        <v>1</v>
      </c>
      <c r="Z23" s="3">
        <v>1</v>
      </c>
      <c r="AA23" s="5">
        <v>1924</v>
      </c>
      <c r="AB23" t="s">
        <v>151</v>
      </c>
      <c r="AC23" s="2" t="str" cm="1">
        <f t="array" ref="AC23">_xlfn.IFS(Table1[[#This Row],[Others_Parties]] = "No", "None",
Table1[[#This Row],[Others_Parties]] = "co applicant", "Co-applicant",
Table1[[#This Row],[Others_Parties]] = "guarantor", "Guarantor")</f>
        <v>None</v>
      </c>
      <c r="AD23" s="13" t="s">
        <v>145</v>
      </c>
      <c r="AE23" s="2" t="s">
        <v>111</v>
      </c>
      <c r="AF23" s="28" t="str" cm="1">
        <f t="array" ref="AF2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23" s="21">
        <v>10</v>
      </c>
      <c r="AH23" s="2" t="s">
        <v>154</v>
      </c>
      <c r="AI23"/>
      <c r="AZ23"/>
      <c r="BC23"/>
      <c r="BE23"/>
      <c r="BL23"/>
      <c r="BZ23"/>
      <c r="CA23"/>
      <c r="CF23"/>
      <c r="CG23"/>
      <c r="CH23"/>
      <c r="CI23"/>
      <c r="CK23"/>
      <c r="CN23"/>
    </row>
    <row r="24" spans="1:92" x14ac:dyDescent="0.3">
      <c r="A24" s="4">
        <v>22</v>
      </c>
      <c r="B24" s="11">
        <v>26</v>
      </c>
      <c r="C24" s="2" t="str">
        <f>_xlfn.XLOOKUP(Table1[[#This Row],[Age]],Table7[Start_Age],Table7[Age_Range],,-1)</f>
        <v>19-29</v>
      </c>
      <c r="D24" t="s">
        <v>134</v>
      </c>
      <c r="E24" s="2" t="s">
        <v>129</v>
      </c>
      <c r="F24" s="2" t="s">
        <v>135</v>
      </c>
      <c r="G24" s="3">
        <v>1</v>
      </c>
      <c r="H24" s="13" t="s">
        <v>151</v>
      </c>
      <c r="I24" s="2" t="str" cm="1">
        <f t="array" ref="I24">_xlfn.IFS(Table1[[#This Row],[Job_Type]] = "unskilled resident", "Resident",
Table1[[#This Row],[Job_Type]] = "unemp/unskilled non res", "Non-resident",
TRUE, "Unknown")</f>
        <v>Unknown</v>
      </c>
      <c r="J24" s="2" t="s">
        <v>148</v>
      </c>
      <c r="K24" s="3">
        <v>1</v>
      </c>
      <c r="L24" s="2" t="s">
        <v>140</v>
      </c>
      <c r="M24" s="13" t="s">
        <v>151</v>
      </c>
      <c r="N24" t="s">
        <v>17</v>
      </c>
      <c r="O24" s="2" t="str">
        <f>_xlfn.XLOOKUP(Table1[[#This Row],[Checking_Acct_Status]],Table3[Checking_Acct_Original],Table3[Category])</f>
        <v>No Account</v>
      </c>
      <c r="P24" s="10" t="s">
        <v>47</v>
      </c>
      <c r="Q24" s="13" t="str">
        <f>_xlfn.XLOOKUP(Table1[[#This Row],[Saving_Acct_Status]],Table5[Saving_Acct_Original],Table5[Category])</f>
        <v>No Savings</v>
      </c>
      <c r="R24" t="s">
        <v>41</v>
      </c>
      <c r="S24" s="2" t="str">
        <f>IF(
      OR(Table1[[#This Row],[Job_Type]] = "high qualif/self emp/mgmt", Table1[[#This Row],[Job_Type]] = "skilled"),
      "Skilled", "Unskilled")</f>
        <v>Skilled</v>
      </c>
      <c r="T24" t="str">
        <f>IF(Table1[[#This Row],[Job_Type]] = "unemp/unskilled non res", "Unemployed", "Employed")</f>
        <v>Employed</v>
      </c>
      <c r="U24" t="s">
        <v>21</v>
      </c>
      <c r="V24" s="14" t="str" cm="1">
        <f t="array" ref="V2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4" t="s">
        <v>103</v>
      </c>
      <c r="X24" s="2" t="str">
        <f>_xlfn.XLOOKUP(Table1[[#This Row],[Loan_Credit_History]],Table4[Credit History],Table4[[ Category]])</f>
        <v>Critical Credit History</v>
      </c>
      <c r="Y24" s="3">
        <v>2</v>
      </c>
      <c r="Z24" s="3">
        <v>2</v>
      </c>
      <c r="AA24" s="5">
        <v>2069</v>
      </c>
      <c r="AB24" t="s">
        <v>151</v>
      </c>
      <c r="AC24" s="2" t="str" cm="1">
        <f t="array" ref="AC24">_xlfn.IFS(Table1[[#This Row],[Others_Parties]] = "No", "None",
Table1[[#This Row],[Others_Parties]] = "co applicant", "Co-applicant",
Table1[[#This Row],[Others_Parties]] = "guarantor", "Guarantor")</f>
        <v>None</v>
      </c>
      <c r="AD24" s="13" t="s">
        <v>145</v>
      </c>
      <c r="AE24" s="2" t="s">
        <v>108</v>
      </c>
      <c r="AF24" s="28" t="str" cm="1">
        <f t="array" ref="AF2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24" s="21">
        <v>10</v>
      </c>
      <c r="AH24" s="2" t="s">
        <v>154</v>
      </c>
      <c r="AI24"/>
      <c r="AZ24"/>
      <c r="BC24"/>
      <c r="BE24"/>
      <c r="BL24"/>
      <c r="BZ24"/>
      <c r="CA24"/>
      <c r="CF24"/>
      <c r="CG24"/>
      <c r="CH24"/>
      <c r="CI24"/>
      <c r="CK24"/>
      <c r="CN24"/>
    </row>
    <row r="25" spans="1:92" x14ac:dyDescent="0.3">
      <c r="A25" s="4">
        <v>23</v>
      </c>
      <c r="B25" s="11">
        <v>27</v>
      </c>
      <c r="C25" s="2" t="str">
        <f>_xlfn.XLOOKUP(Table1[[#This Row],[Age]],Table7[Start_Age],Table7[Age_Range],,-1)</f>
        <v>19-29</v>
      </c>
      <c r="D25" t="s">
        <v>136</v>
      </c>
      <c r="E25" s="2" t="s">
        <v>131</v>
      </c>
      <c r="F25" s="2" t="s">
        <v>137</v>
      </c>
      <c r="G25" s="3">
        <v>1</v>
      </c>
      <c r="H25" s="13" t="s">
        <v>151</v>
      </c>
      <c r="I25" s="2" t="str" cm="1">
        <f t="array" ref="I25">_xlfn.IFS(Table1[[#This Row],[Job_Type]] = "unskilled resident", "Resident",
Table1[[#This Row],[Job_Type]] = "unemp/unskilled non res", "Non-resident",
TRUE, "Unknown")</f>
        <v>Unknown</v>
      </c>
      <c r="J25" s="2" t="s">
        <v>149</v>
      </c>
      <c r="K25" s="3">
        <v>3</v>
      </c>
      <c r="L25" s="2" t="s">
        <v>144</v>
      </c>
      <c r="M25" s="13" t="s">
        <v>151</v>
      </c>
      <c r="N25" t="s">
        <v>35</v>
      </c>
      <c r="O25" s="2" t="str">
        <f>_xlfn.XLOOKUP(Table1[[#This Row],[Checking_Acct_Status]],Table3[Checking_Acct_Original],Table3[Category])</f>
        <v>Negative Balance</v>
      </c>
      <c r="P25" s="10" t="s">
        <v>47</v>
      </c>
      <c r="Q25" s="13" t="str">
        <f>_xlfn.XLOOKUP(Table1[[#This Row],[Saving_Acct_Status]],Table5[Saving_Acct_Original],Table5[Category])</f>
        <v>No Savings</v>
      </c>
      <c r="R25" t="s">
        <v>41</v>
      </c>
      <c r="S25" s="2" t="str">
        <f>IF(
      OR(Table1[[#This Row],[Job_Type]] = "high qualif/self emp/mgmt", Table1[[#This Row],[Job_Type]] = "skilled"),
      "Skilled", "Unskilled")</f>
        <v>Skilled</v>
      </c>
      <c r="T25" t="str">
        <f>IF(Table1[[#This Row],[Job_Type]] = "unemp/unskilled non res", "Unemployed", "Employed")</f>
        <v>Employed</v>
      </c>
      <c r="U25" t="s">
        <v>45</v>
      </c>
      <c r="V25" s="14" t="str" cm="1">
        <f t="array" ref="V2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5" t="s">
        <v>103</v>
      </c>
      <c r="X25" s="2" t="str">
        <f>_xlfn.XLOOKUP(Table1[[#This Row],[Loan_Credit_History]],Table4[Credit History],Table4[[ Category]])</f>
        <v>Critical Credit History</v>
      </c>
      <c r="Y25" s="3">
        <v>2</v>
      </c>
      <c r="Z25" s="3">
        <v>2</v>
      </c>
      <c r="AA25" s="5">
        <v>2132</v>
      </c>
      <c r="AB25" t="s">
        <v>55</v>
      </c>
      <c r="AC25" s="2" t="str" cm="1">
        <f t="array" ref="AC25">_xlfn.IFS(Table1[[#This Row],[Others_Parties]] = "No", "None",
Table1[[#This Row],[Others_Parties]] = "co applicant", "Co-applicant",
Table1[[#This Row],[Others_Parties]] = "guarantor", "Guarantor")</f>
        <v>Co-applicant</v>
      </c>
      <c r="AD25" s="13" t="s">
        <v>145</v>
      </c>
      <c r="AE25" s="2" t="s">
        <v>108</v>
      </c>
      <c r="AF25" s="28" t="str" cm="1">
        <f t="array" ref="AF2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25" s="21">
        <v>10</v>
      </c>
      <c r="AH25" s="2" t="s">
        <v>154</v>
      </c>
      <c r="AI25"/>
      <c r="AZ25"/>
      <c r="BC25"/>
      <c r="BE25"/>
      <c r="BL25"/>
      <c r="BZ25"/>
      <c r="CA25"/>
      <c r="CF25"/>
      <c r="CG25"/>
      <c r="CH25"/>
      <c r="CI25"/>
      <c r="CK25"/>
      <c r="CN25"/>
    </row>
    <row r="26" spans="1:92" x14ac:dyDescent="0.3">
      <c r="A26" s="4">
        <v>24</v>
      </c>
      <c r="B26" s="11">
        <v>48</v>
      </c>
      <c r="C26" s="2" t="str">
        <f>_xlfn.XLOOKUP(Table1[[#This Row],[Age]],Table7[Start_Age],Table7[Age_Range],,-1)</f>
        <v>39-49</v>
      </c>
      <c r="D26" t="s">
        <v>130</v>
      </c>
      <c r="E26" s="2" t="s">
        <v>129</v>
      </c>
      <c r="F26" s="2" t="s">
        <v>133</v>
      </c>
      <c r="G26" s="3">
        <v>2</v>
      </c>
      <c r="H26" s="13" t="s">
        <v>151</v>
      </c>
      <c r="I26" s="2" t="str" cm="1">
        <f t="array" ref="I26">_xlfn.IFS(Table1[[#This Row],[Job_Type]] = "unskilled resident", "Resident",
Table1[[#This Row],[Job_Type]] = "unemp/unskilled non res", "Non-resident",
TRUE, "Unknown")</f>
        <v>Resident</v>
      </c>
      <c r="J26" s="2" t="s">
        <v>149</v>
      </c>
      <c r="K26" s="3">
        <v>3</v>
      </c>
      <c r="L26" s="2" t="s">
        <v>144</v>
      </c>
      <c r="M26" s="13" t="s">
        <v>151</v>
      </c>
      <c r="N26" t="s">
        <v>35</v>
      </c>
      <c r="O26" s="2" t="str">
        <f>_xlfn.XLOOKUP(Table1[[#This Row],[Checking_Acct_Status]],Table3[Checking_Acct_Original],Table3[Category])</f>
        <v>Negative Balance</v>
      </c>
      <c r="P26" s="10" t="s">
        <v>32</v>
      </c>
      <c r="Q26" s="13" t="str">
        <f>_xlfn.XLOOKUP(Table1[[#This Row],[Saving_Acct_Status]],Table5[Saving_Acct_Original],Table5[Category])</f>
        <v>Low Savings</v>
      </c>
      <c r="R26" t="s">
        <v>27</v>
      </c>
      <c r="S26" s="2" t="str">
        <f>IF(
      OR(Table1[[#This Row],[Job_Type]] = "high qualif/self emp/mgmt", Table1[[#This Row],[Job_Type]] = "skilled"),
      "Skilled", "Unskilled")</f>
        <v>Unskilled</v>
      </c>
      <c r="T26" t="str">
        <f>IF(Table1[[#This Row],[Job_Type]] = "unemp/unskilled non res", "Unemployed", "Employed")</f>
        <v>Employed</v>
      </c>
      <c r="U26" t="s">
        <v>45</v>
      </c>
      <c r="V26" s="14" t="str" cm="1">
        <f t="array" ref="V2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6" t="s">
        <v>103</v>
      </c>
      <c r="X26" s="2" t="str">
        <f>_xlfn.XLOOKUP(Table1[[#This Row],[Loan_Credit_History]],Table4[Credit History],Table4[[ Category]])</f>
        <v>Critical Credit History</v>
      </c>
      <c r="Y26" s="3">
        <v>1</v>
      </c>
      <c r="Z26" s="3">
        <v>2</v>
      </c>
      <c r="AA26" s="5">
        <v>2241</v>
      </c>
      <c r="AB26" t="s">
        <v>151</v>
      </c>
      <c r="AC26" s="2" t="str" cm="1">
        <f t="array" ref="AC26">_xlfn.IFS(Table1[[#This Row],[Others_Parties]] = "No", "None",
Table1[[#This Row],[Others_Parties]] = "co applicant", "Co-applicant",
Table1[[#This Row],[Others_Parties]] = "guarantor", "Guarantor")</f>
        <v>None</v>
      </c>
      <c r="AD26" s="13" t="s">
        <v>145</v>
      </c>
      <c r="AE26" s="2" t="s">
        <v>141</v>
      </c>
      <c r="AF26" s="28" t="str" cm="1">
        <f t="array" ref="AF2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26" s="21">
        <v>10</v>
      </c>
      <c r="AH26" s="2" t="s">
        <v>154</v>
      </c>
      <c r="AI26"/>
      <c r="AZ26"/>
      <c r="BC26"/>
      <c r="BE26"/>
      <c r="BL26"/>
      <c r="BZ26"/>
      <c r="CA26"/>
      <c r="CF26"/>
      <c r="CG26"/>
      <c r="CH26"/>
      <c r="CI26"/>
      <c r="CK26"/>
      <c r="CN26"/>
    </row>
    <row r="27" spans="1:92" x14ac:dyDescent="0.3">
      <c r="A27" s="4">
        <v>25</v>
      </c>
      <c r="B27" s="11">
        <v>29</v>
      </c>
      <c r="C27" s="2" t="str">
        <f>_xlfn.XLOOKUP(Table1[[#This Row],[Age]],Table7[Start_Age],Table7[Age_Range],,-1)</f>
        <v>29-39</v>
      </c>
      <c r="D27" t="s">
        <v>136</v>
      </c>
      <c r="E27" s="2" t="s">
        <v>131</v>
      </c>
      <c r="F27" s="2" t="s">
        <v>137</v>
      </c>
      <c r="G27" s="3">
        <v>1</v>
      </c>
      <c r="H27" s="13" t="s">
        <v>151</v>
      </c>
      <c r="I27" s="2" t="str" cm="1">
        <f t="array" ref="I27">_xlfn.IFS(Table1[[#This Row],[Job_Type]] = "unskilled resident", "Resident",
Table1[[#This Row],[Job_Type]] = "unemp/unskilled non res", "Non-resident",
TRUE, "Unknown")</f>
        <v>Unknown</v>
      </c>
      <c r="J27" s="2" t="s">
        <v>148</v>
      </c>
      <c r="K27" s="3">
        <v>2</v>
      </c>
      <c r="L27" s="2" t="s">
        <v>140</v>
      </c>
      <c r="M27" s="13" t="s">
        <v>151</v>
      </c>
      <c r="N27" t="s">
        <v>30</v>
      </c>
      <c r="O27" s="2" t="str">
        <f>_xlfn.XLOOKUP(Table1[[#This Row],[Checking_Acct_Status]],Table3[Checking_Acct_Original],Table3[Category])</f>
        <v>Low Balance</v>
      </c>
      <c r="P27" s="10" t="s">
        <v>32</v>
      </c>
      <c r="Q27" s="13" t="str">
        <f>_xlfn.XLOOKUP(Table1[[#This Row],[Saving_Acct_Status]],Table5[Saving_Acct_Original],Table5[Category])</f>
        <v>Low Savings</v>
      </c>
      <c r="R27" t="s">
        <v>41</v>
      </c>
      <c r="S27" s="2" t="str">
        <f>IF(
      OR(Table1[[#This Row],[Job_Type]] = "high qualif/self emp/mgmt", Table1[[#This Row],[Job_Type]] = "skilled"),
      "Skilled", "Unskilled")</f>
        <v>Skilled</v>
      </c>
      <c r="T27" t="str">
        <f>IF(Table1[[#This Row],[Job_Type]] = "unemp/unskilled non res", "Unemployed", "Employed")</f>
        <v>Employed</v>
      </c>
      <c r="U27" t="s">
        <v>21</v>
      </c>
      <c r="V27" s="14" t="str" cm="1">
        <f t="array" ref="V2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7" t="s">
        <v>31</v>
      </c>
      <c r="X27" s="2" t="str">
        <f>_xlfn.XLOOKUP(Table1[[#This Row],[Loan_Credit_History]],Table4[Credit History],Table4[[ Category]])</f>
        <v>Existing Credits Paid</v>
      </c>
      <c r="Y27" s="3">
        <v>1</v>
      </c>
      <c r="Z27" s="3">
        <v>1</v>
      </c>
      <c r="AA27" s="5">
        <v>959</v>
      </c>
      <c r="AB27" t="s">
        <v>151</v>
      </c>
      <c r="AC27" s="2" t="str" cm="1">
        <f t="array" ref="AC27">_xlfn.IFS(Table1[[#This Row],[Others_Parties]] = "No", "None",
Table1[[#This Row],[Others_Parties]] = "co applicant", "Co-applicant",
Table1[[#This Row],[Others_Parties]] = "guarantor", "Guarantor")</f>
        <v>None</v>
      </c>
      <c r="AD27" s="13" t="s">
        <v>145</v>
      </c>
      <c r="AE27" s="2" t="s">
        <v>108</v>
      </c>
      <c r="AF27" s="28" t="str" cm="1">
        <f t="array" ref="AF2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27" s="21">
        <v>9</v>
      </c>
      <c r="AH27" s="2" t="s">
        <v>153</v>
      </c>
      <c r="AI27"/>
      <c r="AZ27"/>
      <c r="BC27"/>
      <c r="BE27"/>
      <c r="BL27"/>
      <c r="BZ27"/>
      <c r="CA27"/>
      <c r="CF27"/>
      <c r="CG27"/>
      <c r="CH27"/>
      <c r="CI27"/>
      <c r="CK27"/>
      <c r="CN27"/>
    </row>
    <row r="28" spans="1:92" x14ac:dyDescent="0.3">
      <c r="A28" s="4">
        <v>26</v>
      </c>
      <c r="B28" s="11">
        <v>48</v>
      </c>
      <c r="C28" s="2" t="str">
        <f>_xlfn.XLOOKUP(Table1[[#This Row],[Age]],Table7[Start_Age],Table7[Age_Range],,-1)</f>
        <v>39-49</v>
      </c>
      <c r="D28" t="s">
        <v>130</v>
      </c>
      <c r="E28" s="2" t="s">
        <v>129</v>
      </c>
      <c r="F28" s="2" t="s">
        <v>133</v>
      </c>
      <c r="G28" s="3">
        <v>2</v>
      </c>
      <c r="H28" s="13" t="s">
        <v>151</v>
      </c>
      <c r="I28" s="2" t="str" cm="1">
        <f t="array" ref="I28">_xlfn.IFS(Table1[[#This Row],[Job_Type]] = "unskilled resident", "Resident",
Table1[[#This Row],[Job_Type]] = "unemp/unskilled non res", "Non-resident",
TRUE, "Unknown")</f>
        <v>Unknown</v>
      </c>
      <c r="J28" s="2" t="s">
        <v>148</v>
      </c>
      <c r="K28" s="3">
        <v>4</v>
      </c>
      <c r="L28" s="2" t="s">
        <v>144</v>
      </c>
      <c r="M28" s="13" t="s">
        <v>151</v>
      </c>
      <c r="N28" t="s">
        <v>35</v>
      </c>
      <c r="O28" s="2" t="str">
        <f>_xlfn.XLOOKUP(Table1[[#This Row],[Checking_Acct_Status]],Table3[Checking_Acct_Original],Table3[Category])</f>
        <v>Negative Balance</v>
      </c>
      <c r="P28" s="10" t="s">
        <v>46</v>
      </c>
      <c r="Q28" s="13" t="str">
        <f>_xlfn.XLOOKUP(Table1[[#This Row],[Saving_Acct_Status]],Table5[Saving_Acct_Original],Table5[Category])</f>
        <v>Medium Savings</v>
      </c>
      <c r="R28" t="s">
        <v>41</v>
      </c>
      <c r="S28" s="2" t="str">
        <f>IF(
      OR(Table1[[#This Row],[Job_Type]] = "high qualif/self emp/mgmt", Table1[[#This Row],[Job_Type]] = "skilled"),
      "Skilled", "Unskilled")</f>
        <v>Skilled</v>
      </c>
      <c r="T28" t="str">
        <f>IF(Table1[[#This Row],[Job_Type]] = "unemp/unskilled non res", "Unemployed", "Employed")</f>
        <v>Employed</v>
      </c>
      <c r="U28" t="s">
        <v>38</v>
      </c>
      <c r="V28" s="14" t="str" cm="1">
        <f t="array" ref="V2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8" t="s">
        <v>103</v>
      </c>
      <c r="X28" s="2" t="str">
        <f>_xlfn.XLOOKUP(Table1[[#This Row],[Loan_Credit_History]],Table4[Credit History],Table4[[ Category]])</f>
        <v>Critical Credit History</v>
      </c>
      <c r="Y28" s="3">
        <v>3</v>
      </c>
      <c r="Z28" s="3">
        <v>2</v>
      </c>
      <c r="AA28" s="5">
        <v>1288</v>
      </c>
      <c r="AB28" t="s">
        <v>58</v>
      </c>
      <c r="AC28" s="2" t="str" cm="1">
        <f t="array" ref="AC28">_xlfn.IFS(Table1[[#This Row],[Others_Parties]] = "No", "None",
Table1[[#This Row],[Others_Parties]] = "co applicant", "Co-applicant",
Table1[[#This Row],[Others_Parties]] = "guarantor", "Guarantor")</f>
        <v>Guarantor</v>
      </c>
      <c r="AD28" s="13" t="s">
        <v>145</v>
      </c>
      <c r="AE28" s="2" t="s">
        <v>109</v>
      </c>
      <c r="AF28" s="28" t="str" cm="1">
        <f t="array" ref="AF2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28" s="21">
        <v>9</v>
      </c>
      <c r="AH28" s="2" t="s">
        <v>154</v>
      </c>
      <c r="AI28"/>
      <c r="AZ28"/>
      <c r="BC28"/>
      <c r="BE28"/>
      <c r="BL28"/>
      <c r="BZ28"/>
      <c r="CA28"/>
      <c r="CF28"/>
      <c r="CG28"/>
      <c r="CH28"/>
      <c r="CI28"/>
      <c r="CK28"/>
      <c r="CN28"/>
    </row>
    <row r="29" spans="1:92" x14ac:dyDescent="0.3">
      <c r="A29" s="4">
        <v>27</v>
      </c>
      <c r="B29" s="11">
        <v>26</v>
      </c>
      <c r="C29" s="2" t="str">
        <f>_xlfn.XLOOKUP(Table1[[#This Row],[Age]],Table7[Start_Age],Table7[Age_Range],,-1)</f>
        <v>19-29</v>
      </c>
      <c r="D29" t="s">
        <v>130</v>
      </c>
      <c r="E29" s="2" t="s">
        <v>129</v>
      </c>
      <c r="F29" s="2" t="s">
        <v>133</v>
      </c>
      <c r="G29" s="3">
        <v>2</v>
      </c>
      <c r="H29" s="13" t="s">
        <v>151</v>
      </c>
      <c r="I29" s="2" t="str" cm="1">
        <f t="array" ref="I29">_xlfn.IFS(Table1[[#This Row],[Job_Type]] = "unskilled resident", "Resident",
Table1[[#This Row],[Job_Type]] = "unemp/unskilled non res", "Non-resident",
TRUE, "Unknown")</f>
        <v>Unknown</v>
      </c>
      <c r="J29" s="2" t="s">
        <v>149</v>
      </c>
      <c r="K29" s="3">
        <v>2</v>
      </c>
      <c r="L29" s="2" t="s">
        <v>144</v>
      </c>
      <c r="M29" s="13" t="s">
        <v>151</v>
      </c>
      <c r="N29" t="s">
        <v>17</v>
      </c>
      <c r="O29" s="2" t="str">
        <f>_xlfn.XLOOKUP(Table1[[#This Row],[Checking_Acct_Status]],Table3[Checking_Acct_Original],Table3[Category])</f>
        <v>No Account</v>
      </c>
      <c r="P29" s="10" t="s">
        <v>46</v>
      </c>
      <c r="Q29" s="13" t="str">
        <f>_xlfn.XLOOKUP(Table1[[#This Row],[Saving_Acct_Status]],Table5[Saving_Acct_Original],Table5[Category])</f>
        <v>Medium Savings</v>
      </c>
      <c r="R29" t="s">
        <v>41</v>
      </c>
      <c r="S29" s="2" t="str">
        <f>IF(
      OR(Table1[[#This Row],[Job_Type]] = "high qualif/self emp/mgmt", Table1[[#This Row],[Job_Type]] = "skilled"),
      "Skilled", "Unskilled")</f>
        <v>Skilled</v>
      </c>
      <c r="T29" t="str">
        <f>IF(Table1[[#This Row],[Job_Type]] = "unemp/unskilled non res", "Unemployed", "Employed")</f>
        <v>Employed</v>
      </c>
      <c r="U29" t="s">
        <v>21</v>
      </c>
      <c r="V29" s="14" t="str" cm="1">
        <f t="array" ref="V2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9" t="s">
        <v>31</v>
      </c>
      <c r="X29" s="2" t="str">
        <f>_xlfn.XLOOKUP(Table1[[#This Row],[Loan_Credit_History]],Table4[Credit History],Table4[[ Category]])</f>
        <v>Existing Credits Paid</v>
      </c>
      <c r="Y29" s="3">
        <v>1</v>
      </c>
      <c r="Z29" s="3">
        <v>1</v>
      </c>
      <c r="AA29" s="5">
        <v>3577</v>
      </c>
      <c r="AB29" t="s">
        <v>58</v>
      </c>
      <c r="AC29" s="2" t="str" cm="1">
        <f t="array" ref="AC29">_xlfn.IFS(Table1[[#This Row],[Others_Parties]] = "No", "None",
Table1[[#This Row],[Others_Parties]] = "co applicant", "Co-applicant",
Table1[[#This Row],[Others_Parties]] = "guarantor", "Guarantor")</f>
        <v>Guarantor</v>
      </c>
      <c r="AD29" s="13" t="s">
        <v>145</v>
      </c>
      <c r="AE29" s="2" t="s">
        <v>141</v>
      </c>
      <c r="AF29" s="28" t="str" cm="1">
        <f t="array" ref="AF2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29" s="21">
        <v>9</v>
      </c>
      <c r="AH29" s="2" t="s">
        <v>154</v>
      </c>
      <c r="AI29"/>
      <c r="AZ29"/>
      <c r="BC29"/>
      <c r="BE29"/>
      <c r="BL29"/>
      <c r="BZ29"/>
      <c r="CA29"/>
      <c r="CF29"/>
      <c r="CG29"/>
      <c r="CH29"/>
      <c r="CI29"/>
      <c r="CK29"/>
      <c r="CN29"/>
    </row>
    <row r="30" spans="1:92" x14ac:dyDescent="0.3">
      <c r="A30" s="4">
        <v>28</v>
      </c>
      <c r="B30" s="11">
        <v>33</v>
      </c>
      <c r="C30" s="2" t="str">
        <f>_xlfn.XLOOKUP(Table1[[#This Row],[Age]],Table7[Start_Age],Table7[Age_Range],,-1)</f>
        <v>29-39</v>
      </c>
      <c r="D30" t="s">
        <v>130</v>
      </c>
      <c r="E30" s="2" t="s">
        <v>129</v>
      </c>
      <c r="F30" s="2" t="s">
        <v>133</v>
      </c>
      <c r="G30" s="3">
        <v>1</v>
      </c>
      <c r="H30" s="13" t="s">
        <v>151</v>
      </c>
      <c r="I30" s="2" t="str" cm="1">
        <f t="array" ref="I30">_xlfn.IFS(Table1[[#This Row],[Job_Type]] = "unskilled resident", "Resident",
Table1[[#This Row],[Job_Type]] = "unemp/unskilled non res", "Non-resident",
TRUE, "Unknown")</f>
        <v>Unknown</v>
      </c>
      <c r="J30" s="2" t="s">
        <v>148</v>
      </c>
      <c r="K30" s="3">
        <v>2</v>
      </c>
      <c r="L30" s="2" t="s">
        <v>144</v>
      </c>
      <c r="M30" s="13" t="s">
        <v>151</v>
      </c>
      <c r="N30" t="s">
        <v>30</v>
      </c>
      <c r="O30" s="2" t="str">
        <f>_xlfn.XLOOKUP(Table1[[#This Row],[Checking_Acct_Status]],Table3[Checking_Acct_Original],Table3[Category])</f>
        <v>Low Balance</v>
      </c>
      <c r="P30" s="10" t="s">
        <v>32</v>
      </c>
      <c r="Q30" s="13" t="str">
        <f>_xlfn.XLOOKUP(Table1[[#This Row],[Saving_Acct_Status]],Table5[Saving_Acct_Original],Table5[Category])</f>
        <v>Low Savings</v>
      </c>
      <c r="R30" t="s">
        <v>41</v>
      </c>
      <c r="S30" s="2" t="str">
        <f>IF(
      OR(Table1[[#This Row],[Job_Type]] = "high qualif/self emp/mgmt", Table1[[#This Row],[Job_Type]] = "skilled"),
      "Skilled", "Unskilled")</f>
        <v>Skilled</v>
      </c>
      <c r="T30" t="str">
        <f>IF(Table1[[#This Row],[Job_Type]] = "unemp/unskilled non res", "Unemployed", "Employed")</f>
        <v>Employed</v>
      </c>
      <c r="U30" t="s">
        <v>21</v>
      </c>
      <c r="V30" s="14" t="str" cm="1">
        <f t="array" ref="V3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0" t="s">
        <v>31</v>
      </c>
      <c r="X30" s="2" t="str">
        <f>_xlfn.XLOOKUP(Table1[[#This Row],[Loan_Credit_History]],Table4[Credit History],Table4[[ Category]])</f>
        <v>Existing Credits Paid</v>
      </c>
      <c r="Y30" s="3">
        <v>4</v>
      </c>
      <c r="Z30" s="3">
        <v>1</v>
      </c>
      <c r="AA30" s="5">
        <v>1414</v>
      </c>
      <c r="AB30" t="s">
        <v>58</v>
      </c>
      <c r="AC30" s="2" t="str" cm="1">
        <f t="array" ref="AC30">_xlfn.IFS(Table1[[#This Row],[Others_Parties]] = "No", "None",
Table1[[#This Row],[Others_Parties]] = "co applicant", "Co-applicant",
Table1[[#This Row],[Others_Parties]] = "guarantor", "Guarantor")</f>
        <v>Guarantor</v>
      </c>
      <c r="AD30" s="13" t="s">
        <v>145</v>
      </c>
      <c r="AE30" s="2" t="s">
        <v>111</v>
      </c>
      <c r="AF30" s="28" t="str" cm="1">
        <f t="array" ref="AF3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30" s="21">
        <v>8</v>
      </c>
      <c r="AH30" s="2" t="s">
        <v>154</v>
      </c>
      <c r="AI30"/>
      <c r="AZ30"/>
      <c r="BC30"/>
      <c r="BE30"/>
      <c r="BL30"/>
      <c r="BZ30"/>
      <c r="CA30"/>
      <c r="CF30"/>
      <c r="CG30"/>
      <c r="CH30"/>
      <c r="CI30"/>
      <c r="CK30"/>
      <c r="CN30"/>
    </row>
    <row r="31" spans="1:92" x14ac:dyDescent="0.3">
      <c r="A31" s="4">
        <v>29</v>
      </c>
      <c r="B31" s="11">
        <v>39</v>
      </c>
      <c r="C31" s="2" t="str">
        <f>_xlfn.XLOOKUP(Table1[[#This Row],[Age]],Table7[Start_Age],Table7[Age_Range],,-1)</f>
        <v>39-49</v>
      </c>
      <c r="D31" t="s">
        <v>130</v>
      </c>
      <c r="E31" s="2" t="s">
        <v>129</v>
      </c>
      <c r="F31" s="2" t="s">
        <v>133</v>
      </c>
      <c r="G31" s="3">
        <v>1</v>
      </c>
      <c r="H31" s="13" t="s">
        <v>151</v>
      </c>
      <c r="I31" s="2" t="str" cm="1">
        <f t="array" ref="I31">_xlfn.IFS(Table1[[#This Row],[Job_Type]] = "unskilled resident", "Resident",
Table1[[#This Row],[Job_Type]] = "unemp/unskilled non res", "Non-resident",
TRUE, "Unknown")</f>
        <v>Resident</v>
      </c>
      <c r="J31" s="2" t="s">
        <v>148</v>
      </c>
      <c r="K31" s="3">
        <v>4</v>
      </c>
      <c r="L31" s="2" t="s">
        <v>144</v>
      </c>
      <c r="M31" s="13" t="s">
        <v>151</v>
      </c>
      <c r="N31" t="s">
        <v>35</v>
      </c>
      <c r="O31" s="2" t="str">
        <f>_xlfn.XLOOKUP(Table1[[#This Row],[Checking_Acct_Status]],Table3[Checking_Acct_Original],Table3[Category])</f>
        <v>Negative Balance</v>
      </c>
      <c r="P31" s="10" t="s">
        <v>32</v>
      </c>
      <c r="Q31" s="13" t="str">
        <f>_xlfn.XLOOKUP(Table1[[#This Row],[Saving_Acct_Status]],Table5[Saving_Acct_Original],Table5[Category])</f>
        <v>Low Savings</v>
      </c>
      <c r="R31" t="s">
        <v>27</v>
      </c>
      <c r="S31" s="2" t="str">
        <f>IF(
      OR(Table1[[#This Row],[Job_Type]] = "high qualif/self emp/mgmt", Table1[[#This Row],[Job_Type]] = "skilled"),
      "Skilled", "Unskilled")</f>
        <v>Unskilled</v>
      </c>
      <c r="T31" t="str">
        <f>IF(Table1[[#This Row],[Job_Type]] = "unemp/unskilled non res", "Unemployed", "Employed")</f>
        <v>Employed</v>
      </c>
      <c r="U31" t="s">
        <v>49</v>
      </c>
      <c r="V31" s="14" t="str" cm="1">
        <f t="array" ref="V3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1" t="s">
        <v>103</v>
      </c>
      <c r="X31" s="2" t="str">
        <f>_xlfn.XLOOKUP(Table1[[#This Row],[Loan_Credit_History]],Table4[Credit History],Table4[[ Category]])</f>
        <v>Critical Credit History</v>
      </c>
      <c r="Y31" s="3">
        <v>1</v>
      </c>
      <c r="Z31" s="3">
        <v>2</v>
      </c>
      <c r="AA31" s="5">
        <v>3398</v>
      </c>
      <c r="AB31" t="s">
        <v>151</v>
      </c>
      <c r="AC31" s="2" t="str" cm="1">
        <f t="array" ref="AC31">_xlfn.IFS(Table1[[#This Row],[Others_Parties]] = "No", "None",
Table1[[#This Row],[Others_Parties]] = "co applicant", "Co-applicant",
Table1[[#This Row],[Others_Parties]] = "guarantor", "Guarantor")</f>
        <v>None</v>
      </c>
      <c r="AD31" s="13" t="s">
        <v>145</v>
      </c>
      <c r="AE31" s="2" t="s">
        <v>141</v>
      </c>
      <c r="AF31" s="28" t="str" cm="1">
        <f t="array" ref="AF3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31" s="21">
        <v>8</v>
      </c>
      <c r="AH31" s="2" t="s">
        <v>154</v>
      </c>
      <c r="AI31"/>
      <c r="AZ31"/>
      <c r="BC31"/>
      <c r="BE31"/>
      <c r="BL31"/>
      <c r="BZ31"/>
      <c r="CA31"/>
      <c r="CF31"/>
      <c r="CG31"/>
      <c r="CH31"/>
      <c r="CI31"/>
      <c r="CK31"/>
      <c r="CN31"/>
    </row>
    <row r="32" spans="1:92" x14ac:dyDescent="0.3">
      <c r="A32" s="4">
        <v>30</v>
      </c>
      <c r="B32" s="11">
        <v>26</v>
      </c>
      <c r="C32" s="2" t="str">
        <f>_xlfn.XLOOKUP(Table1[[#This Row],[Age]],Table7[Start_Age],Table7[Age_Range],,-1)</f>
        <v>19-29</v>
      </c>
      <c r="D32" t="s">
        <v>134</v>
      </c>
      <c r="E32" s="2" t="s">
        <v>129</v>
      </c>
      <c r="F32" s="2" t="s">
        <v>135</v>
      </c>
      <c r="G32" s="3">
        <v>1</v>
      </c>
      <c r="H32" s="13" t="s">
        <v>151</v>
      </c>
      <c r="I32" s="2" t="str" cm="1">
        <f t="array" ref="I32">_xlfn.IFS(Table1[[#This Row],[Job_Type]] = "unskilled resident", "Resident",
Table1[[#This Row],[Job_Type]] = "unemp/unskilled non res", "Non-resident",
TRUE, "Unknown")</f>
        <v>Resident</v>
      </c>
      <c r="J32" s="2" t="s">
        <v>148</v>
      </c>
      <c r="K32" s="3">
        <v>3</v>
      </c>
      <c r="L32" s="2" t="s">
        <v>144</v>
      </c>
      <c r="M32" s="13" t="s">
        <v>151</v>
      </c>
      <c r="N32" t="s">
        <v>30</v>
      </c>
      <c r="O32" s="2" t="str">
        <f>_xlfn.XLOOKUP(Table1[[#This Row],[Checking_Acct_Status]],Table3[Checking_Acct_Original],Table3[Category])</f>
        <v>Low Balance</v>
      </c>
      <c r="P32" s="10" t="s">
        <v>32</v>
      </c>
      <c r="Q32" s="13" t="str">
        <f>_xlfn.XLOOKUP(Table1[[#This Row],[Saving_Acct_Status]],Table5[Saving_Acct_Original],Table5[Category])</f>
        <v>Low Savings</v>
      </c>
      <c r="R32" t="s">
        <v>27</v>
      </c>
      <c r="S32" s="2" t="str">
        <f>IF(
      OR(Table1[[#This Row],[Job_Type]] = "high qualif/self emp/mgmt", Table1[[#This Row],[Job_Type]] = "skilled"),
      "Skilled", "Unskilled")</f>
        <v>Unskilled</v>
      </c>
      <c r="T32" t="str">
        <f>IF(Table1[[#This Row],[Job_Type]] = "unemp/unskilled non res", "Unemployed", "Employed")</f>
        <v>Employed</v>
      </c>
      <c r="U32" t="s">
        <v>45</v>
      </c>
      <c r="V32" s="14" t="str" cm="1">
        <f t="array" ref="V3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2" t="s">
        <v>31</v>
      </c>
      <c r="X32" s="2" t="str">
        <f>_xlfn.XLOOKUP(Table1[[#This Row],[Loan_Credit_History]],Table4[Credit History],Table4[[ Category]])</f>
        <v>Existing Credits Paid</v>
      </c>
      <c r="Y32" s="3">
        <v>3</v>
      </c>
      <c r="Z32" s="3">
        <v>1</v>
      </c>
      <c r="AA32" s="5">
        <v>590</v>
      </c>
      <c r="AB32" t="s">
        <v>151</v>
      </c>
      <c r="AC32" s="2" t="str" cm="1">
        <f t="array" ref="AC32">_xlfn.IFS(Table1[[#This Row],[Others_Parties]] = "No", "None",
Table1[[#This Row],[Others_Parties]] = "co applicant", "Co-applicant",
Table1[[#This Row],[Others_Parties]] = "guarantor", "Guarantor")</f>
        <v>None</v>
      </c>
      <c r="AD32" s="13" t="s">
        <v>145</v>
      </c>
      <c r="AE32" s="2" t="s">
        <v>111</v>
      </c>
      <c r="AF32" s="28" t="str" cm="1">
        <f t="array" ref="AF3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32" s="21">
        <v>6</v>
      </c>
      <c r="AH32" s="2" t="s">
        <v>154</v>
      </c>
      <c r="AI32"/>
      <c r="AZ32"/>
      <c r="BC32"/>
      <c r="BE32"/>
      <c r="BL32"/>
      <c r="BZ32"/>
      <c r="CA32"/>
      <c r="CF32"/>
      <c r="CG32"/>
      <c r="CH32"/>
      <c r="CI32"/>
      <c r="CK32"/>
      <c r="CN32"/>
    </row>
    <row r="33" spans="1:92" x14ac:dyDescent="0.3">
      <c r="A33" s="4">
        <v>31</v>
      </c>
      <c r="B33" s="11">
        <v>37</v>
      </c>
      <c r="C33" s="2" t="str">
        <f>_xlfn.XLOOKUP(Table1[[#This Row],[Age]],Table7[Start_Age],Table7[Age_Range],,-1)</f>
        <v>29-39</v>
      </c>
      <c r="D33" t="s">
        <v>136</v>
      </c>
      <c r="E33" s="2" t="s">
        <v>131</v>
      </c>
      <c r="F33" s="2" t="s">
        <v>137</v>
      </c>
      <c r="G33" s="3">
        <v>1</v>
      </c>
      <c r="H33" s="13" t="s">
        <v>151</v>
      </c>
      <c r="I33" s="2" t="str" cm="1">
        <f t="array" ref="I33">_xlfn.IFS(Table1[[#This Row],[Job_Type]] = "unskilled resident", "Resident",
Table1[[#This Row],[Job_Type]] = "unemp/unskilled non res", "Non-resident",
TRUE, "Unknown")</f>
        <v>Unknown</v>
      </c>
      <c r="J33" s="2" t="s">
        <v>148</v>
      </c>
      <c r="K33" s="3">
        <v>3</v>
      </c>
      <c r="L33" s="2" t="s">
        <v>143</v>
      </c>
      <c r="M33" s="13" t="s">
        <v>151</v>
      </c>
      <c r="N33" t="s">
        <v>35</v>
      </c>
      <c r="O33" s="2" t="str">
        <f>_xlfn.XLOOKUP(Table1[[#This Row],[Checking_Acct_Status]],Table3[Checking_Acct_Original],Table3[Category])</f>
        <v>Negative Balance</v>
      </c>
      <c r="P33" s="10" t="s">
        <v>32</v>
      </c>
      <c r="Q33" s="13" t="str">
        <f>_xlfn.XLOOKUP(Table1[[#This Row],[Saving_Acct_Status]],Table5[Saving_Acct_Original],Table5[Category])</f>
        <v>Low Savings</v>
      </c>
      <c r="R33" t="s">
        <v>41</v>
      </c>
      <c r="S33" s="2" t="str">
        <f>IF(
      OR(Table1[[#This Row],[Job_Type]] = "high qualif/self emp/mgmt", Table1[[#This Row],[Job_Type]] = "skilled"),
      "Skilled", "Unskilled")</f>
        <v>Skilled</v>
      </c>
      <c r="T33" t="str">
        <f>IF(Table1[[#This Row],[Job_Type]] = "unemp/unskilled non res", "Unemployed", "Employed")</f>
        <v>Employed</v>
      </c>
      <c r="U33" t="s">
        <v>49</v>
      </c>
      <c r="V33" s="14" t="str" cm="1">
        <f t="array" ref="V3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3" t="s">
        <v>103</v>
      </c>
      <c r="X33" s="2" t="str">
        <f>_xlfn.XLOOKUP(Table1[[#This Row],[Loan_Credit_History]],Table4[Credit History],Table4[[ Category]])</f>
        <v>Critical Credit History</v>
      </c>
      <c r="Y33" s="3">
        <v>4</v>
      </c>
      <c r="Z33" s="3">
        <v>2</v>
      </c>
      <c r="AA33" s="5">
        <v>609</v>
      </c>
      <c r="AB33" t="s">
        <v>151</v>
      </c>
      <c r="AC33" s="2" t="str" cm="1">
        <f t="array" ref="AC33">_xlfn.IFS(Table1[[#This Row],[Others_Parties]] = "No", "None",
Table1[[#This Row],[Others_Parties]] = "co applicant", "Co-applicant",
Table1[[#This Row],[Others_Parties]] = "guarantor", "Guarantor")</f>
        <v>None</v>
      </c>
      <c r="AD33" s="13" t="s">
        <v>145</v>
      </c>
      <c r="AE33" s="2" t="s">
        <v>141</v>
      </c>
      <c r="AF33" s="28" t="str" cm="1">
        <f t="array" ref="AF3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33" s="21">
        <v>6</v>
      </c>
      <c r="AH33" s="2" t="s">
        <v>154</v>
      </c>
      <c r="AI33"/>
      <c r="AZ33"/>
      <c r="BC33"/>
      <c r="BE33"/>
      <c r="BL33"/>
      <c r="BZ33"/>
      <c r="CA33"/>
      <c r="CF33"/>
      <c r="CG33"/>
      <c r="CH33"/>
      <c r="CI33"/>
      <c r="CK33"/>
      <c r="CN33"/>
    </row>
    <row r="34" spans="1:92" x14ac:dyDescent="0.3">
      <c r="A34" s="4">
        <v>32</v>
      </c>
      <c r="B34" s="11">
        <v>27</v>
      </c>
      <c r="C34" s="2" t="str">
        <f>_xlfn.XLOOKUP(Table1[[#This Row],[Age]],Table7[Start_Age],Table7[Age_Range],,-1)</f>
        <v>19-29</v>
      </c>
      <c r="D34" t="s">
        <v>134</v>
      </c>
      <c r="E34" s="2" t="s">
        <v>129</v>
      </c>
      <c r="F34" s="2" t="s">
        <v>135</v>
      </c>
      <c r="G34" s="3">
        <v>1</v>
      </c>
      <c r="H34" s="13" t="s">
        <v>151</v>
      </c>
      <c r="I34" s="2" t="str" cm="1">
        <f t="array" ref="I34">_xlfn.IFS(Table1[[#This Row],[Job_Type]] = "unskilled resident", "Resident",
Table1[[#This Row],[Job_Type]] = "unemp/unskilled non res", "Non-resident",
TRUE, "Unknown")</f>
        <v>Non-resident</v>
      </c>
      <c r="J34" s="2" t="s">
        <v>148</v>
      </c>
      <c r="K34" s="3">
        <v>2</v>
      </c>
      <c r="L34" s="2" t="s">
        <v>144</v>
      </c>
      <c r="M34" s="13" t="s">
        <v>151</v>
      </c>
      <c r="N34" t="s">
        <v>50</v>
      </c>
      <c r="O34" s="2" t="str">
        <f>_xlfn.XLOOKUP(Table1[[#This Row],[Checking_Acct_Status]],Table3[Checking_Acct_Original],Table3[Category])</f>
        <v>High Balance</v>
      </c>
      <c r="P34" s="10" t="s">
        <v>20</v>
      </c>
      <c r="Q34" s="13" t="str">
        <f>_xlfn.XLOOKUP(Table1[[#This Row],[Saving_Acct_Status]],Table5[Saving_Acct_Original],Table5[Category])</f>
        <v>Very High Savings</v>
      </c>
      <c r="R34" t="s">
        <v>62</v>
      </c>
      <c r="S34" s="2" t="str">
        <f>IF(
      OR(Table1[[#This Row],[Job_Type]] = "high qualif/self emp/mgmt", Table1[[#This Row],[Job_Type]] = "skilled"),
      "Skilled", "Unskilled")</f>
        <v>Unskilled</v>
      </c>
      <c r="T34" t="str">
        <f>IF(Table1[[#This Row],[Job_Type]] = "unemp/unskilled non res", "Unemployed", "Employed")</f>
        <v>Unemployed</v>
      </c>
      <c r="U34" t="s">
        <v>45</v>
      </c>
      <c r="V34" s="14" t="str" cm="1">
        <f t="array" ref="V3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4" t="s">
        <v>31</v>
      </c>
      <c r="X34" s="2" t="str">
        <f>_xlfn.XLOOKUP(Table1[[#This Row],[Loan_Credit_History]],Table4[Credit History],Table4[[ Category]])</f>
        <v>Existing Credits Paid</v>
      </c>
      <c r="Y34" s="3">
        <v>2</v>
      </c>
      <c r="Z34" s="3">
        <v>1</v>
      </c>
      <c r="AA34" s="5">
        <v>709</v>
      </c>
      <c r="AB34" t="s">
        <v>151</v>
      </c>
      <c r="AC34" s="2" t="str" cm="1">
        <f t="array" ref="AC34">_xlfn.IFS(Table1[[#This Row],[Others_Parties]] = "No", "None",
Table1[[#This Row],[Others_Parties]] = "co applicant", "Co-applicant",
Table1[[#This Row],[Others_Parties]] = "guarantor", "Guarantor")</f>
        <v>None</v>
      </c>
      <c r="AD34" s="13" t="s">
        <v>145</v>
      </c>
      <c r="AE34" s="2" t="s">
        <v>141</v>
      </c>
      <c r="AF34" s="28" t="str" cm="1">
        <f t="array" ref="AF3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34" s="21">
        <v>6</v>
      </c>
      <c r="AH34" s="2" t="s">
        <v>154</v>
      </c>
      <c r="AI34"/>
      <c r="AZ34"/>
      <c r="BC34"/>
      <c r="BE34"/>
      <c r="BL34"/>
      <c r="BZ34"/>
      <c r="CA34"/>
      <c r="CF34"/>
      <c r="CG34"/>
      <c r="CH34"/>
      <c r="CI34"/>
      <c r="CK34"/>
      <c r="CN34"/>
    </row>
    <row r="35" spans="1:92" x14ac:dyDescent="0.3">
      <c r="A35" s="4">
        <v>33</v>
      </c>
      <c r="B35" s="11">
        <v>35</v>
      </c>
      <c r="C35" s="2" t="str">
        <f>_xlfn.XLOOKUP(Table1[[#This Row],[Age]],Table7[Start_Age],Table7[Age_Range],,-1)</f>
        <v>29-39</v>
      </c>
      <c r="D35" t="s">
        <v>130</v>
      </c>
      <c r="E35" s="2" t="s">
        <v>129</v>
      </c>
      <c r="F35" s="2" t="s">
        <v>133</v>
      </c>
      <c r="G35" s="3">
        <v>1</v>
      </c>
      <c r="H35" s="13" t="s">
        <v>151</v>
      </c>
      <c r="I35" s="2" t="str" cm="1">
        <f t="array" ref="I35">_xlfn.IFS(Table1[[#This Row],[Job_Type]] = "unskilled resident", "Resident",
Table1[[#This Row],[Job_Type]] = "unemp/unskilled non res", "Non-resident",
TRUE, "Unknown")</f>
        <v>Unknown</v>
      </c>
      <c r="J35" s="2" t="s">
        <v>149</v>
      </c>
      <c r="K35" s="3">
        <v>1</v>
      </c>
      <c r="L35" s="2" t="s">
        <v>142</v>
      </c>
      <c r="M35" s="13" t="s">
        <v>151</v>
      </c>
      <c r="N35" t="s">
        <v>17</v>
      </c>
      <c r="O35" s="2" t="str">
        <f>_xlfn.XLOOKUP(Table1[[#This Row],[Checking_Acct_Status]],Table3[Checking_Acct_Original],Table3[Category])</f>
        <v>No Account</v>
      </c>
      <c r="P35" s="10" t="s">
        <v>46</v>
      </c>
      <c r="Q35" s="13" t="str">
        <f>_xlfn.XLOOKUP(Table1[[#This Row],[Saving_Acct_Status]],Table5[Saving_Acct_Original],Table5[Category])</f>
        <v>Medium Savings</v>
      </c>
      <c r="R35" t="s">
        <v>41</v>
      </c>
      <c r="S35" s="2" t="str">
        <f>IF(
      OR(Table1[[#This Row],[Job_Type]] = "high qualif/self emp/mgmt", Table1[[#This Row],[Job_Type]] = "skilled"),
      "Skilled", "Unskilled")</f>
        <v>Skilled</v>
      </c>
      <c r="T35" t="str">
        <f>IF(Table1[[#This Row],[Job_Type]] = "unemp/unskilled non res", "Unemployed", "Employed")</f>
        <v>Employed</v>
      </c>
      <c r="U35" t="s">
        <v>21</v>
      </c>
      <c r="V35" s="14" t="str" cm="1">
        <f t="array" ref="V3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5" t="s">
        <v>52</v>
      </c>
      <c r="X35" s="2" t="str">
        <f>_xlfn.XLOOKUP(Table1[[#This Row],[Loan_Credit_History]],Table4[Credit History],Table4[[ Category]])</f>
        <v>No Credit History</v>
      </c>
      <c r="Y35" s="3">
        <v>4</v>
      </c>
      <c r="Z35" s="3">
        <v>1</v>
      </c>
      <c r="AA35" s="5">
        <v>1204</v>
      </c>
      <c r="AB35" t="s">
        <v>151</v>
      </c>
      <c r="AC35" s="2" t="str" cm="1">
        <f t="array" ref="AC35">_xlfn.IFS(Table1[[#This Row],[Others_Parties]] = "No", "None",
Table1[[#This Row],[Others_Parties]] = "co applicant", "Co-applicant",
Table1[[#This Row],[Others_Parties]] = "guarantor", "Guarantor")</f>
        <v>None</v>
      </c>
      <c r="AD35" s="13" t="s">
        <v>146</v>
      </c>
      <c r="AE35" s="2" t="s">
        <v>141</v>
      </c>
      <c r="AF35" s="28" t="str" cm="1">
        <f t="array" ref="AF3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35" s="21">
        <v>6</v>
      </c>
      <c r="AH35" s="2" t="s">
        <v>154</v>
      </c>
      <c r="AI35"/>
      <c r="AZ35"/>
      <c r="BC35"/>
      <c r="BE35"/>
      <c r="BL35"/>
      <c r="BZ35"/>
      <c r="CA35"/>
      <c r="CF35"/>
      <c r="CG35"/>
      <c r="CH35"/>
      <c r="CI35"/>
      <c r="CK35"/>
      <c r="CN35"/>
    </row>
    <row r="36" spans="1:92" x14ac:dyDescent="0.3">
      <c r="A36" s="4">
        <v>34</v>
      </c>
      <c r="B36" s="11">
        <v>74</v>
      </c>
      <c r="C36" s="2" t="str">
        <f>_xlfn.XLOOKUP(Table1[[#This Row],[Age]],Table7[Start_Age],Table7[Age_Range],,-1)</f>
        <v>69-76</v>
      </c>
      <c r="D36" t="s">
        <v>130</v>
      </c>
      <c r="E36" s="2" t="s">
        <v>129</v>
      </c>
      <c r="F36" s="2" t="s">
        <v>133</v>
      </c>
      <c r="G36" s="3">
        <v>2</v>
      </c>
      <c r="H36" s="13" t="s">
        <v>151</v>
      </c>
      <c r="I36" s="2" t="str" cm="1">
        <f t="array" ref="I36">_xlfn.IFS(Table1[[#This Row],[Job_Type]] = "unskilled resident", "Resident",
Table1[[#This Row],[Job_Type]] = "unemp/unskilled non res", "Non-resident",
TRUE, "Unknown")</f>
        <v>Non-resident</v>
      </c>
      <c r="J36" s="2" t="s">
        <v>148</v>
      </c>
      <c r="K36" s="3">
        <v>1</v>
      </c>
      <c r="L36" s="2" t="s">
        <v>144</v>
      </c>
      <c r="M36" s="13" t="s">
        <v>151</v>
      </c>
      <c r="N36" t="s">
        <v>50</v>
      </c>
      <c r="O36" s="2" t="str">
        <f>_xlfn.XLOOKUP(Table1[[#This Row],[Checking_Acct_Status]],Table3[Checking_Acct_Original],Table3[Category])</f>
        <v>High Balance</v>
      </c>
      <c r="P36" s="10" t="s">
        <v>32</v>
      </c>
      <c r="Q36" s="13" t="str">
        <f>_xlfn.XLOOKUP(Table1[[#This Row],[Saving_Acct_Status]],Table5[Saving_Acct_Original],Table5[Category])</f>
        <v>Low Savings</v>
      </c>
      <c r="R36" t="s">
        <v>62</v>
      </c>
      <c r="S36" s="2" t="str">
        <f>IF(
      OR(Table1[[#This Row],[Job_Type]] = "high qualif/self emp/mgmt", Table1[[#This Row],[Job_Type]] = "skilled"),
      "Skilled", "Unskilled")</f>
        <v>Unskilled</v>
      </c>
      <c r="T36" t="str">
        <f>IF(Table1[[#This Row],[Job_Type]] = "unemp/unskilled non res", "Unemployed", "Employed")</f>
        <v>Unemployed</v>
      </c>
      <c r="U36" t="s">
        <v>21</v>
      </c>
      <c r="V36" s="14" t="str" cm="1">
        <f t="array" ref="V3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6" t="s">
        <v>103</v>
      </c>
      <c r="X36" s="2" t="str">
        <f>_xlfn.XLOOKUP(Table1[[#This Row],[Loan_Credit_History]],Table4[Credit History],Table4[[ Category]])</f>
        <v>Critical Credit History</v>
      </c>
      <c r="Y36" s="3">
        <v>1</v>
      </c>
      <c r="Z36" s="3">
        <v>3</v>
      </c>
      <c r="AA36" s="5">
        <v>1299</v>
      </c>
      <c r="AB36" t="s">
        <v>151</v>
      </c>
      <c r="AC36" s="2" t="str" cm="1">
        <f t="array" ref="AC36">_xlfn.IFS(Table1[[#This Row],[Others_Parties]] = "No", "None",
Table1[[#This Row],[Others_Parties]] = "co applicant", "Co-applicant",
Table1[[#This Row],[Others_Parties]] = "guarantor", "Guarantor")</f>
        <v>None</v>
      </c>
      <c r="AD36" s="13" t="s">
        <v>145</v>
      </c>
      <c r="AE36" s="2" t="s">
        <v>141</v>
      </c>
      <c r="AF36" s="28" t="str" cm="1">
        <f t="array" ref="AF3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36" s="21">
        <v>6</v>
      </c>
      <c r="AH36" s="2" t="s">
        <v>154</v>
      </c>
      <c r="AI36"/>
      <c r="AZ36"/>
      <c r="BC36"/>
      <c r="BE36"/>
      <c r="BL36"/>
      <c r="BZ36"/>
      <c r="CA36"/>
      <c r="CF36"/>
      <c r="CG36"/>
      <c r="CH36"/>
      <c r="CI36"/>
      <c r="CK36"/>
      <c r="CN36"/>
    </row>
    <row r="37" spans="1:92" x14ac:dyDescent="0.3">
      <c r="A37" s="4">
        <v>35</v>
      </c>
      <c r="B37" s="11">
        <v>46</v>
      </c>
      <c r="C37" s="2" t="str">
        <f>_xlfn.XLOOKUP(Table1[[#This Row],[Age]],Table7[Start_Age],Table7[Age_Range],,-1)</f>
        <v>39-49</v>
      </c>
      <c r="D37" t="s">
        <v>130</v>
      </c>
      <c r="E37" s="2" t="s">
        <v>129</v>
      </c>
      <c r="F37" s="2" t="s">
        <v>133</v>
      </c>
      <c r="G37" s="3">
        <v>2</v>
      </c>
      <c r="H37" s="13" t="s">
        <v>151</v>
      </c>
      <c r="I37" s="2" t="str" cm="1">
        <f t="array" ref="I37">_xlfn.IFS(Table1[[#This Row],[Job_Type]] = "unskilled resident", "Resident",
Table1[[#This Row],[Job_Type]] = "unemp/unskilled non res", "Non-resident",
TRUE, "Unknown")</f>
        <v>Unknown</v>
      </c>
      <c r="J37" s="2" t="s">
        <v>148</v>
      </c>
      <c r="K37" s="3">
        <v>4</v>
      </c>
      <c r="L37" s="2" t="s">
        <v>144</v>
      </c>
      <c r="M37" s="13" t="s">
        <v>151</v>
      </c>
      <c r="N37" t="s">
        <v>50</v>
      </c>
      <c r="O37" s="2" t="str">
        <f>_xlfn.XLOOKUP(Table1[[#This Row],[Checking_Acct_Status]],Table3[Checking_Acct_Original],Table3[Category])</f>
        <v>High Balance</v>
      </c>
      <c r="P37" s="10" t="s">
        <v>32</v>
      </c>
      <c r="Q37" s="13" t="str">
        <f>_xlfn.XLOOKUP(Table1[[#This Row],[Saving_Acct_Status]],Table5[Saving_Acct_Original],Table5[Category])</f>
        <v>Low Savings</v>
      </c>
      <c r="R37" t="s">
        <v>41</v>
      </c>
      <c r="S37" s="2" t="str">
        <f>IF(
      OR(Table1[[#This Row],[Job_Type]] = "high qualif/self emp/mgmt", Table1[[#This Row],[Job_Type]] = "skilled"),
      "Skilled", "Unskilled")</f>
        <v>Skilled</v>
      </c>
      <c r="T37" t="str">
        <f>IF(Table1[[#This Row],[Job_Type]] = "unemp/unskilled non res", "Unemployed", "Employed")</f>
        <v>Employed</v>
      </c>
      <c r="U37" t="s">
        <v>38</v>
      </c>
      <c r="V37" s="14" t="str" cm="1">
        <f t="array" ref="V3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7" t="s">
        <v>103</v>
      </c>
      <c r="X37" s="2" t="str">
        <f>_xlfn.XLOOKUP(Table1[[#This Row],[Loan_Credit_History]],Table4[Credit History],Table4[[ Category]])</f>
        <v>Critical Credit History</v>
      </c>
      <c r="Y37" s="3">
        <v>1</v>
      </c>
      <c r="Z37" s="3">
        <v>2</v>
      </c>
      <c r="AA37" s="5">
        <v>1343</v>
      </c>
      <c r="AB37" t="s">
        <v>151</v>
      </c>
      <c r="AC37" s="2" t="str" cm="1">
        <f t="array" ref="AC37">_xlfn.IFS(Table1[[#This Row],[Others_Parties]] = "No", "None",
Table1[[#This Row],[Others_Parties]] = "co applicant", "Co-applicant",
Table1[[#This Row],[Others_Parties]] = "guarantor", "Guarantor")</f>
        <v>None</v>
      </c>
      <c r="AD37" s="13" t="s">
        <v>145</v>
      </c>
      <c r="AE37" s="2" t="s">
        <v>141</v>
      </c>
      <c r="AF37" s="28" t="str" cm="1">
        <f t="array" ref="AF3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37" s="21">
        <v>6</v>
      </c>
      <c r="AH37" s="2" t="s">
        <v>154</v>
      </c>
      <c r="AI37"/>
      <c r="AZ37"/>
      <c r="BC37"/>
      <c r="BE37"/>
      <c r="BL37"/>
      <c r="BZ37"/>
      <c r="CA37"/>
      <c r="CF37"/>
      <c r="CG37"/>
      <c r="CH37"/>
      <c r="CI37"/>
      <c r="CK37"/>
      <c r="CN37"/>
    </row>
    <row r="38" spans="1:92" x14ac:dyDescent="0.3">
      <c r="A38" s="4">
        <v>36</v>
      </c>
      <c r="B38" s="11">
        <v>40</v>
      </c>
      <c r="C38" s="2" t="str">
        <f>_xlfn.XLOOKUP(Table1[[#This Row],[Age]],Table7[Start_Age],Table7[Age_Range],,-1)</f>
        <v>39-49</v>
      </c>
      <c r="D38" t="s">
        <v>130</v>
      </c>
      <c r="E38" s="2" t="s">
        <v>129</v>
      </c>
      <c r="F38" s="2" t="s">
        <v>133</v>
      </c>
      <c r="G38" s="3">
        <v>2</v>
      </c>
      <c r="H38" s="13" t="s">
        <v>151</v>
      </c>
      <c r="I38" s="2" t="str" cm="1">
        <f t="array" ref="I38">_xlfn.IFS(Table1[[#This Row],[Job_Type]] = "unskilled resident", "Resident",
Table1[[#This Row],[Job_Type]] = "unemp/unskilled non res", "Non-resident",
TRUE, "Unknown")</f>
        <v>Resident</v>
      </c>
      <c r="J38" s="2" t="s">
        <v>148</v>
      </c>
      <c r="K38" s="3">
        <v>4</v>
      </c>
      <c r="L38" s="2" t="s">
        <v>144</v>
      </c>
      <c r="M38" s="13" t="s">
        <v>151</v>
      </c>
      <c r="N38" t="s">
        <v>35</v>
      </c>
      <c r="O38" s="2" t="str">
        <f>_xlfn.XLOOKUP(Table1[[#This Row],[Checking_Acct_Status]],Table3[Checking_Acct_Original],Table3[Category])</f>
        <v>Negative Balance</v>
      </c>
      <c r="P38" s="10" t="s">
        <v>32</v>
      </c>
      <c r="Q38" s="13" t="str">
        <f>_xlfn.XLOOKUP(Table1[[#This Row],[Saving_Acct_Status]],Table5[Saving_Acct_Original],Table5[Category])</f>
        <v>Low Savings</v>
      </c>
      <c r="R38" t="s">
        <v>27</v>
      </c>
      <c r="S38" s="2" t="str">
        <f>IF(
      OR(Table1[[#This Row],[Job_Type]] = "high qualif/self emp/mgmt", Table1[[#This Row],[Job_Type]] = "skilled"),
      "Skilled", "Unskilled")</f>
        <v>Unskilled</v>
      </c>
      <c r="T38" t="str">
        <f>IF(Table1[[#This Row],[Job_Type]] = "unemp/unskilled non res", "Unemployed", "Employed")</f>
        <v>Employed</v>
      </c>
      <c r="U38" t="s">
        <v>45</v>
      </c>
      <c r="V38" s="14" t="str" cm="1">
        <f t="array" ref="V3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8" t="s">
        <v>103</v>
      </c>
      <c r="X38" s="2" t="str">
        <f>_xlfn.XLOOKUP(Table1[[#This Row],[Loan_Credit_History]],Table4[Credit History],Table4[[ Category]])</f>
        <v>Critical Credit History</v>
      </c>
      <c r="Y38" s="3">
        <v>2</v>
      </c>
      <c r="Z38" s="3">
        <v>1</v>
      </c>
      <c r="AA38" s="5">
        <v>1361</v>
      </c>
      <c r="AB38" t="s">
        <v>151</v>
      </c>
      <c r="AC38" s="2" t="str" cm="1">
        <f t="array" ref="AC38">_xlfn.IFS(Table1[[#This Row],[Others_Parties]] = "No", "None",
Table1[[#This Row],[Others_Parties]] = "co applicant", "Co-applicant",
Table1[[#This Row],[Others_Parties]] = "guarantor", "Guarantor")</f>
        <v>None</v>
      </c>
      <c r="AD38" s="13" t="s">
        <v>145</v>
      </c>
      <c r="AE38" s="2" t="s">
        <v>141</v>
      </c>
      <c r="AF38" s="28" t="str" cm="1">
        <f t="array" ref="AF3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38" s="21">
        <v>6</v>
      </c>
      <c r="AH38" s="2" t="s">
        <v>154</v>
      </c>
      <c r="AI38"/>
      <c r="AZ38"/>
      <c r="BC38"/>
      <c r="BE38"/>
      <c r="BL38"/>
      <c r="BZ38"/>
      <c r="CA38"/>
      <c r="CF38"/>
      <c r="CG38"/>
      <c r="CH38"/>
      <c r="CI38"/>
      <c r="CK38"/>
      <c r="CN38"/>
    </row>
    <row r="39" spans="1:92" x14ac:dyDescent="0.3">
      <c r="A39" s="4">
        <v>37</v>
      </c>
      <c r="B39" s="11">
        <v>29</v>
      </c>
      <c r="C39" s="2" t="str">
        <f>_xlfn.XLOOKUP(Table1[[#This Row],[Age]],Table7[Start_Age],Table7[Age_Range],,-1)</f>
        <v>29-39</v>
      </c>
      <c r="D39" t="s">
        <v>130</v>
      </c>
      <c r="E39" s="2" t="s">
        <v>129</v>
      </c>
      <c r="F39" s="2" t="s">
        <v>133</v>
      </c>
      <c r="G39" s="3">
        <v>2</v>
      </c>
      <c r="H39" s="13" t="s">
        <v>151</v>
      </c>
      <c r="I39" s="2" t="str" cm="1">
        <f t="array" ref="I39">_xlfn.IFS(Table1[[#This Row],[Job_Type]] = "unskilled resident", "Resident",
Table1[[#This Row],[Job_Type]] = "unemp/unskilled non res", "Non-resident",
TRUE, "Unknown")</f>
        <v>Resident</v>
      </c>
      <c r="J39" s="2" t="s">
        <v>148</v>
      </c>
      <c r="K39" s="3">
        <v>2</v>
      </c>
      <c r="L39" s="2" t="s">
        <v>144</v>
      </c>
      <c r="M39" s="13" t="s">
        <v>151</v>
      </c>
      <c r="N39" t="s">
        <v>50</v>
      </c>
      <c r="O39" s="2" t="str">
        <f>_xlfn.XLOOKUP(Table1[[#This Row],[Checking_Acct_Status]],Table3[Checking_Acct_Original],Table3[Category])</f>
        <v>High Balance</v>
      </c>
      <c r="P39" s="10" t="s">
        <v>47</v>
      </c>
      <c r="Q39" s="13" t="str">
        <f>_xlfn.XLOOKUP(Table1[[#This Row],[Saving_Acct_Status]],Table5[Saving_Acct_Original],Table5[Category])</f>
        <v>No Savings</v>
      </c>
      <c r="R39" t="s">
        <v>27</v>
      </c>
      <c r="S39" s="2" t="str">
        <f>IF(
      OR(Table1[[#This Row],[Job_Type]] = "high qualif/self emp/mgmt", Table1[[#This Row],[Job_Type]] = "skilled"),
      "Skilled", "Unskilled")</f>
        <v>Unskilled</v>
      </c>
      <c r="T39" t="str">
        <f>IF(Table1[[#This Row],[Job_Type]] = "unemp/unskilled non res", "Unemployed", "Employed")</f>
        <v>Employed</v>
      </c>
      <c r="U39" t="s">
        <v>45</v>
      </c>
      <c r="V39" s="14" t="str" cm="1">
        <f t="array" ref="V3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9" t="s">
        <v>31</v>
      </c>
      <c r="X39" s="2" t="str">
        <f>_xlfn.XLOOKUP(Table1[[#This Row],[Loan_Credit_History]],Table4[Credit History],Table4[[ Category]])</f>
        <v>Existing Credits Paid</v>
      </c>
      <c r="Y39" s="3">
        <v>1</v>
      </c>
      <c r="Z39" s="3">
        <v>1</v>
      </c>
      <c r="AA39" s="5">
        <v>1494</v>
      </c>
      <c r="AB39" t="s">
        <v>151</v>
      </c>
      <c r="AC39" s="2" t="str" cm="1">
        <f t="array" ref="AC39">_xlfn.IFS(Table1[[#This Row],[Others_Parties]] = "No", "None",
Table1[[#This Row],[Others_Parties]] = "co applicant", "Co-applicant",
Table1[[#This Row],[Others_Parties]] = "guarantor", "Guarantor")</f>
        <v>None</v>
      </c>
      <c r="AD39" s="13" t="s">
        <v>145</v>
      </c>
      <c r="AE39" s="2" t="s">
        <v>141</v>
      </c>
      <c r="AF39" s="28" t="str" cm="1">
        <f t="array" ref="AF3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39" s="21">
        <v>4</v>
      </c>
      <c r="AH39" s="2" t="s">
        <v>154</v>
      </c>
      <c r="AI39"/>
      <c r="AZ39"/>
      <c r="BC39"/>
      <c r="BE39"/>
      <c r="BL39"/>
      <c r="BZ39"/>
      <c r="CA39"/>
      <c r="CF39"/>
      <c r="CG39"/>
      <c r="CH39"/>
      <c r="CI39"/>
      <c r="CK39"/>
      <c r="CN39"/>
    </row>
    <row r="40" spans="1:92" x14ac:dyDescent="0.3">
      <c r="A40" s="4">
        <v>38</v>
      </c>
      <c r="B40" s="11">
        <v>24</v>
      </c>
      <c r="C40" s="2" t="str">
        <f>_xlfn.XLOOKUP(Table1[[#This Row],[Age]],Table7[Start_Age],Table7[Age_Range],,-1)</f>
        <v>19-29</v>
      </c>
      <c r="D40" t="s">
        <v>134</v>
      </c>
      <c r="E40" s="2" t="s">
        <v>129</v>
      </c>
      <c r="F40" s="2" t="s">
        <v>135</v>
      </c>
      <c r="G40" s="3">
        <v>1</v>
      </c>
      <c r="H40" s="13" t="s">
        <v>152</v>
      </c>
      <c r="I40" s="2" t="str" cm="1">
        <f t="array" ref="I40">_xlfn.IFS(Table1[[#This Row],[Job_Type]] = "unskilled resident", "Resident",
Table1[[#This Row],[Job_Type]] = "unemp/unskilled non res", "Non-resident",
TRUE, "Unknown")</f>
        <v>Unknown</v>
      </c>
      <c r="J40" s="2" t="s">
        <v>148</v>
      </c>
      <c r="K40" s="3">
        <v>2</v>
      </c>
      <c r="L40" s="2" t="s">
        <v>140</v>
      </c>
      <c r="M40" s="13" t="s">
        <v>151</v>
      </c>
      <c r="N40" t="s">
        <v>30</v>
      </c>
      <c r="O40" s="2" t="str">
        <f>_xlfn.XLOOKUP(Table1[[#This Row],[Checking_Acct_Status]],Table3[Checking_Acct_Original],Table3[Category])</f>
        <v>Low Balance</v>
      </c>
      <c r="P40" s="10" t="s">
        <v>46</v>
      </c>
      <c r="Q40" s="13" t="str">
        <f>_xlfn.XLOOKUP(Table1[[#This Row],[Saving_Acct_Status]],Table5[Saving_Acct_Original],Table5[Category])</f>
        <v>Medium Savings</v>
      </c>
      <c r="R40" t="s">
        <v>41</v>
      </c>
      <c r="S40" s="2" t="str">
        <f>IF(
      OR(Table1[[#This Row],[Job_Type]] = "high qualif/self emp/mgmt", Table1[[#This Row],[Job_Type]] = "skilled"),
      "Skilled", "Unskilled")</f>
        <v>Skilled</v>
      </c>
      <c r="T40" t="str">
        <f>IF(Table1[[#This Row],[Job_Type]] = "unemp/unskilled non res", "Unemployed", "Employed")</f>
        <v>Employed</v>
      </c>
      <c r="U40" t="s">
        <v>21</v>
      </c>
      <c r="V40" s="14" t="str" cm="1">
        <f t="array" ref="V4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0" t="s">
        <v>31</v>
      </c>
      <c r="X40" s="2" t="str">
        <f>_xlfn.XLOOKUP(Table1[[#This Row],[Loan_Credit_History]],Table4[Credit History],Table4[[ Category]])</f>
        <v>Existing Credits Paid</v>
      </c>
      <c r="Y40" s="3">
        <v>2</v>
      </c>
      <c r="Z40" s="3">
        <v>1</v>
      </c>
      <c r="AA40" s="5">
        <v>5595</v>
      </c>
      <c r="AB40" t="s">
        <v>151</v>
      </c>
      <c r="AC40" s="2" t="str" cm="1">
        <f t="array" ref="AC40">_xlfn.IFS(Table1[[#This Row],[Others_Parties]] = "No", "None",
Table1[[#This Row],[Others_Parties]] = "co applicant", "Co-applicant",
Table1[[#This Row],[Others_Parties]] = "guarantor", "Guarantor")</f>
        <v>None</v>
      </c>
      <c r="AD40" s="13" t="s">
        <v>145</v>
      </c>
      <c r="AE40" s="2" t="s">
        <v>111</v>
      </c>
      <c r="AF40" s="28" t="str" cm="1">
        <f t="array" ref="AF4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40" s="21">
        <v>72</v>
      </c>
      <c r="AH40" s="2" t="s">
        <v>153</v>
      </c>
      <c r="AI40"/>
      <c r="AZ40"/>
      <c r="BC40"/>
      <c r="BE40"/>
      <c r="BL40"/>
      <c r="BZ40"/>
      <c r="CA40"/>
      <c r="CF40"/>
      <c r="CG40"/>
      <c r="CH40"/>
      <c r="CI40"/>
      <c r="CK40"/>
      <c r="CN40"/>
    </row>
    <row r="41" spans="1:92" x14ac:dyDescent="0.3">
      <c r="A41" s="4">
        <v>39</v>
      </c>
      <c r="B41" s="11">
        <v>42</v>
      </c>
      <c r="C41" s="2" t="str">
        <f>_xlfn.XLOOKUP(Table1[[#This Row],[Age]],Table7[Start_Age],Table7[Age_Range],,-1)</f>
        <v>39-49</v>
      </c>
      <c r="D41" t="s">
        <v>130</v>
      </c>
      <c r="E41" s="2" t="s">
        <v>129</v>
      </c>
      <c r="F41" s="2" t="s">
        <v>133</v>
      </c>
      <c r="G41" s="3">
        <v>1</v>
      </c>
      <c r="H41" s="13" t="s">
        <v>152</v>
      </c>
      <c r="I41" s="2" t="str" cm="1">
        <f t="array" ref="I41">_xlfn.IFS(Table1[[#This Row],[Job_Type]] = "unskilled resident", "Resident",
Table1[[#This Row],[Job_Type]] = "unemp/unskilled non res", "Non-resident",
TRUE, "Unknown")</f>
        <v>Unknown</v>
      </c>
      <c r="J41" s="2" t="s">
        <v>150</v>
      </c>
      <c r="K41" s="3">
        <v>4</v>
      </c>
      <c r="L41" s="2" t="s">
        <v>142</v>
      </c>
      <c r="M41" s="13" t="s">
        <v>151</v>
      </c>
      <c r="N41" t="s">
        <v>30</v>
      </c>
      <c r="O41" s="2" t="str">
        <f>_xlfn.XLOOKUP(Table1[[#This Row],[Checking_Acct_Status]],Table3[Checking_Acct_Original],Table3[Category])</f>
        <v>Low Balance</v>
      </c>
      <c r="P41" s="10" t="s">
        <v>32</v>
      </c>
      <c r="Q41" s="13" t="str">
        <f>_xlfn.XLOOKUP(Table1[[#This Row],[Saving_Acct_Status]],Table5[Saving_Acct_Original],Table5[Category])</f>
        <v>Low Savings</v>
      </c>
      <c r="R41" t="s">
        <v>41</v>
      </c>
      <c r="S41" s="2" t="str">
        <f>IF(
      OR(Table1[[#This Row],[Job_Type]] = "high qualif/self emp/mgmt", Table1[[#This Row],[Job_Type]] = "skilled"),
      "Skilled", "Unskilled")</f>
        <v>Skilled</v>
      </c>
      <c r="T41" t="str">
        <f>IF(Table1[[#This Row],[Job_Type]] = "unemp/unskilled non res", "Unemployed", "Employed")</f>
        <v>Employed</v>
      </c>
      <c r="U41" t="s">
        <v>21</v>
      </c>
      <c r="V41" s="14" t="str" cm="1">
        <f t="array" ref="V4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1" t="s">
        <v>31</v>
      </c>
      <c r="X41" s="2" t="str">
        <f>_xlfn.XLOOKUP(Table1[[#This Row],[Loan_Credit_History]],Table4[Credit History],Table4[[ Category]])</f>
        <v>Existing Credits Paid</v>
      </c>
      <c r="Y41" s="3">
        <v>4</v>
      </c>
      <c r="Z41" s="3">
        <v>1</v>
      </c>
      <c r="AA41" s="5">
        <v>6288</v>
      </c>
      <c r="AB41" t="s">
        <v>151</v>
      </c>
      <c r="AC41" s="2" t="str" cm="1">
        <f t="array" ref="AC41">_xlfn.IFS(Table1[[#This Row],[Others_Parties]] = "No", "None",
Table1[[#This Row],[Others_Parties]] = "co applicant", "Co-applicant",
Table1[[#This Row],[Others_Parties]] = "guarantor", "Guarantor")</f>
        <v>None</v>
      </c>
      <c r="AD41" s="13" t="s">
        <v>145</v>
      </c>
      <c r="AE41" s="2" t="s">
        <v>100</v>
      </c>
      <c r="AF41" s="28" t="str" cm="1">
        <f t="array" ref="AF4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41" s="21">
        <v>60</v>
      </c>
      <c r="AH41" s="2" t="s">
        <v>153</v>
      </c>
      <c r="AI41"/>
      <c r="AZ41"/>
      <c r="BC41"/>
      <c r="BE41"/>
      <c r="BL41"/>
      <c r="BZ41"/>
      <c r="CA41"/>
      <c r="CF41"/>
      <c r="CG41"/>
      <c r="CH41"/>
      <c r="CI41"/>
      <c r="CK41"/>
      <c r="CN41"/>
    </row>
    <row r="42" spans="1:92" x14ac:dyDescent="0.3">
      <c r="A42" s="4">
        <v>40</v>
      </c>
      <c r="B42" s="11">
        <v>34</v>
      </c>
      <c r="C42" s="2" t="str">
        <f>_xlfn.XLOOKUP(Table1[[#This Row],[Age]],Table7[Start_Age],Table7[Age_Range],,-1)</f>
        <v>29-39</v>
      </c>
      <c r="D42" t="s">
        <v>130</v>
      </c>
      <c r="E42" s="2" t="s">
        <v>129</v>
      </c>
      <c r="F42" s="2" t="s">
        <v>133</v>
      </c>
      <c r="G42" s="3">
        <v>2</v>
      </c>
      <c r="H42" s="13" t="s">
        <v>152</v>
      </c>
      <c r="I42" s="2" t="str" cm="1">
        <f t="array" ref="I42">_xlfn.IFS(Table1[[#This Row],[Job_Type]] = "unskilled resident", "Resident",
Table1[[#This Row],[Job_Type]] = "unemp/unskilled non res", "Non-resident",
TRUE, "Unknown")</f>
        <v>Unknown</v>
      </c>
      <c r="J42" s="2" t="s">
        <v>150</v>
      </c>
      <c r="K42" s="3">
        <v>4</v>
      </c>
      <c r="L42" s="2" t="s">
        <v>142</v>
      </c>
      <c r="M42" s="13" t="s">
        <v>152</v>
      </c>
      <c r="N42" t="s">
        <v>17</v>
      </c>
      <c r="O42" s="2" t="str">
        <f>_xlfn.XLOOKUP(Table1[[#This Row],[Checking_Acct_Status]],Table3[Checking_Acct_Original],Table3[Category])</f>
        <v>No Account</v>
      </c>
      <c r="P42" s="10" t="s">
        <v>47</v>
      </c>
      <c r="Q42" s="13" t="str">
        <f>_xlfn.XLOOKUP(Table1[[#This Row],[Saving_Acct_Status]],Table5[Saving_Acct_Original],Table5[Category])</f>
        <v>No Savings</v>
      </c>
      <c r="R42" t="s">
        <v>41</v>
      </c>
      <c r="S42" s="2" t="str">
        <f>IF(
      OR(Table1[[#This Row],[Job_Type]] = "high qualif/self emp/mgmt", Table1[[#This Row],[Job_Type]] = "skilled"),
      "Skilled", "Unskilled")</f>
        <v>Skilled</v>
      </c>
      <c r="T42" t="str">
        <f>IF(Table1[[#This Row],[Job_Type]] = "unemp/unskilled non res", "Unemployed", "Employed")</f>
        <v>Employed</v>
      </c>
      <c r="U42" t="s">
        <v>21</v>
      </c>
      <c r="V42" s="14" t="str" cm="1">
        <f t="array" ref="V4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2" t="s">
        <v>31</v>
      </c>
      <c r="X42" s="2" t="str">
        <f>_xlfn.XLOOKUP(Table1[[#This Row],[Loan_Credit_History]],Table4[Credit History],Table4[[ Category]])</f>
        <v>Existing Credits Paid</v>
      </c>
      <c r="Y42" s="3">
        <v>4</v>
      </c>
      <c r="Z42" s="3">
        <v>1</v>
      </c>
      <c r="AA42" s="5">
        <v>6527</v>
      </c>
      <c r="AB42" t="s">
        <v>151</v>
      </c>
      <c r="AC42" s="2" t="str" cm="1">
        <f t="array" ref="AC42">_xlfn.IFS(Table1[[#This Row],[Others_Parties]] = "No", "None",
Table1[[#This Row],[Others_Parties]] = "co applicant", "Co-applicant",
Table1[[#This Row],[Others_Parties]] = "guarantor", "Guarantor")</f>
        <v>None</v>
      </c>
      <c r="AD42" s="13" t="s">
        <v>145</v>
      </c>
      <c r="AE42" s="2" t="s">
        <v>141</v>
      </c>
      <c r="AF42" s="28" t="str" cm="1">
        <f t="array" ref="AF4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42" s="21">
        <v>60</v>
      </c>
      <c r="AH42" s="2" t="s">
        <v>154</v>
      </c>
      <c r="AI42"/>
      <c r="AZ42"/>
      <c r="BC42"/>
      <c r="BE42"/>
      <c r="BL42"/>
      <c r="BZ42"/>
      <c r="CA42"/>
      <c r="CF42"/>
      <c r="CG42"/>
      <c r="CH42"/>
      <c r="CI42"/>
      <c r="CK42"/>
      <c r="CN42"/>
    </row>
    <row r="43" spans="1:92" x14ac:dyDescent="0.3">
      <c r="A43" s="4">
        <v>41</v>
      </c>
      <c r="B43" s="11">
        <v>63</v>
      </c>
      <c r="C43" s="2" t="str">
        <f>_xlfn.XLOOKUP(Table1[[#This Row],[Age]],Table7[Start_Age],Table7[Age_Range],,-1)</f>
        <v>59-69</v>
      </c>
      <c r="D43" t="s">
        <v>130</v>
      </c>
      <c r="E43" s="2" t="s">
        <v>129</v>
      </c>
      <c r="F43" s="2" t="s">
        <v>133</v>
      </c>
      <c r="G43" s="3">
        <v>1</v>
      </c>
      <c r="H43" s="13" t="s">
        <v>152</v>
      </c>
      <c r="I43" s="2" t="str" cm="1">
        <f t="array" ref="I43">_xlfn.IFS(Table1[[#This Row],[Job_Type]] = "unskilled resident", "Resident",
Table1[[#This Row],[Job_Type]] = "unemp/unskilled non res", "Non-resident",
TRUE, "Unknown")</f>
        <v>Unknown</v>
      </c>
      <c r="J43" s="2" t="s">
        <v>148</v>
      </c>
      <c r="K43" s="3">
        <v>4</v>
      </c>
      <c r="L43" s="2" t="s">
        <v>142</v>
      </c>
      <c r="M43" s="13" t="s">
        <v>152</v>
      </c>
      <c r="N43" t="s">
        <v>35</v>
      </c>
      <c r="O43" s="2" t="str">
        <f>_xlfn.XLOOKUP(Table1[[#This Row],[Checking_Acct_Status]],Table3[Checking_Acct_Original],Table3[Category])</f>
        <v>Negative Balance</v>
      </c>
      <c r="P43" s="10" t="s">
        <v>32</v>
      </c>
      <c r="Q43" s="13" t="str">
        <f>_xlfn.XLOOKUP(Table1[[#This Row],[Saving_Acct_Status]],Table5[Saving_Acct_Original],Table5[Category])</f>
        <v>Low Savings</v>
      </c>
      <c r="R43" t="s">
        <v>41</v>
      </c>
      <c r="S43" s="2" t="str">
        <f>IF(
      OR(Table1[[#This Row],[Job_Type]] = "high qualif/self emp/mgmt", Table1[[#This Row],[Job_Type]] = "skilled"),
      "Skilled", "Unskilled")</f>
        <v>Skilled</v>
      </c>
      <c r="T43" t="str">
        <f>IF(Table1[[#This Row],[Job_Type]] = "unemp/unskilled non res", "Unemployed", "Employed")</f>
        <v>Employed</v>
      </c>
      <c r="U43" t="s">
        <v>38</v>
      </c>
      <c r="V43" s="14" t="str" cm="1">
        <f t="array" ref="V4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3" t="s">
        <v>59</v>
      </c>
      <c r="X43" s="2" t="str">
        <f>_xlfn.XLOOKUP(Table1[[#This Row],[Loan_Credit_History]],Table4[Credit History],Table4[[ Category]])</f>
        <v>Previously Delayed</v>
      </c>
      <c r="Y43" s="3">
        <v>3</v>
      </c>
      <c r="Z43" s="3">
        <v>2</v>
      </c>
      <c r="AA43" s="5">
        <v>6836</v>
      </c>
      <c r="AB43" t="s">
        <v>151</v>
      </c>
      <c r="AC43" s="2" t="str" cm="1">
        <f t="array" ref="AC43">_xlfn.IFS(Table1[[#This Row],[Others_Parties]] = "No", "None",
Table1[[#This Row],[Others_Parties]] = "co applicant", "Co-applicant",
Table1[[#This Row],[Others_Parties]] = "guarantor", "Guarantor")</f>
        <v>None</v>
      </c>
      <c r="AD43" s="13" t="s">
        <v>145</v>
      </c>
      <c r="AE43" s="2" t="s">
        <v>105</v>
      </c>
      <c r="AF43" s="28" t="str" cm="1">
        <f t="array" ref="AF4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43" s="21">
        <v>60</v>
      </c>
      <c r="AH43" s="2" t="s">
        <v>153</v>
      </c>
      <c r="AI43"/>
      <c r="AZ43"/>
      <c r="BC43"/>
      <c r="BE43"/>
      <c r="BL43"/>
      <c r="BZ43"/>
      <c r="CA43"/>
      <c r="CF43"/>
      <c r="CG43"/>
      <c r="CH43"/>
      <c r="CI43"/>
      <c r="CK43"/>
      <c r="CN43"/>
    </row>
    <row r="44" spans="1:92" x14ac:dyDescent="0.3">
      <c r="A44" s="4">
        <v>42</v>
      </c>
      <c r="B44" s="11">
        <v>36</v>
      </c>
      <c r="C44" s="2" t="str">
        <f>_xlfn.XLOOKUP(Table1[[#This Row],[Age]],Table7[Start_Age],Table7[Age_Range],,-1)</f>
        <v>29-39</v>
      </c>
      <c r="D44" t="s">
        <v>130</v>
      </c>
      <c r="E44" s="2" t="s">
        <v>129</v>
      </c>
      <c r="F44" s="2" t="s">
        <v>133</v>
      </c>
      <c r="G44" s="3">
        <v>1</v>
      </c>
      <c r="H44" s="13" t="s">
        <v>152</v>
      </c>
      <c r="I44" s="2" t="str" cm="1">
        <f t="array" ref="I44">_xlfn.IFS(Table1[[#This Row],[Job_Type]] = "unskilled resident", "Resident",
Table1[[#This Row],[Job_Type]] = "unemp/unskilled non res", "Non-resident",
TRUE, "Unknown")</f>
        <v>Unknown</v>
      </c>
      <c r="J44" s="2" t="s">
        <v>149</v>
      </c>
      <c r="K44" s="3">
        <v>4</v>
      </c>
      <c r="L44" s="2" t="s">
        <v>142</v>
      </c>
      <c r="M44" s="13" t="s">
        <v>151</v>
      </c>
      <c r="N44" t="s">
        <v>35</v>
      </c>
      <c r="O44" s="2" t="str">
        <f>_xlfn.XLOOKUP(Table1[[#This Row],[Checking_Acct_Status]],Table3[Checking_Acct_Original],Table3[Category])</f>
        <v>Negative Balance</v>
      </c>
      <c r="P44" s="10" t="s">
        <v>32</v>
      </c>
      <c r="Q44" s="13" t="str">
        <f>_xlfn.XLOOKUP(Table1[[#This Row],[Saving_Acct_Status]],Table5[Saving_Acct_Original],Table5[Category])</f>
        <v>Low Savings</v>
      </c>
      <c r="R44" t="s">
        <v>41</v>
      </c>
      <c r="S44" s="2" t="str">
        <f>IF(
      OR(Table1[[#This Row],[Job_Type]] = "high qualif/self emp/mgmt", Table1[[#This Row],[Job_Type]] = "skilled"),
      "Skilled", "Unskilled")</f>
        <v>Skilled</v>
      </c>
      <c r="T44" t="str">
        <f>IF(Table1[[#This Row],[Job_Type]] = "unemp/unskilled non res", "Unemployed", "Employed")</f>
        <v>Employed</v>
      </c>
      <c r="U44" t="s">
        <v>38</v>
      </c>
      <c r="V44" s="14" t="str" cm="1">
        <f t="array" ref="V4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4" t="s">
        <v>31</v>
      </c>
      <c r="X44" s="2" t="str">
        <f>_xlfn.XLOOKUP(Table1[[#This Row],[Loan_Credit_History]],Table4[Credit History],Table4[[ Category]])</f>
        <v>Existing Credits Paid</v>
      </c>
      <c r="Y44" s="3">
        <v>4</v>
      </c>
      <c r="Z44" s="3">
        <v>1</v>
      </c>
      <c r="AA44" s="5">
        <v>7297</v>
      </c>
      <c r="AB44" t="s">
        <v>55</v>
      </c>
      <c r="AC44" s="2" t="str" cm="1">
        <f t="array" ref="AC44">_xlfn.IFS(Table1[[#This Row],[Others_Parties]] = "No", "None",
Table1[[#This Row],[Others_Parties]] = "co applicant", "Co-applicant",
Table1[[#This Row],[Others_Parties]] = "guarantor", "Guarantor")</f>
        <v>Co-applicant</v>
      </c>
      <c r="AD44" s="13" t="s">
        <v>145</v>
      </c>
      <c r="AE44" s="2" t="s">
        <v>105</v>
      </c>
      <c r="AF44" s="28" t="str" cm="1">
        <f t="array" ref="AF4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44" s="21">
        <v>60</v>
      </c>
      <c r="AH44" s="2" t="s">
        <v>153</v>
      </c>
      <c r="AI44"/>
      <c r="AZ44"/>
      <c r="BC44"/>
      <c r="BE44"/>
      <c r="BL44"/>
      <c r="BZ44"/>
      <c r="CA44"/>
      <c r="CF44"/>
      <c r="CG44"/>
      <c r="CH44"/>
      <c r="CI44"/>
      <c r="CK44"/>
      <c r="CN44"/>
    </row>
    <row r="45" spans="1:92" x14ac:dyDescent="0.3">
      <c r="A45" s="4">
        <v>43</v>
      </c>
      <c r="B45" s="11">
        <v>24</v>
      </c>
      <c r="C45" s="2" t="str">
        <f>_xlfn.XLOOKUP(Table1[[#This Row],[Age]],Table7[Start_Age],Table7[Age_Range],,-1)</f>
        <v>19-29</v>
      </c>
      <c r="D45" t="s">
        <v>136</v>
      </c>
      <c r="E45" s="2" t="s">
        <v>131</v>
      </c>
      <c r="F45" s="2" t="s">
        <v>137</v>
      </c>
      <c r="G45" s="3">
        <v>1</v>
      </c>
      <c r="H45" s="13" t="s">
        <v>152</v>
      </c>
      <c r="I45" s="2" t="str" cm="1">
        <f t="array" ref="I45">_xlfn.IFS(Table1[[#This Row],[Job_Type]] = "unskilled resident", "Resident",
Table1[[#This Row],[Job_Type]] = "unemp/unskilled non res", "Non-resident",
TRUE, "Unknown")</f>
        <v>Unknown</v>
      </c>
      <c r="J45" s="2" t="s">
        <v>148</v>
      </c>
      <c r="K45" s="3">
        <v>2</v>
      </c>
      <c r="L45" s="2" t="s">
        <v>143</v>
      </c>
      <c r="M45" s="13" t="s">
        <v>151</v>
      </c>
      <c r="N45" t="s">
        <v>30</v>
      </c>
      <c r="O45" s="2" t="str">
        <f>_xlfn.XLOOKUP(Table1[[#This Row],[Checking_Acct_Status]],Table3[Checking_Acct_Original],Table3[Category])</f>
        <v>Low Balance</v>
      </c>
      <c r="P45" s="10" t="s">
        <v>46</v>
      </c>
      <c r="Q45" s="13" t="str">
        <f>_xlfn.XLOOKUP(Table1[[#This Row],[Saving_Acct_Status]],Table5[Saving_Acct_Original],Table5[Category])</f>
        <v>Medium Savings</v>
      </c>
      <c r="R45" t="s">
        <v>63</v>
      </c>
      <c r="S45" s="2" t="str">
        <f>IF(
      OR(Table1[[#This Row],[Job_Type]] = "high qualif/self emp/mgmt", Table1[[#This Row],[Job_Type]] = "skilled"),
      "Skilled", "Unskilled")</f>
        <v>Skilled</v>
      </c>
      <c r="T45" t="str">
        <f>IF(Table1[[#This Row],[Job_Type]] = "unemp/unskilled non res", "Unemployed", "Employed")</f>
        <v>Employed</v>
      </c>
      <c r="U45" t="s">
        <v>45</v>
      </c>
      <c r="V45" s="14" t="str" cm="1">
        <f t="array" ref="V4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5" t="s">
        <v>31</v>
      </c>
      <c r="X45" s="2" t="str">
        <f>_xlfn.XLOOKUP(Table1[[#This Row],[Loan_Credit_History]],Table4[Credit History],Table4[[ Category]])</f>
        <v>Existing Credits Paid</v>
      </c>
      <c r="Y45" s="3">
        <v>4</v>
      </c>
      <c r="Z45" s="3">
        <v>1</v>
      </c>
      <c r="AA45" s="5">
        <v>7408</v>
      </c>
      <c r="AB45" t="s">
        <v>151</v>
      </c>
      <c r="AC45" s="2" t="str" cm="1">
        <f t="array" ref="AC45">_xlfn.IFS(Table1[[#This Row],[Others_Parties]] = "No", "None",
Table1[[#This Row],[Others_Parties]] = "co applicant", "Co-applicant",
Table1[[#This Row],[Others_Parties]] = "guarantor", "Guarantor")</f>
        <v>None</v>
      </c>
      <c r="AD45" s="13" t="s">
        <v>145</v>
      </c>
      <c r="AE45" s="2" t="s">
        <v>141</v>
      </c>
      <c r="AF45" s="28" t="str" cm="1">
        <f t="array" ref="AF4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45" s="21">
        <v>60</v>
      </c>
      <c r="AH45" s="2" t="s">
        <v>153</v>
      </c>
      <c r="AI45"/>
      <c r="AZ45"/>
      <c r="BC45"/>
      <c r="BE45"/>
      <c r="BL45"/>
      <c r="BZ45"/>
      <c r="CA45"/>
      <c r="CF45"/>
      <c r="CG45"/>
      <c r="CH45"/>
      <c r="CI45"/>
      <c r="CK45"/>
      <c r="CN45"/>
    </row>
    <row r="46" spans="1:92" x14ac:dyDescent="0.3">
      <c r="A46" s="4">
        <v>44</v>
      </c>
      <c r="B46" s="11">
        <v>27</v>
      </c>
      <c r="C46" s="2" t="str">
        <f>_xlfn.XLOOKUP(Table1[[#This Row],[Age]],Table7[Start_Age],Table7[Age_Range],,-1)</f>
        <v>19-29</v>
      </c>
      <c r="D46" t="s">
        <v>130</v>
      </c>
      <c r="E46" s="2" t="s">
        <v>129</v>
      </c>
      <c r="F46" s="2" t="s">
        <v>133</v>
      </c>
      <c r="G46" s="3">
        <v>1</v>
      </c>
      <c r="H46" s="13" t="s">
        <v>152</v>
      </c>
      <c r="I46" s="2" t="str" cm="1">
        <f t="array" ref="I46">_xlfn.IFS(Table1[[#This Row],[Job_Type]] = "unskilled resident", "Resident",
Table1[[#This Row],[Job_Type]] = "unemp/unskilled non res", "Non-resident",
TRUE, "Unknown")</f>
        <v>Resident</v>
      </c>
      <c r="J46" s="2" t="s">
        <v>148</v>
      </c>
      <c r="K46" s="3">
        <v>1</v>
      </c>
      <c r="L46" s="2" t="s">
        <v>144</v>
      </c>
      <c r="M46" s="13" t="s">
        <v>151</v>
      </c>
      <c r="N46" t="s">
        <v>30</v>
      </c>
      <c r="O46" s="2" t="str">
        <f>_xlfn.XLOOKUP(Table1[[#This Row],[Checking_Acct_Status]],Table3[Checking_Acct_Original],Table3[Category])</f>
        <v>Low Balance</v>
      </c>
      <c r="P46" s="10" t="s">
        <v>47</v>
      </c>
      <c r="Q46" s="13" t="str">
        <f>_xlfn.XLOOKUP(Table1[[#This Row],[Saving_Acct_Status]],Table5[Saving_Acct_Original],Table5[Category])</f>
        <v>No Savings</v>
      </c>
      <c r="R46" t="s">
        <v>27</v>
      </c>
      <c r="S46" s="2" t="str">
        <f>IF(
      OR(Table1[[#This Row],[Job_Type]] = "high qualif/self emp/mgmt", Table1[[#This Row],[Job_Type]] = "skilled"),
      "Skilled", "Unskilled")</f>
        <v>Unskilled</v>
      </c>
      <c r="T46" t="str">
        <f>IF(Table1[[#This Row],[Job_Type]] = "unemp/unskilled non res", "Unemployed", "Employed")</f>
        <v>Employed</v>
      </c>
      <c r="U46" t="s">
        <v>21</v>
      </c>
      <c r="V46" s="14" t="str" cm="1">
        <f t="array" ref="V4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6" t="s">
        <v>59</v>
      </c>
      <c r="X46" s="2" t="str">
        <f>_xlfn.XLOOKUP(Table1[[#This Row],[Loan_Credit_History]],Table4[Credit History],Table4[[ Category]])</f>
        <v>Previously Delayed</v>
      </c>
      <c r="Y46" s="3">
        <v>1</v>
      </c>
      <c r="Z46" s="3">
        <v>1</v>
      </c>
      <c r="AA46" s="5">
        <v>7418</v>
      </c>
      <c r="AB46" t="s">
        <v>151</v>
      </c>
      <c r="AC46" s="2" t="str" cm="1">
        <f t="array" ref="AC46">_xlfn.IFS(Table1[[#This Row],[Others_Parties]] = "No", "None",
Table1[[#This Row],[Others_Parties]] = "co applicant", "Co-applicant",
Table1[[#This Row],[Others_Parties]] = "guarantor", "Guarantor")</f>
        <v>None</v>
      </c>
      <c r="AD46" s="13" t="s">
        <v>145</v>
      </c>
      <c r="AE46" s="2" t="s">
        <v>111</v>
      </c>
      <c r="AF46" s="28" t="str" cm="1">
        <f t="array" ref="AF4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46" s="21">
        <v>60</v>
      </c>
      <c r="AH46" s="2" t="s">
        <v>154</v>
      </c>
      <c r="AI46"/>
      <c r="AZ46"/>
      <c r="BC46"/>
      <c r="BE46"/>
      <c r="BL46"/>
      <c r="BZ46"/>
      <c r="CA46"/>
      <c r="CF46"/>
      <c r="CG46"/>
      <c r="CH46"/>
      <c r="CI46"/>
      <c r="CK46"/>
      <c r="CN46"/>
    </row>
    <row r="47" spans="1:92" x14ac:dyDescent="0.3">
      <c r="A47" s="4">
        <v>45</v>
      </c>
      <c r="B47" s="11">
        <v>27</v>
      </c>
      <c r="C47" s="2" t="str">
        <f>_xlfn.XLOOKUP(Table1[[#This Row],[Age]],Table7[Start_Age],Table7[Age_Range],,-1)</f>
        <v>19-29</v>
      </c>
      <c r="D47" t="s">
        <v>130</v>
      </c>
      <c r="E47" s="2" t="s">
        <v>129</v>
      </c>
      <c r="F47" s="2" t="s">
        <v>133</v>
      </c>
      <c r="G47" s="3">
        <v>1</v>
      </c>
      <c r="H47" s="13" t="s">
        <v>152</v>
      </c>
      <c r="I47" s="2" t="str" cm="1">
        <f t="array" ref="I47">_xlfn.IFS(Table1[[#This Row],[Job_Type]] = "unskilled resident", "Resident",
Table1[[#This Row],[Job_Type]] = "unemp/unskilled non res", "Non-resident",
TRUE, "Unknown")</f>
        <v>Unknown</v>
      </c>
      <c r="J47" s="2" t="s">
        <v>150</v>
      </c>
      <c r="K47" s="3">
        <v>2</v>
      </c>
      <c r="L47" s="2" t="s">
        <v>142</v>
      </c>
      <c r="M47" s="13" t="s">
        <v>151</v>
      </c>
      <c r="N47" t="s">
        <v>30</v>
      </c>
      <c r="O47" s="2" t="str">
        <f>_xlfn.XLOOKUP(Table1[[#This Row],[Checking_Acct_Status]],Table3[Checking_Acct_Original],Table3[Category])</f>
        <v>Low Balance</v>
      </c>
      <c r="P47" s="10" t="s">
        <v>47</v>
      </c>
      <c r="Q47" s="13" t="str">
        <f>_xlfn.XLOOKUP(Table1[[#This Row],[Saving_Acct_Status]],Table5[Saving_Acct_Original],Table5[Category])</f>
        <v>No Savings</v>
      </c>
      <c r="R47" t="s">
        <v>63</v>
      </c>
      <c r="S47" s="2" t="str">
        <f>IF(
      OR(Table1[[#This Row],[Job_Type]] = "high qualif/self emp/mgmt", Table1[[#This Row],[Job_Type]] = "skilled"),
      "Skilled", "Unskilled")</f>
        <v>Skilled</v>
      </c>
      <c r="T47" t="str">
        <f>IF(Table1[[#This Row],[Job_Type]] = "unemp/unskilled non res", "Unemployed", "Employed")</f>
        <v>Employed</v>
      </c>
      <c r="U47" t="s">
        <v>21</v>
      </c>
      <c r="V47" s="14" t="str" cm="1">
        <f t="array" ref="V4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7" t="s">
        <v>59</v>
      </c>
      <c r="X47" s="2" t="str">
        <f>_xlfn.XLOOKUP(Table1[[#This Row],[Loan_Credit_History]],Table4[Credit History],Table4[[ Category]])</f>
        <v>Previously Delayed</v>
      </c>
      <c r="Y47" s="3">
        <v>2</v>
      </c>
      <c r="Z47" s="3">
        <v>1</v>
      </c>
      <c r="AA47" s="5">
        <v>9157</v>
      </c>
      <c r="AB47" t="s">
        <v>151</v>
      </c>
      <c r="AC47" s="2" t="str" cm="1">
        <f t="array" ref="AC47">_xlfn.IFS(Table1[[#This Row],[Others_Parties]] = "No", "None",
Table1[[#This Row],[Others_Parties]] = "co applicant", "Co-applicant",
Table1[[#This Row],[Others_Parties]] = "guarantor", "Guarantor")</f>
        <v>None</v>
      </c>
      <c r="AD47" s="13" t="s">
        <v>145</v>
      </c>
      <c r="AE47" s="2" t="s">
        <v>111</v>
      </c>
      <c r="AF47" s="28" t="str" cm="1">
        <f t="array" ref="AF4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47" s="21">
        <v>60</v>
      </c>
      <c r="AH47" s="2" t="s">
        <v>154</v>
      </c>
      <c r="AI47"/>
      <c r="AZ47"/>
      <c r="BC47"/>
      <c r="BE47"/>
      <c r="BL47"/>
      <c r="BZ47"/>
      <c r="CA47"/>
      <c r="CF47"/>
      <c r="CG47"/>
      <c r="CH47"/>
      <c r="CI47"/>
      <c r="CK47"/>
      <c r="CN47"/>
    </row>
    <row r="48" spans="1:92" x14ac:dyDescent="0.3">
      <c r="A48" s="4">
        <v>46</v>
      </c>
      <c r="B48" s="11">
        <v>21</v>
      </c>
      <c r="C48" s="2" t="str">
        <f>_xlfn.XLOOKUP(Table1[[#This Row],[Age]],Table7[Start_Age],Table7[Age_Range],,-1)</f>
        <v>19-29</v>
      </c>
      <c r="D48" t="s">
        <v>136</v>
      </c>
      <c r="E48" s="2" t="s">
        <v>131</v>
      </c>
      <c r="F48" s="2" t="s">
        <v>137</v>
      </c>
      <c r="G48" s="3">
        <v>1</v>
      </c>
      <c r="H48" s="13" t="s">
        <v>152</v>
      </c>
      <c r="I48" s="2" t="str" cm="1">
        <f t="array" ref="I48">_xlfn.IFS(Table1[[#This Row],[Job_Type]] = "unskilled resident", "Resident",
Table1[[#This Row],[Job_Type]] = "unemp/unskilled non res", "Non-resident",
TRUE, "Unknown")</f>
        <v>Unknown</v>
      </c>
      <c r="J48" s="2" t="s">
        <v>148</v>
      </c>
      <c r="K48" s="3">
        <v>4</v>
      </c>
      <c r="L48" s="2" t="s">
        <v>144</v>
      </c>
      <c r="M48" s="13" t="s">
        <v>152</v>
      </c>
      <c r="N48" t="s">
        <v>17</v>
      </c>
      <c r="O48" s="2" t="str">
        <f>_xlfn.XLOOKUP(Table1[[#This Row],[Checking_Acct_Status]],Table3[Checking_Acct_Original],Table3[Category])</f>
        <v>No Account</v>
      </c>
      <c r="P48" s="10" t="s">
        <v>46</v>
      </c>
      <c r="Q48" s="13" t="str">
        <f>_xlfn.XLOOKUP(Table1[[#This Row],[Saving_Acct_Status]],Table5[Saving_Acct_Original],Table5[Category])</f>
        <v>Medium Savings</v>
      </c>
      <c r="R48" t="s">
        <v>41</v>
      </c>
      <c r="S48" s="2" t="str">
        <f>IF(
      OR(Table1[[#This Row],[Job_Type]] = "high qualif/self emp/mgmt", Table1[[#This Row],[Job_Type]] = "skilled"),
      "Skilled", "Unskilled")</f>
        <v>Skilled</v>
      </c>
      <c r="T48" t="str">
        <f>IF(Table1[[#This Row],[Job_Type]] = "unemp/unskilled non res", "Unemployed", "Employed")</f>
        <v>Employed</v>
      </c>
      <c r="U48" t="s">
        <v>49</v>
      </c>
      <c r="V48" s="14" t="str" cm="1">
        <f t="array" ref="V4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8" t="s">
        <v>31</v>
      </c>
      <c r="X48" s="2" t="str">
        <f>_xlfn.XLOOKUP(Table1[[#This Row],[Loan_Credit_History]],Table4[Credit History],Table4[[ Category]])</f>
        <v>Existing Credits Paid</v>
      </c>
      <c r="Y48" s="3">
        <v>2</v>
      </c>
      <c r="Z48" s="3">
        <v>1</v>
      </c>
      <c r="AA48" s="5">
        <v>10144</v>
      </c>
      <c r="AB48" t="s">
        <v>151</v>
      </c>
      <c r="AC48" s="2" t="str" cm="1">
        <f t="array" ref="AC48">_xlfn.IFS(Table1[[#This Row],[Others_Parties]] = "No", "None",
Table1[[#This Row],[Others_Parties]] = "co applicant", "Co-applicant",
Table1[[#This Row],[Others_Parties]] = "guarantor", "Guarantor")</f>
        <v>None</v>
      </c>
      <c r="AD48" s="13" t="s">
        <v>145</v>
      </c>
      <c r="AE48" s="2" t="s">
        <v>111</v>
      </c>
      <c r="AF48" s="28" t="str" cm="1">
        <f t="array" ref="AF4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48" s="21">
        <v>60</v>
      </c>
      <c r="AH48" s="2" t="s">
        <v>154</v>
      </c>
      <c r="AI48"/>
      <c r="AZ48"/>
      <c r="BC48"/>
      <c r="BE48"/>
      <c r="BL48"/>
      <c r="BZ48"/>
      <c r="CA48"/>
      <c r="CF48"/>
      <c r="CG48"/>
      <c r="CH48"/>
      <c r="CI48"/>
      <c r="CK48"/>
      <c r="CN48"/>
    </row>
    <row r="49" spans="1:92" x14ac:dyDescent="0.3">
      <c r="A49" s="4">
        <v>47</v>
      </c>
      <c r="B49" s="11">
        <v>42</v>
      </c>
      <c r="C49" s="2" t="str">
        <f>_xlfn.XLOOKUP(Table1[[#This Row],[Age]],Table7[Start_Age],Table7[Age_Range],,-1)</f>
        <v>39-49</v>
      </c>
      <c r="D49" t="s">
        <v>130</v>
      </c>
      <c r="E49" s="2" t="s">
        <v>129</v>
      </c>
      <c r="F49" s="2" t="s">
        <v>133</v>
      </c>
      <c r="G49" s="3">
        <v>1</v>
      </c>
      <c r="H49" s="13" t="s">
        <v>152</v>
      </c>
      <c r="I49" s="2" t="str" cm="1">
        <f t="array" ref="I49">_xlfn.IFS(Table1[[#This Row],[Job_Type]] = "unskilled resident", "Resident",
Table1[[#This Row],[Job_Type]] = "unemp/unskilled non res", "Non-resident",
TRUE, "Unknown")</f>
        <v>Unknown</v>
      </c>
      <c r="J49" s="2" t="s">
        <v>148</v>
      </c>
      <c r="K49" s="3">
        <v>4</v>
      </c>
      <c r="L49" s="2" t="s">
        <v>143</v>
      </c>
      <c r="M49" s="13" t="s">
        <v>152</v>
      </c>
      <c r="N49" t="s">
        <v>17</v>
      </c>
      <c r="O49" s="2" t="str">
        <f>_xlfn.XLOOKUP(Table1[[#This Row],[Checking_Acct_Status]],Table3[Checking_Acct_Original],Table3[Category])</f>
        <v>No Account</v>
      </c>
      <c r="P49" s="10" t="s">
        <v>32</v>
      </c>
      <c r="Q49" s="13" t="str">
        <f>_xlfn.XLOOKUP(Table1[[#This Row],[Saving_Acct_Status]],Table5[Saving_Acct_Original],Table5[Category])</f>
        <v>Low Savings</v>
      </c>
      <c r="R49" t="s">
        <v>63</v>
      </c>
      <c r="S49" s="2" t="str">
        <f>IF(
      OR(Table1[[#This Row],[Job_Type]] = "high qualif/self emp/mgmt", Table1[[#This Row],[Job_Type]] = "skilled"),
      "Skilled", "Unskilled")</f>
        <v>Skilled</v>
      </c>
      <c r="T49" t="str">
        <f>IF(Table1[[#This Row],[Job_Type]] = "unemp/unskilled non res", "Unemployed", "Employed")</f>
        <v>Employed</v>
      </c>
      <c r="U49" t="s">
        <v>38</v>
      </c>
      <c r="V49" s="14" t="str" cm="1">
        <f t="array" ref="V4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9" t="s">
        <v>31</v>
      </c>
      <c r="X49" s="2" t="str">
        <f>_xlfn.XLOOKUP(Table1[[#This Row],[Loan_Credit_History]],Table4[Credit History],Table4[[ Category]])</f>
        <v>Existing Credits Paid</v>
      </c>
      <c r="Y49" s="3">
        <v>2</v>
      </c>
      <c r="Z49" s="3">
        <v>1</v>
      </c>
      <c r="AA49" s="5">
        <v>10366</v>
      </c>
      <c r="AB49" t="s">
        <v>151</v>
      </c>
      <c r="AC49" s="2" t="str" cm="1">
        <f t="array" ref="AC49">_xlfn.IFS(Table1[[#This Row],[Others_Parties]] = "No", "None",
Table1[[#This Row],[Others_Parties]] = "co applicant", "Co-applicant",
Table1[[#This Row],[Others_Parties]] = "guarantor", "Guarantor")</f>
        <v>None</v>
      </c>
      <c r="AD49" s="13" t="s">
        <v>145</v>
      </c>
      <c r="AE49" s="2" t="s">
        <v>141</v>
      </c>
      <c r="AF49" s="28" t="str" cm="1">
        <f t="array" ref="AF4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49" s="21">
        <v>60</v>
      </c>
      <c r="AH49" s="2" t="s">
        <v>154</v>
      </c>
      <c r="AI49"/>
      <c r="AZ49"/>
      <c r="BC49"/>
      <c r="BE49"/>
      <c r="BL49"/>
      <c r="BZ49"/>
      <c r="CA49"/>
      <c r="CF49"/>
      <c r="CG49"/>
      <c r="CH49"/>
      <c r="CI49"/>
      <c r="CK49"/>
      <c r="CN49"/>
    </row>
    <row r="50" spans="1:92" x14ac:dyDescent="0.3">
      <c r="A50" s="4">
        <v>48</v>
      </c>
      <c r="B50" s="11">
        <v>63</v>
      </c>
      <c r="C50" s="2" t="str">
        <f>_xlfn.XLOOKUP(Table1[[#This Row],[Age]],Table7[Start_Age],Table7[Age_Range],,-1)</f>
        <v>59-69</v>
      </c>
      <c r="D50" t="s">
        <v>130</v>
      </c>
      <c r="E50" s="2" t="s">
        <v>129</v>
      </c>
      <c r="F50" s="2" t="s">
        <v>133</v>
      </c>
      <c r="G50" s="3">
        <v>1</v>
      </c>
      <c r="H50" s="13" t="s">
        <v>152</v>
      </c>
      <c r="I50" s="2" t="str" cm="1">
        <f t="array" ref="I50">_xlfn.IFS(Table1[[#This Row],[Job_Type]] = "unskilled resident", "Resident",
Table1[[#This Row],[Job_Type]] = "unemp/unskilled non res", "Non-resident",
TRUE, "Unknown")</f>
        <v>Unknown</v>
      </c>
      <c r="J50" s="2" t="s">
        <v>150</v>
      </c>
      <c r="K50" s="3">
        <v>4</v>
      </c>
      <c r="L50" s="2" t="s">
        <v>142</v>
      </c>
      <c r="M50" s="13" t="s">
        <v>152</v>
      </c>
      <c r="N50" t="s">
        <v>17</v>
      </c>
      <c r="O50" s="2" t="str">
        <f>_xlfn.XLOOKUP(Table1[[#This Row],[Checking_Acct_Status]],Table3[Checking_Acct_Original],Table3[Category])</f>
        <v>No Account</v>
      </c>
      <c r="P50" s="10" t="s">
        <v>47</v>
      </c>
      <c r="Q50" s="13" t="str">
        <f>_xlfn.XLOOKUP(Table1[[#This Row],[Saving_Acct_Status]],Table5[Saving_Acct_Original],Table5[Category])</f>
        <v>No Savings</v>
      </c>
      <c r="R50" t="s">
        <v>63</v>
      </c>
      <c r="S50" s="2" t="str">
        <f>IF(
      OR(Table1[[#This Row],[Job_Type]] = "high qualif/self emp/mgmt", Table1[[#This Row],[Job_Type]] = "skilled"),
      "Skilled", "Unskilled")</f>
        <v>Skilled</v>
      </c>
      <c r="T50" t="str">
        <f>IF(Table1[[#This Row],[Job_Type]] = "unemp/unskilled non res", "Unemployed", "Employed")</f>
        <v>Employed</v>
      </c>
      <c r="U50" t="s">
        <v>38</v>
      </c>
      <c r="V50" s="14" t="str" cm="1">
        <f t="array" ref="V5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0" t="s">
        <v>103</v>
      </c>
      <c r="X50" s="2" t="str">
        <f>_xlfn.XLOOKUP(Table1[[#This Row],[Loan_Credit_History]],Table4[Credit History],Table4[[ Category]])</f>
        <v>Critical Credit History</v>
      </c>
      <c r="Y50" s="3">
        <v>2</v>
      </c>
      <c r="Z50" s="3">
        <v>1</v>
      </c>
      <c r="AA50" s="5">
        <v>13756</v>
      </c>
      <c r="AB50" t="s">
        <v>151</v>
      </c>
      <c r="AC50" s="2" t="str" cm="1">
        <f t="array" ref="AC50">_xlfn.IFS(Table1[[#This Row],[Others_Parties]] = "No", "None",
Table1[[#This Row],[Others_Parties]] = "co applicant", "Co-applicant",
Table1[[#This Row],[Others_Parties]] = "guarantor", "Guarantor")</f>
        <v>None</v>
      </c>
      <c r="AD50" s="13" t="s">
        <v>146</v>
      </c>
      <c r="AE50" s="2" t="s">
        <v>141</v>
      </c>
      <c r="AF50" s="28" t="str" cm="1">
        <f t="array" ref="AF5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50" s="21">
        <v>60</v>
      </c>
      <c r="AH50" s="2" t="s">
        <v>154</v>
      </c>
      <c r="AI50"/>
      <c r="AZ50"/>
      <c r="BC50"/>
      <c r="BE50"/>
      <c r="BL50"/>
      <c r="BZ50"/>
      <c r="CA50"/>
      <c r="CF50"/>
      <c r="CG50"/>
      <c r="CH50"/>
      <c r="CI50"/>
      <c r="CK50"/>
      <c r="CN50"/>
    </row>
    <row r="51" spans="1:92" x14ac:dyDescent="0.3">
      <c r="A51" s="4">
        <v>49</v>
      </c>
      <c r="B51" s="11">
        <v>27</v>
      </c>
      <c r="C51" s="2" t="str">
        <f>_xlfn.XLOOKUP(Table1[[#This Row],[Age]],Table7[Start_Age],Table7[Age_Range],,-1)</f>
        <v>19-29</v>
      </c>
      <c r="D51" t="s">
        <v>130</v>
      </c>
      <c r="E51" s="2" t="s">
        <v>129</v>
      </c>
      <c r="F51" s="2" t="s">
        <v>133</v>
      </c>
      <c r="G51" s="3">
        <v>1</v>
      </c>
      <c r="H51" s="13" t="s">
        <v>152</v>
      </c>
      <c r="I51" s="2" t="str" cm="1">
        <f t="array" ref="I51">_xlfn.IFS(Table1[[#This Row],[Job_Type]] = "unskilled resident", "Resident",
Table1[[#This Row],[Job_Type]] = "unemp/unskilled non res", "Non-resident",
TRUE, "Unknown")</f>
        <v>Unknown</v>
      </c>
      <c r="J51" s="2" t="s">
        <v>148</v>
      </c>
      <c r="K51" s="3">
        <v>2</v>
      </c>
      <c r="L51" s="2" t="s">
        <v>142</v>
      </c>
      <c r="M51" s="13" t="s">
        <v>152</v>
      </c>
      <c r="N51" t="s">
        <v>30</v>
      </c>
      <c r="O51" s="2" t="str">
        <f>_xlfn.XLOOKUP(Table1[[#This Row],[Checking_Acct_Status]],Table3[Checking_Acct_Original],Table3[Category])</f>
        <v>Low Balance</v>
      </c>
      <c r="P51" s="10" t="s">
        <v>32</v>
      </c>
      <c r="Q51" s="13" t="str">
        <f>_xlfn.XLOOKUP(Table1[[#This Row],[Saving_Acct_Status]],Table5[Saving_Acct_Original],Table5[Category])</f>
        <v>Low Savings</v>
      </c>
      <c r="R51" t="s">
        <v>63</v>
      </c>
      <c r="S51" s="2" t="str">
        <f>IF(
      OR(Table1[[#This Row],[Job_Type]] = "high qualif/self emp/mgmt", Table1[[#This Row],[Job_Type]] = "skilled"),
      "Skilled", "Unskilled")</f>
        <v>Skilled</v>
      </c>
      <c r="T51" t="str">
        <f>IF(Table1[[#This Row],[Job_Type]] = "unemp/unskilled non res", "Unemployed", "Employed")</f>
        <v>Employed</v>
      </c>
      <c r="U51" t="s">
        <v>49</v>
      </c>
      <c r="V51" s="14" t="str" cm="1">
        <f t="array" ref="V5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1" t="s">
        <v>31</v>
      </c>
      <c r="X51" s="2" t="str">
        <f>_xlfn.XLOOKUP(Table1[[#This Row],[Loan_Credit_History]],Table4[Credit History],Table4[[ Category]])</f>
        <v>Existing Credits Paid</v>
      </c>
      <c r="Y51" s="3">
        <v>4</v>
      </c>
      <c r="Z51" s="3">
        <v>1</v>
      </c>
      <c r="AA51" s="5">
        <v>14027</v>
      </c>
      <c r="AB51" t="s">
        <v>151</v>
      </c>
      <c r="AC51" s="2" t="str" cm="1">
        <f t="array" ref="AC51">_xlfn.IFS(Table1[[#This Row],[Others_Parties]] = "No", "None",
Table1[[#This Row],[Others_Parties]] = "co applicant", "Co-applicant",
Table1[[#This Row],[Others_Parties]] = "guarantor", "Guarantor")</f>
        <v>None</v>
      </c>
      <c r="AD51" s="13" t="s">
        <v>145</v>
      </c>
      <c r="AE51" s="2" t="s">
        <v>141</v>
      </c>
      <c r="AF51" s="28" t="str" cm="1">
        <f t="array" ref="AF5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51" s="21">
        <v>60</v>
      </c>
      <c r="AH51" s="2" t="s">
        <v>153</v>
      </c>
      <c r="AI51"/>
      <c r="AZ51"/>
      <c r="BC51"/>
      <c r="BE51"/>
      <c r="BL51"/>
      <c r="BZ51"/>
      <c r="CA51"/>
      <c r="CF51"/>
      <c r="CG51"/>
      <c r="CH51"/>
      <c r="CI51"/>
      <c r="CK51"/>
      <c r="CN51"/>
    </row>
    <row r="52" spans="1:92" x14ac:dyDescent="0.3">
      <c r="A52" s="4">
        <v>50</v>
      </c>
      <c r="B52" s="11">
        <v>60</v>
      </c>
      <c r="C52" s="2" t="str">
        <f>_xlfn.XLOOKUP(Table1[[#This Row],[Age]],Table7[Start_Age],Table7[Age_Range],,-1)</f>
        <v>59-69</v>
      </c>
      <c r="D52" t="s">
        <v>136</v>
      </c>
      <c r="E52" s="2" t="s">
        <v>131</v>
      </c>
      <c r="F52" s="2" t="s">
        <v>137</v>
      </c>
      <c r="G52" s="3">
        <v>1</v>
      </c>
      <c r="H52" s="13" t="s">
        <v>152</v>
      </c>
      <c r="I52" s="2" t="str" cm="1">
        <f t="array" ref="I52">_xlfn.IFS(Table1[[#This Row],[Job_Type]] = "unskilled resident", "Resident",
Table1[[#This Row],[Job_Type]] = "unemp/unskilled non res", "Non-resident",
TRUE, "Unknown")</f>
        <v>Unknown</v>
      </c>
      <c r="J52" s="2" t="s">
        <v>150</v>
      </c>
      <c r="K52" s="3">
        <v>4</v>
      </c>
      <c r="L52" s="2" t="s">
        <v>142</v>
      </c>
      <c r="M52" s="13" t="s">
        <v>152</v>
      </c>
      <c r="N52" t="s">
        <v>30</v>
      </c>
      <c r="O52" s="2" t="str">
        <f>_xlfn.XLOOKUP(Table1[[#This Row],[Checking_Acct_Status]],Table3[Checking_Acct_Original],Table3[Category])</f>
        <v>Low Balance</v>
      </c>
      <c r="P52" s="10" t="s">
        <v>46</v>
      </c>
      <c r="Q52" s="13" t="str">
        <f>_xlfn.XLOOKUP(Table1[[#This Row],[Saving_Acct_Status]],Table5[Saving_Acct_Original],Table5[Category])</f>
        <v>Medium Savings</v>
      </c>
      <c r="R52" t="s">
        <v>63</v>
      </c>
      <c r="S52" s="2" t="str">
        <f>IF(
      OR(Table1[[#This Row],[Job_Type]] = "high qualif/self emp/mgmt", Table1[[#This Row],[Job_Type]] = "skilled"),
      "Skilled", "Unskilled")</f>
        <v>Skilled</v>
      </c>
      <c r="T52" t="str">
        <f>IF(Table1[[#This Row],[Job_Type]] = "unemp/unskilled non res", "Unemployed", "Employed")</f>
        <v>Employed</v>
      </c>
      <c r="U52" t="s">
        <v>38</v>
      </c>
      <c r="V52" s="14" t="str" cm="1">
        <f t="array" ref="V5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2" t="s">
        <v>42</v>
      </c>
      <c r="X52" s="2" t="str">
        <f>_xlfn.XLOOKUP(Table1[[#This Row],[Loan_Credit_History]],Table4[Credit History],Table4[[ Category]])</f>
        <v>All Paid</v>
      </c>
      <c r="Y52" s="3">
        <v>3</v>
      </c>
      <c r="Z52" s="3">
        <v>2</v>
      </c>
      <c r="AA52" s="5">
        <v>14782</v>
      </c>
      <c r="AB52" t="s">
        <v>151</v>
      </c>
      <c r="AC52" s="2" t="str" cm="1">
        <f t="array" ref="AC52">_xlfn.IFS(Table1[[#This Row],[Others_Parties]] = "No", "None",
Table1[[#This Row],[Others_Parties]] = "co applicant", "Co-applicant",
Table1[[#This Row],[Others_Parties]] = "guarantor", "Guarantor")</f>
        <v>None</v>
      </c>
      <c r="AD52" s="13" t="s">
        <v>146</v>
      </c>
      <c r="AE52" s="2" t="s">
        <v>104</v>
      </c>
      <c r="AF52" s="28" t="str" cm="1">
        <f t="array" ref="AF5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52" s="21">
        <v>60</v>
      </c>
      <c r="AH52" s="2" t="s">
        <v>153</v>
      </c>
      <c r="AI52"/>
      <c r="AZ52"/>
      <c r="BC52"/>
      <c r="BE52"/>
      <c r="BL52"/>
      <c r="BZ52"/>
      <c r="CA52"/>
      <c r="CF52"/>
      <c r="CG52"/>
      <c r="CH52"/>
      <c r="CI52"/>
      <c r="CK52"/>
      <c r="CN52"/>
    </row>
    <row r="53" spans="1:92" x14ac:dyDescent="0.3">
      <c r="A53" s="4">
        <v>51</v>
      </c>
      <c r="B53" s="11">
        <v>21</v>
      </c>
      <c r="C53" s="2" t="str">
        <f>_xlfn.XLOOKUP(Table1[[#This Row],[Age]],Table7[Start_Age],Table7[Age_Range],,-1)</f>
        <v>19-29</v>
      </c>
      <c r="D53" t="s">
        <v>130</v>
      </c>
      <c r="E53" s="2" t="s">
        <v>129</v>
      </c>
      <c r="F53" s="2" t="s">
        <v>133</v>
      </c>
      <c r="G53" s="3">
        <v>1</v>
      </c>
      <c r="H53" s="13" t="s">
        <v>152</v>
      </c>
      <c r="I53" s="2" t="str" cm="1">
        <f t="array" ref="I53">_xlfn.IFS(Table1[[#This Row],[Job_Type]] = "unskilled resident", "Resident",
Table1[[#This Row],[Job_Type]] = "unemp/unskilled non res", "Non-resident",
TRUE, "Unknown")</f>
        <v>Unknown</v>
      </c>
      <c r="J53" s="2" t="s">
        <v>148</v>
      </c>
      <c r="K53" s="3">
        <v>4</v>
      </c>
      <c r="L53" s="2" t="s">
        <v>140</v>
      </c>
      <c r="M53" s="13" t="s">
        <v>152</v>
      </c>
      <c r="N53" t="s">
        <v>17</v>
      </c>
      <c r="O53" s="2" t="str">
        <f>_xlfn.XLOOKUP(Table1[[#This Row],[Checking_Acct_Status]],Table3[Checking_Acct_Original],Table3[Category])</f>
        <v>No Account</v>
      </c>
      <c r="P53" s="10" t="s">
        <v>32</v>
      </c>
      <c r="Q53" s="13" t="str">
        <f>_xlfn.XLOOKUP(Table1[[#This Row],[Saving_Acct_Status]],Table5[Saving_Acct_Original],Table5[Category])</f>
        <v>Low Savings</v>
      </c>
      <c r="R53" t="s">
        <v>41</v>
      </c>
      <c r="S53" s="2" t="str">
        <f>IF(
      OR(Table1[[#This Row],[Job_Type]] = "high qualif/self emp/mgmt", Table1[[#This Row],[Job_Type]] = "skilled"),
      "Skilled", "Unskilled")</f>
        <v>Skilled</v>
      </c>
      <c r="T53" t="str">
        <f>IF(Table1[[#This Row],[Job_Type]] = "unemp/unskilled non res", "Unemployed", "Employed")</f>
        <v>Employed</v>
      </c>
      <c r="U53" t="s">
        <v>49</v>
      </c>
      <c r="V53" s="14" t="str" cm="1">
        <f t="array" ref="V5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3" t="s">
        <v>59</v>
      </c>
      <c r="X53" s="2" t="str">
        <f>_xlfn.XLOOKUP(Table1[[#This Row],[Loan_Credit_History]],Table4[Credit History],Table4[[ Category]])</f>
        <v>Previously Delayed</v>
      </c>
      <c r="Y53" s="3">
        <v>2</v>
      </c>
      <c r="Z53" s="3">
        <v>2</v>
      </c>
      <c r="AA53" s="5">
        <v>15653</v>
      </c>
      <c r="AB53" t="s">
        <v>151</v>
      </c>
      <c r="AC53" s="2" t="str" cm="1">
        <f t="array" ref="AC53">_xlfn.IFS(Table1[[#This Row],[Others_Parties]] = "No", "None",
Table1[[#This Row],[Others_Parties]] = "co applicant", "Co-applicant",
Table1[[#This Row],[Others_Parties]] = "guarantor", "Guarantor")</f>
        <v>None</v>
      </c>
      <c r="AD53" s="13" t="s">
        <v>145</v>
      </c>
      <c r="AE53" s="2" t="s">
        <v>111</v>
      </c>
      <c r="AF53" s="28" t="str" cm="1">
        <f t="array" ref="AF5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57-72</v>
      </c>
      <c r="AG53" s="21">
        <v>60</v>
      </c>
      <c r="AH53" s="2" t="s">
        <v>154</v>
      </c>
      <c r="AI53"/>
      <c r="AZ53"/>
      <c r="BC53"/>
      <c r="BE53"/>
      <c r="BL53"/>
      <c r="BZ53"/>
      <c r="CA53"/>
      <c r="CF53"/>
      <c r="CG53"/>
      <c r="CH53"/>
      <c r="CI53"/>
      <c r="CK53"/>
      <c r="CN53"/>
    </row>
    <row r="54" spans="1:92" x14ac:dyDescent="0.3">
      <c r="A54" s="4">
        <v>52</v>
      </c>
      <c r="B54" s="11">
        <v>39</v>
      </c>
      <c r="C54" s="2" t="str">
        <f>_xlfn.XLOOKUP(Table1[[#This Row],[Age]],Table7[Start_Age],Table7[Age_Range],,-1)</f>
        <v>39-49</v>
      </c>
      <c r="D54" t="s">
        <v>130</v>
      </c>
      <c r="E54" s="2" t="s">
        <v>129</v>
      </c>
      <c r="F54" s="2" t="s">
        <v>133</v>
      </c>
      <c r="G54" s="3">
        <v>2</v>
      </c>
      <c r="H54" s="13" t="s">
        <v>152</v>
      </c>
      <c r="I54" s="2" t="str" cm="1">
        <f t="array" ref="I54">_xlfn.IFS(Table1[[#This Row],[Job_Type]] = "unskilled resident", "Resident",
Table1[[#This Row],[Job_Type]] = "unemp/unskilled non res", "Non-resident",
TRUE, "Unknown")</f>
        <v>Resident</v>
      </c>
      <c r="J54" s="2" t="s">
        <v>148</v>
      </c>
      <c r="K54" s="3">
        <v>2</v>
      </c>
      <c r="L54" s="2" t="s">
        <v>143</v>
      </c>
      <c r="M54" s="13" t="s">
        <v>151</v>
      </c>
      <c r="N54" t="s">
        <v>17</v>
      </c>
      <c r="O54" s="2" t="str">
        <f>_xlfn.XLOOKUP(Table1[[#This Row],[Checking_Acct_Status]],Table3[Checking_Acct_Original],Table3[Category])</f>
        <v>No Account</v>
      </c>
      <c r="P54" s="10" t="s">
        <v>47</v>
      </c>
      <c r="Q54" s="13" t="str">
        <f>_xlfn.XLOOKUP(Table1[[#This Row],[Saving_Acct_Status]],Table5[Saving_Acct_Original],Table5[Category])</f>
        <v>No Savings</v>
      </c>
      <c r="R54" t="s">
        <v>27</v>
      </c>
      <c r="S54" s="2" t="str">
        <f>IF(
      OR(Table1[[#This Row],[Job_Type]] = "high qualif/self emp/mgmt", Table1[[#This Row],[Job_Type]] = "skilled"),
      "Skilled", "Unskilled")</f>
        <v>Unskilled</v>
      </c>
      <c r="T54" t="str">
        <f>IF(Table1[[#This Row],[Job_Type]] = "unemp/unskilled non res", "Unemployed", "Employed")</f>
        <v>Employed</v>
      </c>
      <c r="U54" t="s">
        <v>21</v>
      </c>
      <c r="V54" s="14" t="str" cm="1">
        <f t="array" ref="V5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4" t="s">
        <v>52</v>
      </c>
      <c r="X54" s="2" t="str">
        <f>_xlfn.XLOOKUP(Table1[[#This Row],[Loan_Credit_History]],Table4[Credit History],Table4[[ Category]])</f>
        <v>No Credit History</v>
      </c>
      <c r="Y54" s="3">
        <v>2</v>
      </c>
      <c r="Z54" s="3">
        <v>1</v>
      </c>
      <c r="AA54" s="5">
        <v>9436</v>
      </c>
      <c r="AB54" t="s">
        <v>151</v>
      </c>
      <c r="AC54" s="2" t="str" cm="1">
        <f t="array" ref="AC54">_xlfn.IFS(Table1[[#This Row],[Others_Parties]] = "No", "None",
Table1[[#This Row],[Others_Parties]] = "co applicant", "Co-applicant",
Table1[[#This Row],[Others_Parties]] = "guarantor", "Guarantor")</f>
        <v>None</v>
      </c>
      <c r="AD54" s="13" t="s">
        <v>145</v>
      </c>
      <c r="AE54" s="2" t="s">
        <v>107</v>
      </c>
      <c r="AF54" s="28" t="str" cm="1">
        <f t="array" ref="AF5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49-56</v>
      </c>
      <c r="AG54" s="21">
        <v>54</v>
      </c>
      <c r="AH54" s="2" t="s">
        <v>154</v>
      </c>
      <c r="AI54"/>
      <c r="AZ54"/>
      <c r="BC54"/>
      <c r="BE54"/>
      <c r="BL54"/>
      <c r="BZ54"/>
      <c r="CA54"/>
      <c r="CF54"/>
      <c r="CG54"/>
      <c r="CH54"/>
      <c r="CI54"/>
      <c r="CK54"/>
      <c r="CN54"/>
    </row>
    <row r="55" spans="1:92" x14ac:dyDescent="0.3">
      <c r="A55" s="4">
        <v>53</v>
      </c>
      <c r="B55" s="11">
        <v>58</v>
      </c>
      <c r="C55" s="2" t="str">
        <f>_xlfn.XLOOKUP(Table1[[#This Row],[Age]],Table7[Start_Age],Table7[Age_Range],,-1)</f>
        <v>49-59</v>
      </c>
      <c r="D55" t="s">
        <v>130</v>
      </c>
      <c r="E55" s="2" t="s">
        <v>129</v>
      </c>
      <c r="F55" s="2" t="s">
        <v>133</v>
      </c>
      <c r="G55" s="3">
        <v>1</v>
      </c>
      <c r="H55" s="13" t="s">
        <v>152</v>
      </c>
      <c r="I55" s="2" t="str" cm="1">
        <f t="array" ref="I55">_xlfn.IFS(Table1[[#This Row],[Job_Type]] = "unskilled resident", "Resident",
Table1[[#This Row],[Job_Type]] = "unemp/unskilled non res", "Non-resident",
TRUE, "Unknown")</f>
        <v>Unknown</v>
      </c>
      <c r="J55" s="2" t="s">
        <v>149</v>
      </c>
      <c r="K55" s="3">
        <v>4</v>
      </c>
      <c r="L55" s="2" t="s">
        <v>142</v>
      </c>
      <c r="M55" s="13" t="s">
        <v>152</v>
      </c>
      <c r="N55" t="s">
        <v>30</v>
      </c>
      <c r="O55" s="2" t="str">
        <f>_xlfn.XLOOKUP(Table1[[#This Row],[Checking_Acct_Status]],Table3[Checking_Acct_Original],Table3[Category])</f>
        <v>Low Balance</v>
      </c>
      <c r="P55" s="10" t="s">
        <v>32</v>
      </c>
      <c r="Q55" s="13" t="str">
        <f>_xlfn.XLOOKUP(Table1[[#This Row],[Saving_Acct_Status]],Table5[Saving_Acct_Original],Table5[Category])</f>
        <v>Low Savings</v>
      </c>
      <c r="R55" t="s">
        <v>41</v>
      </c>
      <c r="S55" s="2" t="str">
        <f>IF(
      OR(Table1[[#This Row],[Job_Type]] = "high qualif/self emp/mgmt", Table1[[#This Row],[Job_Type]] = "skilled"),
      "Skilled", "Unskilled")</f>
        <v>Skilled</v>
      </c>
      <c r="T55" t="str">
        <f>IF(Table1[[#This Row],[Job_Type]] = "unemp/unskilled non res", "Unemployed", "Employed")</f>
        <v>Employed</v>
      </c>
      <c r="U55" t="s">
        <v>45</v>
      </c>
      <c r="V55" s="14" t="str" cm="1">
        <f t="array" ref="V5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5" t="s">
        <v>52</v>
      </c>
      <c r="X55" s="2" t="str">
        <f>_xlfn.XLOOKUP(Table1[[#This Row],[Loan_Credit_History]],Table4[Credit History],Table4[[ Category]])</f>
        <v>No Credit History</v>
      </c>
      <c r="Y55" s="3">
        <v>3</v>
      </c>
      <c r="Z55" s="3">
        <v>1</v>
      </c>
      <c r="AA55" s="5">
        <v>15945</v>
      </c>
      <c r="AB55" t="s">
        <v>151</v>
      </c>
      <c r="AC55" s="2" t="str" cm="1">
        <f t="array" ref="AC55">_xlfn.IFS(Table1[[#This Row],[Others_Parties]] = "No", "None",
Table1[[#This Row],[Others_Parties]] = "co applicant", "Co-applicant",
Table1[[#This Row],[Others_Parties]] = "guarantor", "Guarantor")</f>
        <v>None</v>
      </c>
      <c r="AD55" s="13" t="s">
        <v>145</v>
      </c>
      <c r="AE55" s="2" t="s">
        <v>105</v>
      </c>
      <c r="AF55" s="28" t="str" cm="1">
        <f t="array" ref="AF5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49-56</v>
      </c>
      <c r="AG55" s="21">
        <v>54</v>
      </c>
      <c r="AH55" s="2" t="s">
        <v>153</v>
      </c>
      <c r="AI55"/>
      <c r="AZ55"/>
      <c r="BC55"/>
      <c r="BE55"/>
      <c r="BL55"/>
      <c r="BZ55"/>
      <c r="CA55"/>
      <c r="CF55"/>
      <c r="CG55"/>
      <c r="CH55"/>
      <c r="CI55"/>
      <c r="CK55"/>
      <c r="CN55"/>
    </row>
    <row r="56" spans="1:92" x14ac:dyDescent="0.3">
      <c r="A56" s="4">
        <v>54</v>
      </c>
      <c r="B56" s="11">
        <v>38</v>
      </c>
      <c r="C56" s="2" t="str">
        <f>_xlfn.XLOOKUP(Table1[[#This Row],[Age]],Table7[Start_Age],Table7[Age_Range],,-1)</f>
        <v>29-39</v>
      </c>
      <c r="D56" t="s">
        <v>130</v>
      </c>
      <c r="E56" s="2" t="s">
        <v>129</v>
      </c>
      <c r="F56" s="2" t="s">
        <v>133</v>
      </c>
      <c r="G56" s="3">
        <v>2</v>
      </c>
      <c r="H56" s="13" t="s">
        <v>152</v>
      </c>
      <c r="I56" s="2" t="str" cm="1">
        <f t="array" ref="I56">_xlfn.IFS(Table1[[#This Row],[Job_Type]] = "unskilled resident", "Resident",
Table1[[#This Row],[Job_Type]] = "unemp/unskilled non res", "Non-resident",
TRUE, "Unknown")</f>
        <v>Unknown</v>
      </c>
      <c r="J56" s="2" t="s">
        <v>148</v>
      </c>
      <c r="K56" s="3">
        <v>3</v>
      </c>
      <c r="L56" s="2" t="s">
        <v>140</v>
      </c>
      <c r="M56" s="13" t="s">
        <v>152</v>
      </c>
      <c r="N56" t="s">
        <v>17</v>
      </c>
      <c r="O56" s="2" t="str">
        <f>_xlfn.XLOOKUP(Table1[[#This Row],[Checking_Acct_Status]],Table3[Checking_Acct_Original],Table3[Category])</f>
        <v>No Account</v>
      </c>
      <c r="P56" s="10" t="s">
        <v>47</v>
      </c>
      <c r="Q56" s="13" t="str">
        <f>_xlfn.XLOOKUP(Table1[[#This Row],[Saving_Acct_Status]],Table5[Saving_Acct_Original],Table5[Category])</f>
        <v>No Savings</v>
      </c>
      <c r="R56" t="s">
        <v>41</v>
      </c>
      <c r="S56" s="2" t="str">
        <f>IF(
      OR(Table1[[#This Row],[Job_Type]] = "high qualif/self emp/mgmt", Table1[[#This Row],[Job_Type]] = "skilled"),
      "Skilled", "Unskilled")</f>
        <v>Skilled</v>
      </c>
      <c r="T56" t="str">
        <f>IF(Table1[[#This Row],[Job_Type]] = "unemp/unskilled non res", "Unemployed", "Employed")</f>
        <v>Employed</v>
      </c>
      <c r="U56" t="s">
        <v>38</v>
      </c>
      <c r="V56" s="14" t="str" cm="1">
        <f t="array" ref="V5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6" t="s">
        <v>103</v>
      </c>
      <c r="X56" s="2" t="str">
        <f>_xlfn.XLOOKUP(Table1[[#This Row],[Loan_Credit_History]],Table4[Credit History],Table4[[ Category]])</f>
        <v>Critical Credit History</v>
      </c>
      <c r="Y56" s="3">
        <v>4</v>
      </c>
      <c r="Z56" s="3">
        <v>2</v>
      </c>
      <c r="AA56" s="5">
        <v>2751</v>
      </c>
      <c r="AB56" t="s">
        <v>151</v>
      </c>
      <c r="AC56" s="2" t="str" cm="1">
        <f t="array" ref="AC56">_xlfn.IFS(Table1[[#This Row],[Others_Parties]] = "No", "None",
Table1[[#This Row],[Others_Parties]] = "co applicant", "Co-applicant",
Table1[[#This Row],[Others_Parties]] = "guarantor", "Guarantor")</f>
        <v>None</v>
      </c>
      <c r="AD56" s="13" t="s">
        <v>145</v>
      </c>
      <c r="AE56" s="2" t="s">
        <v>107</v>
      </c>
      <c r="AF56" s="28" t="str" cm="1">
        <f t="array" ref="AF5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56" s="21">
        <v>48</v>
      </c>
      <c r="AH56" s="2" t="s">
        <v>154</v>
      </c>
      <c r="AI56"/>
      <c r="AZ56"/>
      <c r="BC56"/>
      <c r="BE56"/>
      <c r="BL56"/>
      <c r="BZ56"/>
      <c r="CA56"/>
      <c r="CF56"/>
      <c r="CG56"/>
      <c r="CH56"/>
      <c r="CI56"/>
      <c r="CK56"/>
      <c r="CN56"/>
    </row>
    <row r="57" spans="1:92" x14ac:dyDescent="0.3">
      <c r="A57" s="4">
        <v>55</v>
      </c>
      <c r="B57" s="11">
        <v>54</v>
      </c>
      <c r="C57" s="2" t="str">
        <f>_xlfn.XLOOKUP(Table1[[#This Row],[Age]],Table7[Start_Age],Table7[Age_Range],,-1)</f>
        <v>49-59</v>
      </c>
      <c r="D57" t="s">
        <v>130</v>
      </c>
      <c r="E57" s="2" t="s">
        <v>129</v>
      </c>
      <c r="F57" s="2" t="s">
        <v>133</v>
      </c>
      <c r="G57" s="3">
        <v>1</v>
      </c>
      <c r="H57" s="13" t="s">
        <v>152</v>
      </c>
      <c r="I57" s="2" t="str" cm="1">
        <f t="array" ref="I57">_xlfn.IFS(Table1[[#This Row],[Job_Type]] = "unskilled resident", "Resident",
Table1[[#This Row],[Job_Type]] = "unemp/unskilled non res", "Non-resident",
TRUE, "Unknown")</f>
        <v>Unknown</v>
      </c>
      <c r="J57" s="2" t="s">
        <v>148</v>
      </c>
      <c r="K57" s="3">
        <v>4</v>
      </c>
      <c r="L57" s="2" t="s">
        <v>140</v>
      </c>
      <c r="M57" s="13" t="s">
        <v>151</v>
      </c>
      <c r="N57" t="s">
        <v>35</v>
      </c>
      <c r="O57" s="2" t="str">
        <f>_xlfn.XLOOKUP(Table1[[#This Row],[Checking_Acct_Status]],Table3[Checking_Acct_Original],Table3[Category])</f>
        <v>Negative Balance</v>
      </c>
      <c r="P57" s="10" t="s">
        <v>32</v>
      </c>
      <c r="Q57" s="13" t="str">
        <f>_xlfn.XLOOKUP(Table1[[#This Row],[Saving_Acct_Status]],Table5[Saving_Acct_Original],Table5[Category])</f>
        <v>Low Savings</v>
      </c>
      <c r="R57" t="s">
        <v>41</v>
      </c>
      <c r="S57" s="2" t="str">
        <f>IF(
      OR(Table1[[#This Row],[Job_Type]] = "high qualif/self emp/mgmt", Table1[[#This Row],[Job_Type]] = "skilled"),
      "Skilled", "Unskilled")</f>
        <v>Skilled</v>
      </c>
      <c r="T57" t="str">
        <f>IF(Table1[[#This Row],[Job_Type]] = "unemp/unskilled non res", "Unemployed", "Employed")</f>
        <v>Employed</v>
      </c>
      <c r="U57" t="s">
        <v>21</v>
      </c>
      <c r="V57" s="14" t="str" cm="1">
        <f t="array" ref="V5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7" t="s">
        <v>31</v>
      </c>
      <c r="X57" s="2" t="str">
        <f>_xlfn.XLOOKUP(Table1[[#This Row],[Loan_Credit_History]],Table4[Credit History],Table4[[ Category]])</f>
        <v>Existing Credits Paid</v>
      </c>
      <c r="Y57" s="3">
        <v>3</v>
      </c>
      <c r="Z57" s="3">
        <v>1</v>
      </c>
      <c r="AA57" s="5">
        <v>3051</v>
      </c>
      <c r="AB57" t="s">
        <v>151</v>
      </c>
      <c r="AC57" s="2" t="str" cm="1">
        <f t="array" ref="AC57">_xlfn.IFS(Table1[[#This Row],[Others_Parties]] = "No", "None",
Table1[[#This Row],[Others_Parties]] = "co applicant", "Co-applicant",
Table1[[#This Row],[Others_Parties]] = "guarantor", "Guarantor")</f>
        <v>None</v>
      </c>
      <c r="AD57" s="13" t="s">
        <v>145</v>
      </c>
      <c r="AE57" s="2" t="s">
        <v>106</v>
      </c>
      <c r="AF57" s="28" t="str" cm="1">
        <f t="array" ref="AF5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57" s="21">
        <v>48</v>
      </c>
      <c r="AH57" s="2" t="s">
        <v>153</v>
      </c>
      <c r="AI57"/>
      <c r="AZ57"/>
      <c r="BC57"/>
      <c r="BE57"/>
      <c r="BL57"/>
      <c r="BZ57"/>
      <c r="CA57"/>
      <c r="CF57"/>
      <c r="CG57"/>
      <c r="CH57"/>
      <c r="CI57"/>
      <c r="CK57"/>
      <c r="CN57"/>
    </row>
    <row r="58" spans="1:92" x14ac:dyDescent="0.3">
      <c r="A58" s="4">
        <v>56</v>
      </c>
      <c r="B58" s="11">
        <v>28</v>
      </c>
      <c r="C58" s="2" t="str">
        <f>_xlfn.XLOOKUP(Table1[[#This Row],[Age]],Table7[Start_Age],Table7[Age_Range],,-1)</f>
        <v>19-29</v>
      </c>
      <c r="D58" t="s">
        <v>130</v>
      </c>
      <c r="E58" s="2" t="s">
        <v>129</v>
      </c>
      <c r="F58" s="2" t="s">
        <v>133</v>
      </c>
      <c r="G58" s="3">
        <v>1</v>
      </c>
      <c r="H58" s="13" t="s">
        <v>152</v>
      </c>
      <c r="I58" s="2" t="str" cm="1">
        <f t="array" ref="I58">_xlfn.IFS(Table1[[#This Row],[Job_Type]] = "unskilled resident", "Resident",
Table1[[#This Row],[Job_Type]] = "unemp/unskilled non res", "Non-resident",
TRUE, "Unknown")</f>
        <v>Unknown</v>
      </c>
      <c r="J58" s="2" t="s">
        <v>148</v>
      </c>
      <c r="K58" s="3">
        <v>4</v>
      </c>
      <c r="L58" s="2" t="s">
        <v>144</v>
      </c>
      <c r="M58" s="13" t="s">
        <v>151</v>
      </c>
      <c r="N58" t="s">
        <v>30</v>
      </c>
      <c r="O58" s="2" t="str">
        <f>_xlfn.XLOOKUP(Table1[[#This Row],[Checking_Acct_Status]],Table3[Checking_Acct_Original],Table3[Category])</f>
        <v>Low Balance</v>
      </c>
      <c r="P58" s="10" t="s">
        <v>32</v>
      </c>
      <c r="Q58" s="13" t="str">
        <f>_xlfn.XLOOKUP(Table1[[#This Row],[Saving_Acct_Status]],Table5[Saving_Acct_Original],Table5[Category])</f>
        <v>Low Savings</v>
      </c>
      <c r="R58" t="s">
        <v>41</v>
      </c>
      <c r="S58" s="2" t="str">
        <f>IF(
      OR(Table1[[#This Row],[Job_Type]] = "high qualif/self emp/mgmt", Table1[[#This Row],[Job_Type]] = "skilled"),
      "Skilled", "Unskilled")</f>
        <v>Skilled</v>
      </c>
      <c r="T58" t="str">
        <f>IF(Table1[[#This Row],[Job_Type]] = "unemp/unskilled non res", "Unemployed", "Employed")</f>
        <v>Employed</v>
      </c>
      <c r="U58" t="s">
        <v>49</v>
      </c>
      <c r="V58" s="14" t="str" cm="1">
        <f t="array" ref="V5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8" t="s">
        <v>31</v>
      </c>
      <c r="X58" s="2" t="str">
        <f>_xlfn.XLOOKUP(Table1[[#This Row],[Loan_Credit_History]],Table4[Credit History],Table4[[ Category]])</f>
        <v>Existing Credits Paid</v>
      </c>
      <c r="Y58" s="3">
        <v>4</v>
      </c>
      <c r="Z58" s="3">
        <v>2</v>
      </c>
      <c r="AA58" s="5">
        <v>3060</v>
      </c>
      <c r="AB58" t="s">
        <v>151</v>
      </c>
      <c r="AC58" s="2" t="str" cm="1">
        <f t="array" ref="AC58">_xlfn.IFS(Table1[[#This Row],[Others_Parties]] = "No", "None",
Table1[[#This Row],[Others_Parties]] = "co applicant", "Co-applicant",
Table1[[#This Row],[Others_Parties]] = "guarantor", "Guarantor")</f>
        <v>None</v>
      </c>
      <c r="AD58" s="13" t="s">
        <v>145</v>
      </c>
      <c r="AE58" s="2" t="s">
        <v>111</v>
      </c>
      <c r="AF58" s="28" t="str" cm="1">
        <f t="array" ref="AF5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58" s="21">
        <v>48</v>
      </c>
      <c r="AH58" s="2" t="s">
        <v>153</v>
      </c>
      <c r="AI58"/>
      <c r="AZ58"/>
      <c r="BC58"/>
      <c r="BE58"/>
      <c r="BL58"/>
      <c r="BZ58"/>
      <c r="CA58"/>
      <c r="CF58"/>
      <c r="CG58"/>
      <c r="CH58"/>
      <c r="CI58"/>
      <c r="CK58"/>
      <c r="CN58"/>
    </row>
    <row r="59" spans="1:92" x14ac:dyDescent="0.3">
      <c r="A59" s="4">
        <v>57</v>
      </c>
      <c r="B59" s="11">
        <v>30</v>
      </c>
      <c r="C59" s="2" t="str">
        <f>_xlfn.XLOOKUP(Table1[[#This Row],[Age]],Table7[Start_Age],Table7[Age_Range],,-1)</f>
        <v>29-39</v>
      </c>
      <c r="D59" t="s">
        <v>130</v>
      </c>
      <c r="E59" s="2" t="s">
        <v>129</v>
      </c>
      <c r="F59" s="2" t="s">
        <v>133</v>
      </c>
      <c r="G59" s="3">
        <v>1</v>
      </c>
      <c r="H59" s="13" t="s">
        <v>152</v>
      </c>
      <c r="I59" s="2" t="str" cm="1">
        <f t="array" ref="I59">_xlfn.IFS(Table1[[#This Row],[Job_Type]] = "unskilled resident", "Resident",
Table1[[#This Row],[Job_Type]] = "unemp/unskilled non res", "Non-resident",
TRUE, "Unknown")</f>
        <v>Unknown</v>
      </c>
      <c r="J59" s="2" t="s">
        <v>148</v>
      </c>
      <c r="K59" s="3">
        <v>2</v>
      </c>
      <c r="L59" s="2" t="s">
        <v>140</v>
      </c>
      <c r="M59" s="13" t="s">
        <v>151</v>
      </c>
      <c r="N59" t="s">
        <v>30</v>
      </c>
      <c r="O59" s="2" t="str">
        <f>_xlfn.XLOOKUP(Table1[[#This Row],[Checking_Acct_Status]],Table3[Checking_Acct_Original],Table3[Category])</f>
        <v>Low Balance</v>
      </c>
      <c r="P59" s="10" t="s">
        <v>46</v>
      </c>
      <c r="Q59" s="13" t="str">
        <f>_xlfn.XLOOKUP(Table1[[#This Row],[Saving_Acct_Status]],Table5[Saving_Acct_Original],Table5[Category])</f>
        <v>Medium Savings</v>
      </c>
      <c r="R59" t="s">
        <v>41</v>
      </c>
      <c r="S59" s="2" t="str">
        <f>IF(
      OR(Table1[[#This Row],[Job_Type]] = "high qualif/self emp/mgmt", Table1[[#This Row],[Job_Type]] = "skilled"),
      "Skilled", "Unskilled")</f>
        <v>Skilled</v>
      </c>
      <c r="T59" t="str">
        <f>IF(Table1[[#This Row],[Job_Type]] = "unemp/unskilled non res", "Unemployed", "Employed")</f>
        <v>Employed</v>
      </c>
      <c r="U59" t="s">
        <v>49</v>
      </c>
      <c r="V59" s="14" t="str" cm="1">
        <f t="array" ref="V5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9" t="s">
        <v>42</v>
      </c>
      <c r="X59" s="2" t="str">
        <f>_xlfn.XLOOKUP(Table1[[#This Row],[Loan_Credit_History]],Table4[Credit History],Table4[[ Category]])</f>
        <v>All Paid</v>
      </c>
      <c r="Y59" s="3">
        <v>4</v>
      </c>
      <c r="Z59" s="3">
        <v>1</v>
      </c>
      <c r="AA59" s="5">
        <v>3566</v>
      </c>
      <c r="AB59" t="s">
        <v>151</v>
      </c>
      <c r="AC59" s="2" t="str" cm="1">
        <f t="array" ref="AC59">_xlfn.IFS(Table1[[#This Row],[Others_Parties]] = "No", "None",
Table1[[#This Row],[Others_Parties]] = "co applicant", "Co-applicant",
Table1[[#This Row],[Others_Parties]] = "guarantor", "Guarantor")</f>
        <v>None</v>
      </c>
      <c r="AD59" s="13" t="s">
        <v>145</v>
      </c>
      <c r="AE59" s="2" t="s">
        <v>105</v>
      </c>
      <c r="AF59" s="28" t="str" cm="1">
        <f t="array" ref="AF5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59" s="21">
        <v>48</v>
      </c>
      <c r="AH59" s="2" t="s">
        <v>154</v>
      </c>
      <c r="AI59"/>
      <c r="AZ59"/>
      <c r="BC59"/>
      <c r="BE59"/>
      <c r="BL59"/>
      <c r="BZ59"/>
      <c r="CA59"/>
      <c r="CF59"/>
      <c r="CG59"/>
      <c r="CH59"/>
      <c r="CI59"/>
      <c r="CK59"/>
      <c r="CN59"/>
    </row>
    <row r="60" spans="1:92" x14ac:dyDescent="0.3">
      <c r="A60" s="4">
        <v>58</v>
      </c>
      <c r="B60" s="11">
        <v>47</v>
      </c>
      <c r="C60" s="2" t="str">
        <f>_xlfn.XLOOKUP(Table1[[#This Row],[Age]],Table7[Start_Age],Table7[Age_Range],,-1)</f>
        <v>39-49</v>
      </c>
      <c r="D60" t="s">
        <v>130</v>
      </c>
      <c r="E60" s="2" t="s">
        <v>129</v>
      </c>
      <c r="F60" s="2" t="s">
        <v>133</v>
      </c>
      <c r="G60" s="3">
        <v>1</v>
      </c>
      <c r="H60" s="13" t="s">
        <v>152</v>
      </c>
      <c r="I60" s="2" t="str" cm="1">
        <f t="array" ref="I60">_xlfn.IFS(Table1[[#This Row],[Job_Type]] = "unskilled resident", "Resident",
Table1[[#This Row],[Job_Type]] = "unemp/unskilled non res", "Non-resident",
TRUE, "Unknown")</f>
        <v>Unknown</v>
      </c>
      <c r="J60" s="2" t="s">
        <v>148</v>
      </c>
      <c r="K60" s="3">
        <v>1</v>
      </c>
      <c r="L60" s="2" t="s">
        <v>144</v>
      </c>
      <c r="M60" s="13" t="s">
        <v>152</v>
      </c>
      <c r="N60" t="s">
        <v>17</v>
      </c>
      <c r="O60" s="2" t="str">
        <f>_xlfn.XLOOKUP(Table1[[#This Row],[Checking_Acct_Status]],Table3[Checking_Acct_Original],Table3[Category])</f>
        <v>No Account</v>
      </c>
      <c r="P60" s="10" t="s">
        <v>47</v>
      </c>
      <c r="Q60" s="13" t="str">
        <f>_xlfn.XLOOKUP(Table1[[#This Row],[Saving_Acct_Status]],Table5[Saving_Acct_Original],Table5[Category])</f>
        <v>No Savings</v>
      </c>
      <c r="R60" t="s">
        <v>41</v>
      </c>
      <c r="S60" s="2" t="str">
        <f>IF(
      OR(Table1[[#This Row],[Job_Type]] = "high qualif/self emp/mgmt", Table1[[#This Row],[Job_Type]] = "skilled"),
      "Skilled", "Unskilled")</f>
        <v>Skilled</v>
      </c>
      <c r="T60" t="str">
        <f>IF(Table1[[#This Row],[Job_Type]] = "unemp/unskilled non res", "Unemployed", "Employed")</f>
        <v>Employed</v>
      </c>
      <c r="U60" t="s">
        <v>38</v>
      </c>
      <c r="V60" s="14" t="str" cm="1">
        <f t="array" ref="V6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0" t="s">
        <v>103</v>
      </c>
      <c r="X60" s="2" t="str">
        <f>_xlfn.XLOOKUP(Table1[[#This Row],[Loan_Credit_History]],Table4[Credit History],Table4[[ Category]])</f>
        <v>Critical Credit History</v>
      </c>
      <c r="Y60" s="3">
        <v>4</v>
      </c>
      <c r="Z60" s="3">
        <v>1</v>
      </c>
      <c r="AA60" s="5">
        <v>3578</v>
      </c>
      <c r="AB60" t="s">
        <v>151</v>
      </c>
      <c r="AC60" s="2" t="str" cm="1">
        <f t="array" ref="AC60">_xlfn.IFS(Table1[[#This Row],[Others_Parties]] = "No", "None",
Table1[[#This Row],[Others_Parties]] = "co applicant", "Co-applicant",
Table1[[#This Row],[Others_Parties]] = "guarantor", "Guarantor")</f>
        <v>None</v>
      </c>
      <c r="AD60" s="13" t="s">
        <v>145</v>
      </c>
      <c r="AE60" s="2" t="s">
        <v>111</v>
      </c>
      <c r="AF60" s="28" t="str" cm="1">
        <f t="array" ref="AF6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60" s="21">
        <v>48</v>
      </c>
      <c r="AH60" s="2" t="s">
        <v>154</v>
      </c>
      <c r="AI60"/>
      <c r="AZ60"/>
      <c r="BC60"/>
      <c r="BE60"/>
      <c r="BL60"/>
      <c r="BZ60"/>
      <c r="CA60"/>
      <c r="CF60"/>
      <c r="CG60"/>
      <c r="CH60"/>
      <c r="CI60"/>
      <c r="CK60"/>
      <c r="CN60"/>
    </row>
    <row r="61" spans="1:92" x14ac:dyDescent="0.3">
      <c r="A61" s="4">
        <v>59</v>
      </c>
      <c r="B61" s="11">
        <v>27</v>
      </c>
      <c r="C61" s="2" t="str">
        <f>_xlfn.XLOOKUP(Table1[[#This Row],[Age]],Table7[Start_Age],Table7[Age_Range],,-1)</f>
        <v>19-29</v>
      </c>
      <c r="D61" t="s">
        <v>136</v>
      </c>
      <c r="E61" s="2" t="s">
        <v>131</v>
      </c>
      <c r="F61" s="2" t="s">
        <v>137</v>
      </c>
      <c r="G61" s="3">
        <v>1</v>
      </c>
      <c r="H61" s="13" t="s">
        <v>152</v>
      </c>
      <c r="I61" s="2" t="str" cm="1">
        <f t="array" ref="I61">_xlfn.IFS(Table1[[#This Row],[Job_Type]] = "unskilled resident", "Resident",
Table1[[#This Row],[Job_Type]] = "unemp/unskilled non res", "Non-resident",
TRUE, "Unknown")</f>
        <v>Unknown</v>
      </c>
      <c r="J61" s="2" t="s">
        <v>148</v>
      </c>
      <c r="K61" s="3">
        <v>1</v>
      </c>
      <c r="L61" s="2" t="s">
        <v>144</v>
      </c>
      <c r="M61" s="13" t="s">
        <v>151</v>
      </c>
      <c r="N61" t="s">
        <v>17</v>
      </c>
      <c r="O61" s="2" t="str">
        <f>_xlfn.XLOOKUP(Table1[[#This Row],[Checking_Acct_Status]],Table3[Checking_Acct_Original],Table3[Category])</f>
        <v>No Account</v>
      </c>
      <c r="P61" s="10" t="s">
        <v>32</v>
      </c>
      <c r="Q61" s="13" t="str">
        <f>_xlfn.XLOOKUP(Table1[[#This Row],[Saving_Acct_Status]],Table5[Saving_Acct_Original],Table5[Category])</f>
        <v>Low Savings</v>
      </c>
      <c r="R61" t="s">
        <v>41</v>
      </c>
      <c r="S61" s="2" t="str">
        <f>IF(
      OR(Table1[[#This Row],[Job_Type]] = "high qualif/self emp/mgmt", Table1[[#This Row],[Job_Type]] = "skilled"),
      "Skilled", "Unskilled")</f>
        <v>Skilled</v>
      </c>
      <c r="T61" t="str">
        <f>IF(Table1[[#This Row],[Job_Type]] = "unemp/unskilled non res", "Unemployed", "Employed")</f>
        <v>Employed</v>
      </c>
      <c r="U61" t="s">
        <v>21</v>
      </c>
      <c r="V61" s="14" t="str" cm="1">
        <f t="array" ref="V6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1" t="s">
        <v>42</v>
      </c>
      <c r="X61" s="2" t="str">
        <f>_xlfn.XLOOKUP(Table1[[#This Row],[Loan_Credit_History]],Table4[Credit History],Table4[[ Category]])</f>
        <v>All Paid</v>
      </c>
      <c r="Y61" s="3">
        <v>1</v>
      </c>
      <c r="Z61" s="3">
        <v>1</v>
      </c>
      <c r="AA61" s="5">
        <v>3609</v>
      </c>
      <c r="AB61" t="s">
        <v>151</v>
      </c>
      <c r="AC61" s="2" t="str" cm="1">
        <f t="array" ref="AC61">_xlfn.IFS(Table1[[#This Row],[Others_Parties]] = "No", "None",
Table1[[#This Row],[Others_Parties]] = "co applicant", "Co-applicant",
Table1[[#This Row],[Others_Parties]] = "guarantor", "Guarantor")</f>
        <v>None</v>
      </c>
      <c r="AD61" s="13" t="s">
        <v>147</v>
      </c>
      <c r="AE61" s="2" t="s">
        <v>105</v>
      </c>
      <c r="AF61" s="28" t="str" cm="1">
        <f t="array" ref="AF6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61" s="21">
        <v>48</v>
      </c>
      <c r="AH61" s="2" t="s">
        <v>154</v>
      </c>
      <c r="AI61"/>
      <c r="AZ61"/>
      <c r="BC61"/>
      <c r="BE61"/>
      <c r="BL61"/>
      <c r="BZ61"/>
      <c r="CA61"/>
      <c r="CF61"/>
      <c r="CG61"/>
      <c r="CH61"/>
      <c r="CI61"/>
      <c r="CK61"/>
      <c r="CN61"/>
    </row>
    <row r="62" spans="1:92" x14ac:dyDescent="0.3">
      <c r="A62" s="4">
        <v>60</v>
      </c>
      <c r="B62" s="11">
        <v>34</v>
      </c>
      <c r="C62" s="2" t="str">
        <f>_xlfn.XLOOKUP(Table1[[#This Row],[Age]],Table7[Start_Age],Table7[Age_Range],,-1)</f>
        <v>29-39</v>
      </c>
      <c r="D62" t="s">
        <v>130</v>
      </c>
      <c r="E62" s="2" t="s">
        <v>129</v>
      </c>
      <c r="F62" s="2" t="s">
        <v>133</v>
      </c>
      <c r="G62" s="3">
        <v>2</v>
      </c>
      <c r="H62" s="13" t="s">
        <v>152</v>
      </c>
      <c r="I62" s="2" t="str" cm="1">
        <f t="array" ref="I62">_xlfn.IFS(Table1[[#This Row],[Job_Type]] = "unskilled resident", "Resident",
Table1[[#This Row],[Job_Type]] = "unemp/unskilled non res", "Non-resident",
TRUE, "Unknown")</f>
        <v>Resident</v>
      </c>
      <c r="J62" s="2" t="s">
        <v>150</v>
      </c>
      <c r="K62" s="3">
        <v>4</v>
      </c>
      <c r="L62" s="2" t="s">
        <v>142</v>
      </c>
      <c r="M62" s="13" t="s">
        <v>151</v>
      </c>
      <c r="N62" t="s">
        <v>30</v>
      </c>
      <c r="O62" s="2" t="str">
        <f>_xlfn.XLOOKUP(Table1[[#This Row],[Checking_Acct_Status]],Table3[Checking_Acct_Original],Table3[Category])</f>
        <v>Low Balance</v>
      </c>
      <c r="P62" s="10" t="s">
        <v>46</v>
      </c>
      <c r="Q62" s="13" t="str">
        <f>_xlfn.XLOOKUP(Table1[[#This Row],[Saving_Acct_Status]],Table5[Saving_Acct_Original],Table5[Category])</f>
        <v>Medium Savings</v>
      </c>
      <c r="R62" t="s">
        <v>27</v>
      </c>
      <c r="S62" s="2" t="str">
        <f>IF(
      OR(Table1[[#This Row],[Job_Type]] = "high qualif/self emp/mgmt", Table1[[#This Row],[Job_Type]] = "skilled"),
      "Skilled", "Unskilled")</f>
        <v>Unskilled</v>
      </c>
      <c r="T62" t="str">
        <f>IF(Table1[[#This Row],[Job_Type]] = "unemp/unskilled non res", "Unemployed", "Employed")</f>
        <v>Employed</v>
      </c>
      <c r="U62" t="s">
        <v>49</v>
      </c>
      <c r="V62" s="14" t="str" cm="1">
        <f t="array" ref="V6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2" t="s">
        <v>52</v>
      </c>
      <c r="X62" s="2" t="str">
        <f>_xlfn.XLOOKUP(Table1[[#This Row],[Loan_Credit_History]],Table4[Credit History],Table4[[ Category]])</f>
        <v>No Credit History</v>
      </c>
      <c r="Y62" s="3">
        <v>4</v>
      </c>
      <c r="Z62" s="3">
        <v>1</v>
      </c>
      <c r="AA62" s="5">
        <v>3844</v>
      </c>
      <c r="AB62" t="s">
        <v>151</v>
      </c>
      <c r="AC62" s="2" t="str" cm="1">
        <f t="array" ref="AC62">_xlfn.IFS(Table1[[#This Row],[Others_Parties]] = "No", "None",
Table1[[#This Row],[Others_Parties]] = "co applicant", "Co-applicant",
Table1[[#This Row],[Others_Parties]] = "guarantor", "Guarantor")</f>
        <v>None</v>
      </c>
      <c r="AD62" s="13" t="s">
        <v>145</v>
      </c>
      <c r="AE62" s="2" t="s">
        <v>105</v>
      </c>
      <c r="AF62" s="28" t="str" cm="1">
        <f t="array" ref="AF6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62" s="21">
        <v>48</v>
      </c>
      <c r="AH62" s="2" t="s">
        <v>153</v>
      </c>
      <c r="AI62"/>
      <c r="AZ62"/>
      <c r="BC62"/>
      <c r="BE62"/>
      <c r="BL62"/>
      <c r="BZ62"/>
      <c r="CA62"/>
      <c r="CF62"/>
      <c r="CG62"/>
      <c r="CH62"/>
      <c r="CI62"/>
      <c r="CK62"/>
      <c r="CN62"/>
    </row>
    <row r="63" spans="1:92" x14ac:dyDescent="0.3">
      <c r="A63" s="4">
        <v>61</v>
      </c>
      <c r="B63" s="11">
        <v>38</v>
      </c>
      <c r="C63" s="2" t="str">
        <f>_xlfn.XLOOKUP(Table1[[#This Row],[Age]],Table7[Start_Age],Table7[Age_Range],,-1)</f>
        <v>29-39</v>
      </c>
      <c r="D63" t="s">
        <v>138</v>
      </c>
      <c r="E63" s="2" t="s">
        <v>129</v>
      </c>
      <c r="F63" s="2" t="s">
        <v>178</v>
      </c>
      <c r="G63" s="3">
        <v>1</v>
      </c>
      <c r="H63" s="13" t="s">
        <v>152</v>
      </c>
      <c r="I63" s="2" t="str" cm="1">
        <f t="array" ref="I63">_xlfn.IFS(Table1[[#This Row],[Job_Type]] = "unskilled resident", "Resident",
Table1[[#This Row],[Job_Type]] = "unemp/unskilled non res", "Non-resident",
TRUE, "Unknown")</f>
        <v>Unknown</v>
      </c>
      <c r="J63" s="2" t="s">
        <v>148</v>
      </c>
      <c r="K63" s="3">
        <v>2</v>
      </c>
      <c r="L63" s="2" t="s">
        <v>144</v>
      </c>
      <c r="M63" s="13" t="s">
        <v>151</v>
      </c>
      <c r="N63" t="s">
        <v>17</v>
      </c>
      <c r="O63" s="2" t="str">
        <f>_xlfn.XLOOKUP(Table1[[#This Row],[Checking_Acct_Status]],Table3[Checking_Acct_Original],Table3[Category])</f>
        <v>No Account</v>
      </c>
      <c r="P63" s="10" t="s">
        <v>47</v>
      </c>
      <c r="Q63" s="13" t="str">
        <f>_xlfn.XLOOKUP(Table1[[#This Row],[Saving_Acct_Status]],Table5[Saving_Acct_Original],Table5[Category])</f>
        <v>No Savings</v>
      </c>
      <c r="R63" t="s">
        <v>41</v>
      </c>
      <c r="S63" s="2" t="str">
        <f>IF(
      OR(Table1[[#This Row],[Job_Type]] = "high qualif/self emp/mgmt", Table1[[#This Row],[Job_Type]] = "skilled"),
      "Skilled", "Unskilled")</f>
        <v>Skilled</v>
      </c>
      <c r="T63" t="str">
        <f>IF(Table1[[#This Row],[Job_Type]] = "unemp/unskilled non res", "Unemployed", "Employed")</f>
        <v>Employed</v>
      </c>
      <c r="U63" t="s">
        <v>21</v>
      </c>
      <c r="V63" s="14" t="str" cm="1">
        <f t="array" ref="V6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3" t="s">
        <v>31</v>
      </c>
      <c r="X63" s="2" t="str">
        <f>_xlfn.XLOOKUP(Table1[[#This Row],[Loan_Credit_History]],Table4[Credit History],Table4[[ Category]])</f>
        <v>Existing Credits Paid</v>
      </c>
      <c r="Y63" s="3">
        <v>4</v>
      </c>
      <c r="Z63" s="3">
        <v>1</v>
      </c>
      <c r="AA63" s="5">
        <v>3914</v>
      </c>
      <c r="AB63" t="s">
        <v>151</v>
      </c>
      <c r="AC63" s="2" t="str" cm="1">
        <f t="array" ref="AC63">_xlfn.IFS(Table1[[#This Row],[Others_Parties]] = "No", "None",
Table1[[#This Row],[Others_Parties]] = "co applicant", "Co-applicant",
Table1[[#This Row],[Others_Parties]] = "guarantor", "Guarantor")</f>
        <v>None</v>
      </c>
      <c r="AD63" s="13" t="s">
        <v>146</v>
      </c>
      <c r="AE63" s="2" t="s">
        <v>105</v>
      </c>
      <c r="AF63" s="28" t="str" cm="1">
        <f t="array" ref="AF6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63" s="21">
        <v>48</v>
      </c>
      <c r="AH63" s="2" t="s">
        <v>153</v>
      </c>
      <c r="AI63"/>
      <c r="AZ63"/>
      <c r="BC63"/>
      <c r="BE63"/>
      <c r="BL63"/>
      <c r="BZ63"/>
      <c r="CA63"/>
      <c r="CF63"/>
      <c r="CG63"/>
      <c r="CH63"/>
      <c r="CI63"/>
      <c r="CK63"/>
      <c r="CN63"/>
    </row>
    <row r="64" spans="1:92" x14ac:dyDescent="0.3">
      <c r="A64" s="4">
        <v>62</v>
      </c>
      <c r="B64" s="11">
        <v>46</v>
      </c>
      <c r="C64" s="2" t="str">
        <f>_xlfn.XLOOKUP(Table1[[#This Row],[Age]],Table7[Start_Age],Table7[Age_Range],,-1)</f>
        <v>39-49</v>
      </c>
      <c r="D64" t="s">
        <v>130</v>
      </c>
      <c r="E64" s="2" t="s">
        <v>129</v>
      </c>
      <c r="F64" s="2" t="s">
        <v>133</v>
      </c>
      <c r="G64" s="3">
        <v>2</v>
      </c>
      <c r="H64" s="13" t="s">
        <v>152</v>
      </c>
      <c r="I64" s="2" t="str" cm="1">
        <f t="array" ref="I64">_xlfn.IFS(Table1[[#This Row],[Job_Type]] = "unskilled resident", "Resident",
Table1[[#This Row],[Job_Type]] = "unemp/unskilled non res", "Non-resident",
TRUE, "Unknown")</f>
        <v>Unknown</v>
      </c>
      <c r="J64" s="2" t="s">
        <v>150</v>
      </c>
      <c r="K64" s="3">
        <v>4</v>
      </c>
      <c r="L64" s="2" t="s">
        <v>142</v>
      </c>
      <c r="M64" s="13" t="s">
        <v>151</v>
      </c>
      <c r="N64" t="s">
        <v>35</v>
      </c>
      <c r="O64" s="2" t="str">
        <f>_xlfn.XLOOKUP(Table1[[#This Row],[Checking_Acct_Status]],Table3[Checking_Acct_Original],Table3[Category])</f>
        <v>Negative Balance</v>
      </c>
      <c r="P64" s="10" t="s">
        <v>32</v>
      </c>
      <c r="Q64" s="13" t="str">
        <f>_xlfn.XLOOKUP(Table1[[#This Row],[Saving_Acct_Status]],Table5[Saving_Acct_Original],Table5[Category])</f>
        <v>Low Savings</v>
      </c>
      <c r="R64" t="s">
        <v>41</v>
      </c>
      <c r="S64" s="2" t="str">
        <f>IF(
      OR(Table1[[#This Row],[Job_Type]] = "high qualif/self emp/mgmt", Table1[[#This Row],[Job_Type]] = "skilled"),
      "Skilled", "Unskilled")</f>
        <v>Skilled</v>
      </c>
      <c r="T64" t="str">
        <f>IF(Table1[[#This Row],[Job_Type]] = "unemp/unskilled non res", "Unemployed", "Employed")</f>
        <v>Employed</v>
      </c>
      <c r="U64" t="s">
        <v>49</v>
      </c>
      <c r="V64" s="14" t="str" cm="1">
        <f t="array" ref="V6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4" t="s">
        <v>31</v>
      </c>
      <c r="X64" s="2" t="str">
        <f>_xlfn.XLOOKUP(Table1[[#This Row],[Loan_Credit_History]],Table4[Credit History],Table4[[ Category]])</f>
        <v>Existing Credits Paid</v>
      </c>
      <c r="Y64" s="3">
        <v>4</v>
      </c>
      <c r="Z64" s="3">
        <v>1</v>
      </c>
      <c r="AA64" s="5">
        <v>3931</v>
      </c>
      <c r="AB64" t="s">
        <v>151</v>
      </c>
      <c r="AC64" s="2" t="str" cm="1">
        <f t="array" ref="AC64">_xlfn.IFS(Table1[[#This Row],[Others_Parties]] = "No", "None",
Table1[[#This Row],[Others_Parties]] = "co applicant", "Co-applicant",
Table1[[#This Row],[Others_Parties]] = "guarantor", "Guarantor")</f>
        <v>None</v>
      </c>
      <c r="AD64" s="13" t="s">
        <v>145</v>
      </c>
      <c r="AE64" s="2" t="s">
        <v>141</v>
      </c>
      <c r="AF64" s="28" t="str" cm="1">
        <f t="array" ref="AF6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64" s="21">
        <v>48</v>
      </c>
      <c r="AH64" s="2" t="s">
        <v>153</v>
      </c>
      <c r="AI64"/>
      <c r="AZ64"/>
      <c r="BC64"/>
      <c r="BE64"/>
      <c r="BL64"/>
      <c r="BZ64"/>
      <c r="CA64"/>
      <c r="CF64"/>
      <c r="CG64"/>
      <c r="CH64"/>
      <c r="CI64"/>
      <c r="CK64"/>
      <c r="CN64"/>
    </row>
    <row r="65" spans="1:92" x14ac:dyDescent="0.3">
      <c r="A65" s="4">
        <v>63</v>
      </c>
      <c r="B65" s="11">
        <v>41</v>
      </c>
      <c r="C65" s="2" t="str">
        <f>_xlfn.XLOOKUP(Table1[[#This Row],[Age]],Table7[Start_Age],Table7[Age_Range],,-1)</f>
        <v>39-49</v>
      </c>
      <c r="D65" t="s">
        <v>130</v>
      </c>
      <c r="E65" s="2" t="s">
        <v>129</v>
      </c>
      <c r="F65" s="2" t="s">
        <v>133</v>
      </c>
      <c r="G65" s="3">
        <v>2</v>
      </c>
      <c r="H65" s="13" t="s">
        <v>152</v>
      </c>
      <c r="I65" s="2" t="str" cm="1">
        <f t="array" ref="I65">_xlfn.IFS(Table1[[#This Row],[Job_Type]] = "unskilled resident", "Resident",
Table1[[#This Row],[Job_Type]] = "unemp/unskilled non res", "Non-resident",
TRUE, "Unknown")</f>
        <v>Unknown</v>
      </c>
      <c r="J65" s="2" t="s">
        <v>148</v>
      </c>
      <c r="K65" s="3">
        <v>1</v>
      </c>
      <c r="L65" s="2" t="s">
        <v>140</v>
      </c>
      <c r="M65" s="13" t="s">
        <v>152</v>
      </c>
      <c r="N65" t="s">
        <v>30</v>
      </c>
      <c r="O65" s="2" t="str">
        <f>_xlfn.XLOOKUP(Table1[[#This Row],[Checking_Acct_Status]],Table3[Checking_Acct_Original],Table3[Category])</f>
        <v>Low Balance</v>
      </c>
      <c r="P65" s="10" t="s">
        <v>47</v>
      </c>
      <c r="Q65" s="13" t="str">
        <f>_xlfn.XLOOKUP(Table1[[#This Row],[Saving_Acct_Status]],Table5[Saving_Acct_Original],Table5[Category])</f>
        <v>No Savings</v>
      </c>
      <c r="R65" t="s">
        <v>41</v>
      </c>
      <c r="S65" s="2" t="str">
        <f>IF(
      OR(Table1[[#This Row],[Job_Type]] = "high qualif/self emp/mgmt", Table1[[#This Row],[Job_Type]] = "skilled"),
      "Skilled", "Unskilled")</f>
        <v>Skilled</v>
      </c>
      <c r="T65" t="str">
        <f>IF(Table1[[#This Row],[Job_Type]] = "unemp/unskilled non res", "Unemployed", "Employed")</f>
        <v>Employed</v>
      </c>
      <c r="U65" t="s">
        <v>49</v>
      </c>
      <c r="V65" s="14" t="str" cm="1">
        <f t="array" ref="V6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5" t="s">
        <v>31</v>
      </c>
      <c r="X65" s="2" t="str">
        <f>_xlfn.XLOOKUP(Table1[[#This Row],[Loan_Credit_History]],Table4[Credit History],Table4[[ Category]])</f>
        <v>Existing Credits Paid</v>
      </c>
      <c r="Y65" s="3">
        <v>4</v>
      </c>
      <c r="Z65" s="3">
        <v>2</v>
      </c>
      <c r="AA65" s="5">
        <v>3979</v>
      </c>
      <c r="AB65" t="s">
        <v>151</v>
      </c>
      <c r="AC65" s="2" t="str" cm="1">
        <f t="array" ref="AC65">_xlfn.IFS(Table1[[#This Row],[Others_Parties]] = "No", "None",
Table1[[#This Row],[Others_Parties]] = "co applicant", "Co-applicant",
Table1[[#This Row],[Others_Parties]] = "guarantor", "Guarantor")</f>
        <v>None</v>
      </c>
      <c r="AD65" s="13" t="s">
        <v>145</v>
      </c>
      <c r="AE65" s="2" t="s">
        <v>111</v>
      </c>
      <c r="AF65" s="28" t="str" cm="1">
        <f t="array" ref="AF6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65" s="21">
        <v>48</v>
      </c>
      <c r="AH65" s="2" t="s">
        <v>154</v>
      </c>
      <c r="AI65"/>
      <c r="AZ65"/>
      <c r="BC65"/>
      <c r="BE65"/>
      <c r="BL65"/>
      <c r="BZ65"/>
      <c r="CA65"/>
      <c r="CF65"/>
      <c r="CG65"/>
      <c r="CH65"/>
      <c r="CI65"/>
      <c r="CK65"/>
      <c r="CN65"/>
    </row>
    <row r="66" spans="1:92" x14ac:dyDescent="0.3">
      <c r="A66" s="4">
        <v>64</v>
      </c>
      <c r="B66" s="11">
        <v>24</v>
      </c>
      <c r="C66" s="2" t="str">
        <f>_xlfn.XLOOKUP(Table1[[#This Row],[Age]],Table7[Start_Age],Table7[Age_Range],,-1)</f>
        <v>19-29</v>
      </c>
      <c r="D66" t="s">
        <v>136</v>
      </c>
      <c r="E66" s="2" t="s">
        <v>131</v>
      </c>
      <c r="F66" s="2" t="s">
        <v>137</v>
      </c>
      <c r="G66" s="3">
        <v>1</v>
      </c>
      <c r="H66" s="13" t="s">
        <v>152</v>
      </c>
      <c r="I66" s="2" t="str" cm="1">
        <f t="array" ref="I66">_xlfn.IFS(Table1[[#This Row],[Job_Type]] = "unskilled resident", "Resident",
Table1[[#This Row],[Job_Type]] = "unemp/unskilled non res", "Non-resident",
TRUE, "Unknown")</f>
        <v>Unknown</v>
      </c>
      <c r="J66" s="2" t="s">
        <v>149</v>
      </c>
      <c r="K66" s="3">
        <v>4</v>
      </c>
      <c r="L66" s="2" t="s">
        <v>143</v>
      </c>
      <c r="M66" s="13" t="s">
        <v>151</v>
      </c>
      <c r="N66" t="s">
        <v>35</v>
      </c>
      <c r="O66" s="2" t="str">
        <f>_xlfn.XLOOKUP(Table1[[#This Row],[Checking_Acct_Status]],Table3[Checking_Acct_Original],Table3[Category])</f>
        <v>Negative Balance</v>
      </c>
      <c r="P66" s="10" t="s">
        <v>32</v>
      </c>
      <c r="Q66" s="13" t="str">
        <f>_xlfn.XLOOKUP(Table1[[#This Row],[Saving_Acct_Status]],Table5[Saving_Acct_Original],Table5[Category])</f>
        <v>Low Savings</v>
      </c>
      <c r="R66" t="s">
        <v>41</v>
      </c>
      <c r="S66" s="2" t="str">
        <f>IF(
      OR(Table1[[#This Row],[Job_Type]] = "high qualif/self emp/mgmt", Table1[[#This Row],[Job_Type]] = "skilled"),
      "Skilled", "Unskilled")</f>
        <v>Skilled</v>
      </c>
      <c r="T66" t="str">
        <f>IF(Table1[[#This Row],[Job_Type]] = "unemp/unskilled non res", "Unemployed", "Employed")</f>
        <v>Employed</v>
      </c>
      <c r="U66" t="s">
        <v>45</v>
      </c>
      <c r="V66" s="14" t="str" cm="1">
        <f t="array" ref="V6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6" t="s">
        <v>31</v>
      </c>
      <c r="X66" s="2" t="str">
        <f>_xlfn.XLOOKUP(Table1[[#This Row],[Loan_Credit_History]],Table4[Credit History],Table4[[ Category]])</f>
        <v>Existing Credits Paid</v>
      </c>
      <c r="Y66" s="3">
        <v>3</v>
      </c>
      <c r="Z66" s="3">
        <v>1</v>
      </c>
      <c r="AA66" s="5">
        <v>4308</v>
      </c>
      <c r="AB66" t="s">
        <v>151</v>
      </c>
      <c r="AC66" s="2" t="str" cm="1">
        <f t="array" ref="AC66">_xlfn.IFS(Table1[[#This Row],[Others_Parties]] = "No", "None",
Table1[[#This Row],[Others_Parties]] = "co applicant", "Co-applicant",
Table1[[#This Row],[Others_Parties]] = "guarantor", "Guarantor")</f>
        <v>None</v>
      </c>
      <c r="AD66" s="13" t="s">
        <v>145</v>
      </c>
      <c r="AE66" s="2" t="s">
        <v>105</v>
      </c>
      <c r="AF66" s="28" t="str" cm="1">
        <f t="array" ref="AF6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66" s="21">
        <v>48</v>
      </c>
      <c r="AH66" s="2" t="s">
        <v>153</v>
      </c>
      <c r="AI66"/>
      <c r="AZ66"/>
      <c r="BC66"/>
      <c r="BE66"/>
      <c r="BL66"/>
      <c r="BZ66"/>
      <c r="CA66"/>
      <c r="CF66"/>
      <c r="CG66"/>
      <c r="CH66"/>
      <c r="CI66"/>
      <c r="CK66"/>
      <c r="CN66"/>
    </row>
    <row r="67" spans="1:92" x14ac:dyDescent="0.3">
      <c r="A67" s="4">
        <v>65</v>
      </c>
      <c r="B67" s="11">
        <v>24</v>
      </c>
      <c r="C67" s="2" t="str">
        <f>_xlfn.XLOOKUP(Table1[[#This Row],[Age]],Table7[Start_Age],Table7[Age_Range],,-1)</f>
        <v>19-29</v>
      </c>
      <c r="D67" t="s">
        <v>130</v>
      </c>
      <c r="E67" s="2" t="s">
        <v>129</v>
      </c>
      <c r="F67" s="2" t="s">
        <v>133</v>
      </c>
      <c r="G67" s="3">
        <v>2</v>
      </c>
      <c r="H67" s="13" t="s">
        <v>152</v>
      </c>
      <c r="I67" s="2" t="str" cm="1">
        <f t="array" ref="I67">_xlfn.IFS(Table1[[#This Row],[Job_Type]] = "unskilled resident", "Resident",
Table1[[#This Row],[Job_Type]] = "unemp/unskilled non res", "Non-resident",
TRUE, "Unknown")</f>
        <v>Unknown</v>
      </c>
      <c r="J67" s="2" t="s">
        <v>150</v>
      </c>
      <c r="K67" s="3">
        <v>4</v>
      </c>
      <c r="L67" s="2" t="s">
        <v>142</v>
      </c>
      <c r="M67" s="13" t="s">
        <v>151</v>
      </c>
      <c r="N67" t="s">
        <v>35</v>
      </c>
      <c r="O67" s="2" t="str">
        <f>_xlfn.XLOOKUP(Table1[[#This Row],[Checking_Acct_Status]],Table3[Checking_Acct_Original],Table3[Category])</f>
        <v>Negative Balance</v>
      </c>
      <c r="P67" s="10" t="s">
        <v>32</v>
      </c>
      <c r="Q67" s="13" t="str">
        <f>_xlfn.XLOOKUP(Table1[[#This Row],[Saving_Acct_Status]],Table5[Saving_Acct_Original],Table5[Category])</f>
        <v>Low Savings</v>
      </c>
      <c r="R67" t="s">
        <v>41</v>
      </c>
      <c r="S67" s="2" t="str">
        <f>IF(
      OR(Table1[[#This Row],[Job_Type]] = "high qualif/self emp/mgmt", Table1[[#This Row],[Job_Type]] = "skilled"),
      "Skilled", "Unskilled")</f>
        <v>Skilled</v>
      </c>
      <c r="T67" t="str">
        <f>IF(Table1[[#This Row],[Job_Type]] = "unemp/unskilled non res", "Unemployed", "Employed")</f>
        <v>Employed</v>
      </c>
      <c r="U67" t="s">
        <v>38</v>
      </c>
      <c r="V67" s="14" t="str" cm="1">
        <f t="array" ref="V6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7" t="s">
        <v>52</v>
      </c>
      <c r="X67" s="2" t="str">
        <f>_xlfn.XLOOKUP(Table1[[#This Row],[Loan_Credit_History]],Table4[Credit History],Table4[[ Category]])</f>
        <v>No Credit History</v>
      </c>
      <c r="Y67" s="3">
        <v>3</v>
      </c>
      <c r="Z67" s="3">
        <v>2</v>
      </c>
      <c r="AA67" s="5">
        <v>4605</v>
      </c>
      <c r="AB67" t="s">
        <v>151</v>
      </c>
      <c r="AC67" s="2" t="str" cm="1">
        <f t="array" ref="AC67">_xlfn.IFS(Table1[[#This Row],[Others_Parties]] = "No", "None",
Table1[[#This Row],[Others_Parties]] = "co applicant", "Co-applicant",
Table1[[#This Row],[Others_Parties]] = "guarantor", "Guarantor")</f>
        <v>None</v>
      </c>
      <c r="AD67" s="13" t="s">
        <v>145</v>
      </c>
      <c r="AE67" s="2" t="s">
        <v>107</v>
      </c>
      <c r="AF67" s="28" t="str" cm="1">
        <f t="array" ref="AF6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67" s="21">
        <v>48</v>
      </c>
      <c r="AH67" s="2" t="s">
        <v>153</v>
      </c>
      <c r="AI67"/>
      <c r="AZ67"/>
      <c r="BC67"/>
      <c r="BE67"/>
      <c r="BL67"/>
      <c r="BZ67"/>
      <c r="CA67"/>
      <c r="CF67"/>
      <c r="CG67"/>
      <c r="CH67"/>
      <c r="CI67"/>
      <c r="CK67"/>
      <c r="CN67"/>
    </row>
    <row r="68" spans="1:92" x14ac:dyDescent="0.3">
      <c r="A68" s="4">
        <v>66</v>
      </c>
      <c r="B68" s="11">
        <v>26</v>
      </c>
      <c r="C68" s="2" t="str">
        <f>_xlfn.XLOOKUP(Table1[[#This Row],[Age]],Table7[Start_Age],Table7[Age_Range],,-1)</f>
        <v>19-29</v>
      </c>
      <c r="D68" t="s">
        <v>130</v>
      </c>
      <c r="E68" s="2" t="s">
        <v>129</v>
      </c>
      <c r="F68" s="2" t="s">
        <v>133</v>
      </c>
      <c r="G68" s="3">
        <v>2</v>
      </c>
      <c r="H68" s="13" t="s">
        <v>152</v>
      </c>
      <c r="I68" s="2" t="str" cm="1">
        <f t="array" ref="I68">_xlfn.IFS(Table1[[#This Row],[Job_Type]] = "unskilled resident", "Resident",
Table1[[#This Row],[Job_Type]] = "unemp/unskilled non res", "Non-resident",
TRUE, "Unknown")</f>
        <v>Unknown</v>
      </c>
      <c r="J68" s="2" t="s">
        <v>148</v>
      </c>
      <c r="K68" s="3">
        <v>3</v>
      </c>
      <c r="L68" s="2" t="s">
        <v>143</v>
      </c>
      <c r="M68" s="13" t="s">
        <v>151</v>
      </c>
      <c r="N68" t="s">
        <v>35</v>
      </c>
      <c r="O68" s="2" t="str">
        <f>_xlfn.XLOOKUP(Table1[[#This Row],[Checking_Acct_Status]],Table3[Checking_Acct_Original],Table3[Category])</f>
        <v>Negative Balance</v>
      </c>
      <c r="P68" s="10" t="s">
        <v>32</v>
      </c>
      <c r="Q68" s="13" t="str">
        <f>_xlfn.XLOOKUP(Table1[[#This Row],[Saving_Acct_Status]],Table5[Saving_Acct_Original],Table5[Category])</f>
        <v>Low Savings</v>
      </c>
      <c r="R68" t="s">
        <v>41</v>
      </c>
      <c r="S68" s="2" t="str">
        <f>IF(
      OR(Table1[[#This Row],[Job_Type]] = "high qualif/self emp/mgmt", Table1[[#This Row],[Job_Type]] = "skilled"),
      "Skilled", "Unskilled")</f>
        <v>Skilled</v>
      </c>
      <c r="T68" t="str">
        <f>IF(Table1[[#This Row],[Job_Type]] = "unemp/unskilled non res", "Unemployed", "Employed")</f>
        <v>Employed</v>
      </c>
      <c r="U68" t="s">
        <v>49</v>
      </c>
      <c r="V68" s="14" t="str" cm="1">
        <f t="array" ref="V6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8" t="s">
        <v>31</v>
      </c>
      <c r="X68" s="2" t="str">
        <f>_xlfn.XLOOKUP(Table1[[#This Row],[Loan_Credit_History]],Table4[Credit History],Table4[[ Category]])</f>
        <v>Existing Credits Paid</v>
      </c>
      <c r="Y68" s="3">
        <v>4</v>
      </c>
      <c r="Z68" s="3">
        <v>1</v>
      </c>
      <c r="AA68" s="5">
        <v>4788</v>
      </c>
      <c r="AB68" t="s">
        <v>151</v>
      </c>
      <c r="AC68" s="2" t="str" cm="1">
        <f t="array" ref="AC68">_xlfn.IFS(Table1[[#This Row],[Others_Parties]] = "No", "None",
Table1[[#This Row],[Others_Parties]] = "co applicant", "Co-applicant",
Table1[[#This Row],[Others_Parties]] = "guarantor", "Guarantor")</f>
        <v>None</v>
      </c>
      <c r="AD68" s="13" t="s">
        <v>145</v>
      </c>
      <c r="AE68" s="2" t="s">
        <v>107</v>
      </c>
      <c r="AF68" s="28" t="str" cm="1">
        <f t="array" ref="AF6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68" s="21">
        <v>48</v>
      </c>
      <c r="AH68" s="2" t="s">
        <v>154</v>
      </c>
      <c r="AI68"/>
      <c r="AZ68"/>
      <c r="BC68"/>
      <c r="BE68"/>
      <c r="BL68"/>
      <c r="BZ68"/>
      <c r="CA68"/>
      <c r="CF68"/>
      <c r="CG68"/>
      <c r="CH68"/>
      <c r="CI68"/>
      <c r="CK68"/>
      <c r="CN68"/>
    </row>
    <row r="69" spans="1:92" x14ac:dyDescent="0.3">
      <c r="A69" s="4">
        <v>67</v>
      </c>
      <c r="B69" s="11">
        <v>33</v>
      </c>
      <c r="C69" s="2" t="str">
        <f>_xlfn.XLOOKUP(Table1[[#This Row],[Age]],Table7[Start_Age],Table7[Age_Range],,-1)</f>
        <v>29-39</v>
      </c>
      <c r="D69" t="s">
        <v>130</v>
      </c>
      <c r="E69" s="2" t="s">
        <v>129</v>
      </c>
      <c r="F69" s="2" t="s">
        <v>133</v>
      </c>
      <c r="G69" s="3">
        <v>1</v>
      </c>
      <c r="H69" s="13" t="s">
        <v>152</v>
      </c>
      <c r="I69" s="2" t="str" cm="1">
        <f t="array" ref="I69">_xlfn.IFS(Table1[[#This Row],[Job_Type]] = "unskilled resident", "Resident",
Table1[[#This Row],[Job_Type]] = "unemp/unskilled non res", "Non-resident",
TRUE, "Unknown")</f>
        <v>Unknown</v>
      </c>
      <c r="J69" s="2" t="s">
        <v>149</v>
      </c>
      <c r="K69" s="3">
        <v>2</v>
      </c>
      <c r="L69" s="2" t="s">
        <v>140</v>
      </c>
      <c r="M69" s="13" t="s">
        <v>152</v>
      </c>
      <c r="N69" t="s">
        <v>17</v>
      </c>
      <c r="O69" s="2" t="str">
        <f>_xlfn.XLOOKUP(Table1[[#This Row],[Checking_Acct_Status]],Table3[Checking_Acct_Original],Table3[Category])</f>
        <v>No Account</v>
      </c>
      <c r="P69" s="10" t="s">
        <v>32</v>
      </c>
      <c r="Q69" s="13" t="str">
        <f>_xlfn.XLOOKUP(Table1[[#This Row],[Saving_Acct_Status]],Table5[Saving_Acct_Original],Table5[Category])</f>
        <v>Low Savings</v>
      </c>
      <c r="R69" t="s">
        <v>63</v>
      </c>
      <c r="S69" s="2" t="str">
        <f>IF(
      OR(Table1[[#This Row],[Job_Type]] = "high qualif/self emp/mgmt", Table1[[#This Row],[Job_Type]] = "skilled"),
      "Skilled", "Unskilled")</f>
        <v>Skilled</v>
      </c>
      <c r="T69" t="str">
        <f>IF(Table1[[#This Row],[Job_Type]] = "unemp/unskilled non res", "Unemployed", "Employed")</f>
        <v>Employed</v>
      </c>
      <c r="U69" t="s">
        <v>54</v>
      </c>
      <c r="V69" s="14" t="str" cm="1">
        <f t="array" ref="V69">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69" t="s">
        <v>31</v>
      </c>
      <c r="X69" s="2" t="str">
        <f>_xlfn.XLOOKUP(Table1[[#This Row],[Loan_Credit_History]],Table4[Credit History],Table4[[ Category]])</f>
        <v>Existing Credits Paid</v>
      </c>
      <c r="Y69" s="3">
        <v>3</v>
      </c>
      <c r="Z69" s="3">
        <v>1</v>
      </c>
      <c r="AA69" s="5">
        <v>4844</v>
      </c>
      <c r="AB69" t="s">
        <v>151</v>
      </c>
      <c r="AC69" s="2" t="str" cm="1">
        <f t="array" ref="AC69">_xlfn.IFS(Table1[[#This Row],[Others_Parties]] = "No", "None",
Table1[[#This Row],[Others_Parties]] = "co applicant", "Co-applicant",
Table1[[#This Row],[Others_Parties]] = "guarantor", "Guarantor")</f>
        <v>None</v>
      </c>
      <c r="AD69" s="13" t="s">
        <v>146</v>
      </c>
      <c r="AE69" s="2" t="s">
        <v>105</v>
      </c>
      <c r="AF69" s="28" t="str" cm="1">
        <f t="array" ref="AF6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69" s="21">
        <v>48</v>
      </c>
      <c r="AH69" s="2" t="s">
        <v>153</v>
      </c>
      <c r="AI69"/>
      <c r="AZ69"/>
      <c r="BC69"/>
      <c r="BE69"/>
      <c r="BL69"/>
      <c r="BZ69"/>
      <c r="CA69"/>
      <c r="CF69"/>
      <c r="CG69"/>
      <c r="CH69"/>
      <c r="CI69"/>
      <c r="CK69"/>
      <c r="CN69"/>
    </row>
    <row r="70" spans="1:92" x14ac:dyDescent="0.3">
      <c r="A70" s="4">
        <v>68</v>
      </c>
      <c r="B70" s="11">
        <v>30</v>
      </c>
      <c r="C70" s="2" t="str">
        <f>_xlfn.XLOOKUP(Table1[[#This Row],[Age]],Table7[Start_Age],Table7[Age_Range],,-1)</f>
        <v>29-39</v>
      </c>
      <c r="D70" t="s">
        <v>136</v>
      </c>
      <c r="E70" s="2" t="s">
        <v>131</v>
      </c>
      <c r="F70" s="2" t="s">
        <v>137</v>
      </c>
      <c r="G70" s="3">
        <v>1</v>
      </c>
      <c r="H70" s="13" t="s">
        <v>152</v>
      </c>
      <c r="I70" s="2" t="str" cm="1">
        <f t="array" ref="I70">_xlfn.IFS(Table1[[#This Row],[Job_Type]] = "unskilled resident", "Resident",
Table1[[#This Row],[Job_Type]] = "unemp/unskilled non res", "Non-resident",
TRUE, "Unknown")</f>
        <v>Unknown</v>
      </c>
      <c r="J70" s="2" t="s">
        <v>148</v>
      </c>
      <c r="K70" s="3">
        <v>3</v>
      </c>
      <c r="L70" s="2" t="s">
        <v>140</v>
      </c>
      <c r="M70" s="13" t="s">
        <v>152</v>
      </c>
      <c r="N70" t="s">
        <v>30</v>
      </c>
      <c r="O70" s="2" t="str">
        <f>_xlfn.XLOOKUP(Table1[[#This Row],[Checking_Acct_Status]],Table3[Checking_Acct_Original],Table3[Category])</f>
        <v>Low Balance</v>
      </c>
      <c r="P70" s="10" t="s">
        <v>32</v>
      </c>
      <c r="Q70" s="13" t="str">
        <f>_xlfn.XLOOKUP(Table1[[#This Row],[Saving_Acct_Status]],Table5[Saving_Acct_Original],Table5[Category])</f>
        <v>Low Savings</v>
      </c>
      <c r="R70" t="s">
        <v>63</v>
      </c>
      <c r="S70" s="2" t="str">
        <f>IF(
      OR(Table1[[#This Row],[Job_Type]] = "high qualif/self emp/mgmt", Table1[[#This Row],[Job_Type]] = "skilled"),
      "Skilled", "Unskilled")</f>
        <v>Skilled</v>
      </c>
      <c r="T70" t="str">
        <f>IF(Table1[[#This Row],[Job_Type]] = "unemp/unskilled non res", "Unemployed", "Employed")</f>
        <v>Employed</v>
      </c>
      <c r="U70" t="s">
        <v>21</v>
      </c>
      <c r="V70" s="14" t="str" cm="1">
        <f t="array" ref="V7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0" t="s">
        <v>103</v>
      </c>
      <c r="X70" s="2" t="str">
        <f>_xlfn.XLOOKUP(Table1[[#This Row],[Loan_Credit_History]],Table4[Credit History],Table4[[ Category]])</f>
        <v>Critical Credit History</v>
      </c>
      <c r="Y70" s="3">
        <v>2</v>
      </c>
      <c r="Z70" s="3">
        <v>1</v>
      </c>
      <c r="AA70" s="5">
        <v>5096</v>
      </c>
      <c r="AB70" t="s">
        <v>151</v>
      </c>
      <c r="AC70" s="2" t="str" cm="1">
        <f t="array" ref="AC70">_xlfn.IFS(Table1[[#This Row],[Others_Parties]] = "No", "None",
Table1[[#This Row],[Others_Parties]] = "co applicant", "Co-applicant",
Table1[[#This Row],[Others_Parties]] = "guarantor", "Guarantor")</f>
        <v>None</v>
      </c>
      <c r="AD70" s="13" t="s">
        <v>145</v>
      </c>
      <c r="AE70" s="2" t="s">
        <v>108</v>
      </c>
      <c r="AF70" s="28" t="str" cm="1">
        <f t="array" ref="AF7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70" s="21">
        <v>48</v>
      </c>
      <c r="AH70" s="2" t="s">
        <v>153</v>
      </c>
      <c r="AI70"/>
      <c r="AZ70"/>
      <c r="BC70"/>
      <c r="BE70"/>
      <c r="BL70"/>
      <c r="BZ70"/>
      <c r="CA70"/>
      <c r="CF70"/>
      <c r="CG70"/>
      <c r="CH70"/>
      <c r="CI70"/>
      <c r="CK70"/>
      <c r="CN70"/>
    </row>
    <row r="71" spans="1:92" x14ac:dyDescent="0.3">
      <c r="A71" s="4">
        <v>69</v>
      </c>
      <c r="B71" s="11">
        <v>40</v>
      </c>
      <c r="C71" s="2" t="str">
        <f>_xlfn.XLOOKUP(Table1[[#This Row],[Age]],Table7[Start_Age],Table7[Age_Range],,-1)</f>
        <v>39-49</v>
      </c>
      <c r="D71" t="s">
        <v>130</v>
      </c>
      <c r="E71" s="2" t="s">
        <v>129</v>
      </c>
      <c r="F71" s="2" t="s">
        <v>133</v>
      </c>
      <c r="G71" s="3">
        <v>1</v>
      </c>
      <c r="H71" s="13" t="s">
        <v>152</v>
      </c>
      <c r="I71" s="2" t="str" cm="1">
        <f t="array" ref="I71">_xlfn.IFS(Table1[[#This Row],[Job_Type]] = "unskilled resident", "Resident",
Table1[[#This Row],[Job_Type]] = "unemp/unskilled non res", "Non-resident",
TRUE, "Unknown")</f>
        <v>Non-resident</v>
      </c>
      <c r="J71" s="2" t="s">
        <v>150</v>
      </c>
      <c r="K71" s="3">
        <v>4</v>
      </c>
      <c r="L71" s="2" t="s">
        <v>142</v>
      </c>
      <c r="M71" s="13" t="s">
        <v>152</v>
      </c>
      <c r="N71" t="s">
        <v>30</v>
      </c>
      <c r="O71" s="2" t="str">
        <f>_xlfn.XLOOKUP(Table1[[#This Row],[Checking_Acct_Status]],Table3[Checking_Acct_Original],Table3[Category])</f>
        <v>Low Balance</v>
      </c>
      <c r="P71" s="10" t="s">
        <v>47</v>
      </c>
      <c r="Q71" s="13" t="str">
        <f>_xlfn.XLOOKUP(Table1[[#This Row],[Saving_Acct_Status]],Table5[Saving_Acct_Original],Table5[Category])</f>
        <v>No Savings</v>
      </c>
      <c r="R71" t="s">
        <v>62</v>
      </c>
      <c r="S71" s="2" t="str">
        <f>IF(
      OR(Table1[[#This Row],[Job_Type]] = "high qualif/self emp/mgmt", Table1[[#This Row],[Job_Type]] = "skilled"),
      "Skilled", "Unskilled")</f>
        <v>Unskilled</v>
      </c>
      <c r="T71" t="str">
        <f>IF(Table1[[#This Row],[Job_Type]] = "unemp/unskilled non res", "Unemployed", "Employed")</f>
        <v>Unemployed</v>
      </c>
      <c r="U71" t="s">
        <v>54</v>
      </c>
      <c r="V71" s="14" t="str" cm="1">
        <f t="array" ref="V71">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71" t="s">
        <v>31</v>
      </c>
      <c r="X71" s="2" t="str">
        <f>_xlfn.XLOOKUP(Table1[[#This Row],[Loan_Credit_History]],Table4[Credit History],Table4[[ Category]])</f>
        <v>Existing Credits Paid</v>
      </c>
      <c r="Y71" s="3">
        <v>3</v>
      </c>
      <c r="Z71" s="3">
        <v>1</v>
      </c>
      <c r="AA71" s="5">
        <v>5381</v>
      </c>
      <c r="AB71" t="s">
        <v>151</v>
      </c>
      <c r="AC71" s="2" t="str" cm="1">
        <f t="array" ref="AC71">_xlfn.IFS(Table1[[#This Row],[Others_Parties]] = "No", "None",
Table1[[#This Row],[Others_Parties]] = "co applicant", "Co-applicant",
Table1[[#This Row],[Others_Parties]] = "guarantor", "Guarantor")</f>
        <v>None</v>
      </c>
      <c r="AD71" s="13" t="s">
        <v>146</v>
      </c>
      <c r="AE71" s="2" t="s">
        <v>104</v>
      </c>
      <c r="AF71" s="28" t="str" cm="1">
        <f t="array" ref="AF7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71" s="21">
        <v>48</v>
      </c>
      <c r="AH71" s="2" t="s">
        <v>154</v>
      </c>
      <c r="AI71"/>
      <c r="AZ71"/>
      <c r="BC71"/>
      <c r="BE71"/>
      <c r="BL71"/>
      <c r="BZ71"/>
      <c r="CA71"/>
      <c r="CF71"/>
      <c r="CG71"/>
      <c r="CH71"/>
      <c r="CI71"/>
      <c r="CK71"/>
      <c r="CN71"/>
    </row>
    <row r="72" spans="1:92" x14ac:dyDescent="0.3">
      <c r="A72" s="4">
        <v>70</v>
      </c>
      <c r="B72" s="11">
        <v>22</v>
      </c>
      <c r="C72" s="2" t="str">
        <f>_xlfn.XLOOKUP(Table1[[#This Row],[Age]],Table7[Start_Age],Table7[Age_Range],,-1)</f>
        <v>19-29</v>
      </c>
      <c r="D72" t="s">
        <v>136</v>
      </c>
      <c r="E72" s="2" t="s">
        <v>131</v>
      </c>
      <c r="F72" s="2" t="s">
        <v>137</v>
      </c>
      <c r="G72" s="3">
        <v>1</v>
      </c>
      <c r="H72" s="13" t="s">
        <v>152</v>
      </c>
      <c r="I72" s="2" t="str" cm="1">
        <f t="array" ref="I72">_xlfn.IFS(Table1[[#This Row],[Job_Type]] = "unskilled resident", "Resident",
Table1[[#This Row],[Job_Type]] = "unemp/unskilled non res", "Non-resident",
TRUE, "Unknown")</f>
        <v>Unknown</v>
      </c>
      <c r="J72" s="2" t="s">
        <v>148</v>
      </c>
      <c r="K72" s="3">
        <v>2</v>
      </c>
      <c r="L72" s="2" t="s">
        <v>144</v>
      </c>
      <c r="M72" s="13" t="s">
        <v>151</v>
      </c>
      <c r="N72" t="s">
        <v>30</v>
      </c>
      <c r="O72" s="2" t="str">
        <f>_xlfn.XLOOKUP(Table1[[#This Row],[Checking_Acct_Status]],Table3[Checking_Acct_Original],Table3[Category])</f>
        <v>Low Balance</v>
      </c>
      <c r="P72" s="10" t="s">
        <v>32</v>
      </c>
      <c r="Q72" s="13" t="str">
        <f>_xlfn.XLOOKUP(Table1[[#This Row],[Saving_Acct_Status]],Table5[Saving_Acct_Original],Table5[Category])</f>
        <v>Low Savings</v>
      </c>
      <c r="R72" t="s">
        <v>41</v>
      </c>
      <c r="S72" s="2" t="str">
        <f>IF(
      OR(Table1[[#This Row],[Job_Type]] = "high qualif/self emp/mgmt", Table1[[#This Row],[Job_Type]] = "skilled"),
      "Skilled", "Unskilled")</f>
        <v>Skilled</v>
      </c>
      <c r="T72" t="str">
        <f>IF(Table1[[#This Row],[Job_Type]] = "unemp/unskilled non res", "Unemployed", "Employed")</f>
        <v>Employed</v>
      </c>
      <c r="U72" t="s">
        <v>21</v>
      </c>
      <c r="V72" s="14" t="str" cm="1">
        <f t="array" ref="V7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2" t="s">
        <v>31</v>
      </c>
      <c r="X72" s="2" t="str">
        <f>_xlfn.XLOOKUP(Table1[[#This Row],[Loan_Credit_History]],Table4[Credit History],Table4[[ Category]])</f>
        <v>Existing Credits Paid</v>
      </c>
      <c r="Y72" s="3">
        <v>2</v>
      </c>
      <c r="Z72" s="3">
        <v>1</v>
      </c>
      <c r="AA72" s="5">
        <v>5951</v>
      </c>
      <c r="AB72" t="s">
        <v>151</v>
      </c>
      <c r="AC72" s="2" t="str" cm="1">
        <f t="array" ref="AC72">_xlfn.IFS(Table1[[#This Row],[Others_Parties]] = "No", "None",
Table1[[#This Row],[Others_Parties]] = "co applicant", "Co-applicant",
Table1[[#This Row],[Others_Parties]] = "guarantor", "Guarantor")</f>
        <v>None</v>
      </c>
      <c r="AD72" s="13" t="s">
        <v>145</v>
      </c>
      <c r="AE72" s="2" t="s">
        <v>111</v>
      </c>
      <c r="AF72" s="28" t="str" cm="1">
        <f t="array" ref="AF7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72" s="21">
        <v>48</v>
      </c>
      <c r="AH72" s="2" t="s">
        <v>153</v>
      </c>
      <c r="AI72"/>
      <c r="AZ72"/>
      <c r="BC72"/>
      <c r="BE72"/>
      <c r="BL72"/>
      <c r="BZ72"/>
      <c r="CA72"/>
      <c r="CF72"/>
      <c r="CG72"/>
      <c r="CH72"/>
      <c r="CI72"/>
      <c r="CK72"/>
      <c r="CN72"/>
    </row>
    <row r="73" spans="1:92" x14ac:dyDescent="0.3">
      <c r="A73" s="4">
        <v>71</v>
      </c>
      <c r="B73" s="11">
        <v>31</v>
      </c>
      <c r="C73" s="2" t="str">
        <f>_xlfn.XLOOKUP(Table1[[#This Row],[Age]],Table7[Start_Age],Table7[Age_Range],,-1)</f>
        <v>29-39</v>
      </c>
      <c r="D73" t="s">
        <v>130</v>
      </c>
      <c r="E73" s="2" t="s">
        <v>129</v>
      </c>
      <c r="F73" s="2" t="s">
        <v>133</v>
      </c>
      <c r="G73" s="3">
        <v>1</v>
      </c>
      <c r="H73" s="13" t="s">
        <v>152</v>
      </c>
      <c r="I73" s="2" t="str" cm="1">
        <f t="array" ref="I73">_xlfn.IFS(Table1[[#This Row],[Job_Type]] = "unskilled resident", "Resident",
Table1[[#This Row],[Job_Type]] = "unemp/unskilled non res", "Non-resident",
TRUE, "Unknown")</f>
        <v>Unknown</v>
      </c>
      <c r="J73" s="2" t="s">
        <v>150</v>
      </c>
      <c r="K73" s="3">
        <v>3</v>
      </c>
      <c r="L73" s="2" t="s">
        <v>142</v>
      </c>
      <c r="M73" s="13" t="s">
        <v>152</v>
      </c>
      <c r="N73" t="s">
        <v>17</v>
      </c>
      <c r="O73" s="2" t="str">
        <f>_xlfn.XLOOKUP(Table1[[#This Row],[Checking_Acct_Status]],Table3[Checking_Acct_Original],Table3[Category])</f>
        <v>No Account</v>
      </c>
      <c r="P73" s="10" t="s">
        <v>32</v>
      </c>
      <c r="Q73" s="13" t="str">
        <f>_xlfn.XLOOKUP(Table1[[#This Row],[Saving_Acct_Status]],Table5[Saving_Acct_Original],Table5[Category])</f>
        <v>Low Savings</v>
      </c>
      <c r="R73" t="s">
        <v>41</v>
      </c>
      <c r="S73" s="2" t="str">
        <f>IF(
      OR(Table1[[#This Row],[Job_Type]] = "high qualif/self emp/mgmt", Table1[[#This Row],[Job_Type]] = "skilled"),
      "Skilled", "Unskilled")</f>
        <v>Skilled</v>
      </c>
      <c r="T73" t="str">
        <f>IF(Table1[[#This Row],[Job_Type]] = "unemp/unskilled non res", "Unemployed", "Employed")</f>
        <v>Employed</v>
      </c>
      <c r="U73" t="s">
        <v>21</v>
      </c>
      <c r="V73" s="14" t="str" cm="1">
        <f t="array" ref="V7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3" t="s">
        <v>103</v>
      </c>
      <c r="X73" s="2" t="str">
        <f>_xlfn.XLOOKUP(Table1[[#This Row],[Loan_Credit_History]],Table4[Credit History],Table4[[ Category]])</f>
        <v>Critical Credit History</v>
      </c>
      <c r="Y73" s="3">
        <v>1</v>
      </c>
      <c r="Z73" s="3">
        <v>1</v>
      </c>
      <c r="AA73" s="5">
        <v>6110</v>
      </c>
      <c r="AB73" t="s">
        <v>151</v>
      </c>
      <c r="AC73" s="2" t="str" cm="1">
        <f t="array" ref="AC73">_xlfn.IFS(Table1[[#This Row],[Others_Parties]] = "No", "None",
Table1[[#This Row],[Others_Parties]] = "co applicant", "Co-applicant",
Table1[[#This Row],[Others_Parties]] = "guarantor", "Guarantor")</f>
        <v>None</v>
      </c>
      <c r="AD73" s="13" t="s">
        <v>146</v>
      </c>
      <c r="AE73" s="2" t="s">
        <v>100</v>
      </c>
      <c r="AF73" s="28" t="str" cm="1">
        <f t="array" ref="AF7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73" s="21">
        <v>48</v>
      </c>
      <c r="AH73" s="2" t="s">
        <v>154</v>
      </c>
      <c r="AI73"/>
      <c r="AZ73"/>
      <c r="BC73"/>
      <c r="BE73"/>
      <c r="BL73"/>
      <c r="BZ73"/>
      <c r="CA73"/>
      <c r="CF73"/>
      <c r="CG73"/>
      <c r="CH73"/>
      <c r="CI73"/>
      <c r="CK73"/>
      <c r="CN73"/>
    </row>
    <row r="74" spans="1:92" x14ac:dyDescent="0.3">
      <c r="A74" s="4">
        <v>72</v>
      </c>
      <c r="B74" s="11">
        <v>58</v>
      </c>
      <c r="C74" s="2" t="str">
        <f>_xlfn.XLOOKUP(Table1[[#This Row],[Age]],Table7[Start_Age],Table7[Age_Range],,-1)</f>
        <v>49-59</v>
      </c>
      <c r="D74" t="s">
        <v>136</v>
      </c>
      <c r="E74" s="2" t="s">
        <v>131</v>
      </c>
      <c r="F74" s="2" t="s">
        <v>137</v>
      </c>
      <c r="G74" s="3">
        <v>1</v>
      </c>
      <c r="H74" s="13" t="s">
        <v>152</v>
      </c>
      <c r="I74" s="2" t="str" cm="1">
        <f t="array" ref="I74">_xlfn.IFS(Table1[[#This Row],[Job_Type]] = "unskilled resident", "Resident",
Table1[[#This Row],[Job_Type]] = "unemp/unskilled non res", "Non-resident",
TRUE, "Unknown")</f>
        <v>Resident</v>
      </c>
      <c r="J74" s="2" t="s">
        <v>150</v>
      </c>
      <c r="K74" s="3">
        <v>4</v>
      </c>
      <c r="L74" s="2" t="s">
        <v>142</v>
      </c>
      <c r="M74" s="13" t="s">
        <v>151</v>
      </c>
      <c r="N74" t="s">
        <v>35</v>
      </c>
      <c r="O74" s="2" t="str">
        <f>_xlfn.XLOOKUP(Table1[[#This Row],[Checking_Acct_Status]],Table3[Checking_Acct_Original],Table3[Category])</f>
        <v>Negative Balance</v>
      </c>
      <c r="P74" s="10" t="s">
        <v>32</v>
      </c>
      <c r="Q74" s="13" t="str">
        <f>_xlfn.XLOOKUP(Table1[[#This Row],[Saving_Acct_Status]],Table5[Saving_Acct_Original],Table5[Category])</f>
        <v>Low Savings</v>
      </c>
      <c r="R74" t="s">
        <v>27</v>
      </c>
      <c r="S74" s="2" t="str">
        <f>IF(
      OR(Table1[[#This Row],[Job_Type]] = "high qualif/self emp/mgmt", Table1[[#This Row],[Job_Type]] = "skilled"),
      "Skilled", "Unskilled")</f>
        <v>Unskilled</v>
      </c>
      <c r="T74" t="str">
        <f>IF(Table1[[#This Row],[Job_Type]] = "unemp/unskilled non res", "Unemployed", "Employed")</f>
        <v>Employed</v>
      </c>
      <c r="U74" t="s">
        <v>38</v>
      </c>
      <c r="V74" s="14" t="str" cm="1">
        <f t="array" ref="V7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4" t="s">
        <v>103</v>
      </c>
      <c r="X74" s="2" t="str">
        <f>_xlfn.XLOOKUP(Table1[[#This Row],[Loan_Credit_History]],Table4[Credit History],Table4[[ Category]])</f>
        <v>Critical Credit History</v>
      </c>
      <c r="Y74" s="3">
        <v>4</v>
      </c>
      <c r="Z74" s="3">
        <v>2</v>
      </c>
      <c r="AA74" s="5">
        <v>6143</v>
      </c>
      <c r="AB74" t="s">
        <v>151</v>
      </c>
      <c r="AC74" s="2" t="str" cm="1">
        <f t="array" ref="AC74">_xlfn.IFS(Table1[[#This Row],[Others_Parties]] = "No", "None",
Table1[[#This Row],[Others_Parties]] = "co applicant", "Co-applicant",
Table1[[#This Row],[Others_Parties]] = "guarantor", "Guarantor")</f>
        <v>None</v>
      </c>
      <c r="AD74" s="13" t="s">
        <v>147</v>
      </c>
      <c r="AE74" s="2" t="s">
        <v>107</v>
      </c>
      <c r="AF74" s="28" t="str" cm="1">
        <f t="array" ref="AF7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74" s="21">
        <v>48</v>
      </c>
      <c r="AH74" s="2" t="s">
        <v>153</v>
      </c>
      <c r="AI74"/>
      <c r="AZ74"/>
      <c r="BC74"/>
      <c r="BE74"/>
      <c r="BL74"/>
      <c r="BZ74"/>
      <c r="CA74"/>
      <c r="CF74"/>
      <c r="CG74"/>
      <c r="CH74"/>
      <c r="CI74"/>
      <c r="CK74"/>
      <c r="CN74"/>
    </row>
    <row r="75" spans="1:92" x14ac:dyDescent="0.3">
      <c r="A75" s="4">
        <v>73</v>
      </c>
      <c r="B75" s="11">
        <v>50</v>
      </c>
      <c r="C75" s="2" t="str">
        <f>_xlfn.XLOOKUP(Table1[[#This Row],[Age]],Table7[Start_Age],Table7[Age_Range],,-1)</f>
        <v>49-59</v>
      </c>
      <c r="D75" t="s">
        <v>130</v>
      </c>
      <c r="E75" s="2" t="s">
        <v>129</v>
      </c>
      <c r="F75" s="2" t="s">
        <v>133</v>
      </c>
      <c r="G75" s="3">
        <v>1</v>
      </c>
      <c r="H75" s="13" t="s">
        <v>152</v>
      </c>
      <c r="I75" s="2" t="str" cm="1">
        <f t="array" ref="I75">_xlfn.IFS(Table1[[#This Row],[Job_Type]] = "unskilled resident", "Resident",
Table1[[#This Row],[Job_Type]] = "unemp/unskilled non res", "Non-resident",
TRUE, "Unknown")</f>
        <v>Unknown</v>
      </c>
      <c r="J75" s="2" t="s">
        <v>150</v>
      </c>
      <c r="K75" s="3">
        <v>4</v>
      </c>
      <c r="L75" s="2" t="s">
        <v>142</v>
      </c>
      <c r="M75" s="13" t="s">
        <v>151</v>
      </c>
      <c r="N75" t="s">
        <v>30</v>
      </c>
      <c r="O75" s="2" t="str">
        <f>_xlfn.XLOOKUP(Table1[[#This Row],[Checking_Acct_Status]],Table3[Checking_Acct_Original],Table3[Category])</f>
        <v>Low Balance</v>
      </c>
      <c r="P75" s="10" t="s">
        <v>32</v>
      </c>
      <c r="Q75" s="13" t="str">
        <f>_xlfn.XLOOKUP(Table1[[#This Row],[Saving_Acct_Status]],Table5[Saving_Acct_Original],Table5[Category])</f>
        <v>Low Savings</v>
      </c>
      <c r="R75" t="s">
        <v>41</v>
      </c>
      <c r="S75" s="2" t="str">
        <f>IF(
      OR(Table1[[#This Row],[Job_Type]] = "high qualif/self emp/mgmt", Table1[[#This Row],[Job_Type]] = "skilled"),
      "Skilled", "Unskilled")</f>
        <v>Skilled</v>
      </c>
      <c r="T75" t="str">
        <f>IF(Table1[[#This Row],[Job_Type]] = "unemp/unskilled non res", "Unemployed", "Employed")</f>
        <v>Employed</v>
      </c>
      <c r="U75" t="s">
        <v>38</v>
      </c>
      <c r="V75" s="14" t="str" cm="1">
        <f t="array" ref="V7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5" t="s">
        <v>59</v>
      </c>
      <c r="X75" s="2" t="str">
        <f>_xlfn.XLOOKUP(Table1[[#This Row],[Loan_Credit_History]],Table4[Credit History],Table4[[ Category]])</f>
        <v>Previously Delayed</v>
      </c>
      <c r="Y75" s="3">
        <v>4</v>
      </c>
      <c r="Z75" s="3">
        <v>1</v>
      </c>
      <c r="AA75" s="5">
        <v>6224</v>
      </c>
      <c r="AB75" t="s">
        <v>151</v>
      </c>
      <c r="AC75" s="2" t="str" cm="1">
        <f t="array" ref="AC75">_xlfn.IFS(Table1[[#This Row],[Others_Parties]] = "No", "None",
Table1[[#This Row],[Others_Parties]] = "co applicant", "Co-applicant",
Table1[[#This Row],[Others_Parties]] = "guarantor", "Guarantor")</f>
        <v>None</v>
      </c>
      <c r="AD75" s="13" t="s">
        <v>145</v>
      </c>
      <c r="AE75" s="2" t="s">
        <v>100</v>
      </c>
      <c r="AF75" s="28" t="str" cm="1">
        <f t="array" ref="AF7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75" s="21">
        <v>48</v>
      </c>
      <c r="AH75" s="2" t="s">
        <v>153</v>
      </c>
      <c r="AI75"/>
      <c r="AZ75"/>
      <c r="BC75"/>
      <c r="BE75"/>
      <c r="BL75"/>
      <c r="BZ75"/>
      <c r="CA75"/>
      <c r="CF75"/>
      <c r="CG75"/>
      <c r="CH75"/>
      <c r="CI75"/>
      <c r="CK75"/>
      <c r="CN75"/>
    </row>
    <row r="76" spans="1:92" x14ac:dyDescent="0.3">
      <c r="A76" s="4">
        <v>74</v>
      </c>
      <c r="B76" s="11">
        <v>46</v>
      </c>
      <c r="C76" s="2" t="str">
        <f>_xlfn.XLOOKUP(Table1[[#This Row],[Age]],Table7[Start_Age],Table7[Age_Range],,-1)</f>
        <v>39-49</v>
      </c>
      <c r="D76" t="s">
        <v>130</v>
      </c>
      <c r="E76" s="2" t="s">
        <v>129</v>
      </c>
      <c r="F76" s="2" t="s">
        <v>133</v>
      </c>
      <c r="G76" s="3">
        <v>1</v>
      </c>
      <c r="H76" s="13" t="s">
        <v>152</v>
      </c>
      <c r="I76" s="2" t="str" cm="1">
        <f t="array" ref="I76">_xlfn.IFS(Table1[[#This Row],[Job_Type]] = "unskilled resident", "Resident",
Table1[[#This Row],[Job_Type]] = "unemp/unskilled non res", "Non-resident",
TRUE, "Unknown")</f>
        <v>Unknown</v>
      </c>
      <c r="J76" s="2" t="s">
        <v>150</v>
      </c>
      <c r="K76" s="3">
        <v>4</v>
      </c>
      <c r="L76" s="2" t="s">
        <v>142</v>
      </c>
      <c r="M76" s="13" t="s">
        <v>152</v>
      </c>
      <c r="N76" t="s">
        <v>35</v>
      </c>
      <c r="O76" s="2" t="str">
        <f>_xlfn.XLOOKUP(Table1[[#This Row],[Checking_Acct_Status]],Table3[Checking_Acct_Original],Table3[Category])</f>
        <v>Negative Balance</v>
      </c>
      <c r="P76" s="10" t="s">
        <v>32</v>
      </c>
      <c r="Q76" s="13" t="str">
        <f>_xlfn.XLOOKUP(Table1[[#This Row],[Saving_Acct_Status]],Table5[Saving_Acct_Original],Table5[Category])</f>
        <v>Low Savings</v>
      </c>
      <c r="R76" t="s">
        <v>41</v>
      </c>
      <c r="S76" s="2" t="str">
        <f>IF(
      OR(Table1[[#This Row],[Job_Type]] = "high qualif/self emp/mgmt", Table1[[#This Row],[Job_Type]] = "skilled"),
      "Skilled", "Unskilled")</f>
        <v>Skilled</v>
      </c>
      <c r="T76" t="str">
        <f>IF(Table1[[#This Row],[Job_Type]] = "unemp/unskilled non res", "Unemployed", "Employed")</f>
        <v>Employed</v>
      </c>
      <c r="U76" t="s">
        <v>38</v>
      </c>
      <c r="V76" s="14" t="str" cm="1">
        <f t="array" ref="V7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6" t="s">
        <v>103</v>
      </c>
      <c r="X76" s="2" t="str">
        <f>_xlfn.XLOOKUP(Table1[[#This Row],[Loan_Credit_History]],Table4[Credit History],Table4[[ Category]])</f>
        <v>Critical Credit History</v>
      </c>
      <c r="Y76" s="3">
        <v>4</v>
      </c>
      <c r="Z76" s="3">
        <v>2</v>
      </c>
      <c r="AA76" s="5">
        <v>6331</v>
      </c>
      <c r="AB76" t="s">
        <v>151</v>
      </c>
      <c r="AC76" s="2" t="str" cm="1">
        <f t="array" ref="AC76">_xlfn.IFS(Table1[[#This Row],[Others_Parties]] = "No", "None",
Table1[[#This Row],[Others_Parties]] = "co applicant", "Co-applicant",
Table1[[#This Row],[Others_Parties]] = "guarantor", "Guarantor")</f>
        <v>None</v>
      </c>
      <c r="AD76" s="13" t="s">
        <v>145</v>
      </c>
      <c r="AE76" s="2" t="s">
        <v>107</v>
      </c>
      <c r="AF76" s="28" t="str" cm="1">
        <f t="array" ref="AF7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76" s="21">
        <v>48</v>
      </c>
      <c r="AH76" s="2" t="s">
        <v>153</v>
      </c>
      <c r="AI76"/>
      <c r="AZ76"/>
      <c r="BC76"/>
      <c r="BE76"/>
      <c r="BL76"/>
      <c r="BZ76"/>
      <c r="CA76"/>
      <c r="CF76"/>
      <c r="CG76"/>
      <c r="CH76"/>
      <c r="CI76"/>
      <c r="CK76"/>
      <c r="CN76"/>
    </row>
    <row r="77" spans="1:92" x14ac:dyDescent="0.3">
      <c r="A77" s="4">
        <v>75</v>
      </c>
      <c r="B77" s="11">
        <v>59</v>
      </c>
      <c r="C77" s="2" t="str">
        <f>_xlfn.XLOOKUP(Table1[[#This Row],[Age]],Table7[Start_Age],Table7[Age_Range],,-1)</f>
        <v>59-69</v>
      </c>
      <c r="D77" t="s">
        <v>136</v>
      </c>
      <c r="E77" s="2" t="s">
        <v>131</v>
      </c>
      <c r="F77" s="2" t="s">
        <v>137</v>
      </c>
      <c r="G77" s="3">
        <v>1</v>
      </c>
      <c r="H77" s="13" t="s">
        <v>152</v>
      </c>
      <c r="I77" s="2" t="str" cm="1">
        <f t="array" ref="I77">_xlfn.IFS(Table1[[#This Row],[Job_Type]] = "unskilled resident", "Resident",
Table1[[#This Row],[Job_Type]] = "unemp/unskilled non res", "Non-resident",
TRUE, "Unknown")</f>
        <v>Unknown</v>
      </c>
      <c r="J77" s="2" t="s">
        <v>149</v>
      </c>
      <c r="K77" s="3">
        <v>3</v>
      </c>
      <c r="L77" s="2" t="s">
        <v>142</v>
      </c>
      <c r="M77" s="13" t="s">
        <v>151</v>
      </c>
      <c r="N77" t="s">
        <v>30</v>
      </c>
      <c r="O77" s="2" t="str">
        <f>_xlfn.XLOOKUP(Table1[[#This Row],[Checking_Acct_Status]],Table3[Checking_Acct_Original],Table3[Category])</f>
        <v>Low Balance</v>
      </c>
      <c r="P77" s="10" t="s">
        <v>32</v>
      </c>
      <c r="Q77" s="13" t="str">
        <f>_xlfn.XLOOKUP(Table1[[#This Row],[Saving_Acct_Status]],Table5[Saving_Acct_Original],Table5[Category])</f>
        <v>Low Savings</v>
      </c>
      <c r="R77" t="s">
        <v>41</v>
      </c>
      <c r="S77" s="2" t="str">
        <f>IF(
      OR(Table1[[#This Row],[Job_Type]] = "high qualif/self emp/mgmt", Table1[[#This Row],[Job_Type]] = "skilled"),
      "Skilled", "Unskilled")</f>
        <v>Skilled</v>
      </c>
      <c r="T77" t="str">
        <f>IF(Table1[[#This Row],[Job_Type]] = "unemp/unskilled non res", "Unemployed", "Employed")</f>
        <v>Employed</v>
      </c>
      <c r="U77" t="s">
        <v>38</v>
      </c>
      <c r="V77" s="14" t="str" cm="1">
        <f t="array" ref="V7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7" t="s">
        <v>42</v>
      </c>
      <c r="X77" s="2" t="str">
        <f>_xlfn.XLOOKUP(Table1[[#This Row],[Loan_Credit_History]],Table4[Credit History],Table4[[ Category]])</f>
        <v>All Paid</v>
      </c>
      <c r="Y77" s="3">
        <v>4</v>
      </c>
      <c r="Z77" s="3">
        <v>1</v>
      </c>
      <c r="AA77" s="5">
        <v>6416</v>
      </c>
      <c r="AB77" t="s">
        <v>151</v>
      </c>
      <c r="AC77" s="2" t="str" cm="1">
        <f t="array" ref="AC77">_xlfn.IFS(Table1[[#This Row],[Others_Parties]] = "No", "None",
Table1[[#This Row],[Others_Parties]] = "co applicant", "Co-applicant",
Table1[[#This Row],[Others_Parties]] = "guarantor", "Guarantor")</f>
        <v>None</v>
      </c>
      <c r="AD77" s="13" t="s">
        <v>145</v>
      </c>
      <c r="AE77" s="2" t="s">
        <v>105</v>
      </c>
      <c r="AF77" s="28" t="str" cm="1">
        <f t="array" ref="AF7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77" s="21">
        <v>48</v>
      </c>
      <c r="AH77" s="2" t="s">
        <v>153</v>
      </c>
      <c r="AI77"/>
      <c r="AZ77"/>
      <c r="BC77"/>
      <c r="BE77"/>
      <c r="BL77"/>
      <c r="BZ77"/>
      <c r="CA77"/>
      <c r="CF77"/>
      <c r="CG77"/>
      <c r="CH77"/>
      <c r="CI77"/>
      <c r="CK77"/>
      <c r="CN77"/>
    </row>
    <row r="78" spans="1:92" x14ac:dyDescent="0.3">
      <c r="A78" s="4">
        <v>76</v>
      </c>
      <c r="B78" s="11">
        <v>24</v>
      </c>
      <c r="C78" s="2" t="str">
        <f>_xlfn.XLOOKUP(Table1[[#This Row],[Age]],Table7[Start_Age],Table7[Age_Range],,-1)</f>
        <v>19-29</v>
      </c>
      <c r="D78" t="s">
        <v>130</v>
      </c>
      <c r="E78" s="2" t="s">
        <v>129</v>
      </c>
      <c r="F78" s="2" t="s">
        <v>133</v>
      </c>
      <c r="G78" s="3">
        <v>1</v>
      </c>
      <c r="H78" s="13" t="s">
        <v>152</v>
      </c>
      <c r="I78" s="2" t="str" cm="1">
        <f t="array" ref="I78">_xlfn.IFS(Table1[[#This Row],[Job_Type]] = "unskilled resident", "Resident",
Table1[[#This Row],[Job_Type]] = "unemp/unskilled non res", "Non-resident",
TRUE, "Unknown")</f>
        <v>Unknown</v>
      </c>
      <c r="J78" s="2" t="s">
        <v>148</v>
      </c>
      <c r="K78" s="3">
        <v>2</v>
      </c>
      <c r="L78" s="2" t="s">
        <v>143</v>
      </c>
      <c r="M78" s="13" t="s">
        <v>151</v>
      </c>
      <c r="N78" t="s">
        <v>30</v>
      </c>
      <c r="O78" s="2" t="str">
        <f>_xlfn.XLOOKUP(Table1[[#This Row],[Checking_Acct_Status]],Table3[Checking_Acct_Original],Table3[Category])</f>
        <v>Low Balance</v>
      </c>
      <c r="P78" s="10" t="s">
        <v>46</v>
      </c>
      <c r="Q78" s="13" t="str">
        <f>_xlfn.XLOOKUP(Table1[[#This Row],[Saving_Acct_Status]],Table5[Saving_Acct_Original],Table5[Category])</f>
        <v>Medium Savings</v>
      </c>
      <c r="R78" t="s">
        <v>41</v>
      </c>
      <c r="S78" s="2" t="str">
        <f>IF(
      OR(Table1[[#This Row],[Job_Type]] = "high qualif/self emp/mgmt", Table1[[#This Row],[Job_Type]] = "skilled"),
      "Skilled", "Unskilled")</f>
        <v>Skilled</v>
      </c>
      <c r="T78" t="str">
        <f>IF(Table1[[#This Row],[Job_Type]] = "unemp/unskilled non res", "Unemployed", "Employed")</f>
        <v>Employed</v>
      </c>
      <c r="U78" t="s">
        <v>49</v>
      </c>
      <c r="V78" s="14" t="str" cm="1">
        <f t="array" ref="V7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8" t="s">
        <v>31</v>
      </c>
      <c r="X78" s="2" t="str">
        <f>_xlfn.XLOOKUP(Table1[[#This Row],[Loan_Credit_History]],Table4[Credit History],Table4[[ Category]])</f>
        <v>Existing Credits Paid</v>
      </c>
      <c r="Y78" s="3">
        <v>3</v>
      </c>
      <c r="Z78" s="3">
        <v>1</v>
      </c>
      <c r="AA78" s="5">
        <v>6560</v>
      </c>
      <c r="AB78" t="s">
        <v>151</v>
      </c>
      <c r="AC78" s="2" t="str" cm="1">
        <f t="array" ref="AC78">_xlfn.IFS(Table1[[#This Row],[Others_Parties]] = "No", "None",
Table1[[#This Row],[Others_Parties]] = "co applicant", "Co-applicant",
Table1[[#This Row],[Others_Parties]] = "guarantor", "Guarantor")</f>
        <v>None</v>
      </c>
      <c r="AD78" s="13" t="s">
        <v>145</v>
      </c>
      <c r="AE78" s="2" t="s">
        <v>141</v>
      </c>
      <c r="AF78" s="28" t="str" cm="1">
        <f t="array" ref="AF7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78" s="21">
        <v>48</v>
      </c>
      <c r="AH78" s="2" t="s">
        <v>153</v>
      </c>
      <c r="AI78"/>
      <c r="AZ78"/>
      <c r="BC78"/>
      <c r="BE78"/>
      <c r="BL78"/>
      <c r="BZ78"/>
      <c r="CA78"/>
      <c r="CF78"/>
      <c r="CG78"/>
      <c r="CH78"/>
      <c r="CI78"/>
      <c r="CK78"/>
      <c r="CN78"/>
    </row>
    <row r="79" spans="1:92" x14ac:dyDescent="0.3">
      <c r="A79" s="4">
        <v>77</v>
      </c>
      <c r="B79" s="11">
        <v>38</v>
      </c>
      <c r="C79" s="2" t="str">
        <f>_xlfn.XLOOKUP(Table1[[#This Row],[Age]],Table7[Start_Age],Table7[Age_Range],,-1)</f>
        <v>29-39</v>
      </c>
      <c r="D79" t="s">
        <v>130</v>
      </c>
      <c r="E79" s="2" t="s">
        <v>129</v>
      </c>
      <c r="F79" s="2" t="s">
        <v>133</v>
      </c>
      <c r="G79" s="3">
        <v>2</v>
      </c>
      <c r="H79" s="13" t="s">
        <v>152</v>
      </c>
      <c r="I79" s="2" t="str" cm="1">
        <f t="array" ref="I79">_xlfn.IFS(Table1[[#This Row],[Job_Type]] = "unskilled resident", "Resident",
Table1[[#This Row],[Job_Type]] = "unemp/unskilled non res", "Non-resident",
TRUE, "Unknown")</f>
        <v>Unknown</v>
      </c>
      <c r="J79" s="2" t="s">
        <v>150</v>
      </c>
      <c r="K79" s="3">
        <v>4</v>
      </c>
      <c r="L79" s="2" t="s">
        <v>142</v>
      </c>
      <c r="M79" s="13" t="s">
        <v>152</v>
      </c>
      <c r="N79" t="s">
        <v>30</v>
      </c>
      <c r="O79" s="2" t="str">
        <f>_xlfn.XLOOKUP(Table1[[#This Row],[Checking_Acct_Status]],Table3[Checking_Acct_Original],Table3[Category])</f>
        <v>Low Balance</v>
      </c>
      <c r="P79" s="10" t="s">
        <v>47</v>
      </c>
      <c r="Q79" s="13" t="str">
        <f>_xlfn.XLOOKUP(Table1[[#This Row],[Saving_Acct_Status]],Table5[Saving_Acct_Original],Table5[Category])</f>
        <v>No Savings</v>
      </c>
      <c r="R79" t="s">
        <v>41</v>
      </c>
      <c r="S79" s="2" t="str">
        <f>IF(
      OR(Table1[[#This Row],[Job_Type]] = "high qualif/self emp/mgmt", Table1[[#This Row],[Job_Type]] = "skilled"),
      "Skilled", "Unskilled")</f>
        <v>Skilled</v>
      </c>
      <c r="T79" t="str">
        <f>IF(Table1[[#This Row],[Job_Type]] = "unemp/unskilled non res", "Unemployed", "Employed")</f>
        <v>Employed</v>
      </c>
      <c r="U79" t="s">
        <v>21</v>
      </c>
      <c r="V79" s="14" t="str" cm="1">
        <f t="array" ref="V7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9" t="s">
        <v>59</v>
      </c>
      <c r="X79" s="2" t="str">
        <f>_xlfn.XLOOKUP(Table1[[#This Row],[Loan_Credit_History]],Table4[Credit History],Table4[[ Category]])</f>
        <v>Previously Delayed</v>
      </c>
      <c r="Y79" s="3">
        <v>4</v>
      </c>
      <c r="Z79" s="3">
        <v>1</v>
      </c>
      <c r="AA79" s="5">
        <v>6681</v>
      </c>
      <c r="AB79" t="s">
        <v>151</v>
      </c>
      <c r="AC79" s="2" t="str" cm="1">
        <f t="array" ref="AC79">_xlfn.IFS(Table1[[#This Row],[Others_Parties]] = "No", "None",
Table1[[#This Row],[Others_Parties]] = "co applicant", "Co-applicant",
Table1[[#This Row],[Others_Parties]] = "guarantor", "Guarantor")</f>
        <v>None</v>
      </c>
      <c r="AD79" s="13" t="s">
        <v>145</v>
      </c>
      <c r="AE79" s="2" t="s">
        <v>105</v>
      </c>
      <c r="AF79" s="28" t="str" cm="1">
        <f t="array" ref="AF7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79" s="21">
        <v>48</v>
      </c>
      <c r="AH79" s="2" t="s">
        <v>154</v>
      </c>
      <c r="AI79"/>
      <c r="AZ79"/>
      <c r="BC79"/>
      <c r="BE79"/>
      <c r="BL79"/>
      <c r="BZ79"/>
      <c r="CA79"/>
      <c r="CF79"/>
      <c r="CG79"/>
      <c r="CH79"/>
      <c r="CI79"/>
      <c r="CK79"/>
      <c r="CN79"/>
    </row>
    <row r="80" spans="1:92" x14ac:dyDescent="0.3">
      <c r="A80" s="4">
        <v>78</v>
      </c>
      <c r="B80" s="11">
        <v>31</v>
      </c>
      <c r="C80" s="2" t="str">
        <f>_xlfn.XLOOKUP(Table1[[#This Row],[Age]],Table7[Start_Age],Table7[Age_Range],,-1)</f>
        <v>29-39</v>
      </c>
      <c r="D80" t="s">
        <v>136</v>
      </c>
      <c r="E80" s="2" t="s">
        <v>131</v>
      </c>
      <c r="F80" s="2" t="s">
        <v>137</v>
      </c>
      <c r="G80" s="3">
        <v>1</v>
      </c>
      <c r="H80" s="13" t="s">
        <v>152</v>
      </c>
      <c r="I80" s="2" t="str" cm="1">
        <f t="array" ref="I80">_xlfn.IFS(Table1[[#This Row],[Job_Type]] = "unskilled resident", "Resident",
Table1[[#This Row],[Job_Type]] = "unemp/unskilled non res", "Non-resident",
TRUE, "Unknown")</f>
        <v>Unknown</v>
      </c>
      <c r="J80" s="2" t="s">
        <v>148</v>
      </c>
      <c r="K80" s="3">
        <v>2</v>
      </c>
      <c r="L80" s="2" t="s">
        <v>140</v>
      </c>
      <c r="M80" s="13" t="s">
        <v>152</v>
      </c>
      <c r="N80" t="s">
        <v>35</v>
      </c>
      <c r="O80" s="2" t="str">
        <f>_xlfn.XLOOKUP(Table1[[#This Row],[Checking_Acct_Status]],Table3[Checking_Acct_Original],Table3[Category])</f>
        <v>Negative Balance</v>
      </c>
      <c r="P80" s="10" t="s">
        <v>32</v>
      </c>
      <c r="Q80" s="13" t="str">
        <f>_xlfn.XLOOKUP(Table1[[#This Row],[Saving_Acct_Status]],Table5[Saving_Acct_Original],Table5[Category])</f>
        <v>Low Savings</v>
      </c>
      <c r="R80" t="s">
        <v>41</v>
      </c>
      <c r="S80" s="2" t="str">
        <f>IF(
      OR(Table1[[#This Row],[Job_Type]] = "high qualif/self emp/mgmt", Table1[[#This Row],[Job_Type]] = "skilled"),
      "Skilled", "Unskilled")</f>
        <v>Skilled</v>
      </c>
      <c r="T80" t="str">
        <f>IF(Table1[[#This Row],[Job_Type]] = "unemp/unskilled non res", "Unemployed", "Employed")</f>
        <v>Employed</v>
      </c>
      <c r="U80" t="s">
        <v>21</v>
      </c>
      <c r="V80" s="14" t="str" cm="1">
        <f t="array" ref="V8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0" t="s">
        <v>31</v>
      </c>
      <c r="X80" s="2" t="str">
        <f>_xlfn.XLOOKUP(Table1[[#This Row],[Loan_Credit_History]],Table4[Credit History],Table4[[ Category]])</f>
        <v>Existing Credits Paid</v>
      </c>
      <c r="Y80" s="3">
        <v>3</v>
      </c>
      <c r="Z80" s="3">
        <v>1</v>
      </c>
      <c r="AA80" s="5">
        <v>6758</v>
      </c>
      <c r="AB80" t="s">
        <v>151</v>
      </c>
      <c r="AC80" s="2" t="str" cm="1">
        <f t="array" ref="AC80">_xlfn.IFS(Table1[[#This Row],[Others_Parties]] = "No", "None",
Table1[[#This Row],[Others_Parties]] = "co applicant", "Co-applicant",
Table1[[#This Row],[Others_Parties]] = "guarantor", "Guarantor")</f>
        <v>None</v>
      </c>
      <c r="AD80" s="13" t="s">
        <v>145</v>
      </c>
      <c r="AE80" s="2" t="s">
        <v>111</v>
      </c>
      <c r="AF80" s="28" t="str" cm="1">
        <f t="array" ref="AF8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80" s="21">
        <v>48</v>
      </c>
      <c r="AH80" s="2" t="s">
        <v>153</v>
      </c>
      <c r="AI80"/>
      <c r="AZ80"/>
      <c r="BC80"/>
      <c r="BE80"/>
      <c r="BL80"/>
      <c r="BZ80"/>
      <c r="CA80"/>
      <c r="CF80"/>
      <c r="CG80"/>
      <c r="CH80"/>
      <c r="CI80"/>
      <c r="CK80"/>
      <c r="CN80"/>
    </row>
    <row r="81" spans="1:92" x14ac:dyDescent="0.3">
      <c r="A81" s="4">
        <v>79</v>
      </c>
      <c r="B81" s="11">
        <v>34</v>
      </c>
      <c r="C81" s="2" t="str">
        <f>_xlfn.XLOOKUP(Table1[[#This Row],[Age]],Table7[Start_Age],Table7[Age_Range],,-1)</f>
        <v>29-39</v>
      </c>
      <c r="D81" t="s">
        <v>134</v>
      </c>
      <c r="E81" s="2" t="s">
        <v>129</v>
      </c>
      <c r="F81" s="2" t="s">
        <v>135</v>
      </c>
      <c r="G81" s="3">
        <v>1</v>
      </c>
      <c r="H81" s="13" t="s">
        <v>152</v>
      </c>
      <c r="I81" s="2" t="str" cm="1">
        <f t="array" ref="I81">_xlfn.IFS(Table1[[#This Row],[Job_Type]] = "unskilled resident", "Resident",
Table1[[#This Row],[Job_Type]] = "unemp/unskilled non res", "Non-resident",
TRUE, "Unknown")</f>
        <v>Unknown</v>
      </c>
      <c r="J81" s="2" t="s">
        <v>148</v>
      </c>
      <c r="K81" s="3">
        <v>1</v>
      </c>
      <c r="L81" s="2" t="s">
        <v>144</v>
      </c>
      <c r="M81" s="13" t="s">
        <v>152</v>
      </c>
      <c r="N81" t="s">
        <v>35</v>
      </c>
      <c r="O81" s="2" t="str">
        <f>_xlfn.XLOOKUP(Table1[[#This Row],[Checking_Acct_Status]],Table3[Checking_Acct_Original],Table3[Category])</f>
        <v>Negative Balance</v>
      </c>
      <c r="P81" s="10" t="s">
        <v>32</v>
      </c>
      <c r="Q81" s="13" t="str">
        <f>_xlfn.XLOOKUP(Table1[[#This Row],[Saving_Acct_Status]],Table5[Saving_Acct_Original],Table5[Category])</f>
        <v>Low Savings</v>
      </c>
      <c r="R81" t="s">
        <v>41</v>
      </c>
      <c r="S81" s="2" t="str">
        <f>IF(
      OR(Table1[[#This Row],[Job_Type]] = "high qualif/self emp/mgmt", Table1[[#This Row],[Job_Type]] = "skilled"),
      "Skilled", "Unskilled")</f>
        <v>Skilled</v>
      </c>
      <c r="T81" t="str">
        <f>IF(Table1[[#This Row],[Job_Type]] = "unemp/unskilled non res", "Unemployed", "Employed")</f>
        <v>Employed</v>
      </c>
      <c r="U81" t="s">
        <v>49</v>
      </c>
      <c r="V81" s="14" t="str" cm="1">
        <f t="array" ref="V8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1" t="s">
        <v>31</v>
      </c>
      <c r="X81" s="2" t="str">
        <f>_xlfn.XLOOKUP(Table1[[#This Row],[Loan_Credit_History]],Table4[Credit History],Table4[[ Category]])</f>
        <v>Existing Credits Paid</v>
      </c>
      <c r="Y81" s="3">
        <v>1</v>
      </c>
      <c r="Z81" s="3">
        <v>2</v>
      </c>
      <c r="AA81" s="5">
        <v>6999</v>
      </c>
      <c r="AB81" t="s">
        <v>58</v>
      </c>
      <c r="AC81" s="2" t="str" cm="1">
        <f t="array" ref="AC81">_xlfn.IFS(Table1[[#This Row],[Others_Parties]] = "No", "None",
Table1[[#This Row],[Others_Parties]] = "co applicant", "Co-applicant",
Table1[[#This Row],[Others_Parties]] = "guarantor", "Guarantor")</f>
        <v>Guarantor</v>
      </c>
      <c r="AD81" s="13" t="s">
        <v>145</v>
      </c>
      <c r="AE81" s="2" t="s">
        <v>111</v>
      </c>
      <c r="AF81" s="28" t="str" cm="1">
        <f t="array" ref="AF8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81" s="21">
        <v>48</v>
      </c>
      <c r="AH81" s="2" t="s">
        <v>153</v>
      </c>
      <c r="AI81"/>
      <c r="AZ81"/>
      <c r="BC81"/>
      <c r="BE81"/>
      <c r="BL81"/>
      <c r="BZ81"/>
      <c r="CA81"/>
      <c r="CF81"/>
      <c r="CG81"/>
      <c r="CH81"/>
      <c r="CI81"/>
      <c r="CK81"/>
      <c r="CN81"/>
    </row>
    <row r="82" spans="1:92" x14ac:dyDescent="0.3">
      <c r="A82" s="4">
        <v>80</v>
      </c>
      <c r="B82" s="11">
        <v>53</v>
      </c>
      <c r="C82" s="2" t="str">
        <f>_xlfn.XLOOKUP(Table1[[#This Row],[Age]],Table7[Start_Age],Table7[Age_Range],,-1)</f>
        <v>49-59</v>
      </c>
      <c r="D82" t="s">
        <v>130</v>
      </c>
      <c r="E82" s="2" t="s">
        <v>129</v>
      </c>
      <c r="F82" s="2" t="s">
        <v>133</v>
      </c>
      <c r="G82" s="3">
        <v>2</v>
      </c>
      <c r="H82" s="13" t="s">
        <v>152</v>
      </c>
      <c r="I82" s="2" t="str" cm="1">
        <f t="array" ref="I82">_xlfn.IFS(Table1[[#This Row],[Job_Type]] = "unskilled resident", "Resident",
Table1[[#This Row],[Job_Type]] = "unemp/unskilled non res", "Non-resident",
TRUE, "Unknown")</f>
        <v>Unknown</v>
      </c>
      <c r="J82" s="2" t="s">
        <v>150</v>
      </c>
      <c r="K82" s="3">
        <v>4</v>
      </c>
      <c r="L82" s="2" t="s">
        <v>142</v>
      </c>
      <c r="M82" s="13" t="s">
        <v>151</v>
      </c>
      <c r="N82" t="s">
        <v>35</v>
      </c>
      <c r="O82" s="2" t="str">
        <f>_xlfn.XLOOKUP(Table1[[#This Row],[Checking_Acct_Status]],Table3[Checking_Acct_Original],Table3[Category])</f>
        <v>Negative Balance</v>
      </c>
      <c r="P82" s="10" t="s">
        <v>32</v>
      </c>
      <c r="Q82" s="13" t="str">
        <f>_xlfn.XLOOKUP(Table1[[#This Row],[Saving_Acct_Status]],Table5[Saving_Acct_Original],Table5[Category])</f>
        <v>Low Savings</v>
      </c>
      <c r="R82" t="s">
        <v>41</v>
      </c>
      <c r="S82" s="2" t="str">
        <f>IF(
      OR(Table1[[#This Row],[Job_Type]] = "high qualif/self emp/mgmt", Table1[[#This Row],[Job_Type]] = "skilled"),
      "Skilled", "Unskilled")</f>
        <v>Skilled</v>
      </c>
      <c r="T82" t="str">
        <f>IF(Table1[[#This Row],[Job_Type]] = "unemp/unskilled non res", "Unemployed", "Employed")</f>
        <v>Employed</v>
      </c>
      <c r="U82" t="s">
        <v>21</v>
      </c>
      <c r="V82" s="14" t="str" cm="1">
        <f t="array" ref="V8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2" t="s">
        <v>52</v>
      </c>
      <c r="X82" s="2" t="str">
        <f>_xlfn.XLOOKUP(Table1[[#This Row],[Loan_Credit_History]],Table4[Credit History],Table4[[ Category]])</f>
        <v>No Credit History</v>
      </c>
      <c r="Y82" s="3">
        <v>3</v>
      </c>
      <c r="Z82" s="3">
        <v>2</v>
      </c>
      <c r="AA82" s="5">
        <v>7119</v>
      </c>
      <c r="AB82" t="s">
        <v>151</v>
      </c>
      <c r="AC82" s="2" t="str" cm="1">
        <f t="array" ref="AC82">_xlfn.IFS(Table1[[#This Row],[Others_Parties]] = "No", "None",
Table1[[#This Row],[Others_Parties]] = "co applicant", "Co-applicant",
Table1[[#This Row],[Others_Parties]] = "guarantor", "Guarantor")</f>
        <v>None</v>
      </c>
      <c r="AD82" s="13" t="s">
        <v>145</v>
      </c>
      <c r="AE82" s="2" t="s">
        <v>108</v>
      </c>
      <c r="AF82" s="28" t="str" cm="1">
        <f t="array" ref="AF8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82" s="21">
        <v>48</v>
      </c>
      <c r="AH82" s="2" t="s">
        <v>153</v>
      </c>
      <c r="AI82"/>
      <c r="AZ82"/>
      <c r="BC82"/>
      <c r="BE82"/>
      <c r="BL82"/>
      <c r="BZ82"/>
      <c r="CA82"/>
      <c r="CF82"/>
      <c r="CG82"/>
      <c r="CH82"/>
      <c r="CI82"/>
      <c r="CK82"/>
      <c r="CN82"/>
    </row>
    <row r="83" spans="1:92" x14ac:dyDescent="0.3">
      <c r="A83" s="4">
        <v>81</v>
      </c>
      <c r="B83" s="11">
        <v>32</v>
      </c>
      <c r="C83" s="2" t="str">
        <f>_xlfn.XLOOKUP(Table1[[#This Row],[Age]],Table7[Start_Age],Table7[Age_Range],,-1)</f>
        <v>29-39</v>
      </c>
      <c r="D83" t="s">
        <v>130</v>
      </c>
      <c r="E83" s="2" t="s">
        <v>129</v>
      </c>
      <c r="F83" s="2" t="s">
        <v>133</v>
      </c>
      <c r="G83" s="3">
        <v>2</v>
      </c>
      <c r="H83" s="13" t="s">
        <v>152</v>
      </c>
      <c r="I83" s="2" t="str" cm="1">
        <f t="array" ref="I83">_xlfn.IFS(Table1[[#This Row],[Job_Type]] = "unskilled resident", "Resident",
Table1[[#This Row],[Job_Type]] = "unemp/unskilled non res", "Non-resident",
TRUE, "Unknown")</f>
        <v>Unknown</v>
      </c>
      <c r="J83" s="2" t="s">
        <v>148</v>
      </c>
      <c r="K83" s="3">
        <v>3</v>
      </c>
      <c r="L83" s="2" t="s">
        <v>140</v>
      </c>
      <c r="M83" s="13" t="s">
        <v>151</v>
      </c>
      <c r="N83" t="s">
        <v>17</v>
      </c>
      <c r="O83" s="2" t="str">
        <f>_xlfn.XLOOKUP(Table1[[#This Row],[Checking_Acct_Status]],Table3[Checking_Acct_Original],Table3[Category])</f>
        <v>No Account</v>
      </c>
      <c r="P83" s="10" t="s">
        <v>47</v>
      </c>
      <c r="Q83" s="13" t="str">
        <f>_xlfn.XLOOKUP(Table1[[#This Row],[Saving_Acct_Status]],Table5[Saving_Acct_Original],Table5[Category])</f>
        <v>No Savings</v>
      </c>
      <c r="R83" t="s">
        <v>41</v>
      </c>
      <c r="S83" s="2" t="str">
        <f>IF(
      OR(Table1[[#This Row],[Job_Type]] = "high qualif/self emp/mgmt", Table1[[#This Row],[Job_Type]] = "skilled"),
      "Skilled", "Unskilled")</f>
        <v>Skilled</v>
      </c>
      <c r="T83" t="str">
        <f>IF(Table1[[#This Row],[Job_Type]] = "unemp/unskilled non res", "Unemployed", "Employed")</f>
        <v>Employed</v>
      </c>
      <c r="U83" t="s">
        <v>38</v>
      </c>
      <c r="V83" s="14" t="str" cm="1">
        <f t="array" ref="V8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3" t="s">
        <v>59</v>
      </c>
      <c r="X83" s="2" t="str">
        <f>_xlfn.XLOOKUP(Table1[[#This Row],[Loan_Credit_History]],Table4[Credit History],Table4[[ Category]])</f>
        <v>Previously Delayed</v>
      </c>
      <c r="Y83" s="3">
        <v>3</v>
      </c>
      <c r="Z83" s="3">
        <v>2</v>
      </c>
      <c r="AA83" s="5">
        <v>7238</v>
      </c>
      <c r="AB83" t="s">
        <v>151</v>
      </c>
      <c r="AC83" s="2" t="str" cm="1">
        <f t="array" ref="AC83">_xlfn.IFS(Table1[[#This Row],[Others_Parties]] = "No", "None",
Table1[[#This Row],[Others_Parties]] = "co applicant", "Co-applicant",
Table1[[#This Row],[Others_Parties]] = "guarantor", "Guarantor")</f>
        <v>None</v>
      </c>
      <c r="AD83" s="13" t="s">
        <v>146</v>
      </c>
      <c r="AE83" s="2" t="s">
        <v>111</v>
      </c>
      <c r="AF83" s="28" t="str" cm="1">
        <f t="array" ref="AF8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83" s="21">
        <v>48</v>
      </c>
      <c r="AH83" s="2" t="s">
        <v>154</v>
      </c>
      <c r="AI83"/>
      <c r="AZ83"/>
      <c r="BC83"/>
      <c r="BE83"/>
      <c r="BL83"/>
      <c r="BZ83"/>
      <c r="CA83"/>
      <c r="CF83"/>
      <c r="CG83"/>
      <c r="CH83"/>
      <c r="CI83"/>
      <c r="CK83"/>
      <c r="CN83"/>
    </row>
    <row r="84" spans="1:92" x14ac:dyDescent="0.3">
      <c r="A84" s="4">
        <v>82</v>
      </c>
      <c r="B84" s="11">
        <v>50</v>
      </c>
      <c r="C84" s="2" t="str">
        <f>_xlfn.XLOOKUP(Table1[[#This Row],[Age]],Table7[Start_Age],Table7[Age_Range],,-1)</f>
        <v>49-59</v>
      </c>
      <c r="D84" t="s">
        <v>130</v>
      </c>
      <c r="E84" s="2" t="s">
        <v>129</v>
      </c>
      <c r="F84" s="2" t="s">
        <v>133</v>
      </c>
      <c r="G84" s="3">
        <v>1</v>
      </c>
      <c r="H84" s="13" t="s">
        <v>152</v>
      </c>
      <c r="I84" s="2" t="str" cm="1">
        <f t="array" ref="I84">_xlfn.IFS(Table1[[#This Row],[Job_Type]] = "unskilled resident", "Resident",
Table1[[#This Row],[Job_Type]] = "unemp/unskilled non res", "Non-resident",
TRUE, "Unknown")</f>
        <v>Unknown</v>
      </c>
      <c r="J84" s="2" t="s">
        <v>150</v>
      </c>
      <c r="K84" s="3">
        <v>1</v>
      </c>
      <c r="L84" s="2" t="s">
        <v>142</v>
      </c>
      <c r="M84" s="13" t="s">
        <v>152</v>
      </c>
      <c r="N84" t="s">
        <v>35</v>
      </c>
      <c r="O84" s="2" t="str">
        <f>_xlfn.XLOOKUP(Table1[[#This Row],[Checking_Acct_Status]],Table3[Checking_Acct_Original],Table3[Category])</f>
        <v>Negative Balance</v>
      </c>
      <c r="P84" s="10" t="s">
        <v>32</v>
      </c>
      <c r="Q84" s="13" t="str">
        <f>_xlfn.XLOOKUP(Table1[[#This Row],[Saving_Acct_Status]],Table5[Saving_Acct_Original],Table5[Category])</f>
        <v>Low Savings</v>
      </c>
      <c r="R84" t="s">
        <v>63</v>
      </c>
      <c r="S84" s="2" t="str">
        <f>IF(
      OR(Table1[[#This Row],[Job_Type]] = "high qualif/self emp/mgmt", Table1[[#This Row],[Job_Type]] = "skilled"),
      "Skilled", "Unskilled")</f>
        <v>Skilled</v>
      </c>
      <c r="T84" t="str">
        <f>IF(Table1[[#This Row],[Job_Type]] = "unemp/unskilled non res", "Unemployed", "Employed")</f>
        <v>Employed</v>
      </c>
      <c r="U84" t="s">
        <v>49</v>
      </c>
      <c r="V84" s="14" t="str" cm="1">
        <f t="array" ref="V8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4" t="s">
        <v>31</v>
      </c>
      <c r="X84" s="2" t="str">
        <f>_xlfn.XLOOKUP(Table1[[#This Row],[Loan_Credit_History]],Table4[Credit History],Table4[[ Category]])</f>
        <v>Existing Credits Paid</v>
      </c>
      <c r="Y84" s="3">
        <v>4</v>
      </c>
      <c r="Z84" s="3">
        <v>1</v>
      </c>
      <c r="AA84" s="5">
        <v>7476</v>
      </c>
      <c r="AB84" t="s">
        <v>151</v>
      </c>
      <c r="AC84" s="2" t="str" cm="1">
        <f t="array" ref="AC84">_xlfn.IFS(Table1[[#This Row],[Others_Parties]] = "No", "None",
Table1[[#This Row],[Others_Parties]] = "co applicant", "Co-applicant",
Table1[[#This Row],[Others_Parties]] = "guarantor", "Guarantor")</f>
        <v>None</v>
      </c>
      <c r="AD84" s="13" t="s">
        <v>145</v>
      </c>
      <c r="AE84" s="2" t="s">
        <v>100</v>
      </c>
      <c r="AF84" s="28" t="str" cm="1">
        <f t="array" ref="AF8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84" s="21">
        <v>48</v>
      </c>
      <c r="AH84" s="2" t="s">
        <v>154</v>
      </c>
      <c r="AI84"/>
      <c r="AZ84"/>
      <c r="BC84"/>
      <c r="BE84"/>
      <c r="BL84"/>
      <c r="BZ84"/>
      <c r="CA84"/>
      <c r="CF84"/>
      <c r="CG84"/>
      <c r="CH84"/>
      <c r="CI84"/>
      <c r="CK84"/>
      <c r="CN84"/>
    </row>
    <row r="85" spans="1:92" x14ac:dyDescent="0.3">
      <c r="A85" s="4">
        <v>83</v>
      </c>
      <c r="B85" s="11">
        <v>31</v>
      </c>
      <c r="C85" s="2" t="str">
        <f>_xlfn.XLOOKUP(Table1[[#This Row],[Age]],Table7[Start_Age],Table7[Age_Range],,-1)</f>
        <v>29-39</v>
      </c>
      <c r="D85" t="s">
        <v>130</v>
      </c>
      <c r="E85" s="2" t="s">
        <v>129</v>
      </c>
      <c r="F85" s="2" t="s">
        <v>133</v>
      </c>
      <c r="G85" s="3">
        <v>1</v>
      </c>
      <c r="H85" s="13" t="s">
        <v>152</v>
      </c>
      <c r="I85" s="2" t="str" cm="1">
        <f t="array" ref="I85">_xlfn.IFS(Table1[[#This Row],[Job_Type]] = "unskilled resident", "Resident",
Table1[[#This Row],[Job_Type]] = "unemp/unskilled non res", "Non-resident",
TRUE, "Unknown")</f>
        <v>Unknown</v>
      </c>
      <c r="J85" s="2" t="s">
        <v>150</v>
      </c>
      <c r="K85" s="3">
        <v>4</v>
      </c>
      <c r="L85" s="2" t="s">
        <v>142</v>
      </c>
      <c r="M85" s="13" t="s">
        <v>152</v>
      </c>
      <c r="N85" t="s">
        <v>30</v>
      </c>
      <c r="O85" s="2" t="str">
        <f>_xlfn.XLOOKUP(Table1[[#This Row],[Checking_Acct_Status]],Table3[Checking_Acct_Original],Table3[Category])</f>
        <v>Low Balance</v>
      </c>
      <c r="P85" s="10" t="s">
        <v>46</v>
      </c>
      <c r="Q85" s="13" t="str">
        <f>_xlfn.XLOOKUP(Table1[[#This Row],[Saving_Acct_Status]],Table5[Saving_Acct_Original],Table5[Category])</f>
        <v>Medium Savings</v>
      </c>
      <c r="R85" t="s">
        <v>63</v>
      </c>
      <c r="S85" s="2" t="str">
        <f>IF(
      OR(Table1[[#This Row],[Job_Type]] = "high qualif/self emp/mgmt", Table1[[#This Row],[Job_Type]] = "skilled"),
      "Skilled", "Unskilled")</f>
        <v>Skilled</v>
      </c>
      <c r="T85" t="str">
        <f>IF(Table1[[#This Row],[Job_Type]] = "unemp/unskilled non res", "Unemployed", "Employed")</f>
        <v>Employed</v>
      </c>
      <c r="U85" t="s">
        <v>54</v>
      </c>
      <c r="V85" s="14" t="str" cm="1">
        <f t="array" ref="V85">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85" t="s">
        <v>59</v>
      </c>
      <c r="X85" s="2" t="str">
        <f>_xlfn.XLOOKUP(Table1[[#This Row],[Loan_Credit_History]],Table4[Credit History],Table4[[ Category]])</f>
        <v>Previously Delayed</v>
      </c>
      <c r="Y85" s="3">
        <v>2</v>
      </c>
      <c r="Z85" s="3">
        <v>1</v>
      </c>
      <c r="AA85" s="5">
        <v>7582</v>
      </c>
      <c r="AB85" t="s">
        <v>151</v>
      </c>
      <c r="AC85" s="2" t="str" cm="1">
        <f t="array" ref="AC85">_xlfn.IFS(Table1[[#This Row],[Others_Parties]] = "No", "None",
Table1[[#This Row],[Others_Parties]] = "co applicant", "Co-applicant",
Table1[[#This Row],[Others_Parties]] = "guarantor", "Guarantor")</f>
        <v>None</v>
      </c>
      <c r="AD85" s="13" t="s">
        <v>145</v>
      </c>
      <c r="AE85" s="2" t="s">
        <v>104</v>
      </c>
      <c r="AF85" s="28" t="str" cm="1">
        <f t="array" ref="AF8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85" s="21">
        <v>48</v>
      </c>
      <c r="AH85" s="2" t="s">
        <v>154</v>
      </c>
      <c r="AI85"/>
      <c r="AZ85"/>
      <c r="BC85"/>
      <c r="BE85"/>
      <c r="BL85"/>
      <c r="BZ85"/>
      <c r="CA85"/>
      <c r="CF85"/>
      <c r="CG85"/>
      <c r="CH85"/>
      <c r="CI85"/>
      <c r="CK85"/>
      <c r="CN85"/>
    </row>
    <row r="86" spans="1:92" x14ac:dyDescent="0.3">
      <c r="A86" s="4">
        <v>84</v>
      </c>
      <c r="B86" s="11">
        <v>46</v>
      </c>
      <c r="C86" s="2" t="str">
        <f>_xlfn.XLOOKUP(Table1[[#This Row],[Age]],Table7[Start_Age],Table7[Age_Range],,-1)</f>
        <v>39-49</v>
      </c>
      <c r="D86" t="s">
        <v>138</v>
      </c>
      <c r="E86" s="2" t="s">
        <v>129</v>
      </c>
      <c r="F86" s="2" t="s">
        <v>178</v>
      </c>
      <c r="G86" s="3">
        <v>2</v>
      </c>
      <c r="H86" s="13" t="s">
        <v>152</v>
      </c>
      <c r="I86" s="2" t="str" cm="1">
        <f t="array" ref="I86">_xlfn.IFS(Table1[[#This Row],[Job_Type]] = "unskilled resident", "Resident",
Table1[[#This Row],[Job_Type]] = "unemp/unskilled non res", "Non-resident",
TRUE, "Unknown")</f>
        <v>Unknown</v>
      </c>
      <c r="J86" s="2" t="s">
        <v>148</v>
      </c>
      <c r="K86" s="3">
        <v>2</v>
      </c>
      <c r="L86" s="2" t="s">
        <v>140</v>
      </c>
      <c r="M86" s="13" t="s">
        <v>151</v>
      </c>
      <c r="N86" t="s">
        <v>17</v>
      </c>
      <c r="O86" s="2" t="str">
        <f>_xlfn.XLOOKUP(Table1[[#This Row],[Checking_Acct_Status]],Table3[Checking_Acct_Original],Table3[Category])</f>
        <v>No Account</v>
      </c>
      <c r="P86" s="10" t="s">
        <v>47</v>
      </c>
      <c r="Q86" s="13" t="str">
        <f>_xlfn.XLOOKUP(Table1[[#This Row],[Saving_Acct_Status]],Table5[Saving_Acct_Original],Table5[Category])</f>
        <v>No Savings</v>
      </c>
      <c r="R86" t="s">
        <v>63</v>
      </c>
      <c r="S86" s="2" t="str">
        <f>IF(
      OR(Table1[[#This Row],[Job_Type]] = "high qualif/self emp/mgmt", Table1[[#This Row],[Job_Type]] = "skilled"),
      "Skilled", "Unskilled")</f>
        <v>Skilled</v>
      </c>
      <c r="T86" t="str">
        <f>IF(Table1[[#This Row],[Job_Type]] = "unemp/unskilled non res", "Unemployed", "Employed")</f>
        <v>Employed</v>
      </c>
      <c r="U86" t="s">
        <v>38</v>
      </c>
      <c r="V86" s="14" t="str" cm="1">
        <f t="array" ref="V8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6" t="s">
        <v>103</v>
      </c>
      <c r="X86" s="2" t="str">
        <f>_xlfn.XLOOKUP(Table1[[#This Row],[Loan_Credit_History]],Table4[Credit History],Table4[[ Category]])</f>
        <v>Critical Credit History</v>
      </c>
      <c r="Y86" s="3">
        <v>4</v>
      </c>
      <c r="Z86" s="3">
        <v>2</v>
      </c>
      <c r="AA86" s="5">
        <v>7629</v>
      </c>
      <c r="AB86" t="s">
        <v>151</v>
      </c>
      <c r="AC86" s="2" t="str" cm="1">
        <f t="array" ref="AC86">_xlfn.IFS(Table1[[#This Row],[Others_Parties]] = "No", "None",
Table1[[#This Row],[Others_Parties]] = "co applicant", "Co-applicant",
Table1[[#This Row],[Others_Parties]] = "guarantor", "Guarantor")</f>
        <v>None</v>
      </c>
      <c r="AD86" s="13" t="s">
        <v>146</v>
      </c>
      <c r="AE86" s="2" t="s">
        <v>105</v>
      </c>
      <c r="AF86" s="28" t="str" cm="1">
        <f t="array" ref="AF8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86" s="21">
        <v>48</v>
      </c>
      <c r="AH86" s="2" t="s">
        <v>154</v>
      </c>
      <c r="AI86"/>
      <c r="AZ86"/>
      <c r="BC86"/>
      <c r="BE86"/>
      <c r="BL86"/>
      <c r="BZ86"/>
      <c r="CA86"/>
      <c r="CF86"/>
      <c r="CG86"/>
      <c r="CH86"/>
      <c r="CI86"/>
      <c r="CK86"/>
      <c r="CN86"/>
    </row>
    <row r="87" spans="1:92" x14ac:dyDescent="0.3">
      <c r="A87" s="4">
        <v>85</v>
      </c>
      <c r="B87" s="11">
        <v>37</v>
      </c>
      <c r="C87" s="2" t="str">
        <f>_xlfn.XLOOKUP(Table1[[#This Row],[Age]],Table7[Start_Age],Table7[Age_Range],,-1)</f>
        <v>29-39</v>
      </c>
      <c r="D87" t="s">
        <v>136</v>
      </c>
      <c r="E87" s="2" t="s">
        <v>131</v>
      </c>
      <c r="F87" s="2" t="s">
        <v>137</v>
      </c>
      <c r="G87" s="3">
        <v>1</v>
      </c>
      <c r="H87" s="13" t="s">
        <v>152</v>
      </c>
      <c r="I87" s="2" t="str" cm="1">
        <f t="array" ref="I87">_xlfn.IFS(Table1[[#This Row],[Job_Type]] = "unskilled resident", "Resident",
Table1[[#This Row],[Job_Type]] = "unemp/unskilled non res", "Non-resident",
TRUE, "Unknown")</f>
        <v>Unknown</v>
      </c>
      <c r="J87" s="2" t="s">
        <v>149</v>
      </c>
      <c r="K87" s="3">
        <v>4</v>
      </c>
      <c r="L87" s="2" t="s">
        <v>140</v>
      </c>
      <c r="M87" s="13" t="s">
        <v>151</v>
      </c>
      <c r="N87" t="s">
        <v>35</v>
      </c>
      <c r="O87" s="2" t="str">
        <f>_xlfn.XLOOKUP(Table1[[#This Row],[Checking_Acct_Status]],Table3[Checking_Acct_Original],Table3[Category])</f>
        <v>Negative Balance</v>
      </c>
      <c r="P87" s="10" t="s">
        <v>32</v>
      </c>
      <c r="Q87" s="13" t="str">
        <f>_xlfn.XLOOKUP(Table1[[#This Row],[Saving_Acct_Status]],Table5[Saving_Acct_Original],Table5[Category])</f>
        <v>Low Savings</v>
      </c>
      <c r="R87" t="s">
        <v>41</v>
      </c>
      <c r="S87" s="2" t="str">
        <f>IF(
      OR(Table1[[#This Row],[Job_Type]] = "high qualif/self emp/mgmt", Table1[[#This Row],[Job_Type]] = "skilled"),
      "Skilled", "Unskilled")</f>
        <v>Skilled</v>
      </c>
      <c r="T87" t="str">
        <f>IF(Table1[[#This Row],[Job_Type]] = "unemp/unskilled non res", "Unemployed", "Employed")</f>
        <v>Employed</v>
      </c>
      <c r="U87" t="s">
        <v>49</v>
      </c>
      <c r="V87" s="14" t="str" cm="1">
        <f t="array" ref="V8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7" t="s">
        <v>42</v>
      </c>
      <c r="X87" s="2" t="str">
        <f>_xlfn.XLOOKUP(Table1[[#This Row],[Loan_Credit_History]],Table4[Credit History],Table4[[ Category]])</f>
        <v>All Paid</v>
      </c>
      <c r="Y87" s="3">
        <v>2</v>
      </c>
      <c r="Z87" s="3">
        <v>1</v>
      </c>
      <c r="AA87" s="5">
        <v>7685</v>
      </c>
      <c r="AB87" t="s">
        <v>58</v>
      </c>
      <c r="AC87" s="2" t="str" cm="1">
        <f t="array" ref="AC87">_xlfn.IFS(Table1[[#This Row],[Others_Parties]] = "No", "None",
Table1[[#This Row],[Others_Parties]] = "co applicant", "Co-applicant",
Table1[[#This Row],[Others_Parties]] = "guarantor", "Guarantor")</f>
        <v>Guarantor</v>
      </c>
      <c r="AD87" s="13" t="s">
        <v>145</v>
      </c>
      <c r="AE87" s="2" t="s">
        <v>105</v>
      </c>
      <c r="AF87" s="28" t="str" cm="1">
        <f t="array" ref="AF8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87" s="21">
        <v>48</v>
      </c>
      <c r="AH87" s="2" t="s">
        <v>153</v>
      </c>
      <c r="AI87"/>
      <c r="AZ87"/>
      <c r="BC87"/>
      <c r="BE87"/>
      <c r="BL87"/>
      <c r="BZ87"/>
      <c r="CA87"/>
      <c r="CF87"/>
      <c r="CG87"/>
      <c r="CH87"/>
      <c r="CI87"/>
      <c r="CK87"/>
      <c r="CN87"/>
    </row>
    <row r="88" spans="1:92" x14ac:dyDescent="0.3">
      <c r="A88" s="4">
        <v>86</v>
      </c>
      <c r="B88" s="11">
        <v>42</v>
      </c>
      <c r="C88" s="2" t="str">
        <f>_xlfn.XLOOKUP(Table1[[#This Row],[Age]],Table7[Start_Age],Table7[Age_Range],,-1)</f>
        <v>39-49</v>
      </c>
      <c r="D88" t="s">
        <v>130</v>
      </c>
      <c r="E88" s="2" t="s">
        <v>129</v>
      </c>
      <c r="F88" s="2" t="s">
        <v>133</v>
      </c>
      <c r="G88" s="3">
        <v>1</v>
      </c>
      <c r="H88" s="13" t="s">
        <v>152</v>
      </c>
      <c r="I88" s="2" t="str" cm="1">
        <f t="array" ref="I88">_xlfn.IFS(Table1[[#This Row],[Job_Type]] = "unskilled resident", "Resident",
Table1[[#This Row],[Job_Type]] = "unemp/unskilled non res", "Non-resident",
TRUE, "Unknown")</f>
        <v>Unknown</v>
      </c>
      <c r="J88" s="2" t="s">
        <v>150</v>
      </c>
      <c r="K88" s="3">
        <v>4</v>
      </c>
      <c r="L88" s="2" t="s">
        <v>142</v>
      </c>
      <c r="M88" s="13" t="s">
        <v>151</v>
      </c>
      <c r="N88" t="s">
        <v>35</v>
      </c>
      <c r="O88" s="2" t="str">
        <f>_xlfn.XLOOKUP(Table1[[#This Row],[Checking_Acct_Status]],Table3[Checking_Acct_Original],Table3[Category])</f>
        <v>Negative Balance</v>
      </c>
      <c r="P88" s="10" t="s">
        <v>32</v>
      </c>
      <c r="Q88" s="13" t="str">
        <f>_xlfn.XLOOKUP(Table1[[#This Row],[Saving_Acct_Status]],Table5[Saving_Acct_Original],Table5[Category])</f>
        <v>Low Savings</v>
      </c>
      <c r="R88" t="s">
        <v>63</v>
      </c>
      <c r="S88" s="2" t="str">
        <f>IF(
      OR(Table1[[#This Row],[Job_Type]] = "high qualif/self emp/mgmt", Table1[[#This Row],[Job_Type]] = "skilled"),
      "Skilled", "Unskilled")</f>
        <v>Skilled</v>
      </c>
      <c r="T88" t="str">
        <f>IF(Table1[[#This Row],[Job_Type]] = "unemp/unskilled non res", "Unemployed", "Employed")</f>
        <v>Employed</v>
      </c>
      <c r="U88" t="s">
        <v>38</v>
      </c>
      <c r="V88" s="14" t="str" cm="1">
        <f t="array" ref="V8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8" t="s">
        <v>31</v>
      </c>
      <c r="X88" s="2" t="str">
        <f>_xlfn.XLOOKUP(Table1[[#This Row],[Loan_Credit_History]],Table4[Credit History],Table4[[ Category]])</f>
        <v>Existing Credits Paid</v>
      </c>
      <c r="Y88" s="3">
        <v>4</v>
      </c>
      <c r="Z88" s="3">
        <v>1</v>
      </c>
      <c r="AA88" s="5">
        <v>7763</v>
      </c>
      <c r="AB88" t="s">
        <v>151</v>
      </c>
      <c r="AC88" s="2" t="str" cm="1">
        <f t="array" ref="AC88">_xlfn.IFS(Table1[[#This Row],[Others_Parties]] = "No", "None",
Table1[[#This Row],[Others_Parties]] = "co applicant", "Co-applicant",
Table1[[#This Row],[Others_Parties]] = "guarantor", "Guarantor")</f>
        <v>None</v>
      </c>
      <c r="AD88" s="13" t="s">
        <v>146</v>
      </c>
      <c r="AE88" s="2" t="s">
        <v>141</v>
      </c>
      <c r="AF88" s="28" t="str" cm="1">
        <f t="array" ref="AF8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88" s="21">
        <v>48</v>
      </c>
      <c r="AH88" s="2" t="s">
        <v>153</v>
      </c>
      <c r="AI88"/>
      <c r="AZ88"/>
      <c r="BC88"/>
      <c r="BE88"/>
      <c r="BL88"/>
      <c r="BZ88"/>
      <c r="CA88"/>
      <c r="CF88"/>
      <c r="CG88"/>
      <c r="CH88"/>
      <c r="CI88"/>
      <c r="CK88"/>
      <c r="CN88"/>
    </row>
    <row r="89" spans="1:92" x14ac:dyDescent="0.3">
      <c r="A89" s="4">
        <v>87</v>
      </c>
      <c r="B89" s="11">
        <v>30</v>
      </c>
      <c r="C89" s="2" t="str">
        <f>_xlfn.XLOOKUP(Table1[[#This Row],[Age]],Table7[Start_Age],Table7[Age_Range],,-1)</f>
        <v>29-39</v>
      </c>
      <c r="D89" t="s">
        <v>136</v>
      </c>
      <c r="E89" s="2" t="s">
        <v>131</v>
      </c>
      <c r="F89" s="2" t="s">
        <v>137</v>
      </c>
      <c r="G89" s="3">
        <v>1</v>
      </c>
      <c r="H89" s="13" t="s">
        <v>152</v>
      </c>
      <c r="I89" s="2" t="str" cm="1">
        <f t="array" ref="I89">_xlfn.IFS(Table1[[#This Row],[Job_Type]] = "unskilled resident", "Resident",
Table1[[#This Row],[Job_Type]] = "unemp/unskilled non res", "Non-resident",
TRUE, "Unknown")</f>
        <v>Unknown</v>
      </c>
      <c r="J89" s="2" t="s">
        <v>148</v>
      </c>
      <c r="K89" s="3">
        <v>1</v>
      </c>
      <c r="L89" s="2" t="s">
        <v>140</v>
      </c>
      <c r="M89" s="13" t="s">
        <v>151</v>
      </c>
      <c r="N89" t="s">
        <v>30</v>
      </c>
      <c r="O89" s="2" t="str">
        <f>_xlfn.XLOOKUP(Table1[[#This Row],[Checking_Acct_Status]],Table3[Checking_Acct_Original],Table3[Category])</f>
        <v>Low Balance</v>
      </c>
      <c r="P89" s="10" t="s">
        <v>37</v>
      </c>
      <c r="Q89" s="13" t="str">
        <f>_xlfn.XLOOKUP(Table1[[#This Row],[Saving_Acct_Status]],Table5[Saving_Acct_Original],Table5[Category])</f>
        <v>High Savings</v>
      </c>
      <c r="R89" t="s">
        <v>41</v>
      </c>
      <c r="S89" s="2" t="str">
        <f>IF(
      OR(Table1[[#This Row],[Job_Type]] = "high qualif/self emp/mgmt", Table1[[#This Row],[Job_Type]] = "skilled"),
      "Skilled", "Unskilled")</f>
        <v>Skilled</v>
      </c>
      <c r="T89" t="str">
        <f>IF(Table1[[#This Row],[Job_Type]] = "unemp/unskilled non res", "Unemployed", "Employed")</f>
        <v>Employed</v>
      </c>
      <c r="U89" t="s">
        <v>45</v>
      </c>
      <c r="V89" s="14" t="str" cm="1">
        <f t="array" ref="V8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9" t="s">
        <v>52</v>
      </c>
      <c r="X89" s="2" t="str">
        <f>_xlfn.XLOOKUP(Table1[[#This Row],[Loan_Credit_History]],Table4[Credit History],Table4[[ Category]])</f>
        <v>No Credit History</v>
      </c>
      <c r="Y89" s="3">
        <v>1</v>
      </c>
      <c r="Z89" s="3">
        <v>2</v>
      </c>
      <c r="AA89" s="5">
        <v>8358</v>
      </c>
      <c r="AB89" t="s">
        <v>151</v>
      </c>
      <c r="AC89" s="2" t="str" cm="1">
        <f t="array" ref="AC89">_xlfn.IFS(Table1[[#This Row],[Others_Parties]] = "No", "None",
Table1[[#This Row],[Others_Parties]] = "co applicant", "Co-applicant",
Table1[[#This Row],[Others_Parties]] = "guarantor", "Guarantor")</f>
        <v>None</v>
      </c>
      <c r="AD89" s="13" t="s">
        <v>145</v>
      </c>
      <c r="AE89" s="2" t="s">
        <v>141</v>
      </c>
      <c r="AF89" s="28" t="str" cm="1">
        <f t="array" ref="AF8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89" s="21">
        <v>48</v>
      </c>
      <c r="AH89" s="2" t="s">
        <v>154</v>
      </c>
      <c r="AI89"/>
      <c r="AZ89"/>
      <c r="BC89"/>
      <c r="BE89"/>
      <c r="BL89"/>
      <c r="BZ89"/>
      <c r="CA89"/>
      <c r="CF89"/>
      <c r="CG89"/>
      <c r="CH89"/>
      <c r="CI89"/>
      <c r="CK89"/>
      <c r="CN89"/>
    </row>
    <row r="90" spans="1:92" x14ac:dyDescent="0.3">
      <c r="A90" s="4">
        <v>88</v>
      </c>
      <c r="B90" s="11">
        <v>24</v>
      </c>
      <c r="C90" s="2" t="str">
        <f>_xlfn.XLOOKUP(Table1[[#This Row],[Age]],Table7[Start_Age],Table7[Age_Range],,-1)</f>
        <v>19-29</v>
      </c>
      <c r="D90" t="s">
        <v>136</v>
      </c>
      <c r="E90" s="2" t="s">
        <v>131</v>
      </c>
      <c r="F90" s="2" t="s">
        <v>137</v>
      </c>
      <c r="G90" s="3">
        <v>1</v>
      </c>
      <c r="H90" s="13" t="s">
        <v>152</v>
      </c>
      <c r="I90" s="2" t="str" cm="1">
        <f t="array" ref="I90">_xlfn.IFS(Table1[[#This Row],[Job_Type]] = "unskilled resident", "Resident",
Table1[[#This Row],[Job_Type]] = "unemp/unskilled non res", "Non-resident",
TRUE, "Unknown")</f>
        <v>Unknown</v>
      </c>
      <c r="J90" s="2" t="s">
        <v>148</v>
      </c>
      <c r="K90" s="3">
        <v>2</v>
      </c>
      <c r="L90" s="2" t="s">
        <v>140</v>
      </c>
      <c r="M90" s="13" t="s">
        <v>151</v>
      </c>
      <c r="N90" t="s">
        <v>30</v>
      </c>
      <c r="O90" s="2" t="str">
        <f>_xlfn.XLOOKUP(Table1[[#This Row],[Checking_Acct_Status]],Table3[Checking_Acct_Original],Table3[Category])</f>
        <v>Low Balance</v>
      </c>
      <c r="P90" s="10" t="s">
        <v>47</v>
      </c>
      <c r="Q90" s="13" t="str">
        <f>_xlfn.XLOOKUP(Table1[[#This Row],[Saving_Acct_Status]],Table5[Saving_Acct_Original],Table5[Category])</f>
        <v>No Savings</v>
      </c>
      <c r="R90" t="s">
        <v>41</v>
      </c>
      <c r="S90" s="2" t="str">
        <f>IF(
      OR(Table1[[#This Row],[Job_Type]] = "high qualif/self emp/mgmt", Table1[[#This Row],[Job_Type]] = "skilled"),
      "Skilled", "Unskilled")</f>
        <v>Skilled</v>
      </c>
      <c r="T90" t="str">
        <f>IF(Table1[[#This Row],[Job_Type]] = "unemp/unskilled non res", "Unemployed", "Employed")</f>
        <v>Employed</v>
      </c>
      <c r="U90" t="s">
        <v>49</v>
      </c>
      <c r="V90" s="14" t="str" cm="1">
        <f t="array" ref="V9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0" t="s">
        <v>31</v>
      </c>
      <c r="X90" s="2" t="str">
        <f>_xlfn.XLOOKUP(Table1[[#This Row],[Loan_Credit_History]],Table4[Credit History],Table4[[ Category]])</f>
        <v>Existing Credits Paid</v>
      </c>
      <c r="Y90" s="3">
        <v>1</v>
      </c>
      <c r="Z90" s="3">
        <v>1</v>
      </c>
      <c r="AA90" s="5">
        <v>8487</v>
      </c>
      <c r="AB90" t="s">
        <v>151</v>
      </c>
      <c r="AC90" s="2" t="str" cm="1">
        <f t="array" ref="AC90">_xlfn.IFS(Table1[[#This Row],[Others_Parties]] = "No", "None",
Table1[[#This Row],[Others_Parties]] = "co applicant", "Co-applicant",
Table1[[#This Row],[Others_Parties]] = "guarantor", "Guarantor")</f>
        <v>None</v>
      </c>
      <c r="AD90" s="13" t="s">
        <v>145</v>
      </c>
      <c r="AE90" s="2" t="s">
        <v>141</v>
      </c>
      <c r="AF90" s="28" t="str" cm="1">
        <f t="array" ref="AF9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90" s="21">
        <v>48</v>
      </c>
      <c r="AH90" s="2" t="s">
        <v>154</v>
      </c>
      <c r="AI90"/>
      <c r="AZ90"/>
      <c r="BC90"/>
      <c r="BE90"/>
      <c r="BL90"/>
      <c r="BZ90"/>
      <c r="CA90"/>
      <c r="CF90"/>
      <c r="CG90"/>
      <c r="CH90"/>
      <c r="CI90"/>
      <c r="CK90"/>
      <c r="CN90"/>
    </row>
    <row r="91" spans="1:92" x14ac:dyDescent="0.3">
      <c r="A91" s="4">
        <v>89</v>
      </c>
      <c r="B91" s="11">
        <v>35</v>
      </c>
      <c r="C91" s="2" t="str">
        <f>_xlfn.XLOOKUP(Table1[[#This Row],[Age]],Table7[Start_Age],Table7[Age_Range],,-1)</f>
        <v>29-39</v>
      </c>
      <c r="D91" t="s">
        <v>130</v>
      </c>
      <c r="E91" s="2" t="s">
        <v>129</v>
      </c>
      <c r="F91" s="2" t="s">
        <v>133</v>
      </c>
      <c r="G91" s="3">
        <v>1</v>
      </c>
      <c r="H91" s="13" t="s">
        <v>152</v>
      </c>
      <c r="I91" s="2" t="str" cm="1">
        <f t="array" ref="I91">_xlfn.IFS(Table1[[#This Row],[Job_Type]] = "unskilled resident", "Resident",
Table1[[#This Row],[Job_Type]] = "unemp/unskilled non res", "Non-resident",
TRUE, "Unknown")</f>
        <v>Unknown</v>
      </c>
      <c r="J91" s="2" t="s">
        <v>150</v>
      </c>
      <c r="K91" s="3">
        <v>1</v>
      </c>
      <c r="L91" s="2" t="s">
        <v>142</v>
      </c>
      <c r="M91" s="13" t="s">
        <v>152</v>
      </c>
      <c r="N91" t="s">
        <v>17</v>
      </c>
      <c r="O91" s="2" t="str">
        <f>_xlfn.XLOOKUP(Table1[[#This Row],[Checking_Acct_Status]],Table3[Checking_Acct_Original],Table3[Category])</f>
        <v>No Account</v>
      </c>
      <c r="P91" s="10" t="s">
        <v>47</v>
      </c>
      <c r="Q91" s="13" t="str">
        <f>_xlfn.XLOOKUP(Table1[[#This Row],[Saving_Acct_Status]],Table5[Saving_Acct_Original],Table5[Category])</f>
        <v>No Savings</v>
      </c>
      <c r="R91" t="s">
        <v>41</v>
      </c>
      <c r="S91" s="2" t="str">
        <f>IF(
      OR(Table1[[#This Row],[Job_Type]] = "high qualif/self emp/mgmt", Table1[[#This Row],[Job_Type]] = "skilled"),
      "Skilled", "Unskilled")</f>
        <v>Skilled</v>
      </c>
      <c r="T91" t="str">
        <f>IF(Table1[[#This Row],[Job_Type]] = "unemp/unskilled non res", "Unemployed", "Employed")</f>
        <v>Employed</v>
      </c>
      <c r="U91" t="s">
        <v>49</v>
      </c>
      <c r="V91" s="14" t="str" cm="1">
        <f t="array" ref="V9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1" t="s">
        <v>103</v>
      </c>
      <c r="X91" s="2" t="str">
        <f>_xlfn.XLOOKUP(Table1[[#This Row],[Loan_Credit_History]],Table4[Credit History],Table4[[ Category]])</f>
        <v>Critical Credit History</v>
      </c>
      <c r="Y91" s="3">
        <v>2</v>
      </c>
      <c r="Z91" s="3">
        <v>2</v>
      </c>
      <c r="AA91" s="5">
        <v>8858</v>
      </c>
      <c r="AB91" t="s">
        <v>151</v>
      </c>
      <c r="AC91" s="2" t="str" cm="1">
        <f t="array" ref="AC91">_xlfn.IFS(Table1[[#This Row],[Others_Parties]] = "No", "None",
Table1[[#This Row],[Others_Parties]] = "co applicant", "Co-applicant",
Table1[[#This Row],[Others_Parties]] = "guarantor", "Guarantor")</f>
        <v>None</v>
      </c>
      <c r="AD91" s="13" t="s">
        <v>145</v>
      </c>
      <c r="AE91" s="2" t="s">
        <v>107</v>
      </c>
      <c r="AF91" s="28" t="str" cm="1">
        <f t="array" ref="AF9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91" s="21">
        <v>48</v>
      </c>
      <c r="AH91" s="2" t="s">
        <v>154</v>
      </c>
      <c r="AI91"/>
      <c r="AZ91"/>
      <c r="BC91"/>
      <c r="BE91"/>
      <c r="BL91"/>
      <c r="BZ91"/>
      <c r="CA91"/>
      <c r="CF91"/>
      <c r="CG91"/>
      <c r="CH91"/>
      <c r="CI91"/>
      <c r="CK91"/>
      <c r="CN91"/>
    </row>
    <row r="92" spans="1:92" x14ac:dyDescent="0.3">
      <c r="A92" s="4">
        <v>90</v>
      </c>
      <c r="B92" s="11">
        <v>26</v>
      </c>
      <c r="C92" s="2" t="str">
        <f>_xlfn.XLOOKUP(Table1[[#This Row],[Age]],Table7[Start_Age],Table7[Age_Range],,-1)</f>
        <v>19-29</v>
      </c>
      <c r="D92" t="s">
        <v>136</v>
      </c>
      <c r="E92" s="2" t="s">
        <v>131</v>
      </c>
      <c r="F92" s="2" t="s">
        <v>137</v>
      </c>
      <c r="G92" s="3">
        <v>1</v>
      </c>
      <c r="H92" s="13" t="s">
        <v>152</v>
      </c>
      <c r="I92" s="2" t="str" cm="1">
        <f t="array" ref="I92">_xlfn.IFS(Table1[[#This Row],[Job_Type]] = "unskilled resident", "Resident",
Table1[[#This Row],[Job_Type]] = "unemp/unskilled non res", "Non-resident",
TRUE, "Unknown")</f>
        <v>Unknown</v>
      </c>
      <c r="J92" s="2" t="s">
        <v>148</v>
      </c>
      <c r="K92" s="3">
        <v>2</v>
      </c>
      <c r="L92" s="2" t="s">
        <v>140</v>
      </c>
      <c r="M92" s="13" t="s">
        <v>152</v>
      </c>
      <c r="N92" t="s">
        <v>30</v>
      </c>
      <c r="O92" s="2" t="str">
        <f>_xlfn.XLOOKUP(Table1[[#This Row],[Checking_Acct_Status]],Table3[Checking_Acct_Original],Table3[Category])</f>
        <v>Low Balance</v>
      </c>
      <c r="P92" s="10" t="s">
        <v>32</v>
      </c>
      <c r="Q92" s="13" t="str">
        <f>_xlfn.XLOOKUP(Table1[[#This Row],[Saving_Acct_Status]],Table5[Saving_Acct_Original],Table5[Category])</f>
        <v>Low Savings</v>
      </c>
      <c r="R92" t="s">
        <v>41</v>
      </c>
      <c r="S92" s="2" t="str">
        <f>IF(
      OR(Table1[[#This Row],[Job_Type]] = "high qualif/self emp/mgmt", Table1[[#This Row],[Job_Type]] = "skilled"),
      "Skilled", "Unskilled")</f>
        <v>Skilled</v>
      </c>
      <c r="T92" t="str">
        <f>IF(Table1[[#This Row],[Job_Type]] = "unemp/unskilled non res", "Unemployed", "Employed")</f>
        <v>Employed</v>
      </c>
      <c r="U92" t="s">
        <v>45</v>
      </c>
      <c r="V92" s="14" t="str" cm="1">
        <f t="array" ref="V9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2" t="s">
        <v>31</v>
      </c>
      <c r="X92" s="2" t="str">
        <f>_xlfn.XLOOKUP(Table1[[#This Row],[Loan_Credit_History]],Table4[Credit History],Table4[[ Category]])</f>
        <v>Existing Credits Paid</v>
      </c>
      <c r="Y92" s="3">
        <v>1</v>
      </c>
      <c r="Z92" s="3">
        <v>1</v>
      </c>
      <c r="AA92" s="5">
        <v>9960</v>
      </c>
      <c r="AB92" t="s">
        <v>151</v>
      </c>
      <c r="AC92" s="2" t="str" cm="1">
        <f t="array" ref="AC92">_xlfn.IFS(Table1[[#This Row],[Others_Parties]] = "No", "None",
Table1[[#This Row],[Others_Parties]] = "co applicant", "Co-applicant",
Table1[[#This Row],[Others_Parties]] = "guarantor", "Guarantor")</f>
        <v>None</v>
      </c>
      <c r="AD92" s="13" t="s">
        <v>145</v>
      </c>
      <c r="AE92" s="2" t="s">
        <v>108</v>
      </c>
      <c r="AF92" s="28" t="str" cm="1">
        <f t="array" ref="AF9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92" s="21">
        <v>48</v>
      </c>
      <c r="AH92" s="2" t="s">
        <v>153</v>
      </c>
      <c r="AI92"/>
      <c r="AZ92"/>
      <c r="BC92"/>
      <c r="BE92"/>
      <c r="BL92"/>
      <c r="BZ92"/>
      <c r="CA92"/>
      <c r="CF92"/>
      <c r="CG92"/>
      <c r="CH92"/>
      <c r="CI92"/>
      <c r="CK92"/>
      <c r="CN92"/>
    </row>
    <row r="93" spans="1:92" x14ac:dyDescent="0.3">
      <c r="A93" s="4">
        <v>91</v>
      </c>
      <c r="B93" s="11">
        <v>44</v>
      </c>
      <c r="C93" s="2" t="str">
        <f>_xlfn.XLOOKUP(Table1[[#This Row],[Age]],Table7[Start_Age],Table7[Age_Range],,-1)</f>
        <v>39-49</v>
      </c>
      <c r="D93" t="s">
        <v>130</v>
      </c>
      <c r="E93" s="2" t="s">
        <v>129</v>
      </c>
      <c r="F93" s="2" t="s">
        <v>133</v>
      </c>
      <c r="G93" s="3">
        <v>1</v>
      </c>
      <c r="H93" s="13" t="s">
        <v>152</v>
      </c>
      <c r="I93" s="2" t="str" cm="1">
        <f t="array" ref="I93">_xlfn.IFS(Table1[[#This Row],[Job_Type]] = "unskilled resident", "Resident",
Table1[[#This Row],[Job_Type]] = "unemp/unskilled non res", "Non-resident",
TRUE, "Unknown")</f>
        <v>Unknown</v>
      </c>
      <c r="J93" s="2" t="s">
        <v>150</v>
      </c>
      <c r="K93" s="3">
        <v>2</v>
      </c>
      <c r="L93" s="2" t="s">
        <v>142</v>
      </c>
      <c r="M93" s="13" t="s">
        <v>151</v>
      </c>
      <c r="N93" t="s">
        <v>17</v>
      </c>
      <c r="O93" s="2" t="str">
        <f>_xlfn.XLOOKUP(Table1[[#This Row],[Checking_Acct_Status]],Table3[Checking_Acct_Original],Table3[Category])</f>
        <v>No Account</v>
      </c>
      <c r="P93" s="10" t="s">
        <v>37</v>
      </c>
      <c r="Q93" s="13" t="str">
        <f>_xlfn.XLOOKUP(Table1[[#This Row],[Saving_Acct_Status]],Table5[Saving_Acct_Original],Table5[Category])</f>
        <v>High Savings</v>
      </c>
      <c r="R93" t="s">
        <v>41</v>
      </c>
      <c r="S93" s="2" t="str">
        <f>IF(
      OR(Table1[[#This Row],[Job_Type]] = "high qualif/self emp/mgmt", Table1[[#This Row],[Job_Type]] = "skilled"),
      "Skilled", "Unskilled")</f>
        <v>Skilled</v>
      </c>
      <c r="T93" t="str">
        <f>IF(Table1[[#This Row],[Job_Type]] = "unemp/unskilled non res", "Unemployed", "Employed")</f>
        <v>Employed</v>
      </c>
      <c r="U93" t="s">
        <v>21</v>
      </c>
      <c r="V93" s="14" t="str" cm="1">
        <f t="array" ref="V9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3" t="s">
        <v>103</v>
      </c>
      <c r="X93" s="2" t="str">
        <f>_xlfn.XLOOKUP(Table1[[#This Row],[Loan_Credit_History]],Table4[Credit History],Table4[[ Category]])</f>
        <v>Critical Credit History</v>
      </c>
      <c r="Y93" s="3">
        <v>2</v>
      </c>
      <c r="Z93" s="3">
        <v>1</v>
      </c>
      <c r="AA93" s="5">
        <v>10127</v>
      </c>
      <c r="AB93" t="s">
        <v>151</v>
      </c>
      <c r="AC93" s="2" t="str" cm="1">
        <f t="array" ref="AC93">_xlfn.IFS(Table1[[#This Row],[Others_Parties]] = "No", "None",
Table1[[#This Row],[Others_Parties]] = "co applicant", "Co-applicant",
Table1[[#This Row],[Others_Parties]] = "guarantor", "Guarantor")</f>
        <v>None</v>
      </c>
      <c r="AD93" s="13" t="s">
        <v>146</v>
      </c>
      <c r="AE93" s="2" t="s">
        <v>141</v>
      </c>
      <c r="AF93" s="28" t="str" cm="1">
        <f t="array" ref="AF9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93" s="21">
        <v>48</v>
      </c>
      <c r="AH93" s="2" t="s">
        <v>153</v>
      </c>
      <c r="AI93"/>
      <c r="AZ93"/>
      <c r="BC93"/>
      <c r="BE93"/>
      <c r="BL93"/>
      <c r="BZ93"/>
      <c r="CA93"/>
      <c r="CF93"/>
      <c r="CG93"/>
      <c r="CH93"/>
      <c r="CI93"/>
      <c r="CK93"/>
      <c r="CN93"/>
    </row>
    <row r="94" spans="1:92" x14ac:dyDescent="0.3">
      <c r="A94" s="4">
        <v>92</v>
      </c>
      <c r="B94" s="11">
        <v>37</v>
      </c>
      <c r="C94" s="2" t="str">
        <f>_xlfn.XLOOKUP(Table1[[#This Row],[Age]],Table7[Start_Age],Table7[Age_Range],,-1)</f>
        <v>29-39</v>
      </c>
      <c r="D94" t="s">
        <v>130</v>
      </c>
      <c r="E94" s="2" t="s">
        <v>129</v>
      </c>
      <c r="F94" s="2" t="s">
        <v>133</v>
      </c>
      <c r="G94" s="3">
        <v>1</v>
      </c>
      <c r="H94" s="13" t="s">
        <v>152</v>
      </c>
      <c r="I94" s="2" t="str" cm="1">
        <f t="array" ref="I94">_xlfn.IFS(Table1[[#This Row],[Job_Type]] = "unskilled resident", "Resident",
Table1[[#This Row],[Job_Type]] = "unemp/unskilled non res", "Non-resident",
TRUE, "Unknown")</f>
        <v>Unknown</v>
      </c>
      <c r="J94" s="2" t="s">
        <v>148</v>
      </c>
      <c r="K94" s="3">
        <v>3</v>
      </c>
      <c r="L94" s="2" t="s">
        <v>140</v>
      </c>
      <c r="M94" s="13" t="s">
        <v>152</v>
      </c>
      <c r="N94" t="s">
        <v>17</v>
      </c>
      <c r="O94" s="2" t="str">
        <f>_xlfn.XLOOKUP(Table1[[#This Row],[Checking_Acct_Status]],Table3[Checking_Acct_Original],Table3[Category])</f>
        <v>No Account</v>
      </c>
      <c r="P94" s="10" t="s">
        <v>47</v>
      </c>
      <c r="Q94" s="13" t="str">
        <f>_xlfn.XLOOKUP(Table1[[#This Row],[Saving_Acct_Status]],Table5[Saving_Acct_Original],Table5[Category])</f>
        <v>No Savings</v>
      </c>
      <c r="R94" t="s">
        <v>41</v>
      </c>
      <c r="S94" s="2" t="str">
        <f>IF(
      OR(Table1[[#This Row],[Job_Type]] = "high qualif/self emp/mgmt", Table1[[#This Row],[Job_Type]] = "skilled"),
      "Skilled", "Unskilled")</f>
        <v>Skilled</v>
      </c>
      <c r="T94" t="str">
        <f>IF(Table1[[#This Row],[Job_Type]] = "unemp/unskilled non res", "Unemployed", "Employed")</f>
        <v>Employed</v>
      </c>
      <c r="U94" t="s">
        <v>49</v>
      </c>
      <c r="V94" s="14" t="str" cm="1">
        <f t="array" ref="V9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4" t="s">
        <v>31</v>
      </c>
      <c r="X94" s="2" t="str">
        <f>_xlfn.XLOOKUP(Table1[[#This Row],[Loan_Credit_History]],Table4[Credit History],Table4[[ Category]])</f>
        <v>Existing Credits Paid</v>
      </c>
      <c r="Y94" s="3">
        <v>4</v>
      </c>
      <c r="Z94" s="3">
        <v>1</v>
      </c>
      <c r="AA94" s="5">
        <v>10222</v>
      </c>
      <c r="AB94" t="s">
        <v>151</v>
      </c>
      <c r="AC94" s="2" t="str" cm="1">
        <f t="array" ref="AC94">_xlfn.IFS(Table1[[#This Row],[Others_Parties]] = "No", "None",
Table1[[#This Row],[Others_Parties]] = "co applicant", "Co-applicant",
Table1[[#This Row],[Others_Parties]] = "guarantor", "Guarantor")</f>
        <v>None</v>
      </c>
      <c r="AD94" s="13" t="s">
        <v>147</v>
      </c>
      <c r="AE94" s="2" t="s">
        <v>111</v>
      </c>
      <c r="AF94" s="28" t="str" cm="1">
        <f t="array" ref="AF9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94" s="21">
        <v>48</v>
      </c>
      <c r="AH94" s="2" t="s">
        <v>154</v>
      </c>
      <c r="AI94"/>
      <c r="AZ94"/>
      <c r="BC94"/>
      <c r="BE94"/>
      <c r="BL94"/>
      <c r="BZ94"/>
      <c r="CA94"/>
      <c r="CF94"/>
      <c r="CG94"/>
      <c r="CH94"/>
      <c r="CI94"/>
      <c r="CK94"/>
      <c r="CN94"/>
    </row>
    <row r="95" spans="1:92" x14ac:dyDescent="0.3">
      <c r="A95" s="4">
        <v>93</v>
      </c>
      <c r="B95" s="11">
        <v>39</v>
      </c>
      <c r="C95" s="2" t="str">
        <f>_xlfn.XLOOKUP(Table1[[#This Row],[Age]],Table7[Start_Age],Table7[Age_Range],,-1)</f>
        <v>39-49</v>
      </c>
      <c r="D95" t="s">
        <v>130</v>
      </c>
      <c r="E95" s="2" t="s">
        <v>129</v>
      </c>
      <c r="F95" s="2" t="s">
        <v>133</v>
      </c>
      <c r="G95" s="3">
        <v>2</v>
      </c>
      <c r="H95" s="13" t="s">
        <v>152</v>
      </c>
      <c r="I95" s="2" t="str" cm="1">
        <f t="array" ref="I95">_xlfn.IFS(Table1[[#This Row],[Job_Type]] = "unskilled resident", "Resident",
Table1[[#This Row],[Job_Type]] = "unemp/unskilled non res", "Non-resident",
TRUE, "Unknown")</f>
        <v>Unknown</v>
      </c>
      <c r="J95" s="2" t="s">
        <v>150</v>
      </c>
      <c r="K95" s="3">
        <v>4</v>
      </c>
      <c r="L95" s="2" t="s">
        <v>142</v>
      </c>
      <c r="M95" s="13" t="s">
        <v>152</v>
      </c>
      <c r="N95" t="s">
        <v>35</v>
      </c>
      <c r="O95" s="2" t="str">
        <f>_xlfn.XLOOKUP(Table1[[#This Row],[Checking_Acct_Status]],Table3[Checking_Acct_Original],Table3[Category])</f>
        <v>Negative Balance</v>
      </c>
      <c r="P95" s="10" t="s">
        <v>32</v>
      </c>
      <c r="Q95" s="13" t="str">
        <f>_xlfn.XLOOKUP(Table1[[#This Row],[Saving_Acct_Status]],Table5[Saving_Acct_Original],Table5[Category])</f>
        <v>Low Savings</v>
      </c>
      <c r="R95" t="s">
        <v>41</v>
      </c>
      <c r="S95" s="2" t="str">
        <f>IF(
      OR(Table1[[#This Row],[Job_Type]] = "high qualif/self emp/mgmt", Table1[[#This Row],[Job_Type]] = "skilled"),
      "Skilled", "Unskilled")</f>
        <v>Skilled</v>
      </c>
      <c r="T95" t="str">
        <f>IF(Table1[[#This Row],[Job_Type]] = "unemp/unskilled non res", "Unemployed", "Employed")</f>
        <v>Employed</v>
      </c>
      <c r="U95" t="s">
        <v>49</v>
      </c>
      <c r="V95" s="14" t="str" cm="1">
        <f t="array" ref="V9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5" t="s">
        <v>31</v>
      </c>
      <c r="X95" s="2" t="str">
        <f>_xlfn.XLOOKUP(Table1[[#This Row],[Loan_Credit_History]],Table4[Credit History],Table4[[ Category]])</f>
        <v>Existing Credits Paid</v>
      </c>
      <c r="Y95" s="3">
        <v>4</v>
      </c>
      <c r="Z95" s="3">
        <v>3</v>
      </c>
      <c r="AA95" s="5">
        <v>10297</v>
      </c>
      <c r="AB95" t="s">
        <v>151</v>
      </c>
      <c r="AC95" s="2" t="str" cm="1">
        <f t="array" ref="AC95">_xlfn.IFS(Table1[[#This Row],[Others_Parties]] = "No", "None",
Table1[[#This Row],[Others_Parties]] = "co applicant", "Co-applicant",
Table1[[#This Row],[Others_Parties]] = "guarantor", "Guarantor")</f>
        <v>None</v>
      </c>
      <c r="AD95" s="13" t="s">
        <v>147</v>
      </c>
      <c r="AE95" s="2" t="s">
        <v>107</v>
      </c>
      <c r="AF95" s="28" t="str" cm="1">
        <f t="array" ref="AF9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95" s="21">
        <v>48</v>
      </c>
      <c r="AH95" s="2" t="s">
        <v>153</v>
      </c>
      <c r="AI95"/>
      <c r="AZ95"/>
      <c r="BC95"/>
      <c r="BE95"/>
      <c r="BL95"/>
      <c r="BZ95"/>
      <c r="CA95"/>
      <c r="CF95"/>
      <c r="CG95"/>
      <c r="CH95"/>
      <c r="CI95"/>
      <c r="CK95"/>
      <c r="CN95"/>
    </row>
    <row r="96" spans="1:92" x14ac:dyDescent="0.3">
      <c r="A96" s="4">
        <v>94</v>
      </c>
      <c r="B96" s="11">
        <v>27</v>
      </c>
      <c r="C96" s="2" t="str">
        <f>_xlfn.XLOOKUP(Table1[[#This Row],[Age]],Table7[Start_Age],Table7[Age_Range],,-1)</f>
        <v>19-29</v>
      </c>
      <c r="D96" t="s">
        <v>130</v>
      </c>
      <c r="E96" s="2" t="s">
        <v>129</v>
      </c>
      <c r="F96" s="2" t="s">
        <v>133</v>
      </c>
      <c r="G96" s="3">
        <v>1</v>
      </c>
      <c r="H96" s="13" t="s">
        <v>152</v>
      </c>
      <c r="I96" s="2" t="str" cm="1">
        <f t="array" ref="I96">_xlfn.IFS(Table1[[#This Row],[Job_Type]] = "unskilled resident", "Resident",
Table1[[#This Row],[Job_Type]] = "unemp/unskilled non res", "Non-resident",
TRUE, "Unknown")</f>
        <v>Unknown</v>
      </c>
      <c r="J96" s="2" t="s">
        <v>148</v>
      </c>
      <c r="K96" s="3">
        <v>2</v>
      </c>
      <c r="L96" s="2" t="s">
        <v>142</v>
      </c>
      <c r="M96" s="13" t="s">
        <v>152</v>
      </c>
      <c r="N96" t="s">
        <v>30</v>
      </c>
      <c r="O96" s="2" t="str">
        <f>_xlfn.XLOOKUP(Table1[[#This Row],[Checking_Acct_Status]],Table3[Checking_Acct_Original],Table3[Category])</f>
        <v>Low Balance</v>
      </c>
      <c r="P96" s="10" t="s">
        <v>20</v>
      </c>
      <c r="Q96" s="13" t="str">
        <f>_xlfn.XLOOKUP(Table1[[#This Row],[Saving_Acct_Status]],Table5[Saving_Acct_Original],Table5[Category])</f>
        <v>Very High Savings</v>
      </c>
      <c r="R96" t="s">
        <v>41</v>
      </c>
      <c r="S96" s="2" t="str">
        <f>IF(
      OR(Table1[[#This Row],[Job_Type]] = "high qualif/self emp/mgmt", Table1[[#This Row],[Job_Type]] = "skilled"),
      "Skilled", "Unskilled")</f>
        <v>Skilled</v>
      </c>
      <c r="T96" t="str">
        <f>IF(Table1[[#This Row],[Job_Type]] = "unemp/unskilled non res", "Unemployed", "Employed")</f>
        <v>Employed</v>
      </c>
      <c r="U96" t="s">
        <v>49</v>
      </c>
      <c r="V96" s="14" t="str" cm="1">
        <f t="array" ref="V9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6" t="s">
        <v>31</v>
      </c>
      <c r="X96" s="2" t="str">
        <f>_xlfn.XLOOKUP(Table1[[#This Row],[Loan_Credit_History]],Table4[Credit History],Table4[[ Category]])</f>
        <v>Existing Credits Paid</v>
      </c>
      <c r="Y96" s="3">
        <v>1</v>
      </c>
      <c r="Z96" s="3">
        <v>2</v>
      </c>
      <c r="AA96" s="5">
        <v>10961</v>
      </c>
      <c r="AB96" t="s">
        <v>55</v>
      </c>
      <c r="AC96" s="2" t="str" cm="1">
        <f t="array" ref="AC96">_xlfn.IFS(Table1[[#This Row],[Others_Parties]] = "No", "None",
Table1[[#This Row],[Others_Parties]] = "co applicant", "Co-applicant",
Table1[[#This Row],[Others_Parties]] = "guarantor", "Guarantor")</f>
        <v>Co-applicant</v>
      </c>
      <c r="AD96" s="13" t="s">
        <v>146</v>
      </c>
      <c r="AE96" s="2" t="s">
        <v>111</v>
      </c>
      <c r="AF96" s="28" t="str" cm="1">
        <f t="array" ref="AF9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96" s="21">
        <v>48</v>
      </c>
      <c r="AH96" s="2" t="s">
        <v>153</v>
      </c>
      <c r="AI96"/>
      <c r="AZ96"/>
      <c r="BC96"/>
      <c r="BE96"/>
      <c r="BL96"/>
      <c r="BZ96"/>
      <c r="CA96"/>
      <c r="CF96"/>
      <c r="CG96"/>
      <c r="CH96"/>
      <c r="CI96"/>
      <c r="CK96"/>
      <c r="CN96"/>
    </row>
    <row r="97" spans="1:92" x14ac:dyDescent="0.3">
      <c r="A97" s="4">
        <v>95</v>
      </c>
      <c r="B97" s="11">
        <v>24</v>
      </c>
      <c r="C97" s="2" t="str">
        <f>_xlfn.XLOOKUP(Table1[[#This Row],[Age]],Table7[Start_Age],Table7[Age_Range],,-1)</f>
        <v>19-29</v>
      </c>
      <c r="D97" t="s">
        <v>136</v>
      </c>
      <c r="E97" s="2" t="s">
        <v>131</v>
      </c>
      <c r="F97" s="2" t="s">
        <v>137</v>
      </c>
      <c r="G97" s="3">
        <v>1</v>
      </c>
      <c r="H97" s="13" t="s">
        <v>152</v>
      </c>
      <c r="I97" s="2" t="str" cm="1">
        <f t="array" ref="I97">_xlfn.IFS(Table1[[#This Row],[Job_Type]] = "unskilled resident", "Resident",
Table1[[#This Row],[Job_Type]] = "unemp/unskilled non res", "Non-resident",
TRUE, "Unknown")</f>
        <v>Resident</v>
      </c>
      <c r="J97" s="2" t="s">
        <v>149</v>
      </c>
      <c r="K97" s="3">
        <v>4</v>
      </c>
      <c r="L97" s="2" t="s">
        <v>140</v>
      </c>
      <c r="M97" s="13" t="s">
        <v>151</v>
      </c>
      <c r="N97" t="s">
        <v>17</v>
      </c>
      <c r="O97" s="2" t="str">
        <f>_xlfn.XLOOKUP(Table1[[#This Row],[Checking_Acct_Status]],Table3[Checking_Acct_Original],Table3[Category])</f>
        <v>No Account</v>
      </c>
      <c r="P97" s="10" t="s">
        <v>46</v>
      </c>
      <c r="Q97" s="13" t="str">
        <f>_xlfn.XLOOKUP(Table1[[#This Row],[Saving_Acct_Status]],Table5[Saving_Acct_Original],Table5[Category])</f>
        <v>Medium Savings</v>
      </c>
      <c r="R97" t="s">
        <v>27</v>
      </c>
      <c r="S97" s="2" t="str">
        <f>IF(
      OR(Table1[[#This Row],[Job_Type]] = "high qualif/self emp/mgmt", Table1[[#This Row],[Job_Type]] = "skilled"),
      "Skilled", "Unskilled")</f>
        <v>Unskilled</v>
      </c>
      <c r="T97" t="str">
        <f>IF(Table1[[#This Row],[Job_Type]] = "unemp/unskilled non res", "Unemployed", "Employed")</f>
        <v>Employed</v>
      </c>
      <c r="U97" t="s">
        <v>21</v>
      </c>
      <c r="V97" s="14" t="str" cm="1">
        <f t="array" ref="V9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7" t="s">
        <v>103</v>
      </c>
      <c r="X97" s="2" t="str">
        <f>_xlfn.XLOOKUP(Table1[[#This Row],[Loan_Credit_History]],Table4[Credit History],Table4[[ Category]])</f>
        <v>Critical Credit History</v>
      </c>
      <c r="Y97" s="3">
        <v>2</v>
      </c>
      <c r="Z97" s="3">
        <v>2</v>
      </c>
      <c r="AA97" s="5">
        <v>11590</v>
      </c>
      <c r="AB97" t="s">
        <v>151</v>
      </c>
      <c r="AC97" s="2" t="str" cm="1">
        <f t="array" ref="AC97">_xlfn.IFS(Table1[[#This Row],[Others_Parties]] = "No", "None",
Table1[[#This Row],[Others_Parties]] = "co applicant", "Co-applicant",
Table1[[#This Row],[Others_Parties]] = "guarantor", "Guarantor")</f>
        <v>None</v>
      </c>
      <c r="AD97" s="13" t="s">
        <v>146</v>
      </c>
      <c r="AE97" s="2" t="s">
        <v>107</v>
      </c>
      <c r="AF97" s="28" t="str" cm="1">
        <f t="array" ref="AF9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97" s="21">
        <v>48</v>
      </c>
      <c r="AH97" s="2" t="s">
        <v>153</v>
      </c>
      <c r="AI97"/>
      <c r="AZ97"/>
      <c r="BC97"/>
      <c r="BE97"/>
      <c r="BL97"/>
      <c r="BZ97"/>
      <c r="CA97"/>
      <c r="CF97"/>
      <c r="CG97"/>
      <c r="CH97"/>
      <c r="CI97"/>
      <c r="CK97"/>
      <c r="CN97"/>
    </row>
    <row r="98" spans="1:92" x14ac:dyDescent="0.3">
      <c r="A98" s="4">
        <v>96</v>
      </c>
      <c r="B98" s="11">
        <v>36</v>
      </c>
      <c r="C98" s="2" t="str">
        <f>_xlfn.XLOOKUP(Table1[[#This Row],[Age]],Table7[Start_Age],Table7[Age_Range],,-1)</f>
        <v>29-39</v>
      </c>
      <c r="D98" t="s">
        <v>130</v>
      </c>
      <c r="E98" s="2" t="s">
        <v>129</v>
      </c>
      <c r="F98" s="2" t="s">
        <v>133</v>
      </c>
      <c r="G98" s="3">
        <v>1</v>
      </c>
      <c r="H98" s="13" t="s">
        <v>152</v>
      </c>
      <c r="I98" s="2" t="str" cm="1">
        <f t="array" ref="I98">_xlfn.IFS(Table1[[#This Row],[Job_Type]] = "unskilled resident", "Resident",
Table1[[#This Row],[Job_Type]] = "unemp/unskilled non res", "Non-resident",
TRUE, "Unknown")</f>
        <v>Unknown</v>
      </c>
      <c r="J98" s="2" t="s">
        <v>150</v>
      </c>
      <c r="K98" s="3">
        <v>4</v>
      </c>
      <c r="L98" s="2" t="s">
        <v>142</v>
      </c>
      <c r="M98" s="13" t="s">
        <v>152</v>
      </c>
      <c r="N98" t="s">
        <v>30</v>
      </c>
      <c r="O98" s="2" t="str">
        <f>_xlfn.XLOOKUP(Table1[[#This Row],[Checking_Acct_Status]],Table3[Checking_Acct_Original],Table3[Category])</f>
        <v>Low Balance</v>
      </c>
      <c r="P98" s="10" t="s">
        <v>47</v>
      </c>
      <c r="Q98" s="13" t="str">
        <f>_xlfn.XLOOKUP(Table1[[#This Row],[Saving_Acct_Status]],Table5[Saving_Acct_Original],Table5[Category])</f>
        <v>No Savings</v>
      </c>
      <c r="R98" t="s">
        <v>63</v>
      </c>
      <c r="S98" s="2" t="str">
        <f>IF(
      OR(Table1[[#This Row],[Job_Type]] = "high qualif/self emp/mgmt", Table1[[#This Row],[Job_Type]] = "skilled"),
      "Skilled", "Unskilled")</f>
        <v>Skilled</v>
      </c>
      <c r="T98" t="str">
        <f>IF(Table1[[#This Row],[Job_Type]] = "unemp/unskilled non res", "Unemployed", "Employed")</f>
        <v>Employed</v>
      </c>
      <c r="U98" t="s">
        <v>54</v>
      </c>
      <c r="V98" s="14" t="str" cm="1">
        <f t="array" ref="V98">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98" t="s">
        <v>42</v>
      </c>
      <c r="X98" s="2" t="str">
        <f>_xlfn.XLOOKUP(Table1[[#This Row],[Loan_Credit_History]],Table4[Credit History],Table4[[ Category]])</f>
        <v>All Paid</v>
      </c>
      <c r="Y98" s="3">
        <v>4</v>
      </c>
      <c r="Z98" s="3">
        <v>1</v>
      </c>
      <c r="AA98" s="5">
        <v>12169</v>
      </c>
      <c r="AB98" t="s">
        <v>55</v>
      </c>
      <c r="AC98" s="2" t="str" cm="1">
        <f t="array" ref="AC98">_xlfn.IFS(Table1[[#This Row],[Others_Parties]] = "No", "None",
Table1[[#This Row],[Others_Parties]] = "co applicant", "Co-applicant",
Table1[[#This Row],[Others_Parties]] = "guarantor", "Guarantor")</f>
        <v>Co-applicant</v>
      </c>
      <c r="AD98" s="13" t="s">
        <v>145</v>
      </c>
      <c r="AE98" s="2" t="s">
        <v>141</v>
      </c>
      <c r="AF98" s="28" t="str" cm="1">
        <f t="array" ref="AF9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98" s="21">
        <v>48</v>
      </c>
      <c r="AH98" s="2" t="s">
        <v>154</v>
      </c>
      <c r="AI98"/>
      <c r="AZ98"/>
      <c r="BC98"/>
      <c r="BE98"/>
      <c r="BL98"/>
      <c r="BZ98"/>
      <c r="CA98"/>
      <c r="CF98"/>
      <c r="CG98"/>
      <c r="CH98"/>
      <c r="CI98"/>
      <c r="CK98"/>
      <c r="CN98"/>
    </row>
    <row r="99" spans="1:92" x14ac:dyDescent="0.3">
      <c r="A99" s="4">
        <v>97</v>
      </c>
      <c r="B99" s="11">
        <v>48</v>
      </c>
      <c r="C99" s="2" t="str">
        <f>_xlfn.XLOOKUP(Table1[[#This Row],[Age]],Table7[Start_Age],Table7[Age_Range],,-1)</f>
        <v>39-49</v>
      </c>
      <c r="D99" t="s">
        <v>130</v>
      </c>
      <c r="E99" s="2" t="s">
        <v>129</v>
      </c>
      <c r="F99" s="2" t="s">
        <v>133</v>
      </c>
      <c r="G99" s="3">
        <v>1</v>
      </c>
      <c r="H99" s="13" t="s">
        <v>152</v>
      </c>
      <c r="I99" s="2" t="str" cm="1">
        <f t="array" ref="I99">_xlfn.IFS(Table1[[#This Row],[Job_Type]] = "unskilled resident", "Resident",
Table1[[#This Row],[Job_Type]] = "unemp/unskilled non res", "Non-resident",
TRUE, "Unknown")</f>
        <v>Unknown</v>
      </c>
      <c r="J99" s="2" t="s">
        <v>148</v>
      </c>
      <c r="K99" s="3">
        <v>2</v>
      </c>
      <c r="L99" s="2" t="s">
        <v>140</v>
      </c>
      <c r="M99" s="13" t="s">
        <v>152</v>
      </c>
      <c r="N99" t="s">
        <v>30</v>
      </c>
      <c r="O99" s="2" t="str">
        <f>_xlfn.XLOOKUP(Table1[[#This Row],[Checking_Acct_Status]],Table3[Checking_Acct_Original],Table3[Category])</f>
        <v>Low Balance</v>
      </c>
      <c r="P99" s="10" t="s">
        <v>47</v>
      </c>
      <c r="Q99" s="13" t="str">
        <f>_xlfn.XLOOKUP(Table1[[#This Row],[Saving_Acct_Status]],Table5[Saving_Acct_Original],Table5[Category])</f>
        <v>No Savings</v>
      </c>
      <c r="R99" t="s">
        <v>63</v>
      </c>
      <c r="S99" s="2" t="str">
        <f>IF(
      OR(Table1[[#This Row],[Job_Type]] = "high qualif/self emp/mgmt", Table1[[#This Row],[Job_Type]] = "skilled"),
      "Skilled", "Unskilled")</f>
        <v>Skilled</v>
      </c>
      <c r="T99" t="str">
        <f>IF(Table1[[#This Row],[Job_Type]] = "unemp/unskilled non res", "Unemployed", "Employed")</f>
        <v>Employed</v>
      </c>
      <c r="U99" t="s">
        <v>21</v>
      </c>
      <c r="V99" s="14" t="str" cm="1">
        <f t="array" ref="V9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9" t="s">
        <v>52</v>
      </c>
      <c r="X99" s="2" t="str">
        <f>_xlfn.XLOOKUP(Table1[[#This Row],[Loan_Credit_History]],Table4[Credit History],Table4[[ Category]])</f>
        <v>No Credit History</v>
      </c>
      <c r="Y99" s="3">
        <v>2</v>
      </c>
      <c r="Z99" s="3">
        <v>1</v>
      </c>
      <c r="AA99" s="5">
        <v>12204</v>
      </c>
      <c r="AB99" t="s">
        <v>151</v>
      </c>
      <c r="AC99" s="2" t="str" cm="1">
        <f t="array" ref="AC99">_xlfn.IFS(Table1[[#This Row],[Others_Parties]] = "No", "None",
Table1[[#This Row],[Others_Parties]] = "co applicant", "Co-applicant",
Table1[[#This Row],[Others_Parties]] = "guarantor", "Guarantor")</f>
        <v>None</v>
      </c>
      <c r="AD99" s="13" t="s">
        <v>146</v>
      </c>
      <c r="AE99" s="2" t="s">
        <v>105</v>
      </c>
      <c r="AF99" s="28" t="str" cm="1">
        <f t="array" ref="AF9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99" s="21">
        <v>48</v>
      </c>
      <c r="AH99" s="2" t="s">
        <v>154</v>
      </c>
      <c r="AI99"/>
      <c r="AZ99"/>
      <c r="BC99"/>
      <c r="BE99"/>
      <c r="BL99"/>
      <c r="BZ99"/>
      <c r="CA99"/>
      <c r="CF99"/>
      <c r="CG99"/>
      <c r="CH99"/>
      <c r="CI99"/>
      <c r="CK99"/>
      <c r="CN99"/>
    </row>
    <row r="100" spans="1:92" x14ac:dyDescent="0.3">
      <c r="A100" s="4">
        <v>98</v>
      </c>
      <c r="B100" s="11">
        <v>37</v>
      </c>
      <c r="C100" s="2" t="str">
        <f>_xlfn.XLOOKUP(Table1[[#This Row],[Age]],Table7[Start_Age],Table7[Age_Range],,-1)</f>
        <v>29-39</v>
      </c>
      <c r="D100" t="s">
        <v>130</v>
      </c>
      <c r="E100" s="2" t="s">
        <v>129</v>
      </c>
      <c r="F100" s="2" t="s">
        <v>133</v>
      </c>
      <c r="G100" s="3">
        <v>1</v>
      </c>
      <c r="H100" s="13" t="s">
        <v>152</v>
      </c>
      <c r="I100" s="2" t="str" cm="1">
        <f t="array" ref="I100">_xlfn.IFS(Table1[[#This Row],[Job_Type]] = "unskilled resident", "Resident",
Table1[[#This Row],[Job_Type]] = "unemp/unskilled non res", "Non-resident",
TRUE, "Unknown")</f>
        <v>Unknown</v>
      </c>
      <c r="J100" s="2" t="s">
        <v>148</v>
      </c>
      <c r="K100" s="3">
        <v>1</v>
      </c>
      <c r="L100" s="2" t="s">
        <v>140</v>
      </c>
      <c r="M100" s="13" t="s">
        <v>152</v>
      </c>
      <c r="N100" t="s">
        <v>17</v>
      </c>
      <c r="O100" s="2" t="str">
        <f>_xlfn.XLOOKUP(Table1[[#This Row],[Checking_Acct_Status]],Table3[Checking_Acct_Original],Table3[Category])</f>
        <v>No Account</v>
      </c>
      <c r="P100" s="10" t="s">
        <v>37</v>
      </c>
      <c r="Q100" s="13" t="str">
        <f>_xlfn.XLOOKUP(Table1[[#This Row],[Saving_Acct_Status]],Table5[Saving_Acct_Original],Table5[Category])</f>
        <v>High Savings</v>
      </c>
      <c r="R100" t="s">
        <v>63</v>
      </c>
      <c r="S100" s="2" t="str">
        <f>IF(
      OR(Table1[[#This Row],[Job_Type]] = "high qualif/self emp/mgmt", Table1[[#This Row],[Job_Type]] = "skilled"),
      "Skilled", "Unskilled")</f>
        <v>Skilled</v>
      </c>
      <c r="T100" t="str">
        <f>IF(Table1[[#This Row],[Job_Type]] = "unemp/unskilled non res", "Unemployed", "Employed")</f>
        <v>Employed</v>
      </c>
      <c r="U100" t="s">
        <v>49</v>
      </c>
      <c r="V100" s="14" t="str" cm="1">
        <f t="array" ref="V10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00" t="s">
        <v>59</v>
      </c>
      <c r="X100" s="2" t="str">
        <f>_xlfn.XLOOKUP(Table1[[#This Row],[Loan_Credit_History]],Table4[Credit History],Table4[[ Category]])</f>
        <v>Previously Delayed</v>
      </c>
      <c r="Y100" s="3">
        <v>4</v>
      </c>
      <c r="Z100" s="3">
        <v>1</v>
      </c>
      <c r="AA100" s="5">
        <v>12749</v>
      </c>
      <c r="AB100" t="s">
        <v>151</v>
      </c>
      <c r="AC100" s="2" t="str" cm="1">
        <f t="array" ref="AC100">_xlfn.IFS(Table1[[#This Row],[Others_Parties]] = "No", "None",
Table1[[#This Row],[Others_Parties]] = "co applicant", "Co-applicant",
Table1[[#This Row],[Others_Parties]] = "guarantor", "Guarantor")</f>
        <v>None</v>
      </c>
      <c r="AD100" s="13" t="s">
        <v>145</v>
      </c>
      <c r="AE100" s="2" t="s">
        <v>111</v>
      </c>
      <c r="AF100" s="28" t="str" cm="1">
        <f t="array" ref="AF10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00" s="21">
        <v>48</v>
      </c>
      <c r="AH100" s="2" t="s">
        <v>154</v>
      </c>
      <c r="AI100"/>
      <c r="AZ100"/>
      <c r="BC100"/>
      <c r="BE100"/>
      <c r="BL100"/>
      <c r="BZ100"/>
      <c r="CA100"/>
      <c r="CF100"/>
      <c r="CG100"/>
      <c r="CH100"/>
      <c r="CI100"/>
      <c r="CK100"/>
      <c r="CN100"/>
    </row>
    <row r="101" spans="1:92" x14ac:dyDescent="0.3">
      <c r="A101" s="4">
        <v>99</v>
      </c>
      <c r="B101" s="11">
        <v>25</v>
      </c>
      <c r="C101" s="2" t="str">
        <f>_xlfn.XLOOKUP(Table1[[#This Row],[Age]],Table7[Start_Age],Table7[Age_Range],,-1)</f>
        <v>19-29</v>
      </c>
      <c r="D101" t="s">
        <v>130</v>
      </c>
      <c r="E101" s="2" t="s">
        <v>129</v>
      </c>
      <c r="F101" s="2" t="s">
        <v>133</v>
      </c>
      <c r="G101" s="3">
        <v>1</v>
      </c>
      <c r="H101" s="13" t="s">
        <v>152</v>
      </c>
      <c r="I101" s="2" t="str" cm="1">
        <f t="array" ref="I101">_xlfn.IFS(Table1[[#This Row],[Job_Type]] = "unskilled resident", "Resident",
Table1[[#This Row],[Job_Type]] = "unemp/unskilled non res", "Non-resident",
TRUE, "Unknown")</f>
        <v>Unknown</v>
      </c>
      <c r="J101" s="2" t="s">
        <v>148</v>
      </c>
      <c r="K101" s="3">
        <v>2</v>
      </c>
      <c r="L101" s="2" t="s">
        <v>140</v>
      </c>
      <c r="M101" s="13" t="s">
        <v>152</v>
      </c>
      <c r="N101" t="s">
        <v>30</v>
      </c>
      <c r="O101" s="2" t="str">
        <f>_xlfn.XLOOKUP(Table1[[#This Row],[Checking_Acct_Status]],Table3[Checking_Acct_Original],Table3[Category])</f>
        <v>Low Balance</v>
      </c>
      <c r="P101" s="10" t="s">
        <v>32</v>
      </c>
      <c r="Q101" s="13" t="str">
        <f>_xlfn.XLOOKUP(Table1[[#This Row],[Saving_Acct_Status]],Table5[Saving_Acct_Original],Table5[Category])</f>
        <v>Low Savings</v>
      </c>
      <c r="R101" t="s">
        <v>41</v>
      </c>
      <c r="S101" s="2" t="str">
        <f>IF(
      OR(Table1[[#This Row],[Job_Type]] = "high qualif/self emp/mgmt", Table1[[#This Row],[Job_Type]] = "skilled"),
      "Skilled", "Unskilled")</f>
        <v>Skilled</v>
      </c>
      <c r="T101" t="str">
        <f>IF(Table1[[#This Row],[Job_Type]] = "unemp/unskilled non res", "Unemployed", "Employed")</f>
        <v>Employed</v>
      </c>
      <c r="U101" t="s">
        <v>21</v>
      </c>
      <c r="V101" s="14" t="str" cm="1">
        <f t="array" ref="V10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01" t="s">
        <v>52</v>
      </c>
      <c r="X101" s="2" t="str">
        <f>_xlfn.XLOOKUP(Table1[[#This Row],[Loan_Credit_History]],Table4[Credit History],Table4[[ Category]])</f>
        <v>No Credit History</v>
      </c>
      <c r="Y101" s="3">
        <v>2</v>
      </c>
      <c r="Z101" s="3">
        <v>1</v>
      </c>
      <c r="AA101" s="5">
        <v>14421</v>
      </c>
      <c r="AB101" t="s">
        <v>151</v>
      </c>
      <c r="AC101" s="2" t="str" cm="1">
        <f t="array" ref="AC101">_xlfn.IFS(Table1[[#This Row],[Others_Parties]] = "No", "None",
Table1[[#This Row],[Others_Parties]] = "co applicant", "Co-applicant",
Table1[[#This Row],[Others_Parties]] = "guarantor", "Guarantor")</f>
        <v>None</v>
      </c>
      <c r="AD101" s="13" t="s">
        <v>145</v>
      </c>
      <c r="AE101" s="2" t="s">
        <v>105</v>
      </c>
      <c r="AF101" s="28" t="str" cm="1">
        <f t="array" ref="AF10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01" s="21">
        <v>48</v>
      </c>
      <c r="AH101" s="2" t="s">
        <v>153</v>
      </c>
      <c r="AI101"/>
      <c r="AZ101"/>
      <c r="BC101"/>
      <c r="BE101"/>
      <c r="BL101"/>
      <c r="BZ101"/>
      <c r="CA101"/>
      <c r="CF101"/>
      <c r="CG101"/>
      <c r="CH101"/>
      <c r="CI101"/>
      <c r="CK101"/>
      <c r="CN101"/>
    </row>
    <row r="102" spans="1:92" x14ac:dyDescent="0.3">
      <c r="A102" s="4">
        <v>100</v>
      </c>
      <c r="B102" s="11">
        <v>23</v>
      </c>
      <c r="C102" s="2" t="str">
        <f>_xlfn.XLOOKUP(Table1[[#This Row],[Age]],Table7[Start_Age],Table7[Age_Range],,-1)</f>
        <v>19-29</v>
      </c>
      <c r="D102" t="s">
        <v>130</v>
      </c>
      <c r="E102" s="2" t="s">
        <v>129</v>
      </c>
      <c r="F102" s="2" t="s">
        <v>133</v>
      </c>
      <c r="G102" s="3">
        <v>1</v>
      </c>
      <c r="H102" s="13" t="s">
        <v>152</v>
      </c>
      <c r="I102" s="2" t="str" cm="1">
        <f t="array" ref="I102">_xlfn.IFS(Table1[[#This Row],[Job_Type]] = "unskilled resident", "Resident",
Table1[[#This Row],[Job_Type]] = "unemp/unskilled non res", "Non-resident",
TRUE, "Unknown")</f>
        <v>Unknown</v>
      </c>
      <c r="J102" s="2" t="s">
        <v>148</v>
      </c>
      <c r="K102" s="3">
        <v>2</v>
      </c>
      <c r="L102" s="2" t="s">
        <v>140</v>
      </c>
      <c r="M102" s="13" t="s">
        <v>152</v>
      </c>
      <c r="N102" t="s">
        <v>30</v>
      </c>
      <c r="O102" s="2" t="str">
        <f>_xlfn.XLOOKUP(Table1[[#This Row],[Checking_Acct_Status]],Table3[Checking_Acct_Original],Table3[Category])</f>
        <v>Low Balance</v>
      </c>
      <c r="P102" s="10" t="s">
        <v>32</v>
      </c>
      <c r="Q102" s="13" t="str">
        <f>_xlfn.XLOOKUP(Table1[[#This Row],[Saving_Acct_Status]],Table5[Saving_Acct_Original],Table5[Category])</f>
        <v>Low Savings</v>
      </c>
      <c r="R102" t="s">
        <v>41</v>
      </c>
      <c r="S102" s="2" t="str">
        <f>IF(
      OR(Table1[[#This Row],[Job_Type]] = "high qualif/self emp/mgmt", Table1[[#This Row],[Job_Type]] = "skilled"),
      "Skilled", "Unskilled")</f>
        <v>Skilled</v>
      </c>
      <c r="T102" t="str">
        <f>IF(Table1[[#This Row],[Job_Type]] = "unemp/unskilled non res", "Unemployed", "Employed")</f>
        <v>Employed</v>
      </c>
      <c r="U102" t="s">
        <v>21</v>
      </c>
      <c r="V102" s="14" t="str" cm="1">
        <f t="array" ref="V10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02" t="s">
        <v>31</v>
      </c>
      <c r="X102" s="2" t="str">
        <f>_xlfn.XLOOKUP(Table1[[#This Row],[Loan_Credit_History]],Table4[Credit History],Table4[[ Category]])</f>
        <v>Existing Credits Paid</v>
      </c>
      <c r="Y102" s="3">
        <v>2</v>
      </c>
      <c r="Z102" s="3">
        <v>1</v>
      </c>
      <c r="AA102" s="5">
        <v>15672</v>
      </c>
      <c r="AB102" t="s">
        <v>151</v>
      </c>
      <c r="AC102" s="2" t="str" cm="1">
        <f t="array" ref="AC102">_xlfn.IFS(Table1[[#This Row],[Others_Parties]] = "No", "None",
Table1[[#This Row],[Others_Parties]] = "co applicant", "Co-applicant",
Table1[[#This Row],[Others_Parties]] = "guarantor", "Guarantor")</f>
        <v>None</v>
      </c>
      <c r="AD102" s="13" t="s">
        <v>145</v>
      </c>
      <c r="AE102" s="2" t="s">
        <v>105</v>
      </c>
      <c r="AF102" s="28" t="str" cm="1">
        <f t="array" ref="AF10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02" s="21">
        <v>48</v>
      </c>
      <c r="AH102" s="2" t="s">
        <v>153</v>
      </c>
      <c r="AI102"/>
      <c r="AZ102"/>
      <c r="BC102"/>
      <c r="BE102"/>
      <c r="BL102"/>
      <c r="BZ102"/>
      <c r="CA102"/>
      <c r="CF102"/>
      <c r="CG102"/>
      <c r="CH102"/>
      <c r="CI102"/>
      <c r="CK102"/>
      <c r="CN102"/>
    </row>
    <row r="103" spans="1:92" x14ac:dyDescent="0.3">
      <c r="A103" s="4">
        <v>101</v>
      </c>
      <c r="B103" s="11">
        <v>35</v>
      </c>
      <c r="C103" s="2" t="str">
        <f>_xlfn.XLOOKUP(Table1[[#This Row],[Age]],Table7[Start_Age],Table7[Age_Range],,-1)</f>
        <v>29-39</v>
      </c>
      <c r="D103" t="s">
        <v>136</v>
      </c>
      <c r="E103" s="2" t="s">
        <v>131</v>
      </c>
      <c r="F103" s="2" t="s">
        <v>137</v>
      </c>
      <c r="G103" s="3">
        <v>1</v>
      </c>
      <c r="H103" s="13" t="s">
        <v>152</v>
      </c>
      <c r="I103" s="2" t="str" cm="1">
        <f t="array" ref="I103">_xlfn.IFS(Table1[[#This Row],[Job_Type]] = "unskilled resident", "Resident",
Table1[[#This Row],[Job_Type]] = "unemp/unskilled non res", "Non-resident",
TRUE, "Unknown")</f>
        <v>Resident</v>
      </c>
      <c r="J103" s="2" t="s">
        <v>148</v>
      </c>
      <c r="K103" s="3">
        <v>1</v>
      </c>
      <c r="L103" s="2" t="s">
        <v>144</v>
      </c>
      <c r="M103" s="13" t="s">
        <v>152</v>
      </c>
      <c r="N103" t="s">
        <v>35</v>
      </c>
      <c r="O103" s="2" t="str">
        <f>_xlfn.XLOOKUP(Table1[[#This Row],[Checking_Acct_Status]],Table3[Checking_Acct_Original],Table3[Category])</f>
        <v>Negative Balance</v>
      </c>
      <c r="P103" s="10" t="s">
        <v>32</v>
      </c>
      <c r="Q103" s="13" t="str">
        <f>_xlfn.XLOOKUP(Table1[[#This Row],[Saving_Acct_Status]],Table5[Saving_Acct_Original],Table5[Category])</f>
        <v>Low Savings</v>
      </c>
      <c r="R103" t="s">
        <v>27</v>
      </c>
      <c r="S103" s="2" t="str">
        <f>IF(
      OR(Table1[[#This Row],[Job_Type]] = "high qualif/self emp/mgmt", Table1[[#This Row],[Job_Type]] = "skilled"),
      "Skilled", "Unskilled")</f>
        <v>Unskilled</v>
      </c>
      <c r="T103" t="str">
        <f>IF(Table1[[#This Row],[Job_Type]] = "unemp/unskilled non res", "Unemployed", "Employed")</f>
        <v>Employed</v>
      </c>
      <c r="U103" t="s">
        <v>45</v>
      </c>
      <c r="V103" s="14" t="str" cm="1">
        <f t="array" ref="V10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03" t="s">
        <v>31</v>
      </c>
      <c r="X103" s="2" t="str">
        <f>_xlfn.XLOOKUP(Table1[[#This Row],[Loan_Credit_History]],Table4[Credit History],Table4[[ Category]])</f>
        <v>Existing Credits Paid</v>
      </c>
      <c r="Y103" s="3">
        <v>1</v>
      </c>
      <c r="Z103" s="3">
        <v>1</v>
      </c>
      <c r="AA103" s="5">
        <v>10722</v>
      </c>
      <c r="AB103" t="s">
        <v>151</v>
      </c>
      <c r="AC103" s="2" t="str" cm="1">
        <f t="array" ref="AC103">_xlfn.IFS(Table1[[#This Row],[Others_Parties]] = "No", "None",
Table1[[#This Row],[Others_Parties]] = "co applicant", "Co-applicant",
Table1[[#This Row],[Others_Parties]] = "guarantor", "Guarantor")</f>
        <v>None</v>
      </c>
      <c r="AD103" s="13" t="s">
        <v>145</v>
      </c>
      <c r="AE103" s="2" t="s">
        <v>141</v>
      </c>
      <c r="AF103" s="28" t="str" cm="1">
        <f t="array" ref="AF10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03" s="21">
        <v>47</v>
      </c>
      <c r="AH103" s="2" t="s">
        <v>154</v>
      </c>
      <c r="AI103"/>
      <c r="AZ103"/>
      <c r="BC103"/>
      <c r="BE103"/>
      <c r="BL103"/>
      <c r="BZ103"/>
      <c r="CA103"/>
      <c r="CF103"/>
      <c r="CG103"/>
      <c r="CH103"/>
      <c r="CI103"/>
      <c r="CK103"/>
      <c r="CN103"/>
    </row>
    <row r="104" spans="1:92" x14ac:dyDescent="0.3">
      <c r="A104" s="4">
        <v>102</v>
      </c>
      <c r="B104" s="11">
        <v>23</v>
      </c>
      <c r="C104" s="2" t="str">
        <f>_xlfn.XLOOKUP(Table1[[#This Row],[Age]],Table7[Start_Age],Table7[Age_Range],,-1)</f>
        <v>19-29</v>
      </c>
      <c r="D104" t="s">
        <v>130</v>
      </c>
      <c r="E104" s="2" t="s">
        <v>129</v>
      </c>
      <c r="F104" s="2" t="s">
        <v>133</v>
      </c>
      <c r="G104" s="3">
        <v>1</v>
      </c>
      <c r="H104" s="13" t="s">
        <v>152</v>
      </c>
      <c r="I104" s="2" t="str" cm="1">
        <f t="array" ref="I104">_xlfn.IFS(Table1[[#This Row],[Job_Type]] = "unskilled resident", "Resident",
Table1[[#This Row],[Job_Type]] = "unemp/unskilled non res", "Non-resident",
TRUE, "Unknown")</f>
        <v>Unknown</v>
      </c>
      <c r="J104" s="2" t="s">
        <v>150</v>
      </c>
      <c r="K104" s="3">
        <v>4</v>
      </c>
      <c r="L104" s="2" t="s">
        <v>142</v>
      </c>
      <c r="M104" s="13" t="s">
        <v>152</v>
      </c>
      <c r="N104" t="s">
        <v>35</v>
      </c>
      <c r="O104" s="2" t="str">
        <f>_xlfn.XLOOKUP(Table1[[#This Row],[Checking_Acct_Status]],Table3[Checking_Acct_Original],Table3[Category])</f>
        <v>Negative Balance</v>
      </c>
      <c r="P104" s="10" t="s">
        <v>32</v>
      </c>
      <c r="Q104" s="13" t="str">
        <f>_xlfn.XLOOKUP(Table1[[#This Row],[Saving_Acct_Status]],Table5[Saving_Acct_Original],Table5[Category])</f>
        <v>Low Savings</v>
      </c>
      <c r="R104" t="s">
        <v>41</v>
      </c>
      <c r="S104" s="2" t="str">
        <f>IF(
      OR(Table1[[#This Row],[Job_Type]] = "high qualif/self emp/mgmt", Table1[[#This Row],[Job_Type]] = "skilled"),
      "Skilled", "Unskilled")</f>
        <v>Skilled</v>
      </c>
      <c r="T104" t="str">
        <f>IF(Table1[[#This Row],[Job_Type]] = "unemp/unskilled non res", "Unemployed", "Employed")</f>
        <v>Employed</v>
      </c>
      <c r="U104" t="s">
        <v>21</v>
      </c>
      <c r="V104" s="14" t="str" cm="1">
        <f t="array" ref="V10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04" t="s">
        <v>31</v>
      </c>
      <c r="X104" s="2" t="str">
        <f>_xlfn.XLOOKUP(Table1[[#This Row],[Loan_Credit_History]],Table4[Credit History],Table4[[ Category]])</f>
        <v>Existing Credits Paid</v>
      </c>
      <c r="Y104" s="3">
        <v>4</v>
      </c>
      <c r="Z104" s="3">
        <v>1</v>
      </c>
      <c r="AA104" s="5">
        <v>1845</v>
      </c>
      <c r="AB104" t="s">
        <v>151</v>
      </c>
      <c r="AC104" s="2" t="str" cm="1">
        <f t="array" ref="AC104">_xlfn.IFS(Table1[[#This Row],[Others_Parties]] = "No", "None",
Table1[[#This Row],[Others_Parties]] = "co applicant", "Co-applicant",
Table1[[#This Row],[Others_Parties]] = "guarantor", "Guarantor")</f>
        <v>None</v>
      </c>
      <c r="AD104" s="13" t="s">
        <v>145</v>
      </c>
      <c r="AE104" s="2" t="s">
        <v>111</v>
      </c>
      <c r="AF104" s="28" t="str" cm="1">
        <f t="array" ref="AF10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04" s="21">
        <v>45</v>
      </c>
      <c r="AH104" s="2" t="s">
        <v>153</v>
      </c>
      <c r="AI104"/>
      <c r="AZ104"/>
      <c r="BC104"/>
      <c r="BE104"/>
      <c r="BL104"/>
      <c r="BZ104"/>
      <c r="CA104"/>
      <c r="CF104"/>
      <c r="CG104"/>
      <c r="CH104"/>
      <c r="CI104"/>
      <c r="CK104"/>
      <c r="CN104"/>
    </row>
    <row r="105" spans="1:92" x14ac:dyDescent="0.3">
      <c r="A105" s="4">
        <v>103</v>
      </c>
      <c r="B105" s="11">
        <v>21</v>
      </c>
      <c r="C105" s="2" t="str">
        <f>_xlfn.XLOOKUP(Table1[[#This Row],[Age]],Table7[Start_Age],Table7[Age_Range],,-1)</f>
        <v>19-29</v>
      </c>
      <c r="D105" t="s">
        <v>130</v>
      </c>
      <c r="E105" s="2" t="s">
        <v>129</v>
      </c>
      <c r="F105" s="2" t="s">
        <v>133</v>
      </c>
      <c r="G105" s="3">
        <v>1</v>
      </c>
      <c r="H105" s="13" t="s">
        <v>152</v>
      </c>
      <c r="I105" s="2" t="str" cm="1">
        <f t="array" ref="I105">_xlfn.IFS(Table1[[#This Row],[Job_Type]] = "unskilled resident", "Resident",
Table1[[#This Row],[Job_Type]] = "unemp/unskilled non res", "Non-resident",
TRUE, "Unknown")</f>
        <v>Unknown</v>
      </c>
      <c r="J105" s="2" t="s">
        <v>149</v>
      </c>
      <c r="K105" s="3">
        <v>4</v>
      </c>
      <c r="L105" s="2" t="s">
        <v>143</v>
      </c>
      <c r="M105" s="13" t="s">
        <v>151</v>
      </c>
      <c r="N105" t="s">
        <v>30</v>
      </c>
      <c r="O105" s="2" t="str">
        <f>_xlfn.XLOOKUP(Table1[[#This Row],[Checking_Acct_Status]],Table3[Checking_Acct_Original],Table3[Category])</f>
        <v>Low Balance</v>
      </c>
      <c r="P105" s="10" t="s">
        <v>46</v>
      </c>
      <c r="Q105" s="13" t="str">
        <f>_xlfn.XLOOKUP(Table1[[#This Row],[Saving_Acct_Status]],Table5[Saving_Acct_Original],Table5[Category])</f>
        <v>Medium Savings</v>
      </c>
      <c r="R105" t="s">
        <v>41</v>
      </c>
      <c r="S105" s="2" t="str">
        <f>IF(
      OR(Table1[[#This Row],[Job_Type]] = "high qualif/self emp/mgmt", Table1[[#This Row],[Job_Type]] = "skilled"),
      "Skilled", "Unskilled")</f>
        <v>Skilled</v>
      </c>
      <c r="T105" t="str">
        <f>IF(Table1[[#This Row],[Job_Type]] = "unemp/unskilled non res", "Unemployed", "Employed")</f>
        <v>Employed</v>
      </c>
      <c r="U105" t="s">
        <v>21</v>
      </c>
      <c r="V105" s="14" t="str" cm="1">
        <f t="array" ref="V10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05" t="s">
        <v>31</v>
      </c>
      <c r="X105" s="2" t="str">
        <f>_xlfn.XLOOKUP(Table1[[#This Row],[Loan_Credit_History]],Table4[Credit History],Table4[[ Category]])</f>
        <v>Existing Credits Paid</v>
      </c>
      <c r="Y105" s="3">
        <v>4</v>
      </c>
      <c r="Z105" s="3">
        <v>1</v>
      </c>
      <c r="AA105" s="5">
        <v>3031</v>
      </c>
      <c r="AB105" t="s">
        <v>58</v>
      </c>
      <c r="AC105" s="2" t="str" cm="1">
        <f t="array" ref="AC105">_xlfn.IFS(Table1[[#This Row],[Others_Parties]] = "No", "None",
Table1[[#This Row],[Others_Parties]] = "co applicant", "Co-applicant",
Table1[[#This Row],[Others_Parties]] = "guarantor", "Guarantor")</f>
        <v>Guarantor</v>
      </c>
      <c r="AD105" s="13" t="s">
        <v>145</v>
      </c>
      <c r="AE105" s="2" t="s">
        <v>111</v>
      </c>
      <c r="AF105" s="28" t="str" cm="1">
        <f t="array" ref="AF10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05" s="21">
        <v>45</v>
      </c>
      <c r="AH105" s="2" t="s">
        <v>153</v>
      </c>
      <c r="AI105"/>
      <c r="AZ105"/>
      <c r="BC105"/>
      <c r="BE105"/>
      <c r="BL105"/>
      <c r="BZ105"/>
      <c r="CA105"/>
      <c r="CF105"/>
      <c r="CG105"/>
      <c r="CH105"/>
      <c r="CI105"/>
      <c r="CK105"/>
      <c r="CN105"/>
    </row>
    <row r="106" spans="1:92" x14ac:dyDescent="0.3">
      <c r="A106" s="4">
        <v>104</v>
      </c>
      <c r="B106" s="11">
        <v>27</v>
      </c>
      <c r="C106" s="2" t="str">
        <f>_xlfn.XLOOKUP(Table1[[#This Row],[Age]],Table7[Start_Age],Table7[Age_Range],,-1)</f>
        <v>19-29</v>
      </c>
      <c r="D106" t="s">
        <v>130</v>
      </c>
      <c r="E106" s="2" t="s">
        <v>129</v>
      </c>
      <c r="F106" s="2" t="s">
        <v>133</v>
      </c>
      <c r="G106" s="3">
        <v>1</v>
      </c>
      <c r="H106" s="13" t="s">
        <v>152</v>
      </c>
      <c r="I106" s="2" t="str" cm="1">
        <f t="array" ref="I106">_xlfn.IFS(Table1[[#This Row],[Job_Type]] = "unskilled resident", "Resident",
Table1[[#This Row],[Job_Type]] = "unemp/unskilled non res", "Non-resident",
TRUE, "Unknown")</f>
        <v>Unknown</v>
      </c>
      <c r="J106" s="2" t="s">
        <v>148</v>
      </c>
      <c r="K106" s="3">
        <v>4</v>
      </c>
      <c r="L106" s="2" t="s">
        <v>140</v>
      </c>
      <c r="M106" s="13" t="s">
        <v>151</v>
      </c>
      <c r="N106" t="s">
        <v>30</v>
      </c>
      <c r="O106" s="2" t="str">
        <f>_xlfn.XLOOKUP(Table1[[#This Row],[Checking_Acct_Status]],Table3[Checking_Acct_Original],Table3[Category])</f>
        <v>Low Balance</v>
      </c>
      <c r="P106" s="10" t="s">
        <v>46</v>
      </c>
      <c r="Q106" s="13" t="str">
        <f>_xlfn.XLOOKUP(Table1[[#This Row],[Saving_Acct_Status]],Table5[Saving_Acct_Original],Table5[Category])</f>
        <v>Medium Savings</v>
      </c>
      <c r="R106" t="s">
        <v>41</v>
      </c>
      <c r="S106" s="2" t="str">
        <f>IF(
      OR(Table1[[#This Row],[Job_Type]] = "high qualif/self emp/mgmt", Table1[[#This Row],[Job_Type]] = "skilled"),
      "Skilled", "Unskilled")</f>
        <v>Skilled</v>
      </c>
      <c r="T106" t="str">
        <f>IF(Table1[[#This Row],[Job_Type]] = "unemp/unskilled non res", "Unemployed", "Employed")</f>
        <v>Employed</v>
      </c>
      <c r="U106" t="s">
        <v>54</v>
      </c>
      <c r="V106" s="14" t="str" cm="1">
        <f t="array" ref="V106">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106" t="s">
        <v>103</v>
      </c>
      <c r="X106" s="2" t="str">
        <f>_xlfn.XLOOKUP(Table1[[#This Row],[Loan_Credit_History]],Table4[Credit History],Table4[[ Category]])</f>
        <v>Critical Credit History</v>
      </c>
      <c r="Y106" s="3">
        <v>3</v>
      </c>
      <c r="Z106" s="3">
        <v>1</v>
      </c>
      <c r="AA106" s="5">
        <v>4576</v>
      </c>
      <c r="AB106" t="s">
        <v>151</v>
      </c>
      <c r="AC106" s="2" t="str" cm="1">
        <f t="array" ref="AC106">_xlfn.IFS(Table1[[#This Row],[Others_Parties]] = "No", "None",
Table1[[#This Row],[Others_Parties]] = "co applicant", "Co-applicant",
Table1[[#This Row],[Others_Parties]] = "guarantor", "Guarantor")</f>
        <v>None</v>
      </c>
      <c r="AD106" s="13" t="s">
        <v>145</v>
      </c>
      <c r="AE106" s="2" t="s">
        <v>107</v>
      </c>
      <c r="AF106" s="28" t="str" cm="1">
        <f t="array" ref="AF10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06" s="21">
        <v>45</v>
      </c>
      <c r="AH106" s="2" t="s">
        <v>154</v>
      </c>
      <c r="AI106"/>
      <c r="AZ106"/>
      <c r="BC106"/>
      <c r="BE106"/>
      <c r="BL106"/>
      <c r="BZ106"/>
      <c r="CA106"/>
      <c r="CF106"/>
      <c r="CG106"/>
      <c r="CH106"/>
      <c r="CI106"/>
      <c r="CK106"/>
      <c r="CN106"/>
    </row>
    <row r="107" spans="1:92" x14ac:dyDescent="0.3">
      <c r="A107" s="4">
        <v>105</v>
      </c>
      <c r="B107" s="11">
        <v>25</v>
      </c>
      <c r="C107" s="2" t="str">
        <f>_xlfn.XLOOKUP(Table1[[#This Row],[Age]],Table7[Start_Age],Table7[Age_Range],,-1)</f>
        <v>19-29</v>
      </c>
      <c r="D107" t="s">
        <v>130</v>
      </c>
      <c r="E107" s="2" t="s">
        <v>129</v>
      </c>
      <c r="F107" s="2" t="s">
        <v>133</v>
      </c>
      <c r="G107" s="3">
        <v>1</v>
      </c>
      <c r="H107" s="13" t="s">
        <v>152</v>
      </c>
      <c r="I107" s="2" t="str" cm="1">
        <f t="array" ref="I107">_xlfn.IFS(Table1[[#This Row],[Job_Type]] = "unskilled resident", "Resident",
Table1[[#This Row],[Job_Type]] = "unemp/unskilled non res", "Non-resident",
TRUE, "Unknown")</f>
        <v>Resident</v>
      </c>
      <c r="J107" s="2" t="s">
        <v>148</v>
      </c>
      <c r="K107" s="3">
        <v>2</v>
      </c>
      <c r="L107" s="2" t="s">
        <v>143</v>
      </c>
      <c r="M107" s="13" t="s">
        <v>151</v>
      </c>
      <c r="N107" t="s">
        <v>30</v>
      </c>
      <c r="O107" s="2" t="str">
        <f>_xlfn.XLOOKUP(Table1[[#This Row],[Checking_Acct_Status]],Table3[Checking_Acct_Original],Table3[Category])</f>
        <v>Low Balance</v>
      </c>
      <c r="P107" s="10" t="s">
        <v>32</v>
      </c>
      <c r="Q107" s="13" t="str">
        <f>_xlfn.XLOOKUP(Table1[[#This Row],[Saving_Acct_Status]],Table5[Saving_Acct_Original],Table5[Category])</f>
        <v>Low Savings</v>
      </c>
      <c r="R107" t="s">
        <v>27</v>
      </c>
      <c r="S107" s="2" t="str">
        <f>IF(
      OR(Table1[[#This Row],[Job_Type]] = "high qualif/self emp/mgmt", Table1[[#This Row],[Job_Type]] = "skilled"),
      "Skilled", "Unskilled")</f>
        <v>Unskilled</v>
      </c>
      <c r="T107" t="str">
        <f>IF(Table1[[#This Row],[Job_Type]] = "unemp/unskilled non res", "Unemployed", "Employed")</f>
        <v>Employed</v>
      </c>
      <c r="U107" t="s">
        <v>45</v>
      </c>
      <c r="V107" s="14" t="str" cm="1">
        <f t="array" ref="V10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07" t="s">
        <v>103</v>
      </c>
      <c r="X107" s="2" t="str">
        <f>_xlfn.XLOOKUP(Table1[[#This Row],[Loan_Credit_History]],Table4[Credit History],Table4[[ Category]])</f>
        <v>Critical Credit History</v>
      </c>
      <c r="Y107" s="3">
        <v>4</v>
      </c>
      <c r="Z107" s="3">
        <v>2</v>
      </c>
      <c r="AA107" s="5">
        <v>4746</v>
      </c>
      <c r="AB107" t="s">
        <v>151</v>
      </c>
      <c r="AC107" s="2" t="str" cm="1">
        <f t="array" ref="AC107">_xlfn.IFS(Table1[[#This Row],[Others_Parties]] = "No", "None",
Table1[[#This Row],[Others_Parties]] = "co applicant", "Co-applicant",
Table1[[#This Row],[Others_Parties]] = "guarantor", "Guarantor")</f>
        <v>None</v>
      </c>
      <c r="AD107" s="13" t="s">
        <v>145</v>
      </c>
      <c r="AE107" s="2" t="s">
        <v>111</v>
      </c>
      <c r="AF107" s="28" t="str" cm="1">
        <f t="array" ref="AF10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07" s="21">
        <v>45</v>
      </c>
      <c r="AH107" s="2" t="s">
        <v>153</v>
      </c>
      <c r="AI107"/>
      <c r="AZ107"/>
      <c r="BC107"/>
      <c r="BE107"/>
      <c r="BL107"/>
      <c r="BZ107"/>
      <c r="CA107"/>
      <c r="CF107"/>
      <c r="CG107"/>
      <c r="CH107"/>
      <c r="CI107"/>
      <c r="CK107"/>
      <c r="CN107"/>
    </row>
    <row r="108" spans="1:92" x14ac:dyDescent="0.3">
      <c r="A108" s="4">
        <v>106</v>
      </c>
      <c r="B108" s="11">
        <v>29</v>
      </c>
      <c r="C108" s="2" t="str">
        <f>_xlfn.XLOOKUP(Table1[[#This Row],[Age]],Table7[Start_Age],Table7[Age_Range],,-1)</f>
        <v>29-39</v>
      </c>
      <c r="D108" t="s">
        <v>130</v>
      </c>
      <c r="E108" s="2" t="s">
        <v>129</v>
      </c>
      <c r="F108" s="2" t="s">
        <v>133</v>
      </c>
      <c r="G108" s="3">
        <v>1</v>
      </c>
      <c r="H108" s="13" t="s">
        <v>152</v>
      </c>
      <c r="I108" s="2" t="str" cm="1">
        <f t="array" ref="I108">_xlfn.IFS(Table1[[#This Row],[Job_Type]] = "unskilled resident", "Resident",
Table1[[#This Row],[Job_Type]] = "unemp/unskilled non res", "Non-resident",
TRUE, "Unknown")</f>
        <v>Unknown</v>
      </c>
      <c r="J108" s="2" t="s">
        <v>149</v>
      </c>
      <c r="K108" s="3">
        <v>4</v>
      </c>
      <c r="L108" s="2" t="s">
        <v>140</v>
      </c>
      <c r="M108" s="13" t="s">
        <v>151</v>
      </c>
      <c r="N108" t="s">
        <v>35</v>
      </c>
      <c r="O108" s="2" t="str">
        <f>_xlfn.XLOOKUP(Table1[[#This Row],[Checking_Acct_Status]],Table3[Checking_Acct_Original],Table3[Category])</f>
        <v>Negative Balance</v>
      </c>
      <c r="P108" s="10" t="s">
        <v>32</v>
      </c>
      <c r="Q108" s="13" t="str">
        <f>_xlfn.XLOOKUP(Table1[[#This Row],[Saving_Acct_Status]],Table5[Saving_Acct_Original],Table5[Category])</f>
        <v>Low Savings</v>
      </c>
      <c r="R108" t="s">
        <v>41</v>
      </c>
      <c r="S108" s="2" t="str">
        <f>IF(
      OR(Table1[[#This Row],[Job_Type]] = "high qualif/self emp/mgmt", Table1[[#This Row],[Job_Type]] = "skilled"),
      "Skilled", "Unskilled")</f>
        <v>Skilled</v>
      </c>
      <c r="T108" t="str">
        <f>IF(Table1[[#This Row],[Job_Type]] = "unemp/unskilled non res", "Unemployed", "Employed")</f>
        <v>Employed</v>
      </c>
      <c r="U108" t="s">
        <v>38</v>
      </c>
      <c r="V108" s="14" t="str" cm="1">
        <f t="array" ref="V10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08" t="s">
        <v>52</v>
      </c>
      <c r="X108" s="2" t="str">
        <f>_xlfn.XLOOKUP(Table1[[#This Row],[Loan_Credit_History]],Table4[Credit History],Table4[[ Category]])</f>
        <v>No Credit History</v>
      </c>
      <c r="Y108" s="3">
        <v>2</v>
      </c>
      <c r="Z108" s="3">
        <v>2</v>
      </c>
      <c r="AA108" s="5">
        <v>11816</v>
      </c>
      <c r="AB108" t="s">
        <v>151</v>
      </c>
      <c r="AC108" s="2" t="str" cm="1">
        <f t="array" ref="AC108">_xlfn.IFS(Table1[[#This Row],[Others_Parties]] = "No", "None",
Table1[[#This Row],[Others_Parties]] = "co applicant", "Co-applicant",
Table1[[#This Row],[Others_Parties]] = "guarantor", "Guarantor")</f>
        <v>None</v>
      </c>
      <c r="AD108" s="13" t="s">
        <v>145</v>
      </c>
      <c r="AE108" s="2" t="s">
        <v>105</v>
      </c>
      <c r="AF108" s="28" t="str" cm="1">
        <f t="array" ref="AF10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08" s="21">
        <v>45</v>
      </c>
      <c r="AH108" s="2" t="s">
        <v>153</v>
      </c>
      <c r="AI108"/>
      <c r="AZ108"/>
      <c r="BC108"/>
      <c r="BE108"/>
      <c r="BL108"/>
      <c r="BZ108"/>
      <c r="CA108"/>
      <c r="CF108"/>
      <c r="CG108"/>
      <c r="CH108"/>
      <c r="CI108"/>
      <c r="CK108"/>
      <c r="CN108"/>
    </row>
    <row r="109" spans="1:92" x14ac:dyDescent="0.3">
      <c r="A109" s="4">
        <v>107</v>
      </c>
      <c r="B109" s="11">
        <v>65</v>
      </c>
      <c r="C109" s="2" t="str">
        <f>_xlfn.XLOOKUP(Table1[[#This Row],[Age]],Table7[Start_Age],Table7[Age_Range],,-1)</f>
        <v>59-69</v>
      </c>
      <c r="D109" t="s">
        <v>130</v>
      </c>
      <c r="E109" s="2" t="s">
        <v>129</v>
      </c>
      <c r="F109" s="2" t="s">
        <v>133</v>
      </c>
      <c r="G109" s="3">
        <v>1</v>
      </c>
      <c r="H109" s="13" t="s">
        <v>152</v>
      </c>
      <c r="I109" s="2" t="str" cm="1">
        <f t="array" ref="I109">_xlfn.IFS(Table1[[#This Row],[Job_Type]] = "unskilled resident", "Resident",
Table1[[#This Row],[Job_Type]] = "unemp/unskilled non res", "Non-resident",
TRUE, "Unknown")</f>
        <v>Non-resident</v>
      </c>
      <c r="J109" s="2" t="s">
        <v>148</v>
      </c>
      <c r="K109" s="3">
        <v>4</v>
      </c>
      <c r="L109" s="2" t="s">
        <v>140</v>
      </c>
      <c r="M109" s="13" t="s">
        <v>151</v>
      </c>
      <c r="N109" t="s">
        <v>35</v>
      </c>
      <c r="O109" s="2" t="str">
        <f>_xlfn.XLOOKUP(Table1[[#This Row],[Checking_Acct_Status]],Table3[Checking_Acct_Original],Table3[Category])</f>
        <v>Negative Balance</v>
      </c>
      <c r="P109" s="10" t="s">
        <v>32</v>
      </c>
      <c r="Q109" s="13" t="str">
        <f>_xlfn.XLOOKUP(Table1[[#This Row],[Saving_Acct_Status]],Table5[Saving_Acct_Original],Table5[Category])</f>
        <v>Low Savings</v>
      </c>
      <c r="R109" t="s">
        <v>62</v>
      </c>
      <c r="S109" s="2" t="str">
        <f>IF(
      OR(Table1[[#This Row],[Job_Type]] = "high qualif/self emp/mgmt", Table1[[#This Row],[Job_Type]] = "skilled"),
      "Skilled", "Unskilled")</f>
        <v>Unskilled</v>
      </c>
      <c r="T109" t="str">
        <f>IF(Table1[[#This Row],[Job_Type]] = "unemp/unskilled non res", "Unemployed", "Employed")</f>
        <v>Unemployed</v>
      </c>
      <c r="U109" t="s">
        <v>54</v>
      </c>
      <c r="V109" s="14" t="str" cm="1">
        <f t="array" ref="V109">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109" t="s">
        <v>103</v>
      </c>
      <c r="X109" s="2" t="str">
        <f>_xlfn.XLOOKUP(Table1[[#This Row],[Loan_Credit_History]],Table4[Credit History],Table4[[ Category]])</f>
        <v>Critical Credit History</v>
      </c>
      <c r="Y109" s="3">
        <v>4</v>
      </c>
      <c r="Z109" s="3">
        <v>2</v>
      </c>
      <c r="AA109" s="5">
        <v>3394</v>
      </c>
      <c r="AB109" t="s">
        <v>55</v>
      </c>
      <c r="AC109" s="2" t="str" cm="1">
        <f t="array" ref="AC109">_xlfn.IFS(Table1[[#This Row],[Others_Parties]] = "No", "None",
Table1[[#This Row],[Others_Parties]] = "co applicant", "Co-applicant",
Table1[[#This Row],[Others_Parties]] = "guarantor", "Guarantor")</f>
        <v>Co-applicant</v>
      </c>
      <c r="AD109" s="13" t="s">
        <v>145</v>
      </c>
      <c r="AE109" s="2" t="s">
        <v>109</v>
      </c>
      <c r="AF109" s="28" t="str" cm="1">
        <f t="array" ref="AF10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09" s="21">
        <v>42</v>
      </c>
      <c r="AH109" s="2" t="s">
        <v>154</v>
      </c>
      <c r="AI109"/>
      <c r="AZ109"/>
      <c r="BC109"/>
      <c r="BE109"/>
      <c r="BL109"/>
      <c r="BZ109"/>
      <c r="CA109"/>
      <c r="CF109"/>
      <c r="CG109"/>
      <c r="CH109"/>
      <c r="CI109"/>
      <c r="CK109"/>
      <c r="CN109"/>
    </row>
    <row r="110" spans="1:92" x14ac:dyDescent="0.3">
      <c r="A110" s="4">
        <v>108</v>
      </c>
      <c r="B110" s="11">
        <v>34</v>
      </c>
      <c r="C110" s="2" t="str">
        <f>_xlfn.XLOOKUP(Table1[[#This Row],[Age]],Table7[Start_Age],Table7[Age_Range],,-1)</f>
        <v>29-39</v>
      </c>
      <c r="D110" t="s">
        <v>130</v>
      </c>
      <c r="E110" s="2" t="s">
        <v>129</v>
      </c>
      <c r="F110" s="2" t="s">
        <v>133</v>
      </c>
      <c r="G110" s="3">
        <v>1</v>
      </c>
      <c r="H110" s="13" t="s">
        <v>152</v>
      </c>
      <c r="I110" s="2" t="str" cm="1">
        <f t="array" ref="I110">_xlfn.IFS(Table1[[#This Row],[Job_Type]] = "unskilled resident", "Resident",
Table1[[#This Row],[Job_Type]] = "unemp/unskilled non res", "Non-resident",
TRUE, "Unknown")</f>
        <v>Unknown</v>
      </c>
      <c r="J110" s="2" t="s">
        <v>148</v>
      </c>
      <c r="K110" s="3">
        <v>3</v>
      </c>
      <c r="L110" s="2" t="s">
        <v>140</v>
      </c>
      <c r="M110" s="13" t="s">
        <v>151</v>
      </c>
      <c r="N110" t="s">
        <v>35</v>
      </c>
      <c r="O110" s="2" t="str">
        <f>_xlfn.XLOOKUP(Table1[[#This Row],[Checking_Acct_Status]],Table3[Checking_Acct_Original],Table3[Category])</f>
        <v>Negative Balance</v>
      </c>
      <c r="P110" s="10" t="s">
        <v>32</v>
      </c>
      <c r="Q110" s="13" t="str">
        <f>_xlfn.XLOOKUP(Table1[[#This Row],[Saving_Acct_Status]],Table5[Saving_Acct_Original],Table5[Category])</f>
        <v>Low Savings</v>
      </c>
      <c r="R110" t="s">
        <v>41</v>
      </c>
      <c r="S110" s="2" t="str">
        <f>IF(
      OR(Table1[[#This Row],[Job_Type]] = "high qualif/self emp/mgmt", Table1[[#This Row],[Job_Type]] = "skilled"),
      "Skilled", "Unskilled")</f>
        <v>Skilled</v>
      </c>
      <c r="T110" t="str">
        <f>IF(Table1[[#This Row],[Job_Type]] = "unemp/unskilled non res", "Unemployed", "Employed")</f>
        <v>Employed</v>
      </c>
      <c r="U110" t="s">
        <v>45</v>
      </c>
      <c r="V110" s="14" t="str" cm="1">
        <f t="array" ref="V11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10" t="s">
        <v>31</v>
      </c>
      <c r="X110" s="2" t="str">
        <f>_xlfn.XLOOKUP(Table1[[#This Row],[Loan_Credit_History]],Table4[Credit History],Table4[[ Category]])</f>
        <v>Existing Credits Paid</v>
      </c>
      <c r="Y110" s="3">
        <v>4</v>
      </c>
      <c r="Z110" s="3">
        <v>1</v>
      </c>
      <c r="AA110" s="5">
        <v>3965</v>
      </c>
      <c r="AB110" t="s">
        <v>151</v>
      </c>
      <c r="AC110" s="2" t="str" cm="1">
        <f t="array" ref="AC110">_xlfn.IFS(Table1[[#This Row],[Others_Parties]] = "No", "None",
Table1[[#This Row],[Others_Parties]] = "co applicant", "Co-applicant",
Table1[[#This Row],[Others_Parties]] = "guarantor", "Guarantor")</f>
        <v>None</v>
      </c>
      <c r="AD110" s="13" t="s">
        <v>145</v>
      </c>
      <c r="AE110" s="2" t="s">
        <v>111</v>
      </c>
      <c r="AF110" s="28" t="str" cm="1">
        <f t="array" ref="AF11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10" s="21">
        <v>42</v>
      </c>
      <c r="AH110" s="2" t="s">
        <v>153</v>
      </c>
      <c r="AI110"/>
      <c r="AZ110"/>
      <c r="BC110"/>
      <c r="BE110"/>
      <c r="BL110"/>
      <c r="BZ110"/>
      <c r="CA110"/>
      <c r="CF110"/>
      <c r="CG110"/>
      <c r="CH110"/>
      <c r="CI110"/>
      <c r="CK110"/>
      <c r="CN110"/>
    </row>
    <row r="111" spans="1:92" x14ac:dyDescent="0.3">
      <c r="A111" s="4">
        <v>109</v>
      </c>
      <c r="B111" s="11">
        <v>36</v>
      </c>
      <c r="C111" s="2" t="str">
        <f>_xlfn.XLOOKUP(Table1[[#This Row],[Age]],Table7[Start_Age],Table7[Age_Range],,-1)</f>
        <v>29-39</v>
      </c>
      <c r="D111" t="s">
        <v>130</v>
      </c>
      <c r="E111" s="2" t="s">
        <v>129</v>
      </c>
      <c r="F111" s="2" t="s">
        <v>133</v>
      </c>
      <c r="G111" s="3">
        <v>1</v>
      </c>
      <c r="H111" s="13" t="s">
        <v>152</v>
      </c>
      <c r="I111" s="2" t="str" cm="1">
        <f t="array" ref="I111">_xlfn.IFS(Table1[[#This Row],[Job_Type]] = "unskilled resident", "Resident",
Table1[[#This Row],[Job_Type]] = "unemp/unskilled non res", "Non-resident",
TRUE, "Unknown")</f>
        <v>Unknown</v>
      </c>
      <c r="J111" s="2" t="s">
        <v>148</v>
      </c>
      <c r="K111" s="3">
        <v>4</v>
      </c>
      <c r="L111" s="2" t="s">
        <v>144</v>
      </c>
      <c r="M111" s="13" t="s">
        <v>152</v>
      </c>
      <c r="N111" t="s">
        <v>17</v>
      </c>
      <c r="O111" s="2" t="str">
        <f>_xlfn.XLOOKUP(Table1[[#This Row],[Checking_Acct_Status]],Table3[Checking_Acct_Original],Table3[Category])</f>
        <v>No Account</v>
      </c>
      <c r="P111" s="10" t="s">
        <v>37</v>
      </c>
      <c r="Q111" s="13" t="str">
        <f>_xlfn.XLOOKUP(Table1[[#This Row],[Saving_Acct_Status]],Table5[Saving_Acct_Original],Table5[Category])</f>
        <v>High Savings</v>
      </c>
      <c r="R111" t="s">
        <v>41</v>
      </c>
      <c r="S111" s="2" t="str">
        <f>IF(
      OR(Table1[[#This Row],[Job_Type]] = "high qualif/self emp/mgmt", Table1[[#This Row],[Job_Type]] = "skilled"),
      "Skilled", "Unskilled")</f>
        <v>Skilled</v>
      </c>
      <c r="T111" t="str">
        <f>IF(Table1[[#This Row],[Job_Type]] = "unemp/unskilled non res", "Unemployed", "Employed")</f>
        <v>Employed</v>
      </c>
      <c r="U111" t="s">
        <v>21</v>
      </c>
      <c r="V111" s="14" t="str" cm="1">
        <f t="array" ref="V11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11" t="s">
        <v>103</v>
      </c>
      <c r="X111" s="2" t="str">
        <f>_xlfn.XLOOKUP(Table1[[#This Row],[Loan_Credit_History]],Table4[Credit History],Table4[[ Category]])</f>
        <v>Critical Credit History</v>
      </c>
      <c r="Y111" s="3">
        <v>4</v>
      </c>
      <c r="Z111" s="3">
        <v>2</v>
      </c>
      <c r="AA111" s="5">
        <v>4042</v>
      </c>
      <c r="AB111" t="s">
        <v>151</v>
      </c>
      <c r="AC111" s="2" t="str" cm="1">
        <f t="array" ref="AC111">_xlfn.IFS(Table1[[#This Row],[Others_Parties]] = "No", "None",
Table1[[#This Row],[Others_Parties]] = "co applicant", "Co-applicant",
Table1[[#This Row],[Others_Parties]] = "guarantor", "Guarantor")</f>
        <v>None</v>
      </c>
      <c r="AD111" s="13" t="s">
        <v>145</v>
      </c>
      <c r="AE111" s="2" t="s">
        <v>108</v>
      </c>
      <c r="AF111" s="28" t="str" cm="1">
        <f t="array" ref="AF11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11" s="21">
        <v>42</v>
      </c>
      <c r="AH111" s="2" t="s">
        <v>154</v>
      </c>
      <c r="AI111"/>
      <c r="AZ111"/>
      <c r="BC111"/>
      <c r="BE111"/>
      <c r="BL111"/>
      <c r="BZ111"/>
      <c r="CA111"/>
      <c r="CF111"/>
      <c r="CG111"/>
      <c r="CH111"/>
      <c r="CI111"/>
      <c r="CK111"/>
      <c r="CN111"/>
    </row>
    <row r="112" spans="1:92" x14ac:dyDescent="0.3">
      <c r="A112" s="4">
        <v>110</v>
      </c>
      <c r="B112" s="11">
        <v>26</v>
      </c>
      <c r="C112" s="2" t="str">
        <f>_xlfn.XLOOKUP(Table1[[#This Row],[Age]],Table7[Start_Age],Table7[Age_Range],,-1)</f>
        <v>19-29</v>
      </c>
      <c r="D112" t="s">
        <v>130</v>
      </c>
      <c r="E112" s="2" t="s">
        <v>129</v>
      </c>
      <c r="F112" s="2" t="s">
        <v>133</v>
      </c>
      <c r="G112" s="3">
        <v>2</v>
      </c>
      <c r="H112" s="13" t="s">
        <v>152</v>
      </c>
      <c r="I112" s="2" t="str" cm="1">
        <f t="array" ref="I112">_xlfn.IFS(Table1[[#This Row],[Job_Type]] = "unskilled resident", "Resident",
Table1[[#This Row],[Job_Type]] = "unemp/unskilled non res", "Non-resident",
TRUE, "Unknown")</f>
        <v>Unknown</v>
      </c>
      <c r="J112" s="2" t="s">
        <v>148</v>
      </c>
      <c r="K112" s="3">
        <v>2</v>
      </c>
      <c r="L112" s="2" t="s">
        <v>143</v>
      </c>
      <c r="M112" s="13" t="s">
        <v>152</v>
      </c>
      <c r="N112" t="s">
        <v>35</v>
      </c>
      <c r="O112" s="2" t="str">
        <f>_xlfn.XLOOKUP(Table1[[#This Row],[Checking_Acct_Status]],Table3[Checking_Acct_Original],Table3[Category])</f>
        <v>Negative Balance</v>
      </c>
      <c r="P112" s="10" t="s">
        <v>32</v>
      </c>
      <c r="Q112" s="13" t="str">
        <f>_xlfn.XLOOKUP(Table1[[#This Row],[Saving_Acct_Status]],Table5[Saving_Acct_Original],Table5[Category])</f>
        <v>Low Savings</v>
      </c>
      <c r="R112" t="s">
        <v>41</v>
      </c>
      <c r="S112" s="2" t="str">
        <f>IF(
      OR(Table1[[#This Row],[Job_Type]] = "high qualif/self emp/mgmt", Table1[[#This Row],[Job_Type]] = "skilled"),
      "Skilled", "Unskilled")</f>
        <v>Skilled</v>
      </c>
      <c r="T112" t="str">
        <f>IF(Table1[[#This Row],[Job_Type]] = "unemp/unskilled non res", "Unemployed", "Employed")</f>
        <v>Employed</v>
      </c>
      <c r="U112" t="s">
        <v>49</v>
      </c>
      <c r="V112" s="14" t="str" cm="1">
        <f t="array" ref="V11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12" t="s">
        <v>59</v>
      </c>
      <c r="X112" s="2" t="str">
        <f>_xlfn.XLOOKUP(Table1[[#This Row],[Loan_Credit_History]],Table4[Credit History],Table4[[ Category]])</f>
        <v>Previously Delayed</v>
      </c>
      <c r="Y112" s="3">
        <v>3</v>
      </c>
      <c r="Z112" s="3">
        <v>2</v>
      </c>
      <c r="AA112" s="5">
        <v>4370</v>
      </c>
      <c r="AB112" t="s">
        <v>151</v>
      </c>
      <c r="AC112" s="2" t="str" cm="1">
        <f t="array" ref="AC112">_xlfn.IFS(Table1[[#This Row],[Others_Parties]] = "No", "None",
Table1[[#This Row],[Others_Parties]] = "co applicant", "Co-applicant",
Table1[[#This Row],[Others_Parties]] = "guarantor", "Guarantor")</f>
        <v>None</v>
      </c>
      <c r="AD112" s="13" t="s">
        <v>146</v>
      </c>
      <c r="AE112" s="2" t="s">
        <v>111</v>
      </c>
      <c r="AF112" s="28" t="str" cm="1">
        <f t="array" ref="AF11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12" s="21">
        <v>42</v>
      </c>
      <c r="AH112" s="2" t="s">
        <v>153</v>
      </c>
      <c r="AI112"/>
      <c r="AZ112"/>
      <c r="BC112"/>
      <c r="BE112"/>
      <c r="BL112"/>
      <c r="BZ112"/>
      <c r="CA112"/>
      <c r="CF112"/>
      <c r="CG112"/>
      <c r="CH112"/>
      <c r="CI112"/>
      <c r="CK112"/>
      <c r="CN112"/>
    </row>
    <row r="113" spans="1:92" x14ac:dyDescent="0.3">
      <c r="A113" s="4">
        <v>111</v>
      </c>
      <c r="B113" s="11">
        <v>56</v>
      </c>
      <c r="C113" s="2" t="str">
        <f>_xlfn.XLOOKUP(Table1[[#This Row],[Age]],Table7[Start_Age],Table7[Age_Range],,-1)</f>
        <v>49-59</v>
      </c>
      <c r="D113" t="s">
        <v>130</v>
      </c>
      <c r="E113" s="2" t="s">
        <v>129</v>
      </c>
      <c r="F113" s="2" t="s">
        <v>133</v>
      </c>
      <c r="G113" s="3">
        <v>1</v>
      </c>
      <c r="H113" s="13" t="s">
        <v>152</v>
      </c>
      <c r="I113" s="2" t="str" cm="1">
        <f t="array" ref="I113">_xlfn.IFS(Table1[[#This Row],[Job_Type]] = "unskilled resident", "Resident",
Table1[[#This Row],[Job_Type]] = "unemp/unskilled non res", "Non-resident",
TRUE, "Unknown")</f>
        <v>Unknown</v>
      </c>
      <c r="J113" s="2" t="s">
        <v>150</v>
      </c>
      <c r="K113" s="3">
        <v>4</v>
      </c>
      <c r="L113" s="2" t="s">
        <v>142</v>
      </c>
      <c r="M113" s="13" t="s">
        <v>151</v>
      </c>
      <c r="N113" t="s">
        <v>50</v>
      </c>
      <c r="O113" s="2" t="str">
        <f>_xlfn.XLOOKUP(Table1[[#This Row],[Checking_Acct_Status]],Table3[Checking_Acct_Original],Table3[Category])</f>
        <v>High Balance</v>
      </c>
      <c r="P113" s="10" t="s">
        <v>32</v>
      </c>
      <c r="Q113" s="13" t="str">
        <f>_xlfn.XLOOKUP(Table1[[#This Row],[Saving_Acct_Status]],Table5[Saving_Acct_Original],Table5[Category])</f>
        <v>Low Savings</v>
      </c>
      <c r="R113" t="s">
        <v>41</v>
      </c>
      <c r="S113" s="2" t="str">
        <f>IF(
      OR(Table1[[#This Row],[Job_Type]] = "high qualif/self emp/mgmt", Table1[[#This Row],[Job_Type]] = "skilled"),
      "Skilled", "Unskilled")</f>
        <v>Skilled</v>
      </c>
      <c r="T113" t="str">
        <f>IF(Table1[[#This Row],[Job_Type]] = "unemp/unskilled non res", "Unemployed", "Employed")</f>
        <v>Employed</v>
      </c>
      <c r="U113" t="s">
        <v>38</v>
      </c>
      <c r="V113" s="14" t="str" cm="1">
        <f t="array" ref="V11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13" t="s">
        <v>103</v>
      </c>
      <c r="X113" s="2" t="str">
        <f>_xlfn.XLOOKUP(Table1[[#This Row],[Loan_Credit_History]],Table4[Credit History],Table4[[ Category]])</f>
        <v>Critical Credit History</v>
      </c>
      <c r="Y113" s="3">
        <v>4</v>
      </c>
      <c r="Z113" s="3">
        <v>1</v>
      </c>
      <c r="AA113" s="5">
        <v>4796</v>
      </c>
      <c r="AB113" t="s">
        <v>151</v>
      </c>
      <c r="AC113" s="2" t="str" cm="1">
        <f t="array" ref="AC113">_xlfn.IFS(Table1[[#This Row],[Others_Parties]] = "No", "None",
Table1[[#This Row],[Others_Parties]] = "co applicant", "Co-applicant",
Table1[[#This Row],[Others_Parties]] = "guarantor", "Guarantor")</f>
        <v>None</v>
      </c>
      <c r="AD113" s="13" t="s">
        <v>145</v>
      </c>
      <c r="AE113" s="2" t="s">
        <v>107</v>
      </c>
      <c r="AF113" s="28" t="str" cm="1">
        <f t="array" ref="AF11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13" s="21">
        <v>42</v>
      </c>
      <c r="AH113" s="2" t="s">
        <v>154</v>
      </c>
      <c r="AI113"/>
      <c r="AZ113"/>
      <c r="BC113"/>
      <c r="BE113"/>
      <c r="BL113"/>
      <c r="BZ113"/>
      <c r="CA113"/>
      <c r="CF113"/>
      <c r="CG113"/>
      <c r="CH113"/>
      <c r="CI113"/>
      <c r="CK113"/>
      <c r="CN113"/>
    </row>
    <row r="114" spans="1:92" x14ac:dyDescent="0.3">
      <c r="A114" s="4">
        <v>112</v>
      </c>
      <c r="B114" s="11">
        <v>41</v>
      </c>
      <c r="C114" s="2" t="str">
        <f>_xlfn.XLOOKUP(Table1[[#This Row],[Age]],Table7[Start_Age],Table7[Age_Range],,-1)</f>
        <v>39-49</v>
      </c>
      <c r="D114" t="s">
        <v>136</v>
      </c>
      <c r="E114" s="2" t="s">
        <v>131</v>
      </c>
      <c r="F114" s="2" t="s">
        <v>137</v>
      </c>
      <c r="G114" s="3">
        <v>1</v>
      </c>
      <c r="H114" s="13" t="s">
        <v>152</v>
      </c>
      <c r="I114" s="2" t="str" cm="1">
        <f t="array" ref="I114">_xlfn.IFS(Table1[[#This Row],[Job_Type]] = "unskilled resident", "Resident",
Table1[[#This Row],[Job_Type]] = "unemp/unskilled non res", "Non-resident",
TRUE, "Unknown")</f>
        <v>Resident</v>
      </c>
      <c r="J114" s="2" t="s">
        <v>148</v>
      </c>
      <c r="K114" s="3">
        <v>1</v>
      </c>
      <c r="L114" s="2" t="s">
        <v>144</v>
      </c>
      <c r="M114" s="13" t="s">
        <v>151</v>
      </c>
      <c r="N114" t="s">
        <v>30</v>
      </c>
      <c r="O114" s="2" t="str">
        <f>_xlfn.XLOOKUP(Table1[[#This Row],[Checking_Acct_Status]],Table3[Checking_Acct_Original],Table3[Category])</f>
        <v>Low Balance</v>
      </c>
      <c r="P114" s="10" t="s">
        <v>32</v>
      </c>
      <c r="Q114" s="13" t="str">
        <f>_xlfn.XLOOKUP(Table1[[#This Row],[Saving_Acct_Status]],Table5[Saving_Acct_Original],Table5[Category])</f>
        <v>Low Savings</v>
      </c>
      <c r="R114" t="s">
        <v>27</v>
      </c>
      <c r="S114" s="2" t="str">
        <f>IF(
      OR(Table1[[#This Row],[Job_Type]] = "high qualif/self emp/mgmt", Table1[[#This Row],[Job_Type]] = "skilled"),
      "Skilled", "Unskilled")</f>
        <v>Unskilled</v>
      </c>
      <c r="T114" t="str">
        <f>IF(Table1[[#This Row],[Job_Type]] = "unemp/unskilled non res", "Unemployed", "Employed")</f>
        <v>Employed</v>
      </c>
      <c r="U114" t="s">
        <v>49</v>
      </c>
      <c r="V114" s="14" t="str" cm="1">
        <f t="array" ref="V11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14" t="s">
        <v>103</v>
      </c>
      <c r="X114" s="2" t="str">
        <f>_xlfn.XLOOKUP(Table1[[#This Row],[Loan_Credit_History]],Table4[Credit History],Table4[[ Category]])</f>
        <v>Critical Credit History</v>
      </c>
      <c r="Y114" s="3">
        <v>2</v>
      </c>
      <c r="Z114" s="3">
        <v>2</v>
      </c>
      <c r="AA114" s="5">
        <v>5954</v>
      </c>
      <c r="AB114" t="s">
        <v>151</v>
      </c>
      <c r="AC114" s="2" t="str" cm="1">
        <f t="array" ref="AC114">_xlfn.IFS(Table1[[#This Row],[Others_Parties]] = "No", "None",
Table1[[#This Row],[Others_Parties]] = "co applicant", "Co-applicant",
Table1[[#This Row],[Others_Parties]] = "guarantor", "Guarantor")</f>
        <v>None</v>
      </c>
      <c r="AD114" s="13" t="s">
        <v>146</v>
      </c>
      <c r="AE114" s="2" t="s">
        <v>105</v>
      </c>
      <c r="AF114" s="28" t="str" cm="1">
        <f t="array" ref="AF11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14" s="21">
        <v>42</v>
      </c>
      <c r="AH114" s="2" t="s">
        <v>154</v>
      </c>
      <c r="AI114"/>
      <c r="AZ114"/>
      <c r="BC114"/>
      <c r="BE114"/>
      <c r="BL114"/>
      <c r="BZ114"/>
      <c r="CA114"/>
      <c r="CF114"/>
      <c r="CG114"/>
      <c r="CH114"/>
      <c r="CI114"/>
      <c r="CK114"/>
      <c r="CN114"/>
    </row>
    <row r="115" spans="1:92" x14ac:dyDescent="0.3">
      <c r="A115" s="4">
        <v>113</v>
      </c>
      <c r="B115" s="11">
        <v>33</v>
      </c>
      <c r="C115" s="2" t="str">
        <f>_xlfn.XLOOKUP(Table1[[#This Row],[Age]],Table7[Start_Age],Table7[Age_Range],,-1)</f>
        <v>29-39</v>
      </c>
      <c r="D115" t="s">
        <v>138</v>
      </c>
      <c r="E115" s="2" t="s">
        <v>129</v>
      </c>
      <c r="F115" s="2" t="s">
        <v>178</v>
      </c>
      <c r="G115" s="3">
        <v>1</v>
      </c>
      <c r="H115" s="13" t="s">
        <v>152</v>
      </c>
      <c r="I115" s="2" t="str" cm="1">
        <f t="array" ref="I115">_xlfn.IFS(Table1[[#This Row],[Job_Type]] = "unskilled resident", "Resident",
Table1[[#This Row],[Job_Type]] = "unemp/unskilled non res", "Non-resident",
TRUE, "Unknown")</f>
        <v>Unknown</v>
      </c>
      <c r="J115" s="2" t="s">
        <v>148</v>
      </c>
      <c r="K115" s="3">
        <v>1</v>
      </c>
      <c r="L115" s="2" t="s">
        <v>143</v>
      </c>
      <c r="M115" s="13" t="s">
        <v>151</v>
      </c>
      <c r="N115" t="s">
        <v>50</v>
      </c>
      <c r="O115" s="2" t="str">
        <f>_xlfn.XLOOKUP(Table1[[#This Row],[Checking_Acct_Status]],Table3[Checking_Acct_Original],Table3[Category])</f>
        <v>High Balance</v>
      </c>
      <c r="P115" s="10" t="s">
        <v>32</v>
      </c>
      <c r="Q115" s="13" t="str">
        <f>_xlfn.XLOOKUP(Table1[[#This Row],[Saving_Acct_Status]],Table5[Saving_Acct_Original],Table5[Category])</f>
        <v>Low Savings</v>
      </c>
      <c r="R115" t="s">
        <v>41</v>
      </c>
      <c r="S115" s="2" t="str">
        <f>IF(
      OR(Table1[[#This Row],[Job_Type]] = "high qualif/self emp/mgmt", Table1[[#This Row],[Job_Type]] = "skilled"),
      "Skilled", "Unskilled")</f>
        <v>Skilled</v>
      </c>
      <c r="T115" t="str">
        <f>IF(Table1[[#This Row],[Job_Type]] = "unemp/unskilled non res", "Unemployed", "Employed")</f>
        <v>Employed</v>
      </c>
      <c r="U115" t="s">
        <v>45</v>
      </c>
      <c r="V115" s="14" t="str" cm="1">
        <f t="array" ref="V11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15" t="s">
        <v>52</v>
      </c>
      <c r="X115" s="2" t="str">
        <f>_xlfn.XLOOKUP(Table1[[#This Row],[Loan_Credit_History]],Table4[Credit History],Table4[[ Category]])</f>
        <v>No Credit History</v>
      </c>
      <c r="Y115" s="3">
        <v>2</v>
      </c>
      <c r="Z115" s="3">
        <v>2</v>
      </c>
      <c r="AA115" s="5">
        <v>6289</v>
      </c>
      <c r="AB115" t="s">
        <v>151</v>
      </c>
      <c r="AC115" s="2" t="str" cm="1">
        <f t="array" ref="AC115">_xlfn.IFS(Table1[[#This Row],[Others_Parties]] = "No", "None",
Table1[[#This Row],[Others_Parties]] = "co applicant", "Co-applicant",
Table1[[#This Row],[Others_Parties]] = "guarantor", "Guarantor")</f>
        <v>None</v>
      </c>
      <c r="AD115" s="13" t="s">
        <v>145</v>
      </c>
      <c r="AE115" s="2" t="s">
        <v>105</v>
      </c>
      <c r="AF115" s="28" t="str" cm="1">
        <f t="array" ref="AF11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15" s="21">
        <v>42</v>
      </c>
      <c r="AH115" s="2" t="s">
        <v>154</v>
      </c>
      <c r="AI115"/>
      <c r="AZ115"/>
      <c r="BC115"/>
      <c r="BE115"/>
      <c r="BL115"/>
      <c r="BZ115"/>
      <c r="CA115"/>
      <c r="CF115"/>
      <c r="CG115"/>
      <c r="CH115"/>
      <c r="CI115"/>
      <c r="CK115"/>
      <c r="CN115"/>
    </row>
    <row r="116" spans="1:92" x14ac:dyDescent="0.3">
      <c r="A116" s="4">
        <v>114</v>
      </c>
      <c r="B116" s="11">
        <v>29</v>
      </c>
      <c r="C116" s="2" t="str">
        <f>_xlfn.XLOOKUP(Table1[[#This Row],[Age]],Table7[Start_Age],Table7[Age_Range],,-1)</f>
        <v>29-39</v>
      </c>
      <c r="D116" t="s">
        <v>134</v>
      </c>
      <c r="E116" s="2" t="s">
        <v>129</v>
      </c>
      <c r="F116" s="2" t="s">
        <v>135</v>
      </c>
      <c r="G116" s="3">
        <v>1</v>
      </c>
      <c r="H116" s="13" t="s">
        <v>152</v>
      </c>
      <c r="I116" s="2" t="str" cm="1">
        <f t="array" ref="I116">_xlfn.IFS(Table1[[#This Row],[Job_Type]] = "unskilled resident", "Resident",
Table1[[#This Row],[Job_Type]] = "unemp/unskilled non res", "Non-resident",
TRUE, "Unknown")</f>
        <v>Unknown</v>
      </c>
      <c r="J116" s="2" t="s">
        <v>149</v>
      </c>
      <c r="K116" s="3">
        <v>4</v>
      </c>
      <c r="L116" s="2" t="s">
        <v>143</v>
      </c>
      <c r="M116" s="13" t="s">
        <v>152</v>
      </c>
      <c r="N116" t="s">
        <v>17</v>
      </c>
      <c r="O116" s="2" t="str">
        <f>_xlfn.XLOOKUP(Table1[[#This Row],[Checking_Acct_Status]],Table3[Checking_Acct_Original],Table3[Category])</f>
        <v>No Account</v>
      </c>
      <c r="P116" s="10" t="s">
        <v>47</v>
      </c>
      <c r="Q116" s="13" t="str">
        <f>_xlfn.XLOOKUP(Table1[[#This Row],[Saving_Acct_Status]],Table5[Saving_Acct_Original],Table5[Category])</f>
        <v>No Savings</v>
      </c>
      <c r="R116" t="s">
        <v>41</v>
      </c>
      <c r="S116" s="2" t="str">
        <f>IF(
      OR(Table1[[#This Row],[Job_Type]] = "high qualif/self emp/mgmt", Table1[[#This Row],[Job_Type]] = "skilled"),
      "Skilled", "Unskilled")</f>
        <v>Skilled</v>
      </c>
      <c r="T116" t="str">
        <f>IF(Table1[[#This Row],[Job_Type]] = "unemp/unskilled non res", "Unemployed", "Employed")</f>
        <v>Employed</v>
      </c>
      <c r="U116" t="s">
        <v>49</v>
      </c>
      <c r="V116" s="14" t="str" cm="1">
        <f t="array" ref="V11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16" t="s">
        <v>31</v>
      </c>
      <c r="X116" s="2" t="str">
        <f>_xlfn.XLOOKUP(Table1[[#This Row],[Loan_Credit_History]],Table4[Credit History],Table4[[ Category]])</f>
        <v>Existing Credits Paid</v>
      </c>
      <c r="Y116" s="3">
        <v>2</v>
      </c>
      <c r="Z116" s="3">
        <v>1</v>
      </c>
      <c r="AA116" s="5">
        <v>7166</v>
      </c>
      <c r="AB116" t="s">
        <v>151</v>
      </c>
      <c r="AC116" s="2" t="str" cm="1">
        <f t="array" ref="AC116">_xlfn.IFS(Table1[[#This Row],[Others_Parties]] = "No", "None",
Table1[[#This Row],[Others_Parties]] = "co applicant", "Co-applicant",
Table1[[#This Row],[Others_Parties]] = "guarantor", "Guarantor")</f>
        <v>None</v>
      </c>
      <c r="AD116" s="13" t="s">
        <v>145</v>
      </c>
      <c r="AE116" s="2" t="s">
        <v>111</v>
      </c>
      <c r="AF116" s="28" t="str" cm="1">
        <f t="array" ref="AF11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16" s="21">
        <v>42</v>
      </c>
      <c r="AH116" s="2" t="s">
        <v>154</v>
      </c>
      <c r="AI116"/>
      <c r="AZ116"/>
      <c r="BC116"/>
      <c r="BE116"/>
      <c r="BL116"/>
      <c r="BZ116"/>
      <c r="CA116"/>
      <c r="CF116"/>
      <c r="CG116"/>
      <c r="CH116"/>
      <c r="CI116"/>
      <c r="CK116"/>
      <c r="CN116"/>
    </row>
    <row r="117" spans="1:92" x14ac:dyDescent="0.3">
      <c r="A117" s="4">
        <v>115</v>
      </c>
      <c r="B117" s="11">
        <v>30</v>
      </c>
      <c r="C117" s="2" t="str">
        <f>_xlfn.XLOOKUP(Table1[[#This Row],[Age]],Table7[Start_Age],Table7[Age_Range],,-1)</f>
        <v>29-39</v>
      </c>
      <c r="D117" t="s">
        <v>136</v>
      </c>
      <c r="E117" s="2" t="s">
        <v>131</v>
      </c>
      <c r="F117" s="2" t="s">
        <v>137</v>
      </c>
      <c r="G117" s="3">
        <v>1</v>
      </c>
      <c r="H117" s="13" t="s">
        <v>152</v>
      </c>
      <c r="I117" s="2" t="str" cm="1">
        <f t="array" ref="I117">_xlfn.IFS(Table1[[#This Row],[Job_Type]] = "unskilled resident", "Resident",
Table1[[#This Row],[Job_Type]] = "unemp/unskilled non res", "Non-resident",
TRUE, "Unknown")</f>
        <v>Unknown</v>
      </c>
      <c r="J117" s="2" t="s">
        <v>148</v>
      </c>
      <c r="K117" s="3">
        <v>3</v>
      </c>
      <c r="L117" s="2" t="s">
        <v>140</v>
      </c>
      <c r="M117" s="13" t="s">
        <v>152</v>
      </c>
      <c r="N117" t="s">
        <v>35</v>
      </c>
      <c r="O117" s="2" t="str">
        <f>_xlfn.XLOOKUP(Table1[[#This Row],[Checking_Acct_Status]],Table3[Checking_Acct_Original],Table3[Category])</f>
        <v>Negative Balance</v>
      </c>
      <c r="P117" s="10" t="s">
        <v>47</v>
      </c>
      <c r="Q117" s="13" t="str">
        <f>_xlfn.XLOOKUP(Table1[[#This Row],[Saving_Acct_Status]],Table5[Saving_Acct_Original],Table5[Category])</f>
        <v>No Savings</v>
      </c>
      <c r="R117" t="s">
        <v>63</v>
      </c>
      <c r="S117" s="2" t="str">
        <f>IF(
      OR(Table1[[#This Row],[Job_Type]] = "high qualif/self emp/mgmt", Table1[[#This Row],[Job_Type]] = "skilled"),
      "Skilled", "Unskilled")</f>
        <v>Skilled</v>
      </c>
      <c r="T117" t="str">
        <f>IF(Table1[[#This Row],[Job_Type]] = "unemp/unskilled non res", "Unemployed", "Employed")</f>
        <v>Employed</v>
      </c>
      <c r="U117" t="s">
        <v>49</v>
      </c>
      <c r="V117" s="14" t="str" cm="1">
        <f t="array" ref="V11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17" t="s">
        <v>31</v>
      </c>
      <c r="X117" s="2" t="str">
        <f>_xlfn.XLOOKUP(Table1[[#This Row],[Loan_Credit_History]],Table4[Credit History],Table4[[ Category]])</f>
        <v>Existing Credits Paid</v>
      </c>
      <c r="Y117" s="3">
        <v>4</v>
      </c>
      <c r="Z117" s="3">
        <v>1</v>
      </c>
      <c r="AA117" s="5">
        <v>7174</v>
      </c>
      <c r="AB117" t="s">
        <v>151</v>
      </c>
      <c r="AC117" s="2" t="str" cm="1">
        <f t="array" ref="AC117">_xlfn.IFS(Table1[[#This Row],[Others_Parties]] = "No", "None",
Table1[[#This Row],[Others_Parties]] = "co applicant", "Co-applicant",
Table1[[#This Row],[Others_Parties]] = "guarantor", "Guarantor")</f>
        <v>None</v>
      </c>
      <c r="AD117" s="13" t="s">
        <v>145</v>
      </c>
      <c r="AE117" s="2" t="s">
        <v>111</v>
      </c>
      <c r="AF117" s="28" t="str" cm="1">
        <f t="array" ref="AF11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17" s="21">
        <v>42</v>
      </c>
      <c r="AH117" s="2" t="s">
        <v>153</v>
      </c>
      <c r="AI117"/>
      <c r="AZ117"/>
      <c r="BC117"/>
      <c r="BE117"/>
      <c r="BL117"/>
      <c r="BZ117"/>
      <c r="CA117"/>
      <c r="CF117"/>
      <c r="CG117"/>
      <c r="CH117"/>
      <c r="CI117"/>
      <c r="CK117"/>
      <c r="CN117"/>
    </row>
    <row r="118" spans="1:92" x14ac:dyDescent="0.3">
      <c r="A118" s="4">
        <v>116</v>
      </c>
      <c r="B118" s="11">
        <v>45</v>
      </c>
      <c r="C118" s="2" t="str">
        <f>_xlfn.XLOOKUP(Table1[[#This Row],[Age]],Table7[Start_Age],Table7[Age_Range],,-1)</f>
        <v>39-49</v>
      </c>
      <c r="D118" t="s">
        <v>130</v>
      </c>
      <c r="E118" s="2" t="s">
        <v>129</v>
      </c>
      <c r="F118" s="2" t="s">
        <v>133</v>
      </c>
      <c r="G118" s="3">
        <v>2</v>
      </c>
      <c r="H118" s="13" t="s">
        <v>152</v>
      </c>
      <c r="I118" s="2" t="str" cm="1">
        <f t="array" ref="I118">_xlfn.IFS(Table1[[#This Row],[Job_Type]] = "unskilled resident", "Resident",
Table1[[#This Row],[Job_Type]] = "unemp/unskilled non res", "Non-resident",
TRUE, "Unknown")</f>
        <v>Unknown</v>
      </c>
      <c r="J118" s="2" t="s">
        <v>150</v>
      </c>
      <c r="K118" s="3">
        <v>4</v>
      </c>
      <c r="L118" s="2" t="s">
        <v>143</v>
      </c>
      <c r="M118" s="13" t="s">
        <v>151</v>
      </c>
      <c r="N118" t="s">
        <v>35</v>
      </c>
      <c r="O118" s="2" t="str">
        <f>_xlfn.XLOOKUP(Table1[[#This Row],[Checking_Acct_Status]],Table3[Checking_Acct_Original],Table3[Category])</f>
        <v>Negative Balance</v>
      </c>
      <c r="P118" s="10" t="s">
        <v>32</v>
      </c>
      <c r="Q118" s="13" t="str">
        <f>_xlfn.XLOOKUP(Table1[[#This Row],[Saving_Acct_Status]],Table5[Saving_Acct_Original],Table5[Category])</f>
        <v>Low Savings</v>
      </c>
      <c r="R118" t="s">
        <v>41</v>
      </c>
      <c r="S118" s="2" t="str">
        <f>IF(
      OR(Table1[[#This Row],[Job_Type]] = "high qualif/self emp/mgmt", Table1[[#This Row],[Job_Type]] = "skilled"),
      "Skilled", "Unskilled")</f>
        <v>Skilled</v>
      </c>
      <c r="T118" t="str">
        <f>IF(Table1[[#This Row],[Job_Type]] = "unemp/unskilled non res", "Unemployed", "Employed")</f>
        <v>Employed</v>
      </c>
      <c r="U118" t="s">
        <v>49</v>
      </c>
      <c r="V118" s="14" t="str" cm="1">
        <f t="array" ref="V11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18" t="s">
        <v>31</v>
      </c>
      <c r="X118" s="2" t="str">
        <f>_xlfn.XLOOKUP(Table1[[#This Row],[Loan_Credit_History]],Table4[Credit History],Table4[[ Category]])</f>
        <v>Existing Credits Paid</v>
      </c>
      <c r="Y118" s="3">
        <v>2</v>
      </c>
      <c r="Z118" s="3">
        <v>1</v>
      </c>
      <c r="AA118" s="5">
        <v>7882</v>
      </c>
      <c r="AB118" t="s">
        <v>58</v>
      </c>
      <c r="AC118" s="2" t="str" cm="1">
        <f t="array" ref="AC118">_xlfn.IFS(Table1[[#This Row],[Others_Parties]] = "No", "None",
Table1[[#This Row],[Others_Parties]] = "co applicant", "Co-applicant",
Table1[[#This Row],[Others_Parties]] = "guarantor", "Guarantor")</f>
        <v>Guarantor</v>
      </c>
      <c r="AD118" s="13" t="s">
        <v>145</v>
      </c>
      <c r="AE118" s="2" t="s">
        <v>108</v>
      </c>
      <c r="AF118" s="28" t="str" cm="1">
        <f t="array" ref="AF11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18" s="21">
        <v>42</v>
      </c>
      <c r="AH118" s="2" t="s">
        <v>154</v>
      </c>
      <c r="AI118"/>
      <c r="AZ118"/>
      <c r="BC118"/>
      <c r="BE118"/>
      <c r="BL118"/>
      <c r="BZ118"/>
      <c r="CA118"/>
      <c r="CF118"/>
      <c r="CG118"/>
      <c r="CH118"/>
      <c r="CI118"/>
      <c r="CK118"/>
      <c r="CN118"/>
    </row>
    <row r="119" spans="1:92" x14ac:dyDescent="0.3">
      <c r="A119" s="4">
        <v>117</v>
      </c>
      <c r="B119" s="11">
        <v>55</v>
      </c>
      <c r="C119" s="2" t="str">
        <f>_xlfn.XLOOKUP(Table1[[#This Row],[Age]],Table7[Start_Age],Table7[Age_Range],,-1)</f>
        <v>49-59</v>
      </c>
      <c r="D119" t="s">
        <v>130</v>
      </c>
      <c r="E119" s="2" t="s">
        <v>129</v>
      </c>
      <c r="F119" s="2" t="s">
        <v>133</v>
      </c>
      <c r="G119" s="3">
        <v>1</v>
      </c>
      <c r="H119" s="13" t="s">
        <v>152</v>
      </c>
      <c r="I119" s="2" t="str" cm="1">
        <f t="array" ref="I119">_xlfn.IFS(Table1[[#This Row],[Job_Type]] = "unskilled resident", "Resident",
Table1[[#This Row],[Job_Type]] = "unemp/unskilled non res", "Non-resident",
TRUE, "Unknown")</f>
        <v>Unknown</v>
      </c>
      <c r="J119" s="2" t="s">
        <v>150</v>
      </c>
      <c r="K119" s="3">
        <v>2</v>
      </c>
      <c r="L119" s="2" t="s">
        <v>142</v>
      </c>
      <c r="M119" s="13" t="s">
        <v>152</v>
      </c>
      <c r="N119" t="s">
        <v>30</v>
      </c>
      <c r="O119" s="2" t="str">
        <f>_xlfn.XLOOKUP(Table1[[#This Row],[Checking_Acct_Status]],Table3[Checking_Acct_Original],Table3[Category])</f>
        <v>Low Balance</v>
      </c>
      <c r="P119" s="10" t="s">
        <v>32</v>
      </c>
      <c r="Q119" s="13" t="str">
        <f>_xlfn.XLOOKUP(Table1[[#This Row],[Saving_Acct_Status]],Table5[Saving_Acct_Original],Table5[Category])</f>
        <v>Low Savings</v>
      </c>
      <c r="R119" t="s">
        <v>63</v>
      </c>
      <c r="S119" s="2" t="str">
        <f>IF(
      OR(Table1[[#This Row],[Job_Type]] = "high qualif/self emp/mgmt", Table1[[#This Row],[Job_Type]] = "skilled"),
      "Skilled", "Unskilled")</f>
        <v>Skilled</v>
      </c>
      <c r="T119" t="str">
        <f>IF(Table1[[#This Row],[Job_Type]] = "unemp/unskilled non res", "Unemployed", "Employed")</f>
        <v>Employed</v>
      </c>
      <c r="U119" t="s">
        <v>54</v>
      </c>
      <c r="V119" s="14" t="str" cm="1">
        <f t="array" ref="V119">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119" t="s">
        <v>42</v>
      </c>
      <c r="X119" s="2" t="str">
        <f>_xlfn.XLOOKUP(Table1[[#This Row],[Loan_Credit_History]],Table4[Credit History],Table4[[ Category]])</f>
        <v>All Paid</v>
      </c>
      <c r="Y119" s="3">
        <v>1</v>
      </c>
      <c r="Z119" s="3">
        <v>1</v>
      </c>
      <c r="AA119" s="5">
        <v>9283</v>
      </c>
      <c r="AB119" t="s">
        <v>151</v>
      </c>
      <c r="AC119" s="2" t="str" cm="1">
        <f t="array" ref="AC119">_xlfn.IFS(Table1[[#This Row],[Others_Parties]] = "No", "None",
Table1[[#This Row],[Others_Parties]] = "co applicant", "Co-applicant",
Table1[[#This Row],[Others_Parties]] = "guarantor", "Guarantor")</f>
        <v>None</v>
      </c>
      <c r="AD119" s="13" t="s">
        <v>146</v>
      </c>
      <c r="AE119" s="2" t="s">
        <v>107</v>
      </c>
      <c r="AF119" s="28" t="str" cm="1">
        <f t="array" ref="AF11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19" s="21">
        <v>42</v>
      </c>
      <c r="AH119" s="2" t="s">
        <v>154</v>
      </c>
      <c r="AI119"/>
      <c r="AZ119"/>
      <c r="BC119"/>
      <c r="BE119"/>
      <c r="BL119"/>
      <c r="BZ119"/>
      <c r="CA119"/>
      <c r="CF119"/>
      <c r="CG119"/>
      <c r="CH119"/>
      <c r="CI119"/>
      <c r="CK119"/>
      <c r="CN119"/>
    </row>
    <row r="120" spans="1:92" x14ac:dyDescent="0.3">
      <c r="A120" s="4">
        <v>118</v>
      </c>
      <c r="B120" s="11">
        <v>27</v>
      </c>
      <c r="C120" s="2" t="str">
        <f>_xlfn.XLOOKUP(Table1[[#This Row],[Age]],Table7[Start_Age],Table7[Age_Range],,-1)</f>
        <v>19-29</v>
      </c>
      <c r="D120" t="s">
        <v>130</v>
      </c>
      <c r="E120" s="2" t="s">
        <v>129</v>
      </c>
      <c r="F120" s="2" t="s">
        <v>133</v>
      </c>
      <c r="G120" s="3">
        <v>1</v>
      </c>
      <c r="H120" s="13" t="s">
        <v>152</v>
      </c>
      <c r="I120" s="2" t="str" cm="1">
        <f t="array" ref="I120">_xlfn.IFS(Table1[[#This Row],[Job_Type]] = "unskilled resident", "Resident",
Table1[[#This Row],[Job_Type]] = "unemp/unskilled non res", "Non-resident",
TRUE, "Unknown")</f>
        <v>Unknown</v>
      </c>
      <c r="J120" s="2" t="s">
        <v>148</v>
      </c>
      <c r="K120" s="3">
        <v>3</v>
      </c>
      <c r="L120" s="2" t="s">
        <v>142</v>
      </c>
      <c r="M120" s="13" t="s">
        <v>152</v>
      </c>
      <c r="N120" t="s">
        <v>35</v>
      </c>
      <c r="O120" s="2" t="str">
        <f>_xlfn.XLOOKUP(Table1[[#This Row],[Checking_Acct_Status]],Table3[Checking_Acct_Original],Table3[Category])</f>
        <v>Negative Balance</v>
      </c>
      <c r="P120" s="10" t="s">
        <v>32</v>
      </c>
      <c r="Q120" s="13" t="str">
        <f>_xlfn.XLOOKUP(Table1[[#This Row],[Saving_Acct_Status]],Table5[Saving_Acct_Original],Table5[Category])</f>
        <v>Low Savings</v>
      </c>
      <c r="R120" t="s">
        <v>41</v>
      </c>
      <c r="S120" s="2" t="str">
        <f>IF(
      OR(Table1[[#This Row],[Job_Type]] = "high qualif/self emp/mgmt", Table1[[#This Row],[Job_Type]] = "skilled"),
      "Skilled", "Unskilled")</f>
        <v>Skilled</v>
      </c>
      <c r="T120" t="str">
        <f>IF(Table1[[#This Row],[Job_Type]] = "unemp/unskilled non res", "Unemployed", "Employed")</f>
        <v>Employed</v>
      </c>
      <c r="U120" t="s">
        <v>21</v>
      </c>
      <c r="V120" s="14" t="str" cm="1">
        <f t="array" ref="V12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20" t="s">
        <v>103</v>
      </c>
      <c r="X120" s="2" t="str">
        <f>_xlfn.XLOOKUP(Table1[[#This Row],[Loan_Credit_History]],Table4[Credit History],Table4[[ Category]])</f>
        <v>Critical Credit History</v>
      </c>
      <c r="Y120" s="3">
        <v>4</v>
      </c>
      <c r="Z120" s="3">
        <v>1</v>
      </c>
      <c r="AA120" s="5">
        <v>5998</v>
      </c>
      <c r="AB120" t="s">
        <v>151</v>
      </c>
      <c r="AC120" s="2" t="str" cm="1">
        <f t="array" ref="AC120">_xlfn.IFS(Table1[[#This Row],[Others_Parties]] = "No", "None",
Table1[[#This Row],[Others_Parties]] = "co applicant", "Co-applicant",
Table1[[#This Row],[Others_Parties]] = "guarantor", "Guarantor")</f>
        <v>None</v>
      </c>
      <c r="AD120" s="13" t="s">
        <v>146</v>
      </c>
      <c r="AE120" s="2" t="s">
        <v>100</v>
      </c>
      <c r="AF120" s="28" t="str" cm="1">
        <f t="array" ref="AF12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20" s="21">
        <v>40</v>
      </c>
      <c r="AH120" s="2" t="s">
        <v>153</v>
      </c>
      <c r="AI120"/>
      <c r="AZ120"/>
      <c r="BC120"/>
      <c r="BE120"/>
      <c r="BL120"/>
      <c r="BZ120"/>
      <c r="CA120"/>
      <c r="CF120"/>
      <c r="CG120"/>
      <c r="CH120"/>
      <c r="CI120"/>
      <c r="CK120"/>
      <c r="CN120"/>
    </row>
    <row r="121" spans="1:92" x14ac:dyDescent="0.3">
      <c r="A121" s="4">
        <v>119</v>
      </c>
      <c r="B121" s="11">
        <v>24</v>
      </c>
      <c r="C121" s="2" t="str">
        <f>_xlfn.XLOOKUP(Table1[[#This Row],[Age]],Table7[Start_Age],Table7[Age_Range],,-1)</f>
        <v>19-29</v>
      </c>
      <c r="D121" t="s">
        <v>130</v>
      </c>
      <c r="E121" s="2" t="s">
        <v>129</v>
      </c>
      <c r="F121" s="2" t="s">
        <v>133</v>
      </c>
      <c r="G121" s="3">
        <v>1</v>
      </c>
      <c r="H121" s="13" t="s">
        <v>152</v>
      </c>
      <c r="I121" s="2" t="str" cm="1">
        <f t="array" ref="I121">_xlfn.IFS(Table1[[#This Row],[Job_Type]] = "unskilled resident", "Resident",
Table1[[#This Row],[Job_Type]] = "unemp/unskilled non res", "Non-resident",
TRUE, "Unknown")</f>
        <v>Unknown</v>
      </c>
      <c r="J121" s="2" t="s">
        <v>148</v>
      </c>
      <c r="K121" s="3">
        <v>4</v>
      </c>
      <c r="L121" s="2" t="s">
        <v>140</v>
      </c>
      <c r="M121" s="13" t="s">
        <v>151</v>
      </c>
      <c r="N121" t="s">
        <v>17</v>
      </c>
      <c r="O121" s="2" t="str">
        <f>_xlfn.XLOOKUP(Table1[[#This Row],[Checking_Acct_Status]],Table3[Checking_Acct_Original],Table3[Category])</f>
        <v>No Account</v>
      </c>
      <c r="P121" s="10" t="s">
        <v>37</v>
      </c>
      <c r="Q121" s="13" t="str">
        <f>_xlfn.XLOOKUP(Table1[[#This Row],[Saving_Acct_Status]],Table5[Saving_Acct_Original],Table5[Category])</f>
        <v>High Savings</v>
      </c>
      <c r="R121" t="s">
        <v>41</v>
      </c>
      <c r="S121" s="2" t="str">
        <f>IF(
      OR(Table1[[#This Row],[Job_Type]] = "high qualif/self emp/mgmt", Table1[[#This Row],[Job_Type]] = "skilled"),
      "Skilled", "Unskilled")</f>
        <v>Skilled</v>
      </c>
      <c r="T121" t="str">
        <f>IF(Table1[[#This Row],[Job_Type]] = "unemp/unskilled non res", "Unemployed", "Employed")</f>
        <v>Employed</v>
      </c>
      <c r="U121" t="s">
        <v>21</v>
      </c>
      <c r="V121" s="14" t="str" cm="1">
        <f t="array" ref="V12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21" t="s">
        <v>31</v>
      </c>
      <c r="X121" s="2" t="str">
        <f>_xlfn.XLOOKUP(Table1[[#This Row],[Loan_Credit_History]],Table4[Credit History],Table4[[ Category]])</f>
        <v>Existing Credits Paid</v>
      </c>
      <c r="Y121" s="3">
        <v>4</v>
      </c>
      <c r="Z121" s="3">
        <v>1</v>
      </c>
      <c r="AA121" s="5">
        <v>2569</v>
      </c>
      <c r="AB121" t="s">
        <v>151</v>
      </c>
      <c r="AC121" s="2" t="str" cm="1">
        <f t="array" ref="AC121">_xlfn.IFS(Table1[[#This Row],[Others_Parties]] = "No", "None",
Table1[[#This Row],[Others_Parties]] = "co applicant", "Co-applicant",
Table1[[#This Row],[Others_Parties]] = "guarantor", "Guarantor")</f>
        <v>None</v>
      </c>
      <c r="AD121" s="13" t="s">
        <v>145</v>
      </c>
      <c r="AE121" s="2" t="s">
        <v>107</v>
      </c>
      <c r="AF121" s="28" t="str" cm="1">
        <f t="array" ref="AF12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21" s="21">
        <v>39</v>
      </c>
      <c r="AH121" s="2" t="s">
        <v>154</v>
      </c>
      <c r="AI121"/>
      <c r="AZ121"/>
      <c r="BC121"/>
      <c r="BE121"/>
      <c r="BL121"/>
      <c r="BZ121"/>
      <c r="CA121"/>
      <c r="CF121"/>
      <c r="CG121"/>
      <c r="CH121"/>
      <c r="CI121"/>
      <c r="CK121"/>
      <c r="CN121"/>
    </row>
    <row r="122" spans="1:92" x14ac:dyDescent="0.3">
      <c r="A122" s="4">
        <v>120</v>
      </c>
      <c r="B122" s="11">
        <v>25</v>
      </c>
      <c r="C122" s="2" t="str">
        <f>_xlfn.XLOOKUP(Table1[[#This Row],[Age]],Table7[Start_Age],Table7[Age_Range],,-1)</f>
        <v>19-29</v>
      </c>
      <c r="D122" t="s">
        <v>130</v>
      </c>
      <c r="E122" s="2" t="s">
        <v>129</v>
      </c>
      <c r="F122" s="2" t="s">
        <v>133</v>
      </c>
      <c r="G122" s="3">
        <v>1</v>
      </c>
      <c r="H122" s="13" t="s">
        <v>152</v>
      </c>
      <c r="I122" s="2" t="str" cm="1">
        <f t="array" ref="I122">_xlfn.IFS(Table1[[#This Row],[Job_Type]] = "unskilled resident", "Resident",
Table1[[#This Row],[Job_Type]] = "unemp/unskilled non res", "Non-resident",
TRUE, "Unknown")</f>
        <v>Unknown</v>
      </c>
      <c r="J122" s="2" t="s">
        <v>148</v>
      </c>
      <c r="K122" s="3">
        <v>2</v>
      </c>
      <c r="L122" s="2" t="s">
        <v>144</v>
      </c>
      <c r="M122" s="13" t="s">
        <v>151</v>
      </c>
      <c r="N122" t="s">
        <v>30</v>
      </c>
      <c r="O122" s="2" t="str">
        <f>_xlfn.XLOOKUP(Table1[[#This Row],[Checking_Acct_Status]],Table3[Checking_Acct_Original],Table3[Category])</f>
        <v>Low Balance</v>
      </c>
      <c r="P122" s="10" t="s">
        <v>32</v>
      </c>
      <c r="Q122" s="13" t="str">
        <f>_xlfn.XLOOKUP(Table1[[#This Row],[Saving_Acct_Status]],Table5[Saving_Acct_Original],Table5[Category])</f>
        <v>Low Savings</v>
      </c>
      <c r="R122" t="s">
        <v>41</v>
      </c>
      <c r="S122" s="2" t="str">
        <f>IF(
      OR(Table1[[#This Row],[Job_Type]] = "high qualif/self emp/mgmt", Table1[[#This Row],[Job_Type]] = "skilled"),
      "Skilled", "Unskilled")</f>
        <v>Skilled</v>
      </c>
      <c r="T122" t="str">
        <f>IF(Table1[[#This Row],[Job_Type]] = "unemp/unskilled non res", "Unemployed", "Employed")</f>
        <v>Employed</v>
      </c>
      <c r="U122" t="s">
        <v>49</v>
      </c>
      <c r="V122" s="14" t="str" cm="1">
        <f t="array" ref="V12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22" t="s">
        <v>103</v>
      </c>
      <c r="X122" s="2" t="str">
        <f>_xlfn.XLOOKUP(Table1[[#This Row],[Loan_Credit_History]],Table4[Credit History],Table4[[ Category]])</f>
        <v>Critical Credit History</v>
      </c>
      <c r="Y122" s="3">
        <v>2</v>
      </c>
      <c r="Z122" s="3">
        <v>2</v>
      </c>
      <c r="AA122" s="5">
        <v>4933</v>
      </c>
      <c r="AB122" t="s">
        <v>58</v>
      </c>
      <c r="AC122" s="2" t="str" cm="1">
        <f t="array" ref="AC122">_xlfn.IFS(Table1[[#This Row],[Others_Parties]] = "No", "None",
Table1[[#This Row],[Others_Parties]] = "co applicant", "Co-applicant",
Table1[[#This Row],[Others_Parties]] = "guarantor", "Guarantor")</f>
        <v>Guarantor</v>
      </c>
      <c r="AD122" s="13" t="s">
        <v>145</v>
      </c>
      <c r="AE122" s="2" t="s">
        <v>111</v>
      </c>
      <c r="AF122" s="28" t="str" cm="1">
        <f t="array" ref="AF12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22" s="21">
        <v>39</v>
      </c>
      <c r="AH122" s="2" t="s">
        <v>153</v>
      </c>
      <c r="AI122"/>
      <c r="AZ122"/>
      <c r="BC122"/>
      <c r="BE122"/>
      <c r="BL122"/>
      <c r="BZ122"/>
      <c r="CA122"/>
      <c r="CF122"/>
      <c r="CG122"/>
      <c r="CH122"/>
      <c r="CI122"/>
      <c r="CK122"/>
      <c r="CN122"/>
    </row>
    <row r="123" spans="1:92" x14ac:dyDescent="0.3">
      <c r="A123" s="4">
        <v>121</v>
      </c>
      <c r="B123" s="11">
        <v>45</v>
      </c>
      <c r="C123" s="2" t="str">
        <f>_xlfn.XLOOKUP(Table1[[#This Row],[Age]],Table7[Start_Age],Table7[Age_Range],,-1)</f>
        <v>39-49</v>
      </c>
      <c r="D123" t="s">
        <v>130</v>
      </c>
      <c r="E123" s="2" t="s">
        <v>129</v>
      </c>
      <c r="F123" s="2" t="s">
        <v>133</v>
      </c>
      <c r="G123" s="3">
        <v>1</v>
      </c>
      <c r="H123" s="13" t="s">
        <v>152</v>
      </c>
      <c r="I123" s="2" t="str" cm="1">
        <f t="array" ref="I123">_xlfn.IFS(Table1[[#This Row],[Job_Type]] = "unskilled resident", "Resident",
Table1[[#This Row],[Job_Type]] = "unemp/unskilled non res", "Non-resident",
TRUE, "Unknown")</f>
        <v>Unknown</v>
      </c>
      <c r="J123" s="2" t="s">
        <v>148</v>
      </c>
      <c r="K123" s="3">
        <v>2</v>
      </c>
      <c r="L123" s="2" t="s">
        <v>140</v>
      </c>
      <c r="M123" s="13" t="s">
        <v>152</v>
      </c>
      <c r="N123" t="s">
        <v>17</v>
      </c>
      <c r="O123" s="2" t="str">
        <f>_xlfn.XLOOKUP(Table1[[#This Row],[Checking_Acct_Status]],Table3[Checking_Acct_Original],Table3[Category])</f>
        <v>No Account</v>
      </c>
      <c r="P123" s="10" t="s">
        <v>46</v>
      </c>
      <c r="Q123" s="13" t="str">
        <f>_xlfn.XLOOKUP(Table1[[#This Row],[Saving_Acct_Status]],Table5[Saving_Acct_Original],Table5[Category])</f>
        <v>Medium Savings</v>
      </c>
      <c r="R123" t="s">
        <v>63</v>
      </c>
      <c r="S123" s="2" t="str">
        <f>IF(
      OR(Table1[[#This Row],[Job_Type]] = "high qualif/self emp/mgmt", Table1[[#This Row],[Job_Type]] = "skilled"),
      "Skilled", "Unskilled")</f>
        <v>Skilled</v>
      </c>
      <c r="T123" t="str">
        <f>IF(Table1[[#This Row],[Job_Type]] = "unemp/unskilled non res", "Unemployed", "Employed")</f>
        <v>Employed</v>
      </c>
      <c r="U123" t="s">
        <v>38</v>
      </c>
      <c r="V123" s="14" t="str" cm="1">
        <f t="array" ref="V12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23" t="s">
        <v>31</v>
      </c>
      <c r="X123" s="2" t="str">
        <f>_xlfn.XLOOKUP(Table1[[#This Row],[Loan_Credit_History]],Table4[Credit History],Table4[[ Category]])</f>
        <v>Existing Credits Paid</v>
      </c>
      <c r="Y123" s="3">
        <v>4</v>
      </c>
      <c r="Z123" s="3">
        <v>1</v>
      </c>
      <c r="AA123" s="5">
        <v>8588</v>
      </c>
      <c r="AB123" t="s">
        <v>151</v>
      </c>
      <c r="AC123" s="2" t="str" cm="1">
        <f t="array" ref="AC123">_xlfn.IFS(Table1[[#This Row],[Others_Parties]] = "No", "None",
Table1[[#This Row],[Others_Parties]] = "co applicant", "Co-applicant",
Table1[[#This Row],[Others_Parties]] = "guarantor", "Guarantor")</f>
        <v>None</v>
      </c>
      <c r="AD123" s="13" t="s">
        <v>145</v>
      </c>
      <c r="AE123" s="2" t="s">
        <v>107</v>
      </c>
      <c r="AF123" s="28" t="str" cm="1">
        <f t="array" ref="AF12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23" s="21">
        <v>39</v>
      </c>
      <c r="AH123" s="2" t="s">
        <v>154</v>
      </c>
      <c r="AI123"/>
      <c r="AZ123"/>
      <c r="BC123"/>
      <c r="BE123"/>
      <c r="BL123"/>
      <c r="BZ123"/>
      <c r="CA123"/>
      <c r="CF123"/>
      <c r="CG123"/>
      <c r="CH123"/>
      <c r="CI123"/>
      <c r="CK123"/>
      <c r="CN123"/>
    </row>
    <row r="124" spans="1:92" x14ac:dyDescent="0.3">
      <c r="A124" s="4">
        <v>122</v>
      </c>
      <c r="B124" s="11">
        <v>32</v>
      </c>
      <c r="C124" s="2" t="str">
        <f>_xlfn.XLOOKUP(Table1[[#This Row],[Age]],Table7[Start_Age],Table7[Age_Range],,-1)</f>
        <v>29-39</v>
      </c>
      <c r="D124" t="s">
        <v>130</v>
      </c>
      <c r="E124" s="2" t="s">
        <v>129</v>
      </c>
      <c r="F124" s="2" t="s">
        <v>133</v>
      </c>
      <c r="G124" s="3">
        <v>1</v>
      </c>
      <c r="H124" s="13" t="s">
        <v>152</v>
      </c>
      <c r="I124" s="2" t="str" cm="1">
        <f t="array" ref="I124">_xlfn.IFS(Table1[[#This Row],[Job_Type]] = "unskilled resident", "Resident",
Table1[[#This Row],[Job_Type]] = "unemp/unskilled non res", "Non-resident",
TRUE, "Unknown")</f>
        <v>Unknown</v>
      </c>
      <c r="J124" s="2" t="s">
        <v>149</v>
      </c>
      <c r="K124" s="3">
        <v>3</v>
      </c>
      <c r="L124" s="2" t="s">
        <v>142</v>
      </c>
      <c r="M124" s="13" t="s">
        <v>152</v>
      </c>
      <c r="N124" t="s">
        <v>30</v>
      </c>
      <c r="O124" s="2" t="str">
        <f>_xlfn.XLOOKUP(Table1[[#This Row],[Checking_Acct_Status]],Table3[Checking_Acct_Original],Table3[Category])</f>
        <v>Low Balance</v>
      </c>
      <c r="P124" s="10" t="s">
        <v>46</v>
      </c>
      <c r="Q124" s="13" t="str">
        <f>_xlfn.XLOOKUP(Table1[[#This Row],[Saving_Acct_Status]],Table5[Saving_Acct_Original],Table5[Category])</f>
        <v>Medium Savings</v>
      </c>
      <c r="R124" t="s">
        <v>41</v>
      </c>
      <c r="S124" s="2" t="str">
        <f>IF(
      OR(Table1[[#This Row],[Job_Type]] = "high qualif/self emp/mgmt", Table1[[#This Row],[Job_Type]] = "skilled"),
      "Skilled", "Unskilled")</f>
        <v>Skilled</v>
      </c>
      <c r="T124" t="str">
        <f>IF(Table1[[#This Row],[Job_Type]] = "unemp/unskilled non res", "Unemployed", "Employed")</f>
        <v>Employed</v>
      </c>
      <c r="U124" t="s">
        <v>49</v>
      </c>
      <c r="V124" s="14" t="str" cm="1">
        <f t="array" ref="V12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24" t="s">
        <v>59</v>
      </c>
      <c r="X124" s="2" t="str">
        <f>_xlfn.XLOOKUP(Table1[[#This Row],[Loan_Credit_History]],Table4[Credit History],Table4[[ Category]])</f>
        <v>Previously Delayed</v>
      </c>
      <c r="Y124" s="3">
        <v>2</v>
      </c>
      <c r="Z124" s="3">
        <v>1</v>
      </c>
      <c r="AA124" s="5">
        <v>11760</v>
      </c>
      <c r="AB124" t="s">
        <v>151</v>
      </c>
      <c r="AC124" s="2" t="str" cm="1">
        <f t="array" ref="AC124">_xlfn.IFS(Table1[[#This Row],[Others_Parties]] = "No", "None",
Table1[[#This Row],[Others_Parties]] = "co applicant", "Co-applicant",
Table1[[#This Row],[Others_Parties]] = "guarantor", "Guarantor")</f>
        <v>None</v>
      </c>
      <c r="AD124" s="13" t="s">
        <v>145</v>
      </c>
      <c r="AE124" s="2" t="s">
        <v>100</v>
      </c>
      <c r="AF124" s="28" t="str" cm="1">
        <f t="array" ref="AF12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24" s="21">
        <v>39</v>
      </c>
      <c r="AH124" s="2" t="s">
        <v>154</v>
      </c>
      <c r="AI124"/>
      <c r="AZ124"/>
      <c r="BC124"/>
      <c r="BE124"/>
      <c r="BL124"/>
      <c r="BZ124"/>
      <c r="CA124"/>
      <c r="CF124"/>
      <c r="CG124"/>
      <c r="CH124"/>
      <c r="CI124"/>
      <c r="CK124"/>
      <c r="CN124"/>
    </row>
    <row r="125" spans="1:92" x14ac:dyDescent="0.3">
      <c r="A125" s="4">
        <v>123</v>
      </c>
      <c r="B125" s="11">
        <v>30</v>
      </c>
      <c r="C125" s="2" t="str">
        <f>_xlfn.XLOOKUP(Table1[[#This Row],[Age]],Table7[Start_Age],Table7[Age_Range],,-1)</f>
        <v>29-39</v>
      </c>
      <c r="D125" t="s">
        <v>130</v>
      </c>
      <c r="E125" s="2" t="s">
        <v>129</v>
      </c>
      <c r="F125" s="2" t="s">
        <v>133</v>
      </c>
      <c r="G125" s="3">
        <v>1</v>
      </c>
      <c r="H125" s="13" t="s">
        <v>152</v>
      </c>
      <c r="I125" s="2" t="str" cm="1">
        <f t="array" ref="I125">_xlfn.IFS(Table1[[#This Row],[Job_Type]] = "unskilled resident", "Resident",
Table1[[#This Row],[Job_Type]] = "unemp/unskilled non res", "Non-resident",
TRUE, "Unknown")</f>
        <v>Unknown</v>
      </c>
      <c r="J125" s="2" t="s">
        <v>148</v>
      </c>
      <c r="K125" s="3">
        <v>4</v>
      </c>
      <c r="L125" s="2" t="s">
        <v>143</v>
      </c>
      <c r="M125" s="13" t="s">
        <v>152</v>
      </c>
      <c r="N125" t="s">
        <v>35</v>
      </c>
      <c r="O125" s="2" t="str">
        <f>_xlfn.XLOOKUP(Table1[[#This Row],[Checking_Acct_Status]],Table3[Checking_Acct_Original],Table3[Category])</f>
        <v>Negative Balance</v>
      </c>
      <c r="P125" s="10" t="s">
        <v>47</v>
      </c>
      <c r="Q125" s="13" t="str">
        <f>_xlfn.XLOOKUP(Table1[[#This Row],[Saving_Acct_Status]],Table5[Saving_Acct_Original],Table5[Category])</f>
        <v>No Savings</v>
      </c>
      <c r="R125" t="s">
        <v>63</v>
      </c>
      <c r="S125" s="2" t="str">
        <f>IF(
      OR(Table1[[#This Row],[Job_Type]] = "high qualif/self emp/mgmt", Table1[[#This Row],[Job_Type]] = "skilled"),
      "Skilled", "Unskilled")</f>
        <v>Skilled</v>
      </c>
      <c r="T125" t="str">
        <f>IF(Table1[[#This Row],[Job_Type]] = "unemp/unskilled non res", "Unemployed", "Employed")</f>
        <v>Employed</v>
      </c>
      <c r="U125" t="s">
        <v>49</v>
      </c>
      <c r="V125" s="14" t="str" cm="1">
        <f t="array" ref="V12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25" t="s">
        <v>103</v>
      </c>
      <c r="X125" s="2" t="str">
        <f>_xlfn.XLOOKUP(Table1[[#This Row],[Loan_Credit_History]],Table4[Credit History],Table4[[ Category]])</f>
        <v>Critical Credit History</v>
      </c>
      <c r="Y125" s="3">
        <v>4</v>
      </c>
      <c r="Z125" s="3">
        <v>2</v>
      </c>
      <c r="AA125" s="5">
        <v>14179</v>
      </c>
      <c r="AB125" t="s">
        <v>151</v>
      </c>
      <c r="AC125" s="2" t="str" cm="1">
        <f t="array" ref="AC125">_xlfn.IFS(Table1[[#This Row],[Others_Parties]] = "No", "None",
Table1[[#This Row],[Others_Parties]] = "co applicant", "Co-applicant",
Table1[[#This Row],[Others_Parties]] = "guarantor", "Guarantor")</f>
        <v>None</v>
      </c>
      <c r="AD125" s="13" t="s">
        <v>145</v>
      </c>
      <c r="AE125" s="2" t="s">
        <v>108</v>
      </c>
      <c r="AF125" s="28" t="str" cm="1">
        <f t="array" ref="AF12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37-48</v>
      </c>
      <c r="AG125" s="21">
        <v>39</v>
      </c>
      <c r="AH125" s="2" t="s">
        <v>154</v>
      </c>
      <c r="AI125"/>
      <c r="AZ125"/>
      <c r="BC125"/>
      <c r="BE125"/>
      <c r="BL125"/>
      <c r="BZ125"/>
      <c r="CA125"/>
      <c r="CF125"/>
      <c r="CG125"/>
      <c r="CH125"/>
      <c r="CI125"/>
      <c r="CK125"/>
      <c r="CN125"/>
    </row>
    <row r="126" spans="1:92" x14ac:dyDescent="0.3">
      <c r="A126" s="4">
        <v>124</v>
      </c>
      <c r="B126" s="11">
        <v>36</v>
      </c>
      <c r="C126" s="2" t="str">
        <f>_xlfn.XLOOKUP(Table1[[#This Row],[Age]],Table7[Start_Age],Table7[Age_Range],,-1)</f>
        <v>29-39</v>
      </c>
      <c r="D126" t="s">
        <v>130</v>
      </c>
      <c r="E126" s="2" t="s">
        <v>129</v>
      </c>
      <c r="F126" s="2" t="s">
        <v>133</v>
      </c>
      <c r="G126" s="3">
        <v>1</v>
      </c>
      <c r="H126" s="13" t="s">
        <v>152</v>
      </c>
      <c r="I126" s="2" t="str" cm="1">
        <f t="array" ref="I126">_xlfn.IFS(Table1[[#This Row],[Job_Type]] = "unskilled resident", "Resident",
Table1[[#This Row],[Job_Type]] = "unemp/unskilled non res", "Non-resident",
TRUE, "Unknown")</f>
        <v>Unknown</v>
      </c>
      <c r="J126" s="2" t="s">
        <v>148</v>
      </c>
      <c r="K126" s="3">
        <v>4</v>
      </c>
      <c r="L126" s="2" t="s">
        <v>143</v>
      </c>
      <c r="M126" s="13" t="s">
        <v>151</v>
      </c>
      <c r="N126" t="s">
        <v>17</v>
      </c>
      <c r="O126" s="2" t="str">
        <f>_xlfn.XLOOKUP(Table1[[#This Row],[Checking_Acct_Status]],Table3[Checking_Acct_Original],Table3[Category])</f>
        <v>No Account</v>
      </c>
      <c r="P126" s="10" t="s">
        <v>37</v>
      </c>
      <c r="Q126" s="13" t="str">
        <f>_xlfn.XLOOKUP(Table1[[#This Row],[Saving_Acct_Status]],Table5[Saving_Acct_Original],Table5[Category])</f>
        <v>High Savings</v>
      </c>
      <c r="R126" t="s">
        <v>41</v>
      </c>
      <c r="S126" s="2" t="str">
        <f>IF(
      OR(Table1[[#This Row],[Job_Type]] = "high qualif/self emp/mgmt", Table1[[#This Row],[Job_Type]] = "skilled"),
      "Skilled", "Unskilled")</f>
        <v>Skilled</v>
      </c>
      <c r="T126" t="str">
        <f>IF(Table1[[#This Row],[Job_Type]] = "unemp/unskilled non res", "Unemployed", "Employed")</f>
        <v>Employed</v>
      </c>
      <c r="U126" t="s">
        <v>38</v>
      </c>
      <c r="V126" s="14" t="str" cm="1">
        <f t="array" ref="V12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26" t="s">
        <v>31</v>
      </c>
      <c r="X126" s="2" t="str">
        <f>_xlfn.XLOOKUP(Table1[[#This Row],[Loan_Credit_History]],Table4[Credit History],Table4[[ Category]])</f>
        <v>Existing Credits Paid</v>
      </c>
      <c r="Y126" s="3">
        <v>4</v>
      </c>
      <c r="Z126" s="3">
        <v>1</v>
      </c>
      <c r="AA126" s="5">
        <v>909</v>
      </c>
      <c r="AB126" t="s">
        <v>151</v>
      </c>
      <c r="AC126" s="2" t="str" cm="1">
        <f t="array" ref="AC126">_xlfn.IFS(Table1[[#This Row],[Others_Parties]] = "No", "None",
Table1[[#This Row],[Others_Parties]] = "co applicant", "Co-applicant",
Table1[[#This Row],[Others_Parties]] = "guarantor", "Guarantor")</f>
        <v>None</v>
      </c>
      <c r="AD126" s="13" t="s">
        <v>145</v>
      </c>
      <c r="AE126" s="2" t="s">
        <v>141</v>
      </c>
      <c r="AF126" s="28" t="str" cm="1">
        <f t="array" ref="AF12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26" s="21">
        <v>36</v>
      </c>
      <c r="AH126" s="2" t="s">
        <v>154</v>
      </c>
      <c r="AI126"/>
      <c r="AZ126"/>
      <c r="BC126"/>
      <c r="BE126"/>
      <c r="BL126"/>
      <c r="BZ126"/>
      <c r="CA126"/>
      <c r="CF126"/>
      <c r="CG126"/>
      <c r="CH126"/>
      <c r="CI126"/>
      <c r="CK126"/>
      <c r="CN126"/>
    </row>
    <row r="127" spans="1:92" x14ac:dyDescent="0.3">
      <c r="A127" s="4">
        <v>125</v>
      </c>
      <c r="B127" s="11">
        <v>37</v>
      </c>
      <c r="C127" s="2" t="str">
        <f>_xlfn.XLOOKUP(Table1[[#This Row],[Age]],Table7[Start_Age],Table7[Age_Range],,-1)</f>
        <v>29-39</v>
      </c>
      <c r="D127" t="s">
        <v>130</v>
      </c>
      <c r="E127" s="2" t="s">
        <v>129</v>
      </c>
      <c r="F127" s="2" t="s">
        <v>133</v>
      </c>
      <c r="G127" s="3">
        <v>1</v>
      </c>
      <c r="H127" s="13" t="s">
        <v>152</v>
      </c>
      <c r="I127" s="2" t="str" cm="1">
        <f t="array" ref="I127">_xlfn.IFS(Table1[[#This Row],[Job_Type]] = "unskilled resident", "Resident",
Table1[[#This Row],[Job_Type]] = "unemp/unskilled non res", "Non-resident",
TRUE, "Unknown")</f>
        <v>Unknown</v>
      </c>
      <c r="J127" s="2" t="s">
        <v>150</v>
      </c>
      <c r="K127" s="3">
        <v>4</v>
      </c>
      <c r="L127" s="2" t="s">
        <v>142</v>
      </c>
      <c r="M127" s="13" t="s">
        <v>152</v>
      </c>
      <c r="N127" t="s">
        <v>17</v>
      </c>
      <c r="O127" s="2" t="str">
        <f>_xlfn.XLOOKUP(Table1[[#This Row],[Checking_Acct_Status]],Table3[Checking_Acct_Original],Table3[Category])</f>
        <v>No Account</v>
      </c>
      <c r="P127" s="10" t="s">
        <v>32</v>
      </c>
      <c r="Q127" s="13" t="str">
        <f>_xlfn.XLOOKUP(Table1[[#This Row],[Saving_Acct_Status]],Table5[Saving_Acct_Original],Table5[Category])</f>
        <v>Low Savings</v>
      </c>
      <c r="R127" t="s">
        <v>41</v>
      </c>
      <c r="S127" s="2" t="str">
        <f>IF(
      OR(Table1[[#This Row],[Job_Type]] = "high qualif/self emp/mgmt", Table1[[#This Row],[Job_Type]] = "skilled"),
      "Skilled", "Unskilled")</f>
        <v>Skilled</v>
      </c>
      <c r="T127" t="str">
        <f>IF(Table1[[#This Row],[Job_Type]] = "unemp/unskilled non res", "Unemployed", "Employed")</f>
        <v>Employed</v>
      </c>
      <c r="U127" t="s">
        <v>21</v>
      </c>
      <c r="V127" s="14" t="str" cm="1">
        <f t="array" ref="V12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27" t="s">
        <v>31</v>
      </c>
      <c r="X127" s="2" t="str">
        <f>_xlfn.XLOOKUP(Table1[[#This Row],[Loan_Credit_History]],Table4[Credit History],Table4[[ Category]])</f>
        <v>Existing Credits Paid</v>
      </c>
      <c r="Y127" s="3">
        <v>4</v>
      </c>
      <c r="Z127" s="3">
        <v>1</v>
      </c>
      <c r="AA127" s="5">
        <v>1819</v>
      </c>
      <c r="AB127" t="s">
        <v>151</v>
      </c>
      <c r="AC127" s="2" t="str" cm="1">
        <f t="array" ref="AC127">_xlfn.IFS(Table1[[#This Row],[Others_Parties]] = "No", "None",
Table1[[#This Row],[Others_Parties]] = "co applicant", "Co-applicant",
Table1[[#This Row],[Others_Parties]] = "guarantor", "Guarantor")</f>
        <v>None</v>
      </c>
      <c r="AD127" s="13" t="s">
        <v>147</v>
      </c>
      <c r="AE127" s="2" t="s">
        <v>100</v>
      </c>
      <c r="AF127" s="28" t="str" cm="1">
        <f t="array" ref="AF12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27" s="21">
        <v>36</v>
      </c>
      <c r="AH127" s="2" t="s">
        <v>153</v>
      </c>
      <c r="AI127"/>
      <c r="AZ127"/>
      <c r="BC127"/>
      <c r="BE127"/>
      <c r="BL127"/>
      <c r="BZ127"/>
      <c r="CA127"/>
      <c r="CF127"/>
      <c r="CG127"/>
      <c r="CH127"/>
      <c r="CI127"/>
      <c r="CK127"/>
      <c r="CN127"/>
    </row>
    <row r="128" spans="1:92" x14ac:dyDescent="0.3">
      <c r="A128" s="4">
        <v>126</v>
      </c>
      <c r="B128" s="11">
        <v>34</v>
      </c>
      <c r="C128" s="2" t="str">
        <f>_xlfn.XLOOKUP(Table1[[#This Row],[Age]],Table7[Start_Age],Table7[Age_Range],,-1)</f>
        <v>29-39</v>
      </c>
      <c r="D128" t="s">
        <v>136</v>
      </c>
      <c r="E128" s="2" t="s">
        <v>131</v>
      </c>
      <c r="F128" s="2" t="s">
        <v>137</v>
      </c>
      <c r="G128" s="3">
        <v>1</v>
      </c>
      <c r="H128" s="13" t="s">
        <v>152</v>
      </c>
      <c r="I128" s="2" t="str" cm="1">
        <f t="array" ref="I128">_xlfn.IFS(Table1[[#This Row],[Job_Type]] = "unskilled resident", "Resident",
Table1[[#This Row],[Job_Type]] = "unemp/unskilled non res", "Non-resident",
TRUE, "Unknown")</f>
        <v>Unknown</v>
      </c>
      <c r="J128" s="2" t="s">
        <v>148</v>
      </c>
      <c r="K128" s="3">
        <v>4</v>
      </c>
      <c r="L128" s="2" t="s">
        <v>140</v>
      </c>
      <c r="M128" s="13" t="s">
        <v>152</v>
      </c>
      <c r="N128" t="s">
        <v>35</v>
      </c>
      <c r="O128" s="2" t="str">
        <f>_xlfn.XLOOKUP(Table1[[#This Row],[Checking_Acct_Status]],Table3[Checking_Acct_Original],Table3[Category])</f>
        <v>Negative Balance</v>
      </c>
      <c r="P128" s="10" t="s">
        <v>32</v>
      </c>
      <c r="Q128" s="13" t="str">
        <f>_xlfn.XLOOKUP(Table1[[#This Row],[Saving_Acct_Status]],Table5[Saving_Acct_Original],Table5[Category])</f>
        <v>Low Savings</v>
      </c>
      <c r="R128" t="s">
        <v>41</v>
      </c>
      <c r="S128" s="2" t="str">
        <f>IF(
      OR(Table1[[#This Row],[Job_Type]] = "high qualif/self emp/mgmt", Table1[[#This Row],[Job_Type]] = "skilled"),
      "Skilled", "Unskilled")</f>
        <v>Skilled</v>
      </c>
      <c r="T128" t="str">
        <f>IF(Table1[[#This Row],[Job_Type]] = "unemp/unskilled non res", "Unemployed", "Employed")</f>
        <v>Employed</v>
      </c>
      <c r="U128" t="s">
        <v>45</v>
      </c>
      <c r="V128" s="14" t="str" cm="1">
        <f t="array" ref="V12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28" t="s">
        <v>31</v>
      </c>
      <c r="X128" s="2" t="str">
        <f>_xlfn.XLOOKUP(Table1[[#This Row],[Loan_Credit_History]],Table4[Credit History],Table4[[ Category]])</f>
        <v>Existing Credits Paid</v>
      </c>
      <c r="Y128" s="3">
        <v>4</v>
      </c>
      <c r="Z128" s="3">
        <v>1</v>
      </c>
      <c r="AA128" s="5">
        <v>1842</v>
      </c>
      <c r="AB128" t="s">
        <v>151</v>
      </c>
      <c r="AC128" s="2" t="str" cm="1">
        <f t="array" ref="AC128">_xlfn.IFS(Table1[[#This Row],[Others_Parties]] = "No", "None",
Table1[[#This Row],[Others_Parties]] = "co applicant", "Co-applicant",
Table1[[#This Row],[Others_Parties]] = "guarantor", "Guarantor")</f>
        <v>None</v>
      </c>
      <c r="AD128" s="13" t="s">
        <v>145</v>
      </c>
      <c r="AE128" s="2" t="s">
        <v>141</v>
      </c>
      <c r="AF128" s="28" t="str" cm="1">
        <f t="array" ref="AF12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28" s="21">
        <v>36</v>
      </c>
      <c r="AH128" s="2" t="s">
        <v>153</v>
      </c>
      <c r="AI128"/>
      <c r="AZ128"/>
      <c r="BC128"/>
      <c r="BE128"/>
      <c r="BL128"/>
      <c r="BZ128"/>
      <c r="CA128"/>
      <c r="CF128"/>
      <c r="CG128"/>
      <c r="CH128"/>
      <c r="CI128"/>
      <c r="CK128"/>
      <c r="CN128"/>
    </row>
    <row r="129" spans="1:92" x14ac:dyDescent="0.3">
      <c r="A129" s="4">
        <v>127</v>
      </c>
      <c r="B129" s="11">
        <v>61</v>
      </c>
      <c r="C129" s="2" t="str">
        <f>_xlfn.XLOOKUP(Table1[[#This Row],[Age]],Table7[Start_Age],Table7[Age_Range],,-1)</f>
        <v>59-69</v>
      </c>
      <c r="D129" t="s">
        <v>130</v>
      </c>
      <c r="E129" s="2" t="s">
        <v>129</v>
      </c>
      <c r="F129" s="2" t="s">
        <v>133</v>
      </c>
      <c r="G129" s="3">
        <v>1</v>
      </c>
      <c r="H129" s="13" t="s">
        <v>152</v>
      </c>
      <c r="I129" s="2" t="str" cm="1">
        <f t="array" ref="I129">_xlfn.IFS(Table1[[#This Row],[Job_Type]] = "unskilled resident", "Resident",
Table1[[#This Row],[Job_Type]] = "unemp/unskilled non res", "Non-resident",
TRUE, "Unknown")</f>
        <v>Unknown</v>
      </c>
      <c r="J129" s="2" t="s">
        <v>150</v>
      </c>
      <c r="K129" s="3">
        <v>4</v>
      </c>
      <c r="L129" s="2" t="s">
        <v>142</v>
      </c>
      <c r="M129" s="13" t="s">
        <v>152</v>
      </c>
      <c r="N129" t="s">
        <v>30</v>
      </c>
      <c r="O129" s="2" t="str">
        <f>_xlfn.XLOOKUP(Table1[[#This Row],[Checking_Acct_Status]],Table3[Checking_Acct_Original],Table3[Category])</f>
        <v>Low Balance</v>
      </c>
      <c r="P129" s="10" t="s">
        <v>32</v>
      </c>
      <c r="Q129" s="13" t="str">
        <f>_xlfn.XLOOKUP(Table1[[#This Row],[Saving_Acct_Status]],Table5[Saving_Acct_Original],Table5[Category])</f>
        <v>Low Savings</v>
      </c>
      <c r="R129" t="s">
        <v>63</v>
      </c>
      <c r="S129" s="2" t="str">
        <f>IF(
      OR(Table1[[#This Row],[Job_Type]] = "high qualif/self emp/mgmt", Table1[[#This Row],[Job_Type]] = "skilled"),
      "Skilled", "Unskilled")</f>
        <v>Skilled</v>
      </c>
      <c r="T129" t="str">
        <f>IF(Table1[[#This Row],[Job_Type]] = "unemp/unskilled non res", "Unemployed", "Employed")</f>
        <v>Employed</v>
      </c>
      <c r="U129" t="s">
        <v>38</v>
      </c>
      <c r="V129" s="14" t="str" cm="1">
        <f t="array" ref="V12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29" t="s">
        <v>52</v>
      </c>
      <c r="X129" s="2" t="str">
        <f>_xlfn.XLOOKUP(Table1[[#This Row],[Loan_Credit_History]],Table4[Credit History],Table4[[ Category]])</f>
        <v>No Credit History</v>
      </c>
      <c r="Y129" s="3">
        <v>4</v>
      </c>
      <c r="Z129" s="3">
        <v>1</v>
      </c>
      <c r="AA129" s="5">
        <v>1953</v>
      </c>
      <c r="AB129" t="s">
        <v>151</v>
      </c>
      <c r="AC129" s="2" t="str" cm="1">
        <f t="array" ref="AC129">_xlfn.IFS(Table1[[#This Row],[Others_Parties]] = "No", "None",
Table1[[#This Row],[Others_Parties]] = "co applicant", "Co-applicant",
Table1[[#This Row],[Others_Parties]] = "guarantor", "Guarantor")</f>
        <v>None</v>
      </c>
      <c r="AD129" s="13" t="s">
        <v>145</v>
      </c>
      <c r="AE129" s="2" t="s">
        <v>105</v>
      </c>
      <c r="AF129" s="28" t="str" cm="1">
        <f t="array" ref="AF12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29" s="21">
        <v>36</v>
      </c>
      <c r="AH129" s="2" t="s">
        <v>153</v>
      </c>
      <c r="AI129"/>
      <c r="AZ129"/>
      <c r="BC129"/>
      <c r="BE129"/>
      <c r="BL129"/>
      <c r="BZ129"/>
      <c r="CA129"/>
      <c r="CF129"/>
      <c r="CG129"/>
      <c r="CH129"/>
      <c r="CI129"/>
      <c r="CK129"/>
      <c r="CN129"/>
    </row>
    <row r="130" spans="1:92" x14ac:dyDescent="0.3">
      <c r="A130" s="4">
        <v>128</v>
      </c>
      <c r="B130" s="11">
        <v>40</v>
      </c>
      <c r="C130" s="2" t="str">
        <f>_xlfn.XLOOKUP(Table1[[#This Row],[Age]],Table7[Start_Age],Table7[Age_Range],,-1)</f>
        <v>39-49</v>
      </c>
      <c r="D130" t="s">
        <v>130</v>
      </c>
      <c r="E130" s="2" t="s">
        <v>129</v>
      </c>
      <c r="F130" s="2" t="s">
        <v>133</v>
      </c>
      <c r="G130" s="3">
        <v>1</v>
      </c>
      <c r="H130" s="13" t="s">
        <v>152</v>
      </c>
      <c r="I130" s="2" t="str" cm="1">
        <f t="array" ref="I130">_xlfn.IFS(Table1[[#This Row],[Job_Type]] = "unskilled resident", "Resident",
Table1[[#This Row],[Job_Type]] = "unemp/unskilled non res", "Non-resident",
TRUE, "Unknown")</f>
        <v>Unknown</v>
      </c>
      <c r="J130" s="2" t="s">
        <v>148</v>
      </c>
      <c r="K130" s="3">
        <v>4</v>
      </c>
      <c r="L130" s="2" t="s">
        <v>142</v>
      </c>
      <c r="M130" s="13" t="s">
        <v>152</v>
      </c>
      <c r="N130" t="s">
        <v>35</v>
      </c>
      <c r="O130" s="2" t="str">
        <f>_xlfn.XLOOKUP(Table1[[#This Row],[Checking_Acct_Status]],Table3[Checking_Acct_Original],Table3[Category])</f>
        <v>Negative Balance</v>
      </c>
      <c r="P130" s="10" t="s">
        <v>47</v>
      </c>
      <c r="Q130" s="13" t="str">
        <f>_xlfn.XLOOKUP(Table1[[#This Row],[Saving_Acct_Status]],Table5[Saving_Acct_Original],Table5[Category])</f>
        <v>No Savings</v>
      </c>
      <c r="R130" t="s">
        <v>63</v>
      </c>
      <c r="S130" s="2" t="str">
        <f>IF(
      OR(Table1[[#This Row],[Job_Type]] = "high qualif/self emp/mgmt", Table1[[#This Row],[Job_Type]] = "skilled"),
      "Skilled", "Unskilled")</f>
        <v>Skilled</v>
      </c>
      <c r="T130" t="str">
        <f>IF(Table1[[#This Row],[Job_Type]] = "unemp/unskilled non res", "Unemployed", "Employed")</f>
        <v>Employed</v>
      </c>
      <c r="U130" t="s">
        <v>38</v>
      </c>
      <c r="V130" s="14" t="str" cm="1">
        <f t="array" ref="V13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30" t="s">
        <v>31</v>
      </c>
      <c r="X130" s="2" t="str">
        <f>_xlfn.XLOOKUP(Table1[[#This Row],[Loan_Credit_History]],Table4[Credit History],Table4[[ Category]])</f>
        <v>Existing Credits Paid</v>
      </c>
      <c r="Y130" s="3">
        <v>4</v>
      </c>
      <c r="Z130" s="3">
        <v>1</v>
      </c>
      <c r="AA130" s="5">
        <v>1977</v>
      </c>
      <c r="AB130" t="s">
        <v>151</v>
      </c>
      <c r="AC130" s="2" t="str" cm="1">
        <f t="array" ref="AC130">_xlfn.IFS(Table1[[#This Row],[Others_Parties]] = "No", "None",
Table1[[#This Row],[Others_Parties]] = "co applicant", "Co-applicant",
Table1[[#This Row],[Others_Parties]] = "guarantor", "Guarantor")</f>
        <v>None</v>
      </c>
      <c r="AD130" s="13" t="s">
        <v>145</v>
      </c>
      <c r="AE130" s="2" t="s">
        <v>100</v>
      </c>
      <c r="AF130" s="28" t="str" cm="1">
        <f t="array" ref="AF13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30" s="21">
        <v>36</v>
      </c>
      <c r="AH130" s="2" t="s">
        <v>153</v>
      </c>
      <c r="AI130"/>
      <c r="AZ130"/>
      <c r="BC130"/>
      <c r="BE130"/>
      <c r="BL130"/>
      <c r="BZ130"/>
      <c r="CA130"/>
      <c r="CF130"/>
      <c r="CG130"/>
      <c r="CH130"/>
      <c r="CI130"/>
      <c r="CK130"/>
      <c r="CN130"/>
    </row>
    <row r="131" spans="1:92" x14ac:dyDescent="0.3">
      <c r="A131" s="4">
        <v>129</v>
      </c>
      <c r="B131" s="11">
        <v>24</v>
      </c>
      <c r="C131" s="2" t="str">
        <f>_xlfn.XLOOKUP(Table1[[#This Row],[Age]],Table7[Start_Age],Table7[Age_Range],,-1)</f>
        <v>19-29</v>
      </c>
      <c r="D131" t="s">
        <v>130</v>
      </c>
      <c r="E131" s="2" t="s">
        <v>129</v>
      </c>
      <c r="F131" s="2" t="s">
        <v>133</v>
      </c>
      <c r="G131" s="3">
        <v>1</v>
      </c>
      <c r="H131" s="13" t="s">
        <v>152</v>
      </c>
      <c r="I131" s="2" t="str" cm="1">
        <f t="array" ref="I131">_xlfn.IFS(Table1[[#This Row],[Job_Type]] = "unskilled resident", "Resident",
Table1[[#This Row],[Job_Type]] = "unemp/unskilled non res", "Non-resident",
TRUE, "Unknown")</f>
        <v>Unknown</v>
      </c>
      <c r="J131" s="2" t="s">
        <v>148</v>
      </c>
      <c r="K131" s="3">
        <v>1</v>
      </c>
      <c r="L131" s="2" t="s">
        <v>140</v>
      </c>
      <c r="M131" s="13" t="s">
        <v>152</v>
      </c>
      <c r="N131" t="s">
        <v>35</v>
      </c>
      <c r="O131" s="2" t="str">
        <f>_xlfn.XLOOKUP(Table1[[#This Row],[Checking_Acct_Status]],Table3[Checking_Acct_Original],Table3[Category])</f>
        <v>Negative Balance</v>
      </c>
      <c r="P131" s="10" t="s">
        <v>32</v>
      </c>
      <c r="Q131" s="13" t="str">
        <f>_xlfn.XLOOKUP(Table1[[#This Row],[Saving_Acct_Status]],Table5[Saving_Acct_Original],Table5[Category])</f>
        <v>Low Savings</v>
      </c>
      <c r="R131" t="s">
        <v>41</v>
      </c>
      <c r="S131" s="2" t="str">
        <f>IF(
      OR(Table1[[#This Row],[Job_Type]] = "high qualif/self emp/mgmt", Table1[[#This Row],[Job_Type]] = "skilled"),
      "Skilled", "Unskilled")</f>
        <v>Skilled</v>
      </c>
      <c r="T131" t="str">
        <f>IF(Table1[[#This Row],[Job_Type]] = "unemp/unskilled non res", "Unemployed", "Employed")</f>
        <v>Employed</v>
      </c>
      <c r="U131" t="s">
        <v>49</v>
      </c>
      <c r="V131" s="14" t="str" cm="1">
        <f t="array" ref="V13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31" t="s">
        <v>59</v>
      </c>
      <c r="X131" s="2" t="str">
        <f>_xlfn.XLOOKUP(Table1[[#This Row],[Loan_Credit_History]],Table4[Credit History],Table4[[ Category]])</f>
        <v>Previously Delayed</v>
      </c>
      <c r="Y131" s="3">
        <v>2</v>
      </c>
      <c r="Z131" s="3">
        <v>2</v>
      </c>
      <c r="AA131" s="5">
        <v>2145</v>
      </c>
      <c r="AB131" t="s">
        <v>151</v>
      </c>
      <c r="AC131" s="2" t="str" cm="1">
        <f t="array" ref="AC131">_xlfn.IFS(Table1[[#This Row],[Others_Parties]] = "No", "None",
Table1[[#This Row],[Others_Parties]] = "co applicant", "Co-applicant",
Table1[[#This Row],[Others_Parties]] = "guarantor", "Guarantor")</f>
        <v>None</v>
      </c>
      <c r="AD131" s="13" t="s">
        <v>145</v>
      </c>
      <c r="AE131" s="2" t="s">
        <v>105</v>
      </c>
      <c r="AF131" s="28" t="str" cm="1">
        <f t="array" ref="AF13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31" s="21">
        <v>36</v>
      </c>
      <c r="AH131" s="2" t="s">
        <v>153</v>
      </c>
      <c r="AI131"/>
      <c r="AZ131"/>
      <c r="BC131"/>
      <c r="BE131"/>
      <c r="BL131"/>
      <c r="BZ131"/>
      <c r="CA131"/>
      <c r="CF131"/>
      <c r="CG131"/>
      <c r="CH131"/>
      <c r="CI131"/>
      <c r="CK131"/>
      <c r="CN131"/>
    </row>
    <row r="132" spans="1:92" x14ac:dyDescent="0.3">
      <c r="A132" s="4">
        <v>130</v>
      </c>
      <c r="B132" s="11">
        <v>57</v>
      </c>
      <c r="C132" s="2" t="str">
        <f>_xlfn.XLOOKUP(Table1[[#This Row],[Age]],Table7[Start_Age],Table7[Age_Range],,-1)</f>
        <v>49-59</v>
      </c>
      <c r="D132" t="s">
        <v>130</v>
      </c>
      <c r="E132" s="2" t="s">
        <v>129</v>
      </c>
      <c r="F132" s="2" t="s">
        <v>133</v>
      </c>
      <c r="G132" s="3">
        <v>1</v>
      </c>
      <c r="H132" s="13" t="s">
        <v>152</v>
      </c>
      <c r="I132" s="2" t="str" cm="1">
        <f t="array" ref="I132">_xlfn.IFS(Table1[[#This Row],[Job_Type]] = "unskilled resident", "Resident",
Table1[[#This Row],[Job_Type]] = "unemp/unskilled non res", "Non-resident",
TRUE, "Unknown")</f>
        <v>Unknown</v>
      </c>
      <c r="J132" s="2" t="s">
        <v>150</v>
      </c>
      <c r="K132" s="3">
        <v>4</v>
      </c>
      <c r="L132" s="2" t="s">
        <v>142</v>
      </c>
      <c r="M132" s="13" t="s">
        <v>152</v>
      </c>
      <c r="N132" t="s">
        <v>30</v>
      </c>
      <c r="O132" s="2" t="str">
        <f>_xlfn.XLOOKUP(Table1[[#This Row],[Checking_Acct_Status]],Table3[Checking_Acct_Original],Table3[Category])</f>
        <v>Low Balance</v>
      </c>
      <c r="P132" s="10" t="s">
        <v>32</v>
      </c>
      <c r="Q132" s="13" t="str">
        <f>_xlfn.XLOOKUP(Table1[[#This Row],[Saving_Acct_Status]],Table5[Saving_Acct_Original],Table5[Category])</f>
        <v>Low Savings</v>
      </c>
      <c r="R132" t="s">
        <v>41</v>
      </c>
      <c r="S132" s="2" t="str">
        <f>IF(
      OR(Table1[[#This Row],[Job_Type]] = "high qualif/self emp/mgmt", Table1[[#This Row],[Job_Type]] = "skilled"),
      "Skilled", "Unskilled")</f>
        <v>Skilled</v>
      </c>
      <c r="T132" t="str">
        <f>IF(Table1[[#This Row],[Job_Type]] = "unemp/unskilled non res", "Unemployed", "Employed")</f>
        <v>Employed</v>
      </c>
      <c r="U132" t="s">
        <v>38</v>
      </c>
      <c r="V132" s="14" t="str" cm="1">
        <f t="array" ref="V13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32" t="s">
        <v>59</v>
      </c>
      <c r="X132" s="2" t="str">
        <f>_xlfn.XLOOKUP(Table1[[#This Row],[Loan_Credit_History]],Table4[Credit History],Table4[[ Category]])</f>
        <v>Previously Delayed</v>
      </c>
      <c r="Y132" s="3">
        <v>4</v>
      </c>
      <c r="Z132" s="3">
        <v>2</v>
      </c>
      <c r="AA132" s="5">
        <v>2225</v>
      </c>
      <c r="AB132" t="s">
        <v>151</v>
      </c>
      <c r="AC132" s="2" t="str" cm="1">
        <f t="array" ref="AC132">_xlfn.IFS(Table1[[#This Row],[Others_Parties]] = "No", "None",
Table1[[#This Row],[Others_Parties]] = "co applicant", "Co-applicant",
Table1[[#This Row],[Others_Parties]] = "guarantor", "Guarantor")</f>
        <v>None</v>
      </c>
      <c r="AD132" s="13" t="s">
        <v>146</v>
      </c>
      <c r="AE132" s="2" t="s">
        <v>141</v>
      </c>
      <c r="AF132" s="28" t="str" cm="1">
        <f t="array" ref="AF13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32" s="21">
        <v>36</v>
      </c>
      <c r="AH132" s="2" t="s">
        <v>153</v>
      </c>
      <c r="AI132"/>
      <c r="AZ132"/>
      <c r="BC132"/>
      <c r="BE132"/>
      <c r="BL132"/>
      <c r="BZ132"/>
      <c r="CA132"/>
      <c r="CF132"/>
      <c r="CG132"/>
      <c r="CH132"/>
      <c r="CI132"/>
      <c r="CK132"/>
      <c r="CN132"/>
    </row>
    <row r="133" spans="1:92" x14ac:dyDescent="0.3">
      <c r="A133" s="4">
        <v>131</v>
      </c>
      <c r="B133" s="11">
        <v>32</v>
      </c>
      <c r="C133" s="2" t="str">
        <f>_xlfn.XLOOKUP(Table1[[#This Row],[Age]],Table7[Start_Age],Table7[Age_Range],,-1)</f>
        <v>29-39</v>
      </c>
      <c r="D133" t="s">
        <v>130</v>
      </c>
      <c r="E133" s="2" t="s">
        <v>129</v>
      </c>
      <c r="F133" s="2" t="s">
        <v>133</v>
      </c>
      <c r="G133" s="3">
        <v>2</v>
      </c>
      <c r="H133" s="13" t="s">
        <v>152</v>
      </c>
      <c r="I133" s="2" t="str" cm="1">
        <f t="array" ref="I133">_xlfn.IFS(Table1[[#This Row],[Job_Type]] = "unskilled resident", "Resident",
Table1[[#This Row],[Job_Type]] = "unemp/unskilled non res", "Non-resident",
TRUE, "Unknown")</f>
        <v>Unknown</v>
      </c>
      <c r="J133" s="2" t="s">
        <v>148</v>
      </c>
      <c r="K133" s="3">
        <v>1</v>
      </c>
      <c r="L133" s="2" t="s">
        <v>140</v>
      </c>
      <c r="M133" s="13" t="s">
        <v>151</v>
      </c>
      <c r="N133" t="s">
        <v>30</v>
      </c>
      <c r="O133" s="2" t="str">
        <f>_xlfn.XLOOKUP(Table1[[#This Row],[Checking_Acct_Status]],Table3[Checking_Acct_Original],Table3[Category])</f>
        <v>Low Balance</v>
      </c>
      <c r="P133" s="10" t="s">
        <v>32</v>
      </c>
      <c r="Q133" s="13" t="str">
        <f>_xlfn.XLOOKUP(Table1[[#This Row],[Saving_Acct_Status]],Table5[Saving_Acct_Original],Table5[Category])</f>
        <v>Low Savings</v>
      </c>
      <c r="R133" t="s">
        <v>41</v>
      </c>
      <c r="S133" s="2" t="str">
        <f>IF(
      OR(Table1[[#This Row],[Job_Type]] = "high qualif/self emp/mgmt", Table1[[#This Row],[Job_Type]] = "skilled"),
      "Skilled", "Unskilled")</f>
        <v>Skilled</v>
      </c>
      <c r="T133" t="str">
        <f>IF(Table1[[#This Row],[Job_Type]] = "unemp/unskilled non res", "Unemployed", "Employed")</f>
        <v>Employed</v>
      </c>
      <c r="U133" t="s">
        <v>49</v>
      </c>
      <c r="V133" s="14" t="str" cm="1">
        <f t="array" ref="V13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33" t="s">
        <v>31</v>
      </c>
      <c r="X133" s="2" t="str">
        <f>_xlfn.XLOOKUP(Table1[[#This Row],[Loan_Credit_History]],Table4[Credit History],Table4[[ Category]])</f>
        <v>Existing Credits Paid</v>
      </c>
      <c r="Y133" s="3">
        <v>3</v>
      </c>
      <c r="Z133" s="3">
        <v>2</v>
      </c>
      <c r="AA133" s="5">
        <v>2273</v>
      </c>
      <c r="AB133" t="s">
        <v>151</v>
      </c>
      <c r="AC133" s="2" t="str" cm="1">
        <f t="array" ref="AC133">_xlfn.IFS(Table1[[#This Row],[Others_Parties]] = "No", "None",
Table1[[#This Row],[Others_Parties]] = "co applicant", "Co-applicant",
Table1[[#This Row],[Others_Parties]] = "guarantor", "Guarantor")</f>
        <v>None</v>
      </c>
      <c r="AD133" s="13" t="s">
        <v>145</v>
      </c>
      <c r="AE133" s="2" t="s">
        <v>100</v>
      </c>
      <c r="AF133" s="28" t="str" cm="1">
        <f t="array" ref="AF13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33" s="21">
        <v>36</v>
      </c>
      <c r="AH133" s="2" t="s">
        <v>154</v>
      </c>
      <c r="AI133"/>
      <c r="AZ133"/>
      <c r="BC133"/>
      <c r="BE133"/>
      <c r="BL133"/>
      <c r="BZ133"/>
      <c r="CA133"/>
      <c r="CF133"/>
      <c r="CG133"/>
      <c r="CH133"/>
      <c r="CI133"/>
      <c r="CK133"/>
      <c r="CN133"/>
    </row>
    <row r="134" spans="1:92" x14ac:dyDescent="0.3">
      <c r="A134" s="4">
        <v>132</v>
      </c>
      <c r="B134" s="11">
        <v>39</v>
      </c>
      <c r="C134" s="2" t="str">
        <f>_xlfn.XLOOKUP(Table1[[#This Row],[Age]],Table7[Start_Age],Table7[Age_Range],,-1)</f>
        <v>39-49</v>
      </c>
      <c r="D134" t="s">
        <v>130</v>
      </c>
      <c r="E134" s="2" t="s">
        <v>129</v>
      </c>
      <c r="F134" s="2" t="s">
        <v>133</v>
      </c>
      <c r="G134" s="3">
        <v>1</v>
      </c>
      <c r="H134" s="13" t="s">
        <v>152</v>
      </c>
      <c r="I134" s="2" t="str" cm="1">
        <f t="array" ref="I134">_xlfn.IFS(Table1[[#This Row],[Job_Type]] = "unskilled resident", "Resident",
Table1[[#This Row],[Job_Type]] = "unemp/unskilled non res", "Non-resident",
TRUE, "Unknown")</f>
        <v>Unknown</v>
      </c>
      <c r="J134" s="2" t="s">
        <v>148</v>
      </c>
      <c r="K134" s="3">
        <v>4</v>
      </c>
      <c r="L134" s="2" t="s">
        <v>140</v>
      </c>
      <c r="M134" s="13" t="s">
        <v>151</v>
      </c>
      <c r="N134" t="s">
        <v>17</v>
      </c>
      <c r="O134" s="2" t="str">
        <f>_xlfn.XLOOKUP(Table1[[#This Row],[Checking_Acct_Status]],Table3[Checking_Acct_Original],Table3[Category])</f>
        <v>No Account</v>
      </c>
      <c r="P134" s="10" t="s">
        <v>37</v>
      </c>
      <c r="Q134" s="13" t="str">
        <f>_xlfn.XLOOKUP(Table1[[#This Row],[Saving_Acct_Status]],Table5[Saving_Acct_Original],Table5[Category])</f>
        <v>High Savings</v>
      </c>
      <c r="R134" t="s">
        <v>41</v>
      </c>
      <c r="S134" s="2" t="str">
        <f>IF(
      OR(Table1[[#This Row],[Job_Type]] = "high qualif/self emp/mgmt", Table1[[#This Row],[Job_Type]] = "skilled"),
      "Skilled", "Unskilled")</f>
        <v>Skilled</v>
      </c>
      <c r="T134" t="str">
        <f>IF(Table1[[#This Row],[Job_Type]] = "unemp/unskilled non res", "Unemployed", "Employed")</f>
        <v>Employed</v>
      </c>
      <c r="U134" t="s">
        <v>38</v>
      </c>
      <c r="V134" s="14" t="str" cm="1">
        <f t="array" ref="V13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34" t="s">
        <v>31</v>
      </c>
      <c r="X134" s="2" t="str">
        <f>_xlfn.XLOOKUP(Table1[[#This Row],[Loan_Credit_History]],Table4[Credit History],Table4[[ Category]])</f>
        <v>Existing Credits Paid</v>
      </c>
      <c r="Y134" s="3">
        <v>4</v>
      </c>
      <c r="Z134" s="3">
        <v>1</v>
      </c>
      <c r="AA134" s="5">
        <v>2299</v>
      </c>
      <c r="AB134" t="s">
        <v>151</v>
      </c>
      <c r="AC134" s="2" t="str" cm="1">
        <f t="array" ref="AC134">_xlfn.IFS(Table1[[#This Row],[Others_Parties]] = "No", "None",
Table1[[#This Row],[Others_Parties]] = "co applicant", "Co-applicant",
Table1[[#This Row],[Others_Parties]] = "guarantor", "Guarantor")</f>
        <v>None</v>
      </c>
      <c r="AD134" s="13" t="s">
        <v>145</v>
      </c>
      <c r="AE134" s="2" t="s">
        <v>111</v>
      </c>
      <c r="AF134" s="28" t="str" cm="1">
        <f t="array" ref="AF13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34" s="21">
        <v>36</v>
      </c>
      <c r="AH134" s="2" t="s">
        <v>154</v>
      </c>
      <c r="AI134"/>
      <c r="AZ134"/>
      <c r="BC134"/>
      <c r="BE134"/>
      <c r="BL134"/>
      <c r="BZ134"/>
      <c r="CA134"/>
      <c r="CF134"/>
      <c r="CG134"/>
      <c r="CH134"/>
      <c r="CI134"/>
      <c r="CK134"/>
      <c r="CN134"/>
    </row>
    <row r="135" spans="1:92" x14ac:dyDescent="0.3">
      <c r="A135" s="4">
        <v>133</v>
      </c>
      <c r="B135" s="11">
        <v>31</v>
      </c>
      <c r="C135" s="2" t="str">
        <f>_xlfn.XLOOKUP(Table1[[#This Row],[Age]],Table7[Start_Age],Table7[Age_Range],,-1)</f>
        <v>29-39</v>
      </c>
      <c r="D135" t="s">
        <v>138</v>
      </c>
      <c r="E135" s="2" t="s">
        <v>129</v>
      </c>
      <c r="F135" s="2" t="s">
        <v>178</v>
      </c>
      <c r="G135" s="3">
        <v>1</v>
      </c>
      <c r="H135" s="13" t="s">
        <v>152</v>
      </c>
      <c r="I135" s="2" t="str" cm="1">
        <f t="array" ref="I135">_xlfn.IFS(Table1[[#This Row],[Job_Type]] = "unskilled resident", "Resident",
Table1[[#This Row],[Job_Type]] = "unemp/unskilled non res", "Non-resident",
TRUE, "Unknown")</f>
        <v>Unknown</v>
      </c>
      <c r="J135" s="2" t="s">
        <v>149</v>
      </c>
      <c r="K135" s="3">
        <v>4</v>
      </c>
      <c r="L135" s="2" t="s">
        <v>140</v>
      </c>
      <c r="M135" s="13" t="s">
        <v>151</v>
      </c>
      <c r="N135" t="s">
        <v>35</v>
      </c>
      <c r="O135" s="2" t="str">
        <f>_xlfn.XLOOKUP(Table1[[#This Row],[Checking_Acct_Status]],Table3[Checking_Acct_Original],Table3[Category])</f>
        <v>Negative Balance</v>
      </c>
      <c r="P135" s="10" t="s">
        <v>32</v>
      </c>
      <c r="Q135" s="13" t="str">
        <f>_xlfn.XLOOKUP(Table1[[#This Row],[Saving_Acct_Status]],Table5[Saving_Acct_Original],Table5[Category])</f>
        <v>Low Savings</v>
      </c>
      <c r="R135" t="s">
        <v>41</v>
      </c>
      <c r="S135" s="2" t="str">
        <f>IF(
      OR(Table1[[#This Row],[Job_Type]] = "high qualif/self emp/mgmt", Table1[[#This Row],[Job_Type]] = "skilled"),
      "Skilled", "Unskilled")</f>
        <v>Skilled</v>
      </c>
      <c r="T135" t="str">
        <f>IF(Table1[[#This Row],[Job_Type]] = "unemp/unskilled non res", "Unemployed", "Employed")</f>
        <v>Employed</v>
      </c>
      <c r="U135" t="s">
        <v>21</v>
      </c>
      <c r="V135" s="14" t="str" cm="1">
        <f t="array" ref="V13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35" t="s">
        <v>31</v>
      </c>
      <c r="X135" s="2" t="str">
        <f>_xlfn.XLOOKUP(Table1[[#This Row],[Loan_Credit_History]],Table4[Credit History],Table4[[ Category]])</f>
        <v>Existing Credits Paid</v>
      </c>
      <c r="Y135" s="3">
        <v>4</v>
      </c>
      <c r="Z135" s="3">
        <v>1</v>
      </c>
      <c r="AA135" s="5">
        <v>2302</v>
      </c>
      <c r="AB135" t="s">
        <v>151</v>
      </c>
      <c r="AC135" s="2" t="str" cm="1">
        <f t="array" ref="AC135">_xlfn.IFS(Table1[[#This Row],[Others_Parties]] = "No", "None",
Table1[[#This Row],[Others_Parties]] = "co applicant", "Co-applicant",
Table1[[#This Row],[Others_Parties]] = "guarantor", "Guarantor")</f>
        <v>None</v>
      </c>
      <c r="AD135" s="13" t="s">
        <v>145</v>
      </c>
      <c r="AE135" s="2" t="s">
        <v>111</v>
      </c>
      <c r="AF135" s="28" t="str" cm="1">
        <f t="array" ref="AF13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35" s="21">
        <v>36</v>
      </c>
      <c r="AH135" s="2" t="s">
        <v>153</v>
      </c>
      <c r="AI135"/>
      <c r="AZ135"/>
      <c r="BC135"/>
      <c r="BE135"/>
      <c r="BL135"/>
      <c r="BZ135"/>
      <c r="CA135"/>
      <c r="CF135"/>
      <c r="CG135"/>
      <c r="CH135"/>
      <c r="CI135"/>
      <c r="CK135"/>
      <c r="CN135"/>
    </row>
    <row r="136" spans="1:92" x14ac:dyDescent="0.3">
      <c r="A136" s="4">
        <v>134</v>
      </c>
      <c r="B136" s="11">
        <v>24</v>
      </c>
      <c r="C136" s="2" t="str">
        <f>_xlfn.XLOOKUP(Table1[[#This Row],[Age]],Table7[Start_Age],Table7[Age_Range],,-1)</f>
        <v>19-29</v>
      </c>
      <c r="D136" t="s">
        <v>130</v>
      </c>
      <c r="E136" s="2" t="s">
        <v>129</v>
      </c>
      <c r="F136" s="2" t="s">
        <v>133</v>
      </c>
      <c r="G136" s="3">
        <v>1</v>
      </c>
      <c r="H136" s="13" t="s">
        <v>152</v>
      </c>
      <c r="I136" s="2" t="str" cm="1">
        <f t="array" ref="I136">_xlfn.IFS(Table1[[#This Row],[Job_Type]] = "unskilled resident", "Resident",
Table1[[#This Row],[Job_Type]] = "unemp/unskilled non res", "Non-resident",
TRUE, "Unknown")</f>
        <v>Unknown</v>
      </c>
      <c r="J136" s="2" t="s">
        <v>149</v>
      </c>
      <c r="K136" s="3">
        <v>4</v>
      </c>
      <c r="L136" s="2" t="s">
        <v>140</v>
      </c>
      <c r="M136" s="13" t="s">
        <v>151</v>
      </c>
      <c r="N136" t="s">
        <v>30</v>
      </c>
      <c r="O136" s="2" t="str">
        <f>_xlfn.XLOOKUP(Table1[[#This Row],[Checking_Acct_Status]],Table3[Checking_Acct_Original],Table3[Category])</f>
        <v>Low Balance</v>
      </c>
      <c r="P136" s="10" t="s">
        <v>32</v>
      </c>
      <c r="Q136" s="13" t="str">
        <f>_xlfn.XLOOKUP(Table1[[#This Row],[Saving_Acct_Status]],Table5[Saving_Acct_Original],Table5[Category])</f>
        <v>Low Savings</v>
      </c>
      <c r="R136" t="s">
        <v>41</v>
      </c>
      <c r="S136" s="2" t="str">
        <f>IF(
      OR(Table1[[#This Row],[Job_Type]] = "high qualif/self emp/mgmt", Table1[[#This Row],[Job_Type]] = "skilled"),
      "Skilled", "Unskilled")</f>
        <v>Skilled</v>
      </c>
      <c r="T136" t="str">
        <f>IF(Table1[[#This Row],[Job_Type]] = "unemp/unskilled non res", "Unemployed", "Employed")</f>
        <v>Employed</v>
      </c>
      <c r="U136" t="s">
        <v>49</v>
      </c>
      <c r="V136" s="14" t="str" cm="1">
        <f t="array" ref="V13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36" t="s">
        <v>31</v>
      </c>
      <c r="X136" s="2" t="str">
        <f>_xlfn.XLOOKUP(Table1[[#This Row],[Loan_Credit_History]],Table4[Credit History],Table4[[ Category]])</f>
        <v>Existing Credits Paid</v>
      </c>
      <c r="Y136" s="3">
        <v>4</v>
      </c>
      <c r="Z136" s="3">
        <v>1</v>
      </c>
      <c r="AA136" s="5">
        <v>2323</v>
      </c>
      <c r="AB136" t="s">
        <v>151</v>
      </c>
      <c r="AC136" s="2" t="str" cm="1">
        <f t="array" ref="AC136">_xlfn.IFS(Table1[[#This Row],[Others_Parties]] = "No", "None",
Table1[[#This Row],[Others_Parties]] = "co applicant", "Co-applicant",
Table1[[#This Row],[Others_Parties]] = "guarantor", "Guarantor")</f>
        <v>None</v>
      </c>
      <c r="AD136" s="13" t="s">
        <v>145</v>
      </c>
      <c r="AE136" s="2" t="s">
        <v>111</v>
      </c>
      <c r="AF136" s="28" t="str" cm="1">
        <f t="array" ref="AF13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36" s="21">
        <v>36</v>
      </c>
      <c r="AH136" s="2" t="s">
        <v>154</v>
      </c>
      <c r="AI136"/>
      <c r="AZ136"/>
      <c r="BC136"/>
      <c r="BE136"/>
      <c r="BL136"/>
      <c r="BZ136"/>
      <c r="CA136"/>
      <c r="CF136"/>
      <c r="CG136"/>
      <c r="CH136"/>
      <c r="CI136"/>
      <c r="CK136"/>
      <c r="CN136"/>
    </row>
    <row r="137" spans="1:92" x14ac:dyDescent="0.3">
      <c r="A137" s="4">
        <v>135</v>
      </c>
      <c r="B137" s="11">
        <v>36</v>
      </c>
      <c r="C137" s="2" t="str">
        <f>_xlfn.XLOOKUP(Table1[[#This Row],[Age]],Table7[Start_Age],Table7[Age_Range],,-1)</f>
        <v>29-39</v>
      </c>
      <c r="D137" t="s">
        <v>130</v>
      </c>
      <c r="E137" s="2" t="s">
        <v>129</v>
      </c>
      <c r="F137" s="2" t="s">
        <v>133</v>
      </c>
      <c r="G137" s="3">
        <v>1</v>
      </c>
      <c r="H137" s="13" t="s">
        <v>152</v>
      </c>
      <c r="I137" s="2" t="str" cm="1">
        <f t="array" ref="I137">_xlfn.IFS(Table1[[#This Row],[Job_Type]] = "unskilled resident", "Resident",
Table1[[#This Row],[Job_Type]] = "unemp/unskilled non res", "Non-resident",
TRUE, "Unknown")</f>
        <v>Unknown</v>
      </c>
      <c r="J137" s="2" t="s">
        <v>148</v>
      </c>
      <c r="K137" s="3">
        <v>4</v>
      </c>
      <c r="L137" s="2" t="s">
        <v>144</v>
      </c>
      <c r="M137" s="13" t="s">
        <v>151</v>
      </c>
      <c r="N137" t="s">
        <v>30</v>
      </c>
      <c r="O137" s="2" t="str">
        <f>_xlfn.XLOOKUP(Table1[[#This Row],[Checking_Acct_Status]],Table3[Checking_Acct_Original],Table3[Category])</f>
        <v>Low Balance</v>
      </c>
      <c r="P137" s="10" t="s">
        <v>32</v>
      </c>
      <c r="Q137" s="13" t="str">
        <f>_xlfn.XLOOKUP(Table1[[#This Row],[Saving_Acct_Status]],Table5[Saving_Acct_Original],Table5[Category])</f>
        <v>Low Savings</v>
      </c>
      <c r="R137" t="s">
        <v>41</v>
      </c>
      <c r="S137" s="2" t="str">
        <f>IF(
      OR(Table1[[#This Row],[Job_Type]] = "high qualif/self emp/mgmt", Table1[[#This Row],[Job_Type]] = "skilled"),
      "Skilled", "Unskilled")</f>
        <v>Skilled</v>
      </c>
      <c r="T137" t="str">
        <f>IF(Table1[[#This Row],[Job_Type]] = "unemp/unskilled non res", "Unemployed", "Employed")</f>
        <v>Employed</v>
      </c>
      <c r="U137" t="s">
        <v>38</v>
      </c>
      <c r="V137" s="14" t="str" cm="1">
        <f t="array" ref="V13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37" t="s">
        <v>103</v>
      </c>
      <c r="X137" s="2" t="str">
        <f>_xlfn.XLOOKUP(Table1[[#This Row],[Loan_Credit_History]],Table4[Credit History],Table4[[ Category]])</f>
        <v>Critical Credit History</v>
      </c>
      <c r="Y137" s="3">
        <v>4</v>
      </c>
      <c r="Z137" s="3">
        <v>1</v>
      </c>
      <c r="AA137" s="5">
        <v>2337</v>
      </c>
      <c r="AB137" t="s">
        <v>151</v>
      </c>
      <c r="AC137" s="2" t="str" cm="1">
        <f t="array" ref="AC137">_xlfn.IFS(Table1[[#This Row],[Others_Parties]] = "No", "None",
Table1[[#This Row],[Others_Parties]] = "co applicant", "Co-applicant",
Table1[[#This Row],[Others_Parties]] = "guarantor", "Guarantor")</f>
        <v>None</v>
      </c>
      <c r="AD137" s="13" t="s">
        <v>145</v>
      </c>
      <c r="AE137" s="2" t="s">
        <v>111</v>
      </c>
      <c r="AF137" s="28" t="str" cm="1">
        <f t="array" ref="AF13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37" s="21">
        <v>36</v>
      </c>
      <c r="AH137" s="2" t="s">
        <v>154</v>
      </c>
      <c r="AI137"/>
      <c r="AZ137"/>
      <c r="BC137"/>
      <c r="BE137"/>
      <c r="BL137"/>
      <c r="BZ137"/>
      <c r="CA137"/>
      <c r="CF137"/>
      <c r="CG137"/>
      <c r="CH137"/>
      <c r="CI137"/>
      <c r="CK137"/>
      <c r="CN137"/>
    </row>
    <row r="138" spans="1:92" x14ac:dyDescent="0.3">
      <c r="A138" s="4">
        <v>136</v>
      </c>
      <c r="B138" s="11">
        <v>46</v>
      </c>
      <c r="C138" s="2" t="str">
        <f>_xlfn.XLOOKUP(Table1[[#This Row],[Age]],Table7[Start_Age],Table7[Age_Range],,-1)</f>
        <v>39-49</v>
      </c>
      <c r="D138" t="s">
        <v>134</v>
      </c>
      <c r="E138" s="2" t="s">
        <v>129</v>
      </c>
      <c r="F138" s="2" t="s">
        <v>135</v>
      </c>
      <c r="G138" s="3">
        <v>1</v>
      </c>
      <c r="H138" s="13" t="s">
        <v>152</v>
      </c>
      <c r="I138" s="2" t="str" cm="1">
        <f t="array" ref="I138">_xlfn.IFS(Table1[[#This Row],[Job_Type]] = "unskilled resident", "Resident",
Table1[[#This Row],[Job_Type]] = "unemp/unskilled non res", "Non-resident",
TRUE, "Unknown")</f>
        <v>Unknown</v>
      </c>
      <c r="J138" s="2" t="s">
        <v>148</v>
      </c>
      <c r="K138" s="3">
        <v>2</v>
      </c>
      <c r="L138" s="2" t="s">
        <v>143</v>
      </c>
      <c r="M138" s="13" t="s">
        <v>152</v>
      </c>
      <c r="N138" t="s">
        <v>35</v>
      </c>
      <c r="O138" s="2" t="str">
        <f>_xlfn.XLOOKUP(Table1[[#This Row],[Checking_Acct_Status]],Table3[Checking_Acct_Original],Table3[Category])</f>
        <v>Negative Balance</v>
      </c>
      <c r="P138" s="10" t="s">
        <v>32</v>
      </c>
      <c r="Q138" s="13" t="str">
        <f>_xlfn.XLOOKUP(Table1[[#This Row],[Saving_Acct_Status]],Table5[Saving_Acct_Original],Table5[Category])</f>
        <v>Low Savings</v>
      </c>
      <c r="R138" t="s">
        <v>41</v>
      </c>
      <c r="S138" s="2" t="str">
        <f>IF(
      OR(Table1[[#This Row],[Job_Type]] = "high qualif/self emp/mgmt", Table1[[#This Row],[Job_Type]] = "skilled"),
      "Skilled", "Unskilled")</f>
        <v>Skilled</v>
      </c>
      <c r="T138" t="str">
        <f>IF(Table1[[#This Row],[Job_Type]] = "unemp/unskilled non res", "Unemployed", "Employed")</f>
        <v>Employed</v>
      </c>
      <c r="U138" t="s">
        <v>21</v>
      </c>
      <c r="V138" s="14" t="str" cm="1">
        <f t="array" ref="V13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38" t="s">
        <v>103</v>
      </c>
      <c r="X138" s="2" t="str">
        <f>_xlfn.XLOOKUP(Table1[[#This Row],[Loan_Credit_History]],Table4[Credit History],Table4[[ Category]])</f>
        <v>Critical Credit History</v>
      </c>
      <c r="Y138" s="3">
        <v>3</v>
      </c>
      <c r="Z138" s="3">
        <v>2</v>
      </c>
      <c r="AA138" s="5">
        <v>2348</v>
      </c>
      <c r="AB138" t="s">
        <v>151</v>
      </c>
      <c r="AC138" s="2" t="str" cm="1">
        <f t="array" ref="AC138">_xlfn.IFS(Table1[[#This Row],[Others_Parties]] = "No", "None",
Table1[[#This Row],[Others_Parties]] = "co applicant", "Co-applicant",
Table1[[#This Row],[Others_Parties]] = "guarantor", "Guarantor")</f>
        <v>None</v>
      </c>
      <c r="AD138" s="13" t="s">
        <v>145</v>
      </c>
      <c r="AE138" s="2" t="s">
        <v>108</v>
      </c>
      <c r="AF138" s="28" t="str" cm="1">
        <f t="array" ref="AF13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38" s="21">
        <v>36</v>
      </c>
      <c r="AH138" s="2" t="s">
        <v>154</v>
      </c>
      <c r="AI138"/>
      <c r="AZ138"/>
      <c r="BC138"/>
      <c r="BE138"/>
      <c r="BL138"/>
      <c r="BZ138"/>
      <c r="CA138"/>
      <c r="CF138"/>
      <c r="CG138"/>
      <c r="CH138"/>
      <c r="CI138"/>
      <c r="CK138"/>
      <c r="CN138"/>
    </row>
    <row r="139" spans="1:92" x14ac:dyDescent="0.3">
      <c r="A139" s="4">
        <v>137</v>
      </c>
      <c r="B139" s="11">
        <v>33</v>
      </c>
      <c r="C139" s="2" t="str">
        <f>_xlfn.XLOOKUP(Table1[[#This Row],[Age]],Table7[Start_Age],Table7[Age_Range],,-1)</f>
        <v>29-39</v>
      </c>
      <c r="D139" t="s">
        <v>130</v>
      </c>
      <c r="E139" s="2" t="s">
        <v>129</v>
      </c>
      <c r="F139" s="2" t="s">
        <v>133</v>
      </c>
      <c r="G139" s="3">
        <v>1</v>
      </c>
      <c r="H139" s="13" t="s">
        <v>152</v>
      </c>
      <c r="I139" s="2" t="str" cm="1">
        <f t="array" ref="I139">_xlfn.IFS(Table1[[#This Row],[Job_Type]] = "unskilled resident", "Resident",
Table1[[#This Row],[Job_Type]] = "unemp/unskilled non res", "Non-resident",
TRUE, "Unknown")</f>
        <v>Resident</v>
      </c>
      <c r="J139" s="2" t="s">
        <v>149</v>
      </c>
      <c r="K139" s="3">
        <v>1</v>
      </c>
      <c r="L139" s="2" t="s">
        <v>142</v>
      </c>
      <c r="M139" s="13" t="s">
        <v>151</v>
      </c>
      <c r="N139" t="s">
        <v>30</v>
      </c>
      <c r="O139" s="2" t="str">
        <f>_xlfn.XLOOKUP(Table1[[#This Row],[Checking_Acct_Status]],Table3[Checking_Acct_Original],Table3[Category])</f>
        <v>Low Balance</v>
      </c>
      <c r="P139" s="10" t="s">
        <v>32</v>
      </c>
      <c r="Q139" s="13" t="str">
        <f>_xlfn.XLOOKUP(Table1[[#This Row],[Saving_Acct_Status]],Table5[Saving_Acct_Original],Table5[Category])</f>
        <v>Low Savings</v>
      </c>
      <c r="R139" t="s">
        <v>27</v>
      </c>
      <c r="S139" s="2" t="str">
        <f>IF(
      OR(Table1[[#This Row],[Job_Type]] = "high qualif/self emp/mgmt", Table1[[#This Row],[Job_Type]] = "skilled"),
      "Skilled", "Unskilled")</f>
        <v>Unskilled</v>
      </c>
      <c r="T139" t="str">
        <f>IF(Table1[[#This Row],[Job_Type]] = "unemp/unskilled non res", "Unemployed", "Employed")</f>
        <v>Employed</v>
      </c>
      <c r="U139" t="s">
        <v>45</v>
      </c>
      <c r="V139" s="14" t="str" cm="1">
        <f t="array" ref="V13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39" t="s">
        <v>31</v>
      </c>
      <c r="X139" s="2" t="str">
        <f>_xlfn.XLOOKUP(Table1[[#This Row],[Loan_Credit_History]],Table4[Credit History],Table4[[ Category]])</f>
        <v>Existing Credits Paid</v>
      </c>
      <c r="Y139" s="3">
        <v>4</v>
      </c>
      <c r="Z139" s="3">
        <v>1</v>
      </c>
      <c r="AA139" s="5">
        <v>2384</v>
      </c>
      <c r="AB139" t="s">
        <v>151</v>
      </c>
      <c r="AC139" s="2" t="str" cm="1">
        <f t="array" ref="AC139">_xlfn.IFS(Table1[[#This Row],[Others_Parties]] = "No", "None",
Table1[[#This Row],[Others_Parties]] = "co applicant", "Co-applicant",
Table1[[#This Row],[Others_Parties]] = "guarantor", "Guarantor")</f>
        <v>None</v>
      </c>
      <c r="AD139" s="13" t="s">
        <v>145</v>
      </c>
      <c r="AE139" s="2" t="s">
        <v>109</v>
      </c>
      <c r="AF139" s="28" t="str" cm="1">
        <f t="array" ref="AF13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39" s="21">
        <v>36</v>
      </c>
      <c r="AH139" s="2" t="s">
        <v>153</v>
      </c>
      <c r="AI139"/>
      <c r="AZ139"/>
      <c r="BC139"/>
      <c r="BE139"/>
      <c r="BL139"/>
      <c r="BZ139"/>
      <c r="CA139"/>
      <c r="CF139"/>
      <c r="CG139"/>
      <c r="CH139"/>
      <c r="CI139"/>
      <c r="CK139"/>
      <c r="CN139"/>
    </row>
    <row r="140" spans="1:92" x14ac:dyDescent="0.3">
      <c r="A140" s="4">
        <v>138</v>
      </c>
      <c r="B140" s="11">
        <v>25</v>
      </c>
      <c r="C140" s="2" t="str">
        <f>_xlfn.XLOOKUP(Table1[[#This Row],[Age]],Table7[Start_Age],Table7[Age_Range],,-1)</f>
        <v>19-29</v>
      </c>
      <c r="D140" t="s">
        <v>136</v>
      </c>
      <c r="E140" s="2" t="s">
        <v>131</v>
      </c>
      <c r="F140" s="2" t="s">
        <v>137</v>
      </c>
      <c r="G140" s="3">
        <v>1</v>
      </c>
      <c r="H140" s="13" t="s">
        <v>152</v>
      </c>
      <c r="I140" s="2" t="str" cm="1">
        <f t="array" ref="I140">_xlfn.IFS(Table1[[#This Row],[Job_Type]] = "unskilled resident", "Resident",
Table1[[#This Row],[Job_Type]] = "unemp/unskilled non res", "Non-resident",
TRUE, "Unknown")</f>
        <v>Unknown</v>
      </c>
      <c r="J140" s="2" t="s">
        <v>148</v>
      </c>
      <c r="K140" s="3">
        <v>4</v>
      </c>
      <c r="L140" s="2" t="s">
        <v>140</v>
      </c>
      <c r="M140" s="13" t="s">
        <v>151</v>
      </c>
      <c r="N140" t="s">
        <v>17</v>
      </c>
      <c r="O140" s="2" t="str">
        <f>_xlfn.XLOOKUP(Table1[[#This Row],[Checking_Acct_Status]],Table3[Checking_Acct_Original],Table3[Category])</f>
        <v>No Account</v>
      </c>
      <c r="P140" s="10" t="s">
        <v>47</v>
      </c>
      <c r="Q140" s="13" t="str">
        <f>_xlfn.XLOOKUP(Table1[[#This Row],[Saving_Acct_Status]],Table5[Saving_Acct_Original],Table5[Category])</f>
        <v>No Savings</v>
      </c>
      <c r="R140" t="s">
        <v>41</v>
      </c>
      <c r="S140" s="2" t="str">
        <f>IF(
      OR(Table1[[#This Row],[Job_Type]] = "high qualif/self emp/mgmt", Table1[[#This Row],[Job_Type]] = "skilled"),
      "Skilled", "Unskilled")</f>
        <v>Skilled</v>
      </c>
      <c r="T140" t="str">
        <f>IF(Table1[[#This Row],[Job_Type]] = "unemp/unskilled non res", "Unemployed", "Employed")</f>
        <v>Employed</v>
      </c>
      <c r="U140" t="s">
        <v>21</v>
      </c>
      <c r="V140" s="14" t="str" cm="1">
        <f t="array" ref="V14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40" t="s">
        <v>31</v>
      </c>
      <c r="X140" s="2" t="str">
        <f>_xlfn.XLOOKUP(Table1[[#This Row],[Loan_Credit_History]],Table4[Credit History],Table4[[ Category]])</f>
        <v>Existing Credits Paid</v>
      </c>
      <c r="Y140" s="3">
        <v>4</v>
      </c>
      <c r="Z140" s="3">
        <v>1</v>
      </c>
      <c r="AA140" s="5">
        <v>2394</v>
      </c>
      <c r="AB140" t="s">
        <v>151</v>
      </c>
      <c r="AC140" s="2" t="str" cm="1">
        <f t="array" ref="AC140">_xlfn.IFS(Table1[[#This Row],[Others_Parties]] = "No", "None",
Table1[[#This Row],[Others_Parties]] = "co applicant", "Co-applicant",
Table1[[#This Row],[Others_Parties]] = "guarantor", "Guarantor")</f>
        <v>None</v>
      </c>
      <c r="AD140" s="13" t="s">
        <v>145</v>
      </c>
      <c r="AE140" s="2" t="s">
        <v>111</v>
      </c>
      <c r="AF140" s="28" t="str" cm="1">
        <f t="array" ref="AF14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40" s="21">
        <v>36</v>
      </c>
      <c r="AH140" s="2" t="s">
        <v>154</v>
      </c>
      <c r="AI140"/>
      <c r="AZ140"/>
      <c r="BC140"/>
      <c r="BE140"/>
      <c r="BL140"/>
      <c r="BZ140"/>
      <c r="CA140"/>
      <c r="CF140"/>
      <c r="CG140"/>
      <c r="CH140"/>
      <c r="CI140"/>
      <c r="CK140"/>
      <c r="CN140"/>
    </row>
    <row r="141" spans="1:92" x14ac:dyDescent="0.3">
      <c r="A141" s="4">
        <v>139</v>
      </c>
      <c r="B141" s="11">
        <v>27</v>
      </c>
      <c r="C141" s="2" t="str">
        <f>_xlfn.XLOOKUP(Table1[[#This Row],[Age]],Table7[Start_Age],Table7[Age_Range],,-1)</f>
        <v>19-29</v>
      </c>
      <c r="D141" t="s">
        <v>130</v>
      </c>
      <c r="E141" s="2" t="s">
        <v>129</v>
      </c>
      <c r="F141" s="2" t="s">
        <v>133</v>
      </c>
      <c r="G141" s="3">
        <v>1</v>
      </c>
      <c r="H141" s="13" t="s">
        <v>152</v>
      </c>
      <c r="I141" s="2" t="str" cm="1">
        <f t="array" ref="I141">_xlfn.IFS(Table1[[#This Row],[Job_Type]] = "unskilled resident", "Resident",
Table1[[#This Row],[Job_Type]] = "unemp/unskilled non res", "Non-resident",
TRUE, "Unknown")</f>
        <v>Unknown</v>
      </c>
      <c r="J141" s="2" t="s">
        <v>148</v>
      </c>
      <c r="K141" s="3">
        <v>2</v>
      </c>
      <c r="L141" s="2" t="s">
        <v>140</v>
      </c>
      <c r="M141" s="13" t="s">
        <v>151</v>
      </c>
      <c r="N141" t="s">
        <v>17</v>
      </c>
      <c r="O141" s="2" t="str">
        <f>_xlfn.XLOOKUP(Table1[[#This Row],[Checking_Acct_Status]],Table3[Checking_Acct_Original],Table3[Category])</f>
        <v>No Account</v>
      </c>
      <c r="P141" s="10" t="s">
        <v>32</v>
      </c>
      <c r="Q141" s="13" t="str">
        <f>_xlfn.XLOOKUP(Table1[[#This Row],[Saving_Acct_Status]],Table5[Saving_Acct_Original],Table5[Category])</f>
        <v>Low Savings</v>
      </c>
      <c r="R141" t="s">
        <v>41</v>
      </c>
      <c r="S141" s="2" t="str">
        <f>IF(
      OR(Table1[[#This Row],[Job_Type]] = "high qualif/self emp/mgmt", Table1[[#This Row],[Job_Type]] = "skilled"),
      "Skilled", "Unskilled")</f>
        <v>Skilled</v>
      </c>
      <c r="T141" t="str">
        <f>IF(Table1[[#This Row],[Job_Type]] = "unemp/unskilled non res", "Unemployed", "Employed")</f>
        <v>Employed</v>
      </c>
      <c r="U141" t="s">
        <v>21</v>
      </c>
      <c r="V141" s="14" t="str" cm="1">
        <f t="array" ref="V14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41" t="s">
        <v>52</v>
      </c>
      <c r="X141" s="2" t="str">
        <f>_xlfn.XLOOKUP(Table1[[#This Row],[Loan_Credit_History]],Table4[Credit History],Table4[[ Category]])</f>
        <v>No Credit History</v>
      </c>
      <c r="Y141" s="3">
        <v>4</v>
      </c>
      <c r="Z141" s="3">
        <v>2</v>
      </c>
      <c r="AA141" s="5">
        <v>2613</v>
      </c>
      <c r="AB141" t="s">
        <v>151</v>
      </c>
      <c r="AC141" s="2" t="str" cm="1">
        <f t="array" ref="AC141">_xlfn.IFS(Table1[[#This Row],[Others_Parties]] = "No", "None",
Table1[[#This Row],[Others_Parties]] = "co applicant", "Co-applicant",
Table1[[#This Row],[Others_Parties]] = "guarantor", "Guarantor")</f>
        <v>None</v>
      </c>
      <c r="AD141" s="13" t="s">
        <v>145</v>
      </c>
      <c r="AE141" s="2" t="s">
        <v>109</v>
      </c>
      <c r="AF141" s="28" t="str" cm="1">
        <f t="array" ref="AF14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41" s="21">
        <v>36</v>
      </c>
      <c r="AH141" s="2" t="s">
        <v>154</v>
      </c>
      <c r="AI141"/>
      <c r="AZ141"/>
      <c r="BC141"/>
      <c r="BE141"/>
      <c r="BL141"/>
      <c r="BZ141"/>
      <c r="CA141"/>
      <c r="CF141"/>
      <c r="CG141"/>
      <c r="CH141"/>
      <c r="CI141"/>
      <c r="CK141"/>
      <c r="CN141"/>
    </row>
    <row r="142" spans="1:92" x14ac:dyDescent="0.3">
      <c r="A142" s="4">
        <v>140</v>
      </c>
      <c r="B142" s="11">
        <v>50</v>
      </c>
      <c r="C142" s="2" t="str">
        <f>_xlfn.XLOOKUP(Table1[[#This Row],[Age]],Table7[Start_Age],Table7[Age_Range],,-1)</f>
        <v>49-59</v>
      </c>
      <c r="D142" t="s">
        <v>136</v>
      </c>
      <c r="E142" s="2" t="s">
        <v>131</v>
      </c>
      <c r="F142" s="2" t="s">
        <v>137</v>
      </c>
      <c r="G142" s="3">
        <v>1</v>
      </c>
      <c r="H142" s="13" t="s">
        <v>152</v>
      </c>
      <c r="I142" s="2" t="str" cm="1">
        <f t="array" ref="I142">_xlfn.IFS(Table1[[#This Row],[Job_Type]] = "unskilled resident", "Resident",
Table1[[#This Row],[Job_Type]] = "unemp/unskilled non res", "Non-resident",
TRUE, "Unknown")</f>
        <v>Unknown</v>
      </c>
      <c r="J142" s="2" t="s">
        <v>150</v>
      </c>
      <c r="K142" s="3">
        <v>4</v>
      </c>
      <c r="L142" s="2" t="s">
        <v>142</v>
      </c>
      <c r="M142" s="13" t="s">
        <v>151</v>
      </c>
      <c r="N142" t="s">
        <v>30</v>
      </c>
      <c r="O142" s="2" t="str">
        <f>_xlfn.XLOOKUP(Table1[[#This Row],[Checking_Acct_Status]],Table3[Checking_Acct_Original],Table3[Category])</f>
        <v>Low Balance</v>
      </c>
      <c r="P142" s="10" t="s">
        <v>46</v>
      </c>
      <c r="Q142" s="13" t="str">
        <f>_xlfn.XLOOKUP(Table1[[#This Row],[Saving_Acct_Status]],Table5[Saving_Acct_Original],Table5[Category])</f>
        <v>Medium Savings</v>
      </c>
      <c r="R142" t="s">
        <v>41</v>
      </c>
      <c r="S142" s="2" t="str">
        <f>IF(
      OR(Table1[[#This Row],[Job_Type]] = "high qualif/self emp/mgmt", Table1[[#This Row],[Job_Type]] = "skilled"),
      "Skilled", "Unskilled")</f>
        <v>Skilled</v>
      </c>
      <c r="T142" t="str">
        <f>IF(Table1[[#This Row],[Job_Type]] = "unemp/unskilled non res", "Unemployed", "Employed")</f>
        <v>Employed</v>
      </c>
      <c r="U142" t="s">
        <v>21</v>
      </c>
      <c r="V142" s="14" t="str" cm="1">
        <f t="array" ref="V14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42" t="s">
        <v>31</v>
      </c>
      <c r="X142" s="2" t="str">
        <f>_xlfn.XLOOKUP(Table1[[#This Row],[Loan_Credit_History]],Table4[Credit History],Table4[[ Category]])</f>
        <v>Existing Credits Paid</v>
      </c>
      <c r="Y142" s="3">
        <v>4</v>
      </c>
      <c r="Z142" s="3">
        <v>1</v>
      </c>
      <c r="AA142" s="5">
        <v>2671</v>
      </c>
      <c r="AB142" t="s">
        <v>55</v>
      </c>
      <c r="AC142" s="2" t="str" cm="1">
        <f t="array" ref="AC142">_xlfn.IFS(Table1[[#This Row],[Others_Parties]] = "No", "None",
Table1[[#This Row],[Others_Parties]] = "co applicant", "Co-applicant",
Table1[[#This Row],[Others_Parties]] = "guarantor", "Guarantor")</f>
        <v>Co-applicant</v>
      </c>
      <c r="AD142" s="13" t="s">
        <v>145</v>
      </c>
      <c r="AE142" s="2" t="s">
        <v>111</v>
      </c>
      <c r="AF142" s="28" t="str" cm="1">
        <f t="array" ref="AF14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42" s="21">
        <v>36</v>
      </c>
      <c r="AH142" s="2" t="s">
        <v>153</v>
      </c>
      <c r="AI142"/>
      <c r="AZ142"/>
      <c r="BC142"/>
      <c r="BE142"/>
      <c r="BL142"/>
      <c r="BZ142"/>
      <c r="CA142"/>
      <c r="CF142"/>
      <c r="CG142"/>
      <c r="CH142"/>
      <c r="CI142"/>
      <c r="CK142"/>
      <c r="CN142"/>
    </row>
    <row r="143" spans="1:92" x14ac:dyDescent="0.3">
      <c r="A143" s="4">
        <v>141</v>
      </c>
      <c r="B143" s="11">
        <v>41</v>
      </c>
      <c r="C143" s="2" t="str">
        <f>_xlfn.XLOOKUP(Table1[[#This Row],[Age]],Table7[Start_Age],Table7[Age_Range],,-1)</f>
        <v>39-49</v>
      </c>
      <c r="D143" t="s">
        <v>130</v>
      </c>
      <c r="E143" s="2" t="s">
        <v>129</v>
      </c>
      <c r="F143" s="2" t="s">
        <v>133</v>
      </c>
      <c r="G143" s="3">
        <v>2</v>
      </c>
      <c r="H143" s="13" t="s">
        <v>152</v>
      </c>
      <c r="I143" s="2" t="str" cm="1">
        <f t="array" ref="I143">_xlfn.IFS(Table1[[#This Row],[Job_Type]] = "unskilled resident", "Resident",
Table1[[#This Row],[Job_Type]] = "unemp/unskilled non res", "Non-resident",
TRUE, "Unknown")</f>
        <v>Unknown</v>
      </c>
      <c r="J143" s="2" t="s">
        <v>148</v>
      </c>
      <c r="K143" s="3">
        <v>2</v>
      </c>
      <c r="L143" s="2" t="s">
        <v>143</v>
      </c>
      <c r="M143" s="13" t="s">
        <v>151</v>
      </c>
      <c r="N143" t="s">
        <v>35</v>
      </c>
      <c r="O143" s="2" t="str">
        <f>_xlfn.XLOOKUP(Table1[[#This Row],[Checking_Acct_Status]],Table3[Checking_Acct_Original],Table3[Category])</f>
        <v>Negative Balance</v>
      </c>
      <c r="P143" s="10" t="s">
        <v>32</v>
      </c>
      <c r="Q143" s="13" t="str">
        <f>_xlfn.XLOOKUP(Table1[[#This Row],[Saving_Acct_Status]],Table5[Saving_Acct_Original],Table5[Category])</f>
        <v>Low Savings</v>
      </c>
      <c r="R143" t="s">
        <v>41</v>
      </c>
      <c r="S143" s="2" t="str">
        <f>IF(
      OR(Table1[[#This Row],[Job_Type]] = "high qualif/self emp/mgmt", Table1[[#This Row],[Job_Type]] = "skilled"),
      "Skilled", "Unskilled")</f>
        <v>Skilled</v>
      </c>
      <c r="T143" t="str">
        <f>IF(Table1[[#This Row],[Job_Type]] = "unemp/unskilled non res", "Unemployed", "Employed")</f>
        <v>Employed</v>
      </c>
      <c r="U143" t="s">
        <v>38</v>
      </c>
      <c r="V143" s="14" t="str" cm="1">
        <f t="array" ref="V14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43" t="s">
        <v>31</v>
      </c>
      <c r="X143" s="2" t="str">
        <f>_xlfn.XLOOKUP(Table1[[#This Row],[Loan_Credit_History]],Table4[Credit History],Table4[[ Category]])</f>
        <v>Existing Credits Paid</v>
      </c>
      <c r="Y143" s="3">
        <v>2</v>
      </c>
      <c r="Z143" s="3">
        <v>1</v>
      </c>
      <c r="AA143" s="5">
        <v>2712</v>
      </c>
      <c r="AB143" t="s">
        <v>151</v>
      </c>
      <c r="AC143" s="2" t="str" cm="1">
        <f t="array" ref="AC143">_xlfn.IFS(Table1[[#This Row],[Others_Parties]] = "No", "None",
Table1[[#This Row],[Others_Parties]] = "co applicant", "Co-applicant",
Table1[[#This Row],[Others_Parties]] = "guarantor", "Guarantor")</f>
        <v>None</v>
      </c>
      <c r="AD143" s="13" t="s">
        <v>146</v>
      </c>
      <c r="AE143" s="2" t="s">
        <v>108</v>
      </c>
      <c r="AF143" s="28" t="str" cm="1">
        <f t="array" ref="AF14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43" s="21">
        <v>36</v>
      </c>
      <c r="AH143" s="2" t="s">
        <v>153</v>
      </c>
      <c r="AI143"/>
      <c r="AZ143"/>
      <c r="BC143"/>
      <c r="BE143"/>
      <c r="BL143"/>
      <c r="BZ143"/>
      <c r="CA143"/>
      <c r="CF143"/>
      <c r="CG143"/>
      <c r="CH143"/>
      <c r="CI143"/>
      <c r="CK143"/>
      <c r="CN143"/>
    </row>
    <row r="144" spans="1:92" x14ac:dyDescent="0.3">
      <c r="A144" s="4">
        <v>142</v>
      </c>
      <c r="B144" s="11">
        <v>31</v>
      </c>
      <c r="C144" s="2" t="str">
        <f>_xlfn.XLOOKUP(Table1[[#This Row],[Age]],Table7[Start_Age],Table7[Age_Range],,-1)</f>
        <v>29-39</v>
      </c>
      <c r="D144" t="s">
        <v>130</v>
      </c>
      <c r="E144" s="2" t="s">
        <v>129</v>
      </c>
      <c r="F144" s="2" t="s">
        <v>133</v>
      </c>
      <c r="G144" s="3">
        <v>1</v>
      </c>
      <c r="H144" s="13" t="s">
        <v>152</v>
      </c>
      <c r="I144" s="2" t="str" cm="1">
        <f t="array" ref="I144">_xlfn.IFS(Table1[[#This Row],[Job_Type]] = "unskilled resident", "Resident",
Table1[[#This Row],[Job_Type]] = "unemp/unskilled non res", "Non-resident",
TRUE, "Unknown")</f>
        <v>Unknown</v>
      </c>
      <c r="J144" s="2" t="s">
        <v>148</v>
      </c>
      <c r="K144" s="3">
        <v>4</v>
      </c>
      <c r="L144" s="2" t="s">
        <v>140</v>
      </c>
      <c r="M144" s="13" t="s">
        <v>151</v>
      </c>
      <c r="N144" t="s">
        <v>35</v>
      </c>
      <c r="O144" s="2" t="str">
        <f>_xlfn.XLOOKUP(Table1[[#This Row],[Checking_Acct_Status]],Table3[Checking_Acct_Original],Table3[Category])</f>
        <v>Negative Balance</v>
      </c>
      <c r="P144" s="10" t="s">
        <v>32</v>
      </c>
      <c r="Q144" s="13" t="str">
        <f>_xlfn.XLOOKUP(Table1[[#This Row],[Saving_Acct_Status]],Table5[Saving_Acct_Original],Table5[Category])</f>
        <v>Low Savings</v>
      </c>
      <c r="R144" t="s">
        <v>41</v>
      </c>
      <c r="S144" s="2" t="str">
        <f>IF(
      OR(Table1[[#This Row],[Job_Type]] = "high qualif/self emp/mgmt", Table1[[#This Row],[Job_Type]] = "skilled"),
      "Skilled", "Unskilled")</f>
        <v>Skilled</v>
      </c>
      <c r="T144" t="str">
        <f>IF(Table1[[#This Row],[Job_Type]] = "unemp/unskilled non res", "Unemployed", "Employed")</f>
        <v>Employed</v>
      </c>
      <c r="U144" t="s">
        <v>38</v>
      </c>
      <c r="V144" s="14" t="str" cm="1">
        <f t="array" ref="V14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44" t="s">
        <v>42</v>
      </c>
      <c r="X144" s="2" t="str">
        <f>_xlfn.XLOOKUP(Table1[[#This Row],[Loan_Credit_History]],Table4[Credit History],Table4[[ Category]])</f>
        <v>All Paid</v>
      </c>
      <c r="Y144" s="3">
        <v>4</v>
      </c>
      <c r="Z144" s="3">
        <v>1</v>
      </c>
      <c r="AA144" s="5">
        <v>2746</v>
      </c>
      <c r="AB144" t="s">
        <v>151</v>
      </c>
      <c r="AC144" s="2" t="str" cm="1">
        <f t="array" ref="AC144">_xlfn.IFS(Table1[[#This Row],[Others_Parties]] = "No", "None",
Table1[[#This Row],[Others_Parties]] = "co applicant", "Co-applicant",
Table1[[#This Row],[Others_Parties]] = "guarantor", "Guarantor")</f>
        <v>None</v>
      </c>
      <c r="AD144" s="13" t="s">
        <v>146</v>
      </c>
      <c r="AE144" s="2" t="s">
        <v>108</v>
      </c>
      <c r="AF144" s="28" t="str" cm="1">
        <f t="array" ref="AF14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44" s="21">
        <v>36</v>
      </c>
      <c r="AH144" s="2" t="s">
        <v>153</v>
      </c>
      <c r="AI144"/>
      <c r="AZ144"/>
      <c r="BC144"/>
      <c r="BE144"/>
      <c r="BL144"/>
      <c r="BZ144"/>
      <c r="CA144"/>
      <c r="CF144"/>
      <c r="CG144"/>
      <c r="CH144"/>
      <c r="CI144"/>
      <c r="CK144"/>
      <c r="CN144"/>
    </row>
    <row r="145" spans="1:92" x14ac:dyDescent="0.3">
      <c r="A145" s="4">
        <v>143</v>
      </c>
      <c r="B145" s="11">
        <v>27</v>
      </c>
      <c r="C145" s="2" t="str">
        <f>_xlfn.XLOOKUP(Table1[[#This Row],[Age]],Table7[Start_Age],Table7[Age_Range],,-1)</f>
        <v>19-29</v>
      </c>
      <c r="D145" t="s">
        <v>138</v>
      </c>
      <c r="E145" s="2" t="s">
        <v>129</v>
      </c>
      <c r="F145" s="2" t="s">
        <v>178</v>
      </c>
      <c r="G145" s="3">
        <v>1</v>
      </c>
      <c r="H145" s="13" t="s">
        <v>152</v>
      </c>
      <c r="I145" s="2" t="str" cm="1">
        <f t="array" ref="I145">_xlfn.IFS(Table1[[#This Row],[Job_Type]] = "unskilled resident", "Resident",
Table1[[#This Row],[Job_Type]] = "unemp/unskilled non res", "Non-resident",
TRUE, "Unknown")</f>
        <v>Unknown</v>
      </c>
      <c r="J145" s="2" t="s">
        <v>148</v>
      </c>
      <c r="K145" s="3">
        <v>4</v>
      </c>
      <c r="L145" s="2" t="s">
        <v>140</v>
      </c>
      <c r="M145" s="13" t="s">
        <v>151</v>
      </c>
      <c r="N145" t="s">
        <v>30</v>
      </c>
      <c r="O145" s="2" t="str">
        <f>_xlfn.XLOOKUP(Table1[[#This Row],[Checking_Acct_Status]],Table3[Checking_Acct_Original],Table3[Category])</f>
        <v>Low Balance</v>
      </c>
      <c r="P145" s="10" t="s">
        <v>32</v>
      </c>
      <c r="Q145" s="13" t="str">
        <f>_xlfn.XLOOKUP(Table1[[#This Row],[Saving_Acct_Status]],Table5[Saving_Acct_Original],Table5[Category])</f>
        <v>Low Savings</v>
      </c>
      <c r="R145" t="s">
        <v>41</v>
      </c>
      <c r="S145" s="2" t="str">
        <f>IF(
      OR(Table1[[#This Row],[Job_Type]] = "high qualif/self emp/mgmt", Table1[[#This Row],[Job_Type]] = "skilled"),
      "Skilled", "Unskilled")</f>
        <v>Skilled</v>
      </c>
      <c r="T145" t="str">
        <f>IF(Table1[[#This Row],[Job_Type]] = "unemp/unskilled non res", "Unemployed", "Employed")</f>
        <v>Employed</v>
      </c>
      <c r="U145" t="s">
        <v>45</v>
      </c>
      <c r="V145" s="14" t="str" cm="1">
        <f t="array" ref="V14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45" t="s">
        <v>103</v>
      </c>
      <c r="X145" s="2" t="str">
        <f>_xlfn.XLOOKUP(Table1[[#This Row],[Loan_Credit_History]],Table4[Credit History],Table4[[ Category]])</f>
        <v>Critical Credit History</v>
      </c>
      <c r="Y145" s="3">
        <v>4</v>
      </c>
      <c r="Z145" s="3">
        <v>2</v>
      </c>
      <c r="AA145" s="5">
        <v>2820</v>
      </c>
      <c r="AB145" t="s">
        <v>151</v>
      </c>
      <c r="AC145" s="2" t="str" cm="1">
        <f t="array" ref="AC145">_xlfn.IFS(Table1[[#This Row],[Others_Parties]] = "No", "None",
Table1[[#This Row],[Others_Parties]] = "co applicant", "Co-applicant",
Table1[[#This Row],[Others_Parties]] = "guarantor", "Guarantor")</f>
        <v>None</v>
      </c>
      <c r="AD145" s="13" t="s">
        <v>145</v>
      </c>
      <c r="AE145" s="2" t="s">
        <v>141</v>
      </c>
      <c r="AF145" s="28" t="str" cm="1">
        <f t="array" ref="AF14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45" s="21">
        <v>36</v>
      </c>
      <c r="AH145" s="2" t="s">
        <v>153</v>
      </c>
      <c r="AI145"/>
      <c r="AZ145"/>
      <c r="BC145"/>
      <c r="BE145"/>
      <c r="BL145"/>
      <c r="BZ145"/>
      <c r="CA145"/>
      <c r="CF145"/>
      <c r="CG145"/>
      <c r="CH145"/>
      <c r="CI145"/>
      <c r="CK145"/>
      <c r="CN145"/>
    </row>
    <row r="146" spans="1:92" x14ac:dyDescent="0.3">
      <c r="A146" s="4">
        <v>144</v>
      </c>
      <c r="B146" s="11">
        <v>30</v>
      </c>
      <c r="C146" s="2" t="str">
        <f>_xlfn.XLOOKUP(Table1[[#This Row],[Age]],Table7[Start_Age],Table7[Age_Range],,-1)</f>
        <v>29-39</v>
      </c>
      <c r="D146" t="s">
        <v>130</v>
      </c>
      <c r="E146" s="2" t="s">
        <v>129</v>
      </c>
      <c r="F146" s="2" t="s">
        <v>133</v>
      </c>
      <c r="G146" s="3">
        <v>1</v>
      </c>
      <c r="H146" s="13" t="s">
        <v>152</v>
      </c>
      <c r="I146" s="2" t="str" cm="1">
        <f t="array" ref="I146">_xlfn.IFS(Table1[[#This Row],[Job_Type]] = "unskilled resident", "Resident",
Table1[[#This Row],[Job_Type]] = "unemp/unskilled non res", "Non-resident",
TRUE, "Unknown")</f>
        <v>Unknown</v>
      </c>
      <c r="J146" s="2" t="s">
        <v>150</v>
      </c>
      <c r="K146" s="3">
        <v>3</v>
      </c>
      <c r="L146" s="2" t="s">
        <v>142</v>
      </c>
      <c r="M146" s="13" t="s">
        <v>151</v>
      </c>
      <c r="N146" t="s">
        <v>30</v>
      </c>
      <c r="O146" s="2" t="str">
        <f>_xlfn.XLOOKUP(Table1[[#This Row],[Checking_Acct_Status]],Table3[Checking_Acct_Original],Table3[Category])</f>
        <v>Low Balance</v>
      </c>
      <c r="P146" s="10" t="s">
        <v>46</v>
      </c>
      <c r="Q146" s="13" t="str">
        <f>_xlfn.XLOOKUP(Table1[[#This Row],[Saving_Acct_Status]],Table5[Saving_Acct_Original],Table5[Category])</f>
        <v>Medium Savings</v>
      </c>
      <c r="R146" t="s">
        <v>41</v>
      </c>
      <c r="S146" s="2" t="str">
        <f>IF(
      OR(Table1[[#This Row],[Job_Type]] = "high qualif/self emp/mgmt", Table1[[#This Row],[Job_Type]] = "skilled"),
      "Skilled", "Unskilled")</f>
        <v>Skilled</v>
      </c>
      <c r="T146" t="str">
        <f>IF(Table1[[#This Row],[Job_Type]] = "unemp/unskilled non res", "Unemployed", "Employed")</f>
        <v>Employed</v>
      </c>
      <c r="U146" t="s">
        <v>38</v>
      </c>
      <c r="V146" s="14" t="str" cm="1">
        <f t="array" ref="V14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46" t="s">
        <v>59</v>
      </c>
      <c r="X146" s="2" t="str">
        <f>_xlfn.XLOOKUP(Table1[[#This Row],[Loan_Credit_History]],Table4[Credit History],Table4[[ Category]])</f>
        <v>Previously Delayed</v>
      </c>
      <c r="Y146" s="3">
        <v>4</v>
      </c>
      <c r="Z146" s="3">
        <v>1</v>
      </c>
      <c r="AA146" s="5">
        <v>2862</v>
      </c>
      <c r="AB146" t="s">
        <v>151</v>
      </c>
      <c r="AC146" s="2" t="str" cm="1">
        <f t="array" ref="AC146">_xlfn.IFS(Table1[[#This Row],[Others_Parties]] = "No", "None",
Table1[[#This Row],[Others_Parties]] = "co applicant", "Co-applicant",
Table1[[#This Row],[Others_Parties]] = "guarantor", "Guarantor")</f>
        <v>None</v>
      </c>
      <c r="AD146" s="13" t="s">
        <v>145</v>
      </c>
      <c r="AE146" s="2" t="s">
        <v>141</v>
      </c>
      <c r="AF146" s="28" t="str" cm="1">
        <f t="array" ref="AF14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46" s="21">
        <v>36</v>
      </c>
      <c r="AH146" s="2" t="s">
        <v>154</v>
      </c>
      <c r="AI146"/>
      <c r="AZ146"/>
      <c r="BC146"/>
      <c r="BE146"/>
      <c r="BL146"/>
      <c r="BZ146"/>
      <c r="CA146"/>
      <c r="CF146"/>
      <c r="CG146"/>
      <c r="CH146"/>
      <c r="CI146"/>
      <c r="CK146"/>
      <c r="CN146"/>
    </row>
    <row r="147" spans="1:92" x14ac:dyDescent="0.3">
      <c r="A147" s="4">
        <v>145</v>
      </c>
      <c r="B147" s="11">
        <v>36</v>
      </c>
      <c r="C147" s="2" t="str">
        <f>_xlfn.XLOOKUP(Table1[[#This Row],[Age]],Table7[Start_Age],Table7[Age_Range],,-1)</f>
        <v>29-39</v>
      </c>
      <c r="D147" t="s">
        <v>130</v>
      </c>
      <c r="E147" s="2" t="s">
        <v>129</v>
      </c>
      <c r="F147" s="2" t="s">
        <v>133</v>
      </c>
      <c r="G147" s="3">
        <v>1</v>
      </c>
      <c r="H147" s="13" t="s">
        <v>152</v>
      </c>
      <c r="I147" s="2" t="str" cm="1">
        <f t="array" ref="I147">_xlfn.IFS(Table1[[#This Row],[Job_Type]] = "unskilled resident", "Resident",
Table1[[#This Row],[Job_Type]] = "unemp/unskilled non res", "Non-resident",
TRUE, "Unknown")</f>
        <v>Unknown</v>
      </c>
      <c r="J147" s="2" t="s">
        <v>148</v>
      </c>
      <c r="K147" s="3">
        <v>4</v>
      </c>
      <c r="L147" s="2" t="s">
        <v>144</v>
      </c>
      <c r="M147" s="13" t="s">
        <v>151</v>
      </c>
      <c r="N147" t="s">
        <v>17</v>
      </c>
      <c r="O147" s="2" t="str">
        <f>_xlfn.XLOOKUP(Table1[[#This Row],[Checking_Acct_Status]],Table3[Checking_Acct_Original],Table3[Category])</f>
        <v>No Account</v>
      </c>
      <c r="P147" s="10" t="s">
        <v>47</v>
      </c>
      <c r="Q147" s="13" t="str">
        <f>_xlfn.XLOOKUP(Table1[[#This Row],[Saving_Acct_Status]],Table5[Saving_Acct_Original],Table5[Category])</f>
        <v>No Savings</v>
      </c>
      <c r="R147" t="s">
        <v>41</v>
      </c>
      <c r="S147" s="2" t="str">
        <f>IF(
      OR(Table1[[#This Row],[Job_Type]] = "high qualif/self emp/mgmt", Table1[[#This Row],[Job_Type]] = "skilled"),
      "Skilled", "Unskilled")</f>
        <v>Skilled</v>
      </c>
      <c r="T147" t="str">
        <f>IF(Table1[[#This Row],[Job_Type]] = "unemp/unskilled non res", "Unemployed", "Employed")</f>
        <v>Employed</v>
      </c>
      <c r="U147" t="s">
        <v>21</v>
      </c>
      <c r="V147" s="14" t="str" cm="1">
        <f t="array" ref="V14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47" t="s">
        <v>31</v>
      </c>
      <c r="X147" s="2" t="str">
        <f>_xlfn.XLOOKUP(Table1[[#This Row],[Loan_Credit_History]],Table4[Credit History],Table4[[ Category]])</f>
        <v>Existing Credits Paid</v>
      </c>
      <c r="Y147" s="3">
        <v>4</v>
      </c>
      <c r="Z147" s="3">
        <v>1</v>
      </c>
      <c r="AA147" s="5">
        <v>3079</v>
      </c>
      <c r="AB147" t="s">
        <v>151</v>
      </c>
      <c r="AC147" s="2" t="str" cm="1">
        <f t="array" ref="AC147">_xlfn.IFS(Table1[[#This Row],[Others_Parties]] = "No", "None",
Table1[[#This Row],[Others_Parties]] = "co applicant", "Co-applicant",
Table1[[#This Row],[Others_Parties]] = "guarantor", "Guarantor")</f>
        <v>None</v>
      </c>
      <c r="AD147" s="13" t="s">
        <v>145</v>
      </c>
      <c r="AE147" s="2" t="s">
        <v>141</v>
      </c>
      <c r="AF147" s="28" t="str" cm="1">
        <f t="array" ref="AF14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47" s="21">
        <v>36</v>
      </c>
      <c r="AH147" s="2" t="s">
        <v>154</v>
      </c>
      <c r="AI147"/>
      <c r="AZ147"/>
      <c r="BC147"/>
      <c r="BE147"/>
      <c r="BL147"/>
      <c r="BZ147"/>
      <c r="CA147"/>
      <c r="CF147"/>
      <c r="CG147"/>
      <c r="CH147"/>
      <c r="CI147"/>
      <c r="CK147"/>
      <c r="CN147"/>
    </row>
    <row r="148" spans="1:92" x14ac:dyDescent="0.3">
      <c r="A148" s="4">
        <v>146</v>
      </c>
      <c r="B148" s="11">
        <v>39</v>
      </c>
      <c r="C148" s="2" t="str">
        <f>_xlfn.XLOOKUP(Table1[[#This Row],[Age]],Table7[Start_Age],Table7[Age_Range],,-1)</f>
        <v>39-49</v>
      </c>
      <c r="D148" t="s">
        <v>130</v>
      </c>
      <c r="E148" s="2" t="s">
        <v>129</v>
      </c>
      <c r="F148" s="2" t="s">
        <v>133</v>
      </c>
      <c r="G148" s="3">
        <v>2</v>
      </c>
      <c r="H148" s="13" t="s">
        <v>152</v>
      </c>
      <c r="I148" s="2" t="str" cm="1">
        <f t="array" ref="I148">_xlfn.IFS(Table1[[#This Row],[Job_Type]] = "unskilled resident", "Resident",
Table1[[#This Row],[Job_Type]] = "unemp/unskilled non res", "Non-resident",
TRUE, "Unknown")</f>
        <v>Unknown</v>
      </c>
      <c r="J148" s="2" t="s">
        <v>150</v>
      </c>
      <c r="K148" s="3">
        <v>4</v>
      </c>
      <c r="L148" s="2" t="s">
        <v>142</v>
      </c>
      <c r="M148" s="13" t="s">
        <v>152</v>
      </c>
      <c r="N148" t="s">
        <v>35</v>
      </c>
      <c r="O148" s="2" t="str">
        <f>_xlfn.XLOOKUP(Table1[[#This Row],[Checking_Acct_Status]],Table3[Checking_Acct_Original],Table3[Category])</f>
        <v>Negative Balance</v>
      </c>
      <c r="P148" s="10" t="s">
        <v>32</v>
      </c>
      <c r="Q148" s="13" t="str">
        <f>_xlfn.XLOOKUP(Table1[[#This Row],[Saving_Acct_Status]],Table5[Saving_Acct_Original],Table5[Category])</f>
        <v>Low Savings</v>
      </c>
      <c r="R148" t="s">
        <v>63</v>
      </c>
      <c r="S148" s="2" t="str">
        <f>IF(
      OR(Table1[[#This Row],[Job_Type]] = "high qualif/self emp/mgmt", Table1[[#This Row],[Job_Type]] = "skilled"),
      "Skilled", "Unskilled")</f>
        <v>Skilled</v>
      </c>
      <c r="T148" t="str">
        <f>IF(Table1[[#This Row],[Job_Type]] = "unemp/unskilled non res", "Unemployed", "Employed")</f>
        <v>Employed</v>
      </c>
      <c r="U148" t="s">
        <v>49</v>
      </c>
      <c r="V148" s="14" t="str" cm="1">
        <f t="array" ref="V14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48" t="s">
        <v>31</v>
      </c>
      <c r="X148" s="2" t="str">
        <f>_xlfn.XLOOKUP(Table1[[#This Row],[Loan_Credit_History]],Table4[Credit History],Table4[[ Category]])</f>
        <v>Existing Credits Paid</v>
      </c>
      <c r="Y148" s="3">
        <v>2</v>
      </c>
      <c r="Z148" s="3">
        <v>1</v>
      </c>
      <c r="AA148" s="5">
        <v>3249</v>
      </c>
      <c r="AB148" t="s">
        <v>151</v>
      </c>
      <c r="AC148" s="2" t="str" cm="1">
        <f t="array" ref="AC148">_xlfn.IFS(Table1[[#This Row],[Others_Parties]] = "No", "None",
Table1[[#This Row],[Others_Parties]] = "co applicant", "Co-applicant",
Table1[[#This Row],[Others_Parties]] = "guarantor", "Guarantor")</f>
        <v>None</v>
      </c>
      <c r="AD148" s="13" t="s">
        <v>146</v>
      </c>
      <c r="AE148" s="2" t="s">
        <v>141</v>
      </c>
      <c r="AF148" s="28" t="str" cm="1">
        <f t="array" ref="AF14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48" s="21">
        <v>36</v>
      </c>
      <c r="AH148" s="2" t="s">
        <v>154</v>
      </c>
      <c r="AI148"/>
      <c r="AZ148"/>
      <c r="BC148"/>
      <c r="BE148"/>
      <c r="BL148"/>
      <c r="BZ148"/>
      <c r="CA148"/>
      <c r="CF148"/>
      <c r="CG148"/>
      <c r="CH148"/>
      <c r="CI148"/>
      <c r="CK148"/>
      <c r="CN148"/>
    </row>
    <row r="149" spans="1:92" x14ac:dyDescent="0.3">
      <c r="A149" s="4">
        <v>147</v>
      </c>
      <c r="B149" s="11">
        <v>51</v>
      </c>
      <c r="C149" s="2" t="str">
        <f>_xlfn.XLOOKUP(Table1[[#This Row],[Age]],Table7[Start_Age],Table7[Age_Range],,-1)</f>
        <v>49-59</v>
      </c>
      <c r="D149" t="s">
        <v>130</v>
      </c>
      <c r="E149" s="2" t="s">
        <v>129</v>
      </c>
      <c r="F149" s="2" t="s">
        <v>133</v>
      </c>
      <c r="G149" s="3">
        <v>1</v>
      </c>
      <c r="H149" s="13" t="s">
        <v>152</v>
      </c>
      <c r="I149" s="2" t="str" cm="1">
        <f t="array" ref="I149">_xlfn.IFS(Table1[[#This Row],[Job_Type]] = "unskilled resident", "Resident",
Table1[[#This Row],[Job_Type]] = "unemp/unskilled non res", "Non-resident",
TRUE, "Unknown")</f>
        <v>Unknown</v>
      </c>
      <c r="J149" s="2" t="s">
        <v>148</v>
      </c>
      <c r="K149" s="3">
        <v>2</v>
      </c>
      <c r="L149" s="2" t="s">
        <v>140</v>
      </c>
      <c r="M149" s="13" t="s">
        <v>152</v>
      </c>
      <c r="N149" t="s">
        <v>17</v>
      </c>
      <c r="O149" s="2" t="str">
        <f>_xlfn.XLOOKUP(Table1[[#This Row],[Checking_Acct_Status]],Table3[Checking_Acct_Original],Table3[Category])</f>
        <v>No Account</v>
      </c>
      <c r="P149" s="10" t="s">
        <v>47</v>
      </c>
      <c r="Q149" s="13" t="str">
        <f>_xlfn.XLOOKUP(Table1[[#This Row],[Saving_Acct_Status]],Table5[Saving_Acct_Original],Table5[Category])</f>
        <v>No Savings</v>
      </c>
      <c r="R149" t="s">
        <v>41</v>
      </c>
      <c r="S149" s="2" t="str">
        <f>IF(
      OR(Table1[[#This Row],[Job_Type]] = "high qualif/self emp/mgmt", Table1[[#This Row],[Job_Type]] = "skilled"),
      "Skilled", "Unskilled")</f>
        <v>Skilled</v>
      </c>
      <c r="T149" t="str">
        <f>IF(Table1[[#This Row],[Job_Type]] = "unemp/unskilled non res", "Unemployed", "Employed")</f>
        <v>Employed</v>
      </c>
      <c r="U149" t="s">
        <v>38</v>
      </c>
      <c r="V149" s="14" t="str" cm="1">
        <f t="array" ref="V14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49" t="s">
        <v>103</v>
      </c>
      <c r="X149" s="2" t="str">
        <f>_xlfn.XLOOKUP(Table1[[#This Row],[Loan_Credit_History]],Table4[Credit History],Table4[[ Category]])</f>
        <v>Critical Credit History</v>
      </c>
      <c r="Y149" s="3">
        <v>4</v>
      </c>
      <c r="Z149" s="3">
        <v>1</v>
      </c>
      <c r="AA149" s="5">
        <v>3342</v>
      </c>
      <c r="AB149" t="s">
        <v>151</v>
      </c>
      <c r="AC149" s="2" t="str" cm="1">
        <f t="array" ref="AC149">_xlfn.IFS(Table1[[#This Row],[Others_Parties]] = "No", "None",
Table1[[#This Row],[Others_Parties]] = "co applicant", "Co-applicant",
Table1[[#This Row],[Others_Parties]] = "guarantor", "Guarantor")</f>
        <v>None</v>
      </c>
      <c r="AD149" s="13" t="s">
        <v>145</v>
      </c>
      <c r="AE149" s="2" t="s">
        <v>111</v>
      </c>
      <c r="AF149" s="28" t="str" cm="1">
        <f t="array" ref="AF14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49" s="21">
        <v>36</v>
      </c>
      <c r="AH149" s="2" t="s">
        <v>154</v>
      </c>
      <c r="AI149"/>
      <c r="AZ149"/>
      <c r="BC149"/>
      <c r="BE149"/>
      <c r="BL149"/>
      <c r="BZ149"/>
      <c r="CA149"/>
      <c r="CF149"/>
      <c r="CG149"/>
      <c r="CH149"/>
      <c r="CI149"/>
      <c r="CK149"/>
      <c r="CN149"/>
    </row>
    <row r="150" spans="1:92" x14ac:dyDescent="0.3">
      <c r="A150" s="4">
        <v>148</v>
      </c>
      <c r="B150" s="11">
        <v>28</v>
      </c>
      <c r="C150" s="2" t="str">
        <f>_xlfn.XLOOKUP(Table1[[#This Row],[Age]],Table7[Start_Age],Table7[Age_Range],,-1)</f>
        <v>19-29</v>
      </c>
      <c r="D150" t="s">
        <v>136</v>
      </c>
      <c r="E150" s="2" t="s">
        <v>131</v>
      </c>
      <c r="F150" s="2" t="s">
        <v>137</v>
      </c>
      <c r="G150" s="3">
        <v>1</v>
      </c>
      <c r="H150" s="13" t="s">
        <v>152</v>
      </c>
      <c r="I150" s="2" t="str" cm="1">
        <f t="array" ref="I150">_xlfn.IFS(Table1[[#This Row],[Job_Type]] = "unskilled resident", "Resident",
Table1[[#This Row],[Job_Type]] = "unemp/unskilled non res", "Non-resident",
TRUE, "Unknown")</f>
        <v>Unknown</v>
      </c>
      <c r="J150" s="2" t="s">
        <v>148</v>
      </c>
      <c r="K150" s="3">
        <v>2</v>
      </c>
      <c r="L150" s="2" t="s">
        <v>140</v>
      </c>
      <c r="M150" s="13" t="s">
        <v>152</v>
      </c>
      <c r="N150" t="s">
        <v>17</v>
      </c>
      <c r="O150" s="2" t="str">
        <f>_xlfn.XLOOKUP(Table1[[#This Row],[Checking_Acct_Status]],Table3[Checking_Acct_Original],Table3[Category])</f>
        <v>No Account</v>
      </c>
      <c r="P150" s="10" t="s">
        <v>32</v>
      </c>
      <c r="Q150" s="13" t="str">
        <f>_xlfn.XLOOKUP(Table1[[#This Row],[Saving_Acct_Status]],Table5[Saving_Acct_Original],Table5[Category])</f>
        <v>Low Savings</v>
      </c>
      <c r="R150" t="s">
        <v>63</v>
      </c>
      <c r="S150" s="2" t="str">
        <f>IF(
      OR(Table1[[#This Row],[Job_Type]] = "high qualif/self emp/mgmt", Table1[[#This Row],[Job_Type]] = "skilled"),
      "Skilled", "Unskilled")</f>
        <v>Skilled</v>
      </c>
      <c r="T150" t="str">
        <f>IF(Table1[[#This Row],[Job_Type]] = "unemp/unskilled non res", "Unemployed", "Employed")</f>
        <v>Employed</v>
      </c>
      <c r="U150" t="s">
        <v>21</v>
      </c>
      <c r="V150" s="14" t="str" cm="1">
        <f t="array" ref="V15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50" t="s">
        <v>31</v>
      </c>
      <c r="X150" s="2" t="str">
        <f>_xlfn.XLOOKUP(Table1[[#This Row],[Loan_Credit_History]],Table4[Credit History],Table4[[ Category]])</f>
        <v>Existing Credits Paid</v>
      </c>
      <c r="Y150" s="3">
        <v>4</v>
      </c>
      <c r="Z150" s="3">
        <v>1</v>
      </c>
      <c r="AA150" s="5">
        <v>3349</v>
      </c>
      <c r="AB150" t="s">
        <v>151</v>
      </c>
      <c r="AC150" s="2" t="str" cm="1">
        <f t="array" ref="AC150">_xlfn.IFS(Table1[[#This Row],[Others_Parties]] = "No", "None",
Table1[[#This Row],[Others_Parties]] = "co applicant", "Co-applicant",
Table1[[#This Row],[Others_Parties]] = "guarantor", "Guarantor")</f>
        <v>None</v>
      </c>
      <c r="AD150" s="13" t="s">
        <v>145</v>
      </c>
      <c r="AE150" s="2" t="s">
        <v>108</v>
      </c>
      <c r="AF150" s="28" t="str" cm="1">
        <f t="array" ref="AF15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50" s="21">
        <v>36</v>
      </c>
      <c r="AH150" s="2" t="s">
        <v>153</v>
      </c>
      <c r="AI150"/>
      <c r="AZ150"/>
      <c r="BC150"/>
      <c r="BE150"/>
      <c r="BL150"/>
      <c r="BZ150"/>
      <c r="CA150"/>
      <c r="CF150"/>
      <c r="CG150"/>
      <c r="CH150"/>
      <c r="CI150"/>
      <c r="CK150"/>
      <c r="CN150"/>
    </row>
    <row r="151" spans="1:92" x14ac:dyDescent="0.3">
      <c r="A151" s="4">
        <v>149</v>
      </c>
      <c r="B151" s="11">
        <v>42</v>
      </c>
      <c r="C151" s="2" t="str">
        <f>_xlfn.XLOOKUP(Table1[[#This Row],[Age]],Table7[Start_Age],Table7[Age_Range],,-1)</f>
        <v>39-49</v>
      </c>
      <c r="D151" t="s">
        <v>130</v>
      </c>
      <c r="E151" s="2" t="s">
        <v>129</v>
      </c>
      <c r="F151" s="2" t="s">
        <v>133</v>
      </c>
      <c r="G151" s="3">
        <v>2</v>
      </c>
      <c r="H151" s="13" t="s">
        <v>152</v>
      </c>
      <c r="I151" s="2" t="str" cm="1">
        <f t="array" ref="I151">_xlfn.IFS(Table1[[#This Row],[Job_Type]] = "unskilled resident", "Resident",
Table1[[#This Row],[Job_Type]] = "unemp/unskilled non res", "Non-resident",
TRUE, "Unknown")</f>
        <v>Unknown</v>
      </c>
      <c r="J151" s="2" t="s">
        <v>148</v>
      </c>
      <c r="K151" s="3">
        <v>2</v>
      </c>
      <c r="L151" s="2" t="s">
        <v>140</v>
      </c>
      <c r="M151" s="13" t="s">
        <v>151</v>
      </c>
      <c r="N151" t="s">
        <v>35</v>
      </c>
      <c r="O151" s="2" t="str">
        <f>_xlfn.XLOOKUP(Table1[[#This Row],[Checking_Acct_Status]],Table3[Checking_Acct_Original],Table3[Category])</f>
        <v>Negative Balance</v>
      </c>
      <c r="P151" s="10" t="s">
        <v>32</v>
      </c>
      <c r="Q151" s="13" t="str">
        <f>_xlfn.XLOOKUP(Table1[[#This Row],[Saving_Acct_Status]],Table5[Saving_Acct_Original],Table5[Category])</f>
        <v>Low Savings</v>
      </c>
      <c r="R151" t="s">
        <v>41</v>
      </c>
      <c r="S151" s="2" t="str">
        <f>IF(
      OR(Table1[[#This Row],[Job_Type]] = "high qualif/self emp/mgmt", Table1[[#This Row],[Job_Type]] = "skilled"),
      "Skilled", "Unskilled")</f>
        <v>Skilled</v>
      </c>
      <c r="T151" t="str">
        <f>IF(Table1[[#This Row],[Job_Type]] = "unemp/unskilled non res", "Unemployed", "Employed")</f>
        <v>Employed</v>
      </c>
      <c r="U151" t="s">
        <v>38</v>
      </c>
      <c r="V151" s="14" t="str" cm="1">
        <f t="array" ref="V15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51" t="s">
        <v>31</v>
      </c>
      <c r="X151" s="2" t="str">
        <f>_xlfn.XLOOKUP(Table1[[#This Row],[Loan_Credit_History]],Table4[Credit History],Table4[[ Category]])</f>
        <v>Existing Credits Paid</v>
      </c>
      <c r="Y151" s="3">
        <v>4</v>
      </c>
      <c r="Z151" s="3">
        <v>1</v>
      </c>
      <c r="AA151" s="5">
        <v>3446</v>
      </c>
      <c r="AB151" t="s">
        <v>151</v>
      </c>
      <c r="AC151" s="2" t="str" cm="1">
        <f t="array" ref="AC151">_xlfn.IFS(Table1[[#This Row],[Others_Parties]] = "No", "None",
Table1[[#This Row],[Others_Parties]] = "co applicant", "Co-applicant",
Table1[[#This Row],[Others_Parties]] = "guarantor", "Guarantor")</f>
        <v>None</v>
      </c>
      <c r="AD151" s="13" t="s">
        <v>145</v>
      </c>
      <c r="AE151" s="2" t="s">
        <v>108</v>
      </c>
      <c r="AF151" s="28" t="str" cm="1">
        <f t="array" ref="AF15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51" s="21">
        <v>36</v>
      </c>
      <c r="AH151" s="2" t="s">
        <v>153</v>
      </c>
      <c r="AI151"/>
      <c r="AZ151"/>
      <c r="BC151"/>
      <c r="BE151"/>
      <c r="BL151"/>
      <c r="BZ151"/>
      <c r="CA151"/>
      <c r="CF151"/>
      <c r="CG151"/>
      <c r="CH151"/>
      <c r="CI151"/>
      <c r="CK151"/>
      <c r="CN151"/>
    </row>
    <row r="152" spans="1:92" x14ac:dyDescent="0.3">
      <c r="A152" s="4">
        <v>150</v>
      </c>
      <c r="B152" s="11">
        <v>37</v>
      </c>
      <c r="C152" s="2" t="str">
        <f>_xlfn.XLOOKUP(Table1[[#This Row],[Age]],Table7[Start_Age],Table7[Age_Range],,-1)</f>
        <v>29-39</v>
      </c>
      <c r="D152" t="s">
        <v>130</v>
      </c>
      <c r="E152" s="2" t="s">
        <v>129</v>
      </c>
      <c r="F152" s="2" t="s">
        <v>133</v>
      </c>
      <c r="G152" s="3">
        <v>1</v>
      </c>
      <c r="H152" s="13" t="s">
        <v>152</v>
      </c>
      <c r="I152" s="2" t="str" cm="1">
        <f t="array" ref="I152">_xlfn.IFS(Table1[[#This Row],[Job_Type]] = "unskilled resident", "Resident",
Table1[[#This Row],[Job_Type]] = "unemp/unskilled non res", "Non-resident",
TRUE, "Unknown")</f>
        <v>Unknown</v>
      </c>
      <c r="J152" s="2" t="s">
        <v>148</v>
      </c>
      <c r="K152" s="3">
        <v>4</v>
      </c>
      <c r="L152" s="2" t="s">
        <v>140</v>
      </c>
      <c r="M152" s="13" t="s">
        <v>152</v>
      </c>
      <c r="N152" t="s">
        <v>17</v>
      </c>
      <c r="O152" s="2" t="str">
        <f>_xlfn.XLOOKUP(Table1[[#This Row],[Checking_Acct_Status]],Table3[Checking_Acct_Original],Table3[Category])</f>
        <v>No Account</v>
      </c>
      <c r="P152" s="10" t="s">
        <v>32</v>
      </c>
      <c r="Q152" s="13" t="str">
        <f>_xlfn.XLOOKUP(Table1[[#This Row],[Saving_Acct_Status]],Table5[Saving_Acct_Original],Table5[Category])</f>
        <v>Low Savings</v>
      </c>
      <c r="R152" t="s">
        <v>41</v>
      </c>
      <c r="S152" s="2" t="str">
        <f>IF(
      OR(Table1[[#This Row],[Job_Type]] = "high qualif/self emp/mgmt", Table1[[#This Row],[Job_Type]] = "skilled"),
      "Skilled", "Unskilled")</f>
        <v>Skilled</v>
      </c>
      <c r="T152" t="str">
        <f>IF(Table1[[#This Row],[Job_Type]] = "unemp/unskilled non res", "Unemployed", "Employed")</f>
        <v>Employed</v>
      </c>
      <c r="U152" t="s">
        <v>49</v>
      </c>
      <c r="V152" s="14" t="str" cm="1">
        <f t="array" ref="V15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52" t="s">
        <v>103</v>
      </c>
      <c r="X152" s="2" t="str">
        <f>_xlfn.XLOOKUP(Table1[[#This Row],[Loan_Credit_History]],Table4[Credit History],Table4[[ Category]])</f>
        <v>Critical Credit History</v>
      </c>
      <c r="Y152" s="3">
        <v>4</v>
      </c>
      <c r="Z152" s="3">
        <v>2</v>
      </c>
      <c r="AA152" s="5">
        <v>3535</v>
      </c>
      <c r="AB152" t="s">
        <v>151</v>
      </c>
      <c r="AC152" s="2" t="str" cm="1">
        <f t="array" ref="AC152">_xlfn.IFS(Table1[[#This Row],[Others_Parties]] = "No", "None",
Table1[[#This Row],[Others_Parties]] = "co applicant", "Co-applicant",
Table1[[#This Row],[Others_Parties]] = "guarantor", "Guarantor")</f>
        <v>None</v>
      </c>
      <c r="AD152" s="13" t="s">
        <v>145</v>
      </c>
      <c r="AE152" s="2" t="s">
        <v>141</v>
      </c>
      <c r="AF152" s="28" t="str" cm="1">
        <f t="array" ref="AF15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52" s="21">
        <v>36</v>
      </c>
      <c r="AH152" s="2" t="s">
        <v>154</v>
      </c>
      <c r="AI152"/>
      <c r="AZ152"/>
      <c r="BC152"/>
      <c r="BE152"/>
      <c r="BL152"/>
      <c r="BZ152"/>
      <c r="CA152"/>
      <c r="CF152"/>
      <c r="CG152"/>
      <c r="CH152"/>
      <c r="CI152"/>
      <c r="CK152"/>
      <c r="CN152"/>
    </row>
    <row r="153" spans="1:92" x14ac:dyDescent="0.3">
      <c r="A153" s="4">
        <v>151</v>
      </c>
      <c r="B153" s="11">
        <v>28</v>
      </c>
      <c r="C153" s="2" t="str">
        <f>_xlfn.XLOOKUP(Table1[[#This Row],[Age]],Table7[Start_Age],Table7[Age_Range],,-1)</f>
        <v>19-29</v>
      </c>
      <c r="D153" t="s">
        <v>130</v>
      </c>
      <c r="E153" s="2" t="s">
        <v>129</v>
      </c>
      <c r="F153" s="2" t="s">
        <v>133</v>
      </c>
      <c r="G153" s="3">
        <v>1</v>
      </c>
      <c r="H153" s="13" t="s">
        <v>152</v>
      </c>
      <c r="I153" s="2" t="str" cm="1">
        <f t="array" ref="I153">_xlfn.IFS(Table1[[#This Row],[Job_Type]] = "unskilled resident", "Resident",
Table1[[#This Row],[Job_Type]] = "unemp/unskilled non res", "Non-resident",
TRUE, "Unknown")</f>
        <v>Unknown</v>
      </c>
      <c r="J153" s="2" t="s">
        <v>148</v>
      </c>
      <c r="K153" s="3">
        <v>2</v>
      </c>
      <c r="L153" s="2" t="s">
        <v>140</v>
      </c>
      <c r="M153" s="13" t="s">
        <v>151</v>
      </c>
      <c r="N153" t="s">
        <v>17</v>
      </c>
      <c r="O153" s="2" t="str">
        <f>_xlfn.XLOOKUP(Table1[[#This Row],[Checking_Acct_Status]],Table3[Checking_Acct_Original],Table3[Category])</f>
        <v>No Account</v>
      </c>
      <c r="P153" s="10" t="s">
        <v>32</v>
      </c>
      <c r="Q153" s="13" t="str">
        <f>_xlfn.XLOOKUP(Table1[[#This Row],[Saving_Acct_Status]],Table5[Saving_Acct_Original],Table5[Category])</f>
        <v>Low Savings</v>
      </c>
      <c r="R153" t="s">
        <v>41</v>
      </c>
      <c r="S153" s="2" t="str">
        <f>IF(
      OR(Table1[[#This Row],[Job_Type]] = "high qualif/self emp/mgmt", Table1[[#This Row],[Job_Type]] = "skilled"),
      "Skilled", "Unskilled")</f>
        <v>Skilled</v>
      </c>
      <c r="T153" t="str">
        <f>IF(Table1[[#This Row],[Job_Type]] = "unemp/unskilled non res", "Unemployed", "Employed")</f>
        <v>Employed</v>
      </c>
      <c r="U153" t="s">
        <v>38</v>
      </c>
      <c r="V153" s="14" t="str" cm="1">
        <f t="array" ref="V15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53" t="s">
        <v>31</v>
      </c>
      <c r="X153" s="2" t="str">
        <f>_xlfn.XLOOKUP(Table1[[#This Row],[Loan_Credit_History]],Table4[Credit History],Table4[[ Category]])</f>
        <v>Existing Credits Paid</v>
      </c>
      <c r="Y153" s="3">
        <v>4</v>
      </c>
      <c r="Z153" s="3">
        <v>1</v>
      </c>
      <c r="AA153" s="5">
        <v>3595</v>
      </c>
      <c r="AB153" t="s">
        <v>151</v>
      </c>
      <c r="AC153" s="2" t="str" cm="1">
        <f t="array" ref="AC153">_xlfn.IFS(Table1[[#This Row],[Others_Parties]] = "No", "None",
Table1[[#This Row],[Others_Parties]] = "co applicant", "Co-applicant",
Table1[[#This Row],[Others_Parties]] = "guarantor", "Guarantor")</f>
        <v>None</v>
      </c>
      <c r="AD153" s="13" t="s">
        <v>145</v>
      </c>
      <c r="AE153" s="2" t="s">
        <v>111</v>
      </c>
      <c r="AF153" s="28" t="str" cm="1">
        <f t="array" ref="AF15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53" s="21">
        <v>36</v>
      </c>
      <c r="AH153" s="2" t="s">
        <v>154</v>
      </c>
      <c r="AI153"/>
      <c r="AZ153"/>
      <c r="BC153"/>
      <c r="BE153"/>
      <c r="BL153"/>
      <c r="BZ153"/>
      <c r="CA153"/>
      <c r="CF153"/>
      <c r="CG153"/>
      <c r="CH153"/>
      <c r="CI153"/>
      <c r="CK153"/>
      <c r="CN153"/>
    </row>
    <row r="154" spans="1:92" x14ac:dyDescent="0.3">
      <c r="A154" s="4">
        <v>152</v>
      </c>
      <c r="B154" s="11">
        <v>37</v>
      </c>
      <c r="C154" s="2" t="str">
        <f>_xlfn.XLOOKUP(Table1[[#This Row],[Age]],Table7[Start_Age],Table7[Age_Range],,-1)</f>
        <v>29-39</v>
      </c>
      <c r="D154" t="s">
        <v>130</v>
      </c>
      <c r="E154" s="2" t="s">
        <v>129</v>
      </c>
      <c r="F154" s="2" t="s">
        <v>133</v>
      </c>
      <c r="G154" s="3">
        <v>2</v>
      </c>
      <c r="H154" s="13" t="s">
        <v>152</v>
      </c>
      <c r="I154" s="2" t="str" cm="1">
        <f t="array" ref="I154">_xlfn.IFS(Table1[[#This Row],[Job_Type]] = "unskilled resident", "Resident",
Table1[[#This Row],[Job_Type]] = "unemp/unskilled non res", "Non-resident",
TRUE, "Unknown")</f>
        <v>Unknown</v>
      </c>
      <c r="J154" s="2" t="s">
        <v>148</v>
      </c>
      <c r="K154" s="3">
        <v>2</v>
      </c>
      <c r="L154" s="2" t="s">
        <v>143</v>
      </c>
      <c r="M154" s="13" t="s">
        <v>151</v>
      </c>
      <c r="N154" t="s">
        <v>35</v>
      </c>
      <c r="O154" s="2" t="str">
        <f>_xlfn.XLOOKUP(Table1[[#This Row],[Checking_Acct_Status]],Table3[Checking_Acct_Original],Table3[Category])</f>
        <v>Negative Balance</v>
      </c>
      <c r="P154" s="10" t="s">
        <v>32</v>
      </c>
      <c r="Q154" s="13" t="str">
        <f>_xlfn.XLOOKUP(Table1[[#This Row],[Saving_Acct_Status]],Table5[Saving_Acct_Original],Table5[Category])</f>
        <v>Low Savings</v>
      </c>
      <c r="R154" t="s">
        <v>41</v>
      </c>
      <c r="S154" s="2" t="str">
        <f>IF(
      OR(Table1[[#This Row],[Job_Type]] = "high qualif/self emp/mgmt", Table1[[#This Row],[Job_Type]] = "skilled"),
      "Skilled", "Unskilled")</f>
        <v>Skilled</v>
      </c>
      <c r="T154" t="str">
        <f>IF(Table1[[#This Row],[Job_Type]] = "unemp/unskilled non res", "Unemployed", "Employed")</f>
        <v>Employed</v>
      </c>
      <c r="U154" t="s">
        <v>21</v>
      </c>
      <c r="V154" s="14" t="str" cm="1">
        <f t="array" ref="V15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54" t="s">
        <v>31</v>
      </c>
      <c r="X154" s="2" t="str">
        <f>_xlfn.XLOOKUP(Table1[[#This Row],[Loan_Credit_History]],Table4[Credit History],Table4[[ Category]])</f>
        <v>Existing Credits Paid</v>
      </c>
      <c r="Y154" s="3">
        <v>1</v>
      </c>
      <c r="Z154" s="3">
        <v>1</v>
      </c>
      <c r="AA154" s="5">
        <v>3620</v>
      </c>
      <c r="AB154" t="s">
        <v>58</v>
      </c>
      <c r="AC154" s="2" t="str" cm="1">
        <f t="array" ref="AC154">_xlfn.IFS(Table1[[#This Row],[Others_Parties]] = "No", "None",
Table1[[#This Row],[Others_Parties]] = "co applicant", "Co-applicant",
Table1[[#This Row],[Others_Parties]] = "guarantor", "Guarantor")</f>
        <v>Guarantor</v>
      </c>
      <c r="AD154" s="13" t="s">
        <v>145</v>
      </c>
      <c r="AE154" s="2" t="s">
        <v>108</v>
      </c>
      <c r="AF154" s="28" t="str" cm="1">
        <f t="array" ref="AF15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54" s="21">
        <v>36</v>
      </c>
      <c r="AH154" s="2" t="s">
        <v>154</v>
      </c>
      <c r="AI154"/>
      <c r="AZ154"/>
      <c r="BC154"/>
      <c r="BE154"/>
      <c r="BL154"/>
      <c r="BZ154"/>
      <c r="CA154"/>
      <c r="CF154"/>
      <c r="CG154"/>
      <c r="CH154"/>
      <c r="CI154"/>
      <c r="CK154"/>
      <c r="CN154"/>
    </row>
    <row r="155" spans="1:92" x14ac:dyDescent="0.3">
      <c r="A155" s="4">
        <v>153</v>
      </c>
      <c r="B155" s="11">
        <v>27</v>
      </c>
      <c r="C155" s="2" t="str">
        <f>_xlfn.XLOOKUP(Table1[[#This Row],[Age]],Table7[Start_Age],Table7[Age_Range],,-1)</f>
        <v>19-29</v>
      </c>
      <c r="D155" t="s">
        <v>134</v>
      </c>
      <c r="E155" s="2" t="s">
        <v>129</v>
      </c>
      <c r="F155" s="2" t="s">
        <v>135</v>
      </c>
      <c r="G155" s="3">
        <v>1</v>
      </c>
      <c r="H155" s="13" t="s">
        <v>152</v>
      </c>
      <c r="I155" s="2" t="str" cm="1">
        <f t="array" ref="I155">_xlfn.IFS(Table1[[#This Row],[Job_Type]] = "unskilled resident", "Resident",
Table1[[#This Row],[Job_Type]] = "unemp/unskilled non res", "Non-resident",
TRUE, "Unknown")</f>
        <v>Unknown</v>
      </c>
      <c r="J155" s="2" t="s">
        <v>148</v>
      </c>
      <c r="K155" s="3">
        <v>2</v>
      </c>
      <c r="L155" s="2" t="s">
        <v>140</v>
      </c>
      <c r="M155" s="13" t="s">
        <v>151</v>
      </c>
      <c r="N155" t="s">
        <v>30</v>
      </c>
      <c r="O155" s="2" t="str">
        <f>_xlfn.XLOOKUP(Table1[[#This Row],[Checking_Acct_Status]],Table3[Checking_Acct_Original],Table3[Category])</f>
        <v>Low Balance</v>
      </c>
      <c r="P155" s="10" t="s">
        <v>47</v>
      </c>
      <c r="Q155" s="13" t="str">
        <f>_xlfn.XLOOKUP(Table1[[#This Row],[Saving_Acct_Status]],Table5[Saving_Acct_Original],Table5[Category])</f>
        <v>No Savings</v>
      </c>
      <c r="R155" t="s">
        <v>41</v>
      </c>
      <c r="S155" s="2" t="str">
        <f>IF(
      OR(Table1[[#This Row],[Job_Type]] = "high qualif/self emp/mgmt", Table1[[#This Row],[Job_Type]] = "skilled"),
      "Skilled", "Unskilled")</f>
        <v>Skilled</v>
      </c>
      <c r="T155" t="str">
        <f>IF(Table1[[#This Row],[Job_Type]] = "unemp/unskilled non res", "Unemployed", "Employed")</f>
        <v>Employed</v>
      </c>
      <c r="U155" t="s">
        <v>21</v>
      </c>
      <c r="V155" s="14" t="str" cm="1">
        <f t="array" ref="V15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55" t="s">
        <v>31</v>
      </c>
      <c r="X155" s="2" t="str">
        <f>_xlfn.XLOOKUP(Table1[[#This Row],[Loan_Credit_History]],Table4[Credit History],Table4[[ Category]])</f>
        <v>Existing Credits Paid</v>
      </c>
      <c r="Y155" s="3">
        <v>2</v>
      </c>
      <c r="Z155" s="3">
        <v>1</v>
      </c>
      <c r="AA155" s="5">
        <v>3711</v>
      </c>
      <c r="AB155" t="s">
        <v>151</v>
      </c>
      <c r="AC155" s="2" t="str" cm="1">
        <f t="array" ref="AC155">_xlfn.IFS(Table1[[#This Row],[Others_Parties]] = "No", "None",
Table1[[#This Row],[Others_Parties]] = "co applicant", "Co-applicant",
Table1[[#This Row],[Others_Parties]] = "guarantor", "Guarantor")</f>
        <v>None</v>
      </c>
      <c r="AD155" s="13" t="s">
        <v>145</v>
      </c>
      <c r="AE155" s="2" t="s">
        <v>100</v>
      </c>
      <c r="AF155" s="28" t="str" cm="1">
        <f t="array" ref="AF15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55" s="21">
        <v>36</v>
      </c>
      <c r="AH155" s="2" t="s">
        <v>154</v>
      </c>
      <c r="AI155"/>
      <c r="AZ155"/>
      <c r="BC155"/>
      <c r="BE155"/>
      <c r="BL155"/>
      <c r="BZ155"/>
      <c r="CA155"/>
      <c r="CF155"/>
      <c r="CG155"/>
      <c r="CH155"/>
      <c r="CI155"/>
      <c r="CK155"/>
      <c r="CN155"/>
    </row>
    <row r="156" spans="1:92" x14ac:dyDescent="0.3">
      <c r="A156" s="4">
        <v>154</v>
      </c>
      <c r="B156" s="11">
        <v>42</v>
      </c>
      <c r="C156" s="2" t="str">
        <f>_xlfn.XLOOKUP(Table1[[#This Row],[Age]],Table7[Start_Age],Table7[Age_Range],,-1)</f>
        <v>39-49</v>
      </c>
      <c r="D156" t="s">
        <v>136</v>
      </c>
      <c r="E156" s="2" t="s">
        <v>131</v>
      </c>
      <c r="F156" s="2" t="s">
        <v>137</v>
      </c>
      <c r="G156" s="3">
        <v>1</v>
      </c>
      <c r="H156" s="13" t="s">
        <v>152</v>
      </c>
      <c r="I156" s="2" t="str" cm="1">
        <f t="array" ref="I156">_xlfn.IFS(Table1[[#This Row],[Job_Type]] = "unskilled resident", "Resident",
Table1[[#This Row],[Job_Type]] = "unemp/unskilled non res", "Non-resident",
TRUE, "Unknown")</f>
        <v>Unknown</v>
      </c>
      <c r="J156" s="2" t="s">
        <v>148</v>
      </c>
      <c r="K156" s="3">
        <v>1</v>
      </c>
      <c r="L156" s="2" t="s">
        <v>140</v>
      </c>
      <c r="M156" s="13" t="s">
        <v>152</v>
      </c>
      <c r="N156" t="s">
        <v>30</v>
      </c>
      <c r="O156" s="2" t="str">
        <f>_xlfn.XLOOKUP(Table1[[#This Row],[Checking_Acct_Status]],Table3[Checking_Acct_Original],Table3[Category])</f>
        <v>Low Balance</v>
      </c>
      <c r="P156" s="10" t="s">
        <v>32</v>
      </c>
      <c r="Q156" s="13" t="str">
        <f>_xlfn.XLOOKUP(Table1[[#This Row],[Saving_Acct_Status]],Table5[Saving_Acct_Original],Table5[Category])</f>
        <v>Low Savings</v>
      </c>
      <c r="R156" t="s">
        <v>41</v>
      </c>
      <c r="S156" s="2" t="str">
        <f>IF(
      OR(Table1[[#This Row],[Job_Type]] = "high qualif/self emp/mgmt", Table1[[#This Row],[Job_Type]] = "skilled"),
      "Skilled", "Unskilled")</f>
        <v>Skilled</v>
      </c>
      <c r="T156" t="str">
        <f>IF(Table1[[#This Row],[Job_Type]] = "unemp/unskilled non res", "Unemployed", "Employed")</f>
        <v>Employed</v>
      </c>
      <c r="U156" t="s">
        <v>21</v>
      </c>
      <c r="V156" s="14" t="str" cm="1">
        <f t="array" ref="V15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56" t="s">
        <v>52</v>
      </c>
      <c r="X156" s="2" t="str">
        <f>_xlfn.XLOOKUP(Table1[[#This Row],[Loan_Credit_History]],Table4[Credit History],Table4[[ Category]])</f>
        <v>No Credit History</v>
      </c>
      <c r="Y156" s="3">
        <v>4</v>
      </c>
      <c r="Z156" s="3">
        <v>1</v>
      </c>
      <c r="AA156" s="5">
        <v>3804</v>
      </c>
      <c r="AB156" t="s">
        <v>151</v>
      </c>
      <c r="AC156" s="2" t="str" cm="1">
        <f t="array" ref="AC156">_xlfn.IFS(Table1[[#This Row],[Others_Parties]] = "No", "None",
Table1[[#This Row],[Others_Parties]] = "co applicant", "Co-applicant",
Table1[[#This Row],[Others_Parties]] = "guarantor", "Guarantor")</f>
        <v>None</v>
      </c>
      <c r="AD156" s="13" t="s">
        <v>145</v>
      </c>
      <c r="AE156" s="2" t="s">
        <v>111</v>
      </c>
      <c r="AF156" s="28" t="str" cm="1">
        <f t="array" ref="AF15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56" s="21">
        <v>36</v>
      </c>
      <c r="AH156" s="2" t="s">
        <v>153</v>
      </c>
      <c r="AI156"/>
      <c r="AZ156"/>
      <c r="BC156"/>
      <c r="BE156"/>
      <c r="BL156"/>
      <c r="BZ156"/>
      <c r="CA156"/>
      <c r="CF156"/>
      <c r="CG156"/>
      <c r="CH156"/>
      <c r="CI156"/>
      <c r="CK156"/>
      <c r="CN156"/>
    </row>
    <row r="157" spans="1:92" x14ac:dyDescent="0.3">
      <c r="A157" s="4">
        <v>155</v>
      </c>
      <c r="B157" s="11">
        <v>45</v>
      </c>
      <c r="C157" s="2" t="str">
        <f>_xlfn.XLOOKUP(Table1[[#This Row],[Age]],Table7[Start_Age],Table7[Age_Range],,-1)</f>
        <v>39-49</v>
      </c>
      <c r="D157" t="s">
        <v>136</v>
      </c>
      <c r="E157" s="2" t="s">
        <v>131</v>
      </c>
      <c r="F157" s="2" t="s">
        <v>137</v>
      </c>
      <c r="G157" s="3">
        <v>1</v>
      </c>
      <c r="H157" s="13" t="s">
        <v>152</v>
      </c>
      <c r="I157" s="2" t="str" cm="1">
        <f t="array" ref="I157">_xlfn.IFS(Table1[[#This Row],[Job_Type]] = "unskilled resident", "Resident",
Table1[[#This Row],[Job_Type]] = "unemp/unskilled non res", "Non-resident",
TRUE, "Unknown")</f>
        <v>Resident</v>
      </c>
      <c r="J157" s="2" t="s">
        <v>148</v>
      </c>
      <c r="K157" s="3">
        <v>4</v>
      </c>
      <c r="L157" s="2" t="s">
        <v>144</v>
      </c>
      <c r="M157" s="13" t="s">
        <v>152</v>
      </c>
      <c r="N157" t="s">
        <v>17</v>
      </c>
      <c r="O157" s="2" t="str">
        <f>_xlfn.XLOOKUP(Table1[[#This Row],[Checking_Acct_Status]],Table3[Checking_Acct_Original],Table3[Category])</f>
        <v>No Account</v>
      </c>
      <c r="P157" s="10" t="s">
        <v>47</v>
      </c>
      <c r="Q157" s="13" t="str">
        <f>_xlfn.XLOOKUP(Table1[[#This Row],[Saving_Acct_Status]],Table5[Saving_Acct_Original],Table5[Category])</f>
        <v>No Savings</v>
      </c>
      <c r="R157" t="s">
        <v>27</v>
      </c>
      <c r="S157" s="2" t="str">
        <f>IF(
      OR(Table1[[#This Row],[Job_Type]] = "high qualif/self emp/mgmt", Table1[[#This Row],[Job_Type]] = "skilled"),
      "Skilled", "Unskilled")</f>
        <v>Unskilled</v>
      </c>
      <c r="T157" t="str">
        <f>IF(Table1[[#This Row],[Job_Type]] = "unemp/unskilled non res", "Unemployed", "Employed")</f>
        <v>Employed</v>
      </c>
      <c r="U157" t="s">
        <v>38</v>
      </c>
      <c r="V157" s="14" t="str" cm="1">
        <f t="array" ref="V15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57" t="s">
        <v>31</v>
      </c>
      <c r="X157" s="2" t="str">
        <f>_xlfn.XLOOKUP(Table1[[#This Row],[Loan_Credit_History]],Table4[Credit History],Table4[[ Category]])</f>
        <v>Existing Credits Paid</v>
      </c>
      <c r="Y157" s="3">
        <v>2</v>
      </c>
      <c r="Z157" s="3">
        <v>1</v>
      </c>
      <c r="AA157" s="5">
        <v>3835</v>
      </c>
      <c r="AB157" t="s">
        <v>151</v>
      </c>
      <c r="AC157" s="2" t="str" cm="1">
        <f t="array" ref="AC157">_xlfn.IFS(Table1[[#This Row],[Others_Parties]] = "No", "None",
Table1[[#This Row],[Others_Parties]] = "co applicant", "Co-applicant",
Table1[[#This Row],[Others_Parties]] = "guarantor", "Guarantor")</f>
        <v>None</v>
      </c>
      <c r="AD157" s="13" t="s">
        <v>145</v>
      </c>
      <c r="AE157" s="2" t="s">
        <v>111</v>
      </c>
      <c r="AF157" s="28" t="str" cm="1">
        <f t="array" ref="AF15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57" s="21">
        <v>36</v>
      </c>
      <c r="AH157" s="2" t="s">
        <v>154</v>
      </c>
      <c r="AI157"/>
      <c r="AZ157"/>
      <c r="BC157"/>
      <c r="BE157"/>
      <c r="BL157"/>
      <c r="BZ157"/>
      <c r="CA157"/>
      <c r="CF157"/>
      <c r="CG157"/>
      <c r="CH157"/>
      <c r="CI157"/>
      <c r="CK157"/>
      <c r="CN157"/>
    </row>
    <row r="158" spans="1:92" x14ac:dyDescent="0.3">
      <c r="A158" s="4">
        <v>156</v>
      </c>
      <c r="B158" s="11">
        <v>23</v>
      </c>
      <c r="C158" s="2" t="str">
        <f>_xlfn.XLOOKUP(Table1[[#This Row],[Age]],Table7[Start_Age],Table7[Age_Range],,-1)</f>
        <v>19-29</v>
      </c>
      <c r="D158" t="s">
        <v>130</v>
      </c>
      <c r="E158" s="2" t="s">
        <v>129</v>
      </c>
      <c r="F158" s="2" t="s">
        <v>133</v>
      </c>
      <c r="G158" s="3">
        <v>1</v>
      </c>
      <c r="H158" s="13" t="s">
        <v>152</v>
      </c>
      <c r="I158" s="2" t="str" cm="1">
        <f t="array" ref="I158">_xlfn.IFS(Table1[[#This Row],[Job_Type]] = "unskilled resident", "Resident",
Table1[[#This Row],[Job_Type]] = "unemp/unskilled non res", "Non-resident",
TRUE, "Unknown")</f>
        <v>Unknown</v>
      </c>
      <c r="J158" s="2" t="s">
        <v>148</v>
      </c>
      <c r="K158" s="3">
        <v>2</v>
      </c>
      <c r="L158" s="2" t="s">
        <v>144</v>
      </c>
      <c r="M158" s="13" t="s">
        <v>152</v>
      </c>
      <c r="N158" t="s">
        <v>50</v>
      </c>
      <c r="O158" s="2" t="str">
        <f>_xlfn.XLOOKUP(Table1[[#This Row],[Checking_Acct_Status]],Table3[Checking_Acct_Original],Table3[Category])</f>
        <v>High Balance</v>
      </c>
      <c r="P158" s="10" t="s">
        <v>32</v>
      </c>
      <c r="Q158" s="13" t="str">
        <f>_xlfn.XLOOKUP(Table1[[#This Row],[Saving_Acct_Status]],Table5[Saving_Acct_Original],Table5[Category])</f>
        <v>Low Savings</v>
      </c>
      <c r="R158" t="s">
        <v>41</v>
      </c>
      <c r="S158" s="2" t="str">
        <f>IF(
      OR(Table1[[#This Row],[Job_Type]] = "high qualif/self emp/mgmt", Table1[[#This Row],[Job_Type]] = "skilled"),
      "Skilled", "Unskilled")</f>
        <v>Skilled</v>
      </c>
      <c r="T158" t="str">
        <f>IF(Table1[[#This Row],[Job_Type]] = "unemp/unskilled non res", "Unemployed", "Employed")</f>
        <v>Employed</v>
      </c>
      <c r="U158" t="s">
        <v>21</v>
      </c>
      <c r="V158" s="14" t="str" cm="1">
        <f t="array" ref="V15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58" t="s">
        <v>31</v>
      </c>
      <c r="X158" s="2" t="str">
        <f>_xlfn.XLOOKUP(Table1[[#This Row],[Loan_Credit_History]],Table4[Credit History],Table4[[ Category]])</f>
        <v>Existing Credits Paid</v>
      </c>
      <c r="Y158" s="3">
        <v>2</v>
      </c>
      <c r="Z158" s="3">
        <v>1</v>
      </c>
      <c r="AA158" s="5">
        <v>3913</v>
      </c>
      <c r="AB158" t="s">
        <v>151</v>
      </c>
      <c r="AC158" s="2" t="str" cm="1">
        <f t="array" ref="AC158">_xlfn.IFS(Table1[[#This Row],[Others_Parties]] = "No", "None",
Table1[[#This Row],[Others_Parties]] = "co applicant", "Co-applicant",
Table1[[#This Row],[Others_Parties]] = "guarantor", "Guarantor")</f>
        <v>None</v>
      </c>
      <c r="AD158" s="13" t="s">
        <v>145</v>
      </c>
      <c r="AE158" s="2" t="s">
        <v>111</v>
      </c>
      <c r="AF158" s="28" t="str" cm="1">
        <f t="array" ref="AF15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58" s="21">
        <v>36</v>
      </c>
      <c r="AH158" s="2" t="s">
        <v>154</v>
      </c>
      <c r="AI158"/>
      <c r="AZ158"/>
      <c r="BC158"/>
      <c r="BE158"/>
      <c r="BL158"/>
      <c r="BZ158"/>
      <c r="CA158"/>
      <c r="CF158"/>
      <c r="CG158"/>
      <c r="CH158"/>
      <c r="CI158"/>
      <c r="CK158"/>
      <c r="CN158"/>
    </row>
    <row r="159" spans="1:92" x14ac:dyDescent="0.3">
      <c r="A159" s="4">
        <v>157</v>
      </c>
      <c r="B159" s="11">
        <v>30</v>
      </c>
      <c r="C159" s="2" t="str">
        <f>_xlfn.XLOOKUP(Table1[[#This Row],[Age]],Table7[Start_Age],Table7[Age_Range],,-1)</f>
        <v>29-39</v>
      </c>
      <c r="D159" t="s">
        <v>130</v>
      </c>
      <c r="E159" s="2" t="s">
        <v>129</v>
      </c>
      <c r="F159" s="2" t="s">
        <v>133</v>
      </c>
      <c r="G159" s="3">
        <v>1</v>
      </c>
      <c r="H159" s="13" t="s">
        <v>152</v>
      </c>
      <c r="I159" s="2" t="str" cm="1">
        <f t="array" ref="I159">_xlfn.IFS(Table1[[#This Row],[Job_Type]] = "unskilled resident", "Resident",
Table1[[#This Row],[Job_Type]] = "unemp/unskilled non res", "Non-resident",
TRUE, "Unknown")</f>
        <v>Unknown</v>
      </c>
      <c r="J159" s="2" t="s">
        <v>148</v>
      </c>
      <c r="K159" s="3">
        <v>3</v>
      </c>
      <c r="L159" s="2" t="s">
        <v>143</v>
      </c>
      <c r="M159" s="13" t="s">
        <v>152</v>
      </c>
      <c r="N159" t="s">
        <v>35</v>
      </c>
      <c r="O159" s="2" t="str">
        <f>_xlfn.XLOOKUP(Table1[[#This Row],[Checking_Acct_Status]],Table3[Checking_Acct_Original],Table3[Category])</f>
        <v>Negative Balance</v>
      </c>
      <c r="P159" s="10" t="s">
        <v>32</v>
      </c>
      <c r="Q159" s="13" t="str">
        <f>_xlfn.XLOOKUP(Table1[[#This Row],[Saving_Acct_Status]],Table5[Saving_Acct_Original],Table5[Category])</f>
        <v>Low Savings</v>
      </c>
      <c r="R159" t="s">
        <v>63</v>
      </c>
      <c r="S159" s="2" t="str">
        <f>IF(
      OR(Table1[[#This Row],[Job_Type]] = "high qualif/self emp/mgmt", Table1[[#This Row],[Job_Type]] = "skilled"),
      "Skilled", "Unskilled")</f>
        <v>Skilled</v>
      </c>
      <c r="T159" t="str">
        <f>IF(Table1[[#This Row],[Job_Type]] = "unemp/unskilled non res", "Unemployed", "Employed")</f>
        <v>Employed</v>
      </c>
      <c r="U159" t="s">
        <v>54</v>
      </c>
      <c r="V159" s="14" t="str" cm="1">
        <f t="array" ref="V159">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159" t="s">
        <v>31</v>
      </c>
      <c r="X159" s="2" t="str">
        <f>_xlfn.XLOOKUP(Table1[[#This Row],[Loan_Credit_History]],Table4[Credit History],Table4[[ Category]])</f>
        <v>Existing Credits Paid</v>
      </c>
      <c r="Y159" s="3">
        <v>4</v>
      </c>
      <c r="Z159" s="3">
        <v>1</v>
      </c>
      <c r="AA159" s="5">
        <v>3959</v>
      </c>
      <c r="AB159" t="s">
        <v>151</v>
      </c>
      <c r="AC159" s="2" t="str" cm="1">
        <f t="array" ref="AC159">_xlfn.IFS(Table1[[#This Row],[Others_Parties]] = "No", "None",
Table1[[#This Row],[Others_Parties]] = "co applicant", "Co-applicant",
Table1[[#This Row],[Others_Parties]] = "guarantor", "Guarantor")</f>
        <v>None</v>
      </c>
      <c r="AD159" s="13" t="s">
        <v>145</v>
      </c>
      <c r="AE159" s="2" t="s">
        <v>108</v>
      </c>
      <c r="AF159" s="28" t="str" cm="1">
        <f t="array" ref="AF15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59" s="21">
        <v>36</v>
      </c>
      <c r="AH159" s="2" t="s">
        <v>154</v>
      </c>
      <c r="AI159"/>
      <c r="AZ159"/>
      <c r="BC159"/>
      <c r="BE159"/>
      <c r="BL159"/>
      <c r="BZ159"/>
      <c r="CA159"/>
      <c r="CF159"/>
      <c r="CG159"/>
      <c r="CH159"/>
      <c r="CI159"/>
      <c r="CK159"/>
      <c r="CN159"/>
    </row>
    <row r="160" spans="1:92" x14ac:dyDescent="0.3">
      <c r="A160" s="4">
        <v>158</v>
      </c>
      <c r="B160" s="11">
        <v>29</v>
      </c>
      <c r="C160" s="2" t="str">
        <f>_xlfn.XLOOKUP(Table1[[#This Row],[Age]],Table7[Start_Age],Table7[Age_Range],,-1)</f>
        <v>29-39</v>
      </c>
      <c r="D160" t="s">
        <v>136</v>
      </c>
      <c r="E160" s="2" t="s">
        <v>131</v>
      </c>
      <c r="F160" s="2" t="s">
        <v>137</v>
      </c>
      <c r="G160" s="3">
        <v>1</v>
      </c>
      <c r="H160" s="13" t="s">
        <v>152</v>
      </c>
      <c r="I160" s="2" t="str" cm="1">
        <f t="array" ref="I160">_xlfn.IFS(Table1[[#This Row],[Job_Type]] = "unskilled resident", "Resident",
Table1[[#This Row],[Job_Type]] = "unemp/unskilled non res", "Non-resident",
TRUE, "Unknown")</f>
        <v>Non-resident</v>
      </c>
      <c r="J160" s="2" t="s">
        <v>148</v>
      </c>
      <c r="K160" s="3">
        <v>2</v>
      </c>
      <c r="L160" s="2" t="s">
        <v>142</v>
      </c>
      <c r="M160" s="13" t="s">
        <v>151</v>
      </c>
      <c r="N160" t="s">
        <v>30</v>
      </c>
      <c r="O160" s="2" t="str">
        <f>_xlfn.XLOOKUP(Table1[[#This Row],[Checking_Acct_Status]],Table3[Checking_Acct_Original],Table3[Category])</f>
        <v>Low Balance</v>
      </c>
      <c r="P160" s="10" t="s">
        <v>47</v>
      </c>
      <c r="Q160" s="13" t="str">
        <f>_xlfn.XLOOKUP(Table1[[#This Row],[Saving_Acct_Status]],Table5[Saving_Acct_Original],Table5[Category])</f>
        <v>No Savings</v>
      </c>
      <c r="R160" t="s">
        <v>62</v>
      </c>
      <c r="S160" s="2" t="str">
        <f>IF(
      OR(Table1[[#This Row],[Job_Type]] = "high qualif/self emp/mgmt", Table1[[#This Row],[Job_Type]] = "skilled"),
      "Skilled", "Unskilled")</f>
        <v>Unskilled</v>
      </c>
      <c r="T160" t="str">
        <f>IF(Table1[[#This Row],[Job_Type]] = "unemp/unskilled non res", "Unemployed", "Employed")</f>
        <v>Unemployed</v>
      </c>
      <c r="U160" t="s">
        <v>45</v>
      </c>
      <c r="V160" s="14" t="str" cm="1">
        <f t="array" ref="V16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60" t="s">
        <v>42</v>
      </c>
      <c r="X160" s="2" t="str">
        <f>_xlfn.XLOOKUP(Table1[[#This Row],[Loan_Credit_History]],Table4[Credit History],Table4[[ Category]])</f>
        <v>All Paid</v>
      </c>
      <c r="Y160" s="3">
        <v>3</v>
      </c>
      <c r="Z160" s="3">
        <v>1</v>
      </c>
      <c r="AA160" s="5">
        <v>3990</v>
      </c>
      <c r="AB160" t="s">
        <v>151</v>
      </c>
      <c r="AC160" s="2" t="str" cm="1">
        <f t="array" ref="AC160">_xlfn.IFS(Table1[[#This Row],[Others_Parties]] = "No", "None",
Table1[[#This Row],[Others_Parties]] = "co applicant", "Co-applicant",
Table1[[#This Row],[Others_Parties]] = "guarantor", "Guarantor")</f>
        <v>None</v>
      </c>
      <c r="AD160" s="13" t="s">
        <v>146</v>
      </c>
      <c r="AE160" s="2" t="s">
        <v>106</v>
      </c>
      <c r="AF160" s="28" t="str" cm="1">
        <f t="array" ref="AF16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60" s="21">
        <v>36</v>
      </c>
      <c r="AH160" s="2" t="s">
        <v>154</v>
      </c>
      <c r="AI160"/>
      <c r="AZ160"/>
      <c r="BC160"/>
      <c r="BE160"/>
      <c r="BL160"/>
      <c r="BZ160"/>
      <c r="CA160"/>
      <c r="CF160"/>
      <c r="CG160"/>
      <c r="CH160"/>
      <c r="CI160"/>
      <c r="CK160"/>
      <c r="CN160"/>
    </row>
    <row r="161" spans="1:92" x14ac:dyDescent="0.3">
      <c r="A161" s="4">
        <v>159</v>
      </c>
      <c r="B161" s="11">
        <v>26</v>
      </c>
      <c r="C161" s="2" t="str">
        <f>_xlfn.XLOOKUP(Table1[[#This Row],[Age]],Table7[Start_Age],Table7[Age_Range],,-1)</f>
        <v>19-29</v>
      </c>
      <c r="D161" t="s">
        <v>130</v>
      </c>
      <c r="E161" s="2" t="s">
        <v>129</v>
      </c>
      <c r="F161" s="2" t="s">
        <v>133</v>
      </c>
      <c r="G161" s="3">
        <v>1</v>
      </c>
      <c r="H161" s="13" t="s">
        <v>152</v>
      </c>
      <c r="I161" s="2" t="str" cm="1">
        <f t="array" ref="I161">_xlfn.IFS(Table1[[#This Row],[Job_Type]] = "unskilled resident", "Resident",
Table1[[#This Row],[Job_Type]] = "unemp/unskilled non res", "Non-resident",
TRUE, "Unknown")</f>
        <v>Unknown</v>
      </c>
      <c r="J161" s="2" t="s">
        <v>148</v>
      </c>
      <c r="K161" s="3">
        <v>2</v>
      </c>
      <c r="L161" s="2" t="s">
        <v>140</v>
      </c>
      <c r="M161" s="13" t="s">
        <v>151</v>
      </c>
      <c r="N161" t="s">
        <v>50</v>
      </c>
      <c r="O161" s="2" t="str">
        <f>_xlfn.XLOOKUP(Table1[[#This Row],[Checking_Acct_Status]],Table3[Checking_Acct_Original],Table3[Category])</f>
        <v>High Balance</v>
      </c>
      <c r="P161" s="10" t="s">
        <v>32</v>
      </c>
      <c r="Q161" s="13" t="str">
        <f>_xlfn.XLOOKUP(Table1[[#This Row],[Saving_Acct_Status]],Table5[Saving_Acct_Original],Table5[Category])</f>
        <v>Low Savings</v>
      </c>
      <c r="R161" t="s">
        <v>41</v>
      </c>
      <c r="S161" s="2" t="str">
        <f>IF(
      OR(Table1[[#This Row],[Job_Type]] = "high qualif/self emp/mgmt", Table1[[#This Row],[Job_Type]] = "skilled"),
      "Skilled", "Unskilled")</f>
        <v>Skilled</v>
      </c>
      <c r="T161" t="str">
        <f>IF(Table1[[#This Row],[Job_Type]] = "unemp/unskilled non res", "Unemployed", "Employed")</f>
        <v>Employed</v>
      </c>
      <c r="U161" t="s">
        <v>21</v>
      </c>
      <c r="V161" s="14" t="str" cm="1">
        <f t="array" ref="V16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61" t="s">
        <v>31</v>
      </c>
      <c r="X161" s="2" t="str">
        <f>_xlfn.XLOOKUP(Table1[[#This Row],[Loan_Credit_History]],Table4[Credit History],Table4[[ Category]])</f>
        <v>Existing Credits Paid</v>
      </c>
      <c r="Y161" s="3">
        <v>4</v>
      </c>
      <c r="Z161" s="3">
        <v>1</v>
      </c>
      <c r="AA161" s="5">
        <v>4210</v>
      </c>
      <c r="AB161" t="s">
        <v>151</v>
      </c>
      <c r="AC161" s="2" t="str" cm="1">
        <f t="array" ref="AC161">_xlfn.IFS(Table1[[#This Row],[Others_Parties]] = "No", "None",
Table1[[#This Row],[Others_Parties]] = "co applicant", "Co-applicant",
Table1[[#This Row],[Others_Parties]] = "guarantor", "Guarantor")</f>
        <v>None</v>
      </c>
      <c r="AD161" s="13" t="s">
        <v>145</v>
      </c>
      <c r="AE161" s="2" t="s">
        <v>111</v>
      </c>
      <c r="AF161" s="28" t="str" cm="1">
        <f t="array" ref="AF16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61" s="21">
        <v>36</v>
      </c>
      <c r="AH161" s="2" t="s">
        <v>153</v>
      </c>
      <c r="AI161"/>
      <c r="AZ161"/>
      <c r="BC161"/>
      <c r="BE161"/>
      <c r="BL161"/>
      <c r="BZ161"/>
      <c r="CA161"/>
      <c r="CF161"/>
      <c r="CG161"/>
      <c r="CH161"/>
      <c r="CI161"/>
      <c r="CK161"/>
      <c r="CN161"/>
    </row>
    <row r="162" spans="1:92" x14ac:dyDescent="0.3">
      <c r="A162" s="4">
        <v>160</v>
      </c>
      <c r="B162" s="11">
        <v>34</v>
      </c>
      <c r="C162" s="2" t="str">
        <f>_xlfn.XLOOKUP(Table1[[#This Row],[Age]],Table7[Start_Age],Table7[Age_Range],,-1)</f>
        <v>29-39</v>
      </c>
      <c r="D162" t="s">
        <v>136</v>
      </c>
      <c r="E162" s="2" t="s">
        <v>131</v>
      </c>
      <c r="F162" s="2" t="s">
        <v>137</v>
      </c>
      <c r="G162" s="3">
        <v>1</v>
      </c>
      <c r="H162" s="13" t="s">
        <v>152</v>
      </c>
      <c r="I162" s="2" t="str" cm="1">
        <f t="array" ref="I162">_xlfn.IFS(Table1[[#This Row],[Job_Type]] = "unskilled resident", "Resident",
Table1[[#This Row],[Job_Type]] = "unemp/unskilled non res", "Non-resident",
TRUE, "Unknown")</f>
        <v>Unknown</v>
      </c>
      <c r="J162" s="2" t="s">
        <v>148</v>
      </c>
      <c r="K162" s="3">
        <v>4</v>
      </c>
      <c r="L162" s="2" t="s">
        <v>144</v>
      </c>
      <c r="M162" s="13" t="s">
        <v>151</v>
      </c>
      <c r="N162" t="s">
        <v>17</v>
      </c>
      <c r="O162" s="2" t="str">
        <f>_xlfn.XLOOKUP(Table1[[#This Row],[Checking_Acct_Status]],Table3[Checking_Acct_Original],Table3[Category])</f>
        <v>No Account</v>
      </c>
      <c r="P162" s="10" t="s">
        <v>32</v>
      </c>
      <c r="Q162" s="13" t="str">
        <f>_xlfn.XLOOKUP(Table1[[#This Row],[Saving_Acct_Status]],Table5[Saving_Acct_Original],Table5[Category])</f>
        <v>Low Savings</v>
      </c>
      <c r="R162" t="s">
        <v>41</v>
      </c>
      <c r="S162" s="2" t="str">
        <f>IF(
      OR(Table1[[#This Row],[Job_Type]] = "high qualif/self emp/mgmt", Table1[[#This Row],[Job_Type]] = "skilled"),
      "Skilled", "Unskilled")</f>
        <v>Skilled</v>
      </c>
      <c r="T162" t="str">
        <f>IF(Table1[[#This Row],[Job_Type]] = "unemp/unskilled non res", "Unemployed", "Employed")</f>
        <v>Employed</v>
      </c>
      <c r="U162" t="s">
        <v>21</v>
      </c>
      <c r="V162" s="14" t="str" cm="1">
        <f t="array" ref="V16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62" t="s">
        <v>59</v>
      </c>
      <c r="X162" s="2" t="str">
        <f>_xlfn.XLOOKUP(Table1[[#This Row],[Loan_Credit_History]],Table4[Credit History],Table4[[ Category]])</f>
        <v>Previously Delayed</v>
      </c>
      <c r="Y162" s="3">
        <v>4</v>
      </c>
      <c r="Z162" s="3">
        <v>2</v>
      </c>
      <c r="AA162" s="5">
        <v>4454</v>
      </c>
      <c r="AB162" t="s">
        <v>151</v>
      </c>
      <c r="AC162" s="2" t="str" cm="1">
        <f t="array" ref="AC162">_xlfn.IFS(Table1[[#This Row],[Others_Parties]] = "No", "None",
Table1[[#This Row],[Others_Parties]] = "co applicant", "Co-applicant",
Table1[[#This Row],[Others_Parties]] = "guarantor", "Guarantor")</f>
        <v>None</v>
      </c>
      <c r="AD162" s="13" t="s">
        <v>145</v>
      </c>
      <c r="AE162" s="2" t="s">
        <v>111</v>
      </c>
      <c r="AF162" s="28" t="str" cm="1">
        <f t="array" ref="AF16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62" s="21">
        <v>36</v>
      </c>
      <c r="AH162" s="2" t="s">
        <v>154</v>
      </c>
      <c r="AI162"/>
      <c r="AZ162"/>
      <c r="BC162"/>
      <c r="BE162"/>
      <c r="BL162"/>
      <c r="BZ162"/>
      <c r="CA162"/>
      <c r="CF162"/>
      <c r="CG162"/>
      <c r="CH162"/>
      <c r="CI162"/>
      <c r="CK162"/>
      <c r="CN162"/>
    </row>
    <row r="163" spans="1:92" x14ac:dyDescent="0.3">
      <c r="A163" s="4">
        <v>161</v>
      </c>
      <c r="B163" s="11">
        <v>30</v>
      </c>
      <c r="C163" s="2" t="str">
        <f>_xlfn.XLOOKUP(Table1[[#This Row],[Age]],Table7[Start_Age],Table7[Age_Range],,-1)</f>
        <v>29-39</v>
      </c>
      <c r="D163" t="s">
        <v>138</v>
      </c>
      <c r="E163" s="2" t="s">
        <v>129</v>
      </c>
      <c r="F163" s="2" t="s">
        <v>178</v>
      </c>
      <c r="G163" s="3">
        <v>1</v>
      </c>
      <c r="H163" s="13" t="s">
        <v>152</v>
      </c>
      <c r="I163" s="2" t="str" cm="1">
        <f t="array" ref="I163">_xlfn.IFS(Table1[[#This Row],[Job_Type]] = "unskilled resident", "Resident",
Table1[[#This Row],[Job_Type]] = "unemp/unskilled non res", "Non-resident",
TRUE, "Unknown")</f>
        <v>Unknown</v>
      </c>
      <c r="J163" s="2" t="s">
        <v>148</v>
      </c>
      <c r="K163" s="3">
        <v>2</v>
      </c>
      <c r="L163" s="2" t="s">
        <v>144</v>
      </c>
      <c r="M163" s="13" t="s">
        <v>152</v>
      </c>
      <c r="N163" t="s">
        <v>30</v>
      </c>
      <c r="O163" s="2" t="str">
        <f>_xlfn.XLOOKUP(Table1[[#This Row],[Checking_Acct_Status]],Table3[Checking_Acct_Original],Table3[Category])</f>
        <v>Low Balance</v>
      </c>
      <c r="P163" s="10" t="s">
        <v>32</v>
      </c>
      <c r="Q163" s="13" t="str">
        <f>_xlfn.XLOOKUP(Table1[[#This Row],[Saving_Acct_Status]],Table5[Saving_Acct_Original],Table5[Category])</f>
        <v>Low Savings</v>
      </c>
      <c r="R163" t="s">
        <v>63</v>
      </c>
      <c r="S163" s="2" t="str">
        <f>IF(
      OR(Table1[[#This Row],[Job_Type]] = "high qualif/self emp/mgmt", Table1[[#This Row],[Job_Type]] = "skilled"),
      "Skilled", "Unskilled")</f>
        <v>Skilled</v>
      </c>
      <c r="T163" t="str">
        <f>IF(Table1[[#This Row],[Job_Type]] = "unemp/unskilled non res", "Unemployed", "Employed")</f>
        <v>Employed</v>
      </c>
      <c r="U163" t="s">
        <v>21</v>
      </c>
      <c r="V163" s="14" t="str" cm="1">
        <f t="array" ref="V16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63" t="s">
        <v>59</v>
      </c>
      <c r="X163" s="2" t="str">
        <f>_xlfn.XLOOKUP(Table1[[#This Row],[Loan_Credit_History]],Table4[Credit History],Table4[[ Category]])</f>
        <v>Previously Delayed</v>
      </c>
      <c r="Y163" s="3">
        <v>2</v>
      </c>
      <c r="Z163" s="3">
        <v>2</v>
      </c>
      <c r="AA163" s="5">
        <v>4455</v>
      </c>
      <c r="AB163" t="s">
        <v>151</v>
      </c>
      <c r="AC163" s="2" t="str" cm="1">
        <f t="array" ref="AC163">_xlfn.IFS(Table1[[#This Row],[Others_Parties]] = "No", "None",
Table1[[#This Row],[Others_Parties]] = "co applicant", "Co-applicant",
Table1[[#This Row],[Others_Parties]] = "guarantor", "Guarantor")</f>
        <v>None</v>
      </c>
      <c r="AD163" s="13" t="s">
        <v>147</v>
      </c>
      <c r="AE163" s="2" t="s">
        <v>105</v>
      </c>
      <c r="AF163" s="28" t="str" cm="1">
        <f t="array" ref="AF16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63" s="21">
        <v>36</v>
      </c>
      <c r="AH163" s="2" t="s">
        <v>153</v>
      </c>
      <c r="AI163"/>
      <c r="AZ163"/>
      <c r="BC163"/>
      <c r="BE163"/>
      <c r="BL163"/>
      <c r="BZ163"/>
      <c r="CA163"/>
      <c r="CF163"/>
      <c r="CG163"/>
      <c r="CH163"/>
      <c r="CI163"/>
      <c r="CK163"/>
      <c r="CN163"/>
    </row>
    <row r="164" spans="1:92" x14ac:dyDescent="0.3">
      <c r="A164" s="4">
        <v>162</v>
      </c>
      <c r="B164" s="11">
        <v>26</v>
      </c>
      <c r="C164" s="2" t="str">
        <f>_xlfn.XLOOKUP(Table1[[#This Row],[Age]],Table7[Start_Age],Table7[Age_Range],,-1)</f>
        <v>19-29</v>
      </c>
      <c r="D164" t="s">
        <v>130</v>
      </c>
      <c r="E164" s="2" t="s">
        <v>129</v>
      </c>
      <c r="F164" s="2" t="s">
        <v>133</v>
      </c>
      <c r="G164" s="3">
        <v>1</v>
      </c>
      <c r="H164" s="13" t="s">
        <v>152</v>
      </c>
      <c r="I164" s="2" t="str" cm="1">
        <f t="array" ref="I164">_xlfn.IFS(Table1[[#This Row],[Job_Type]] = "unskilled resident", "Resident",
Table1[[#This Row],[Job_Type]] = "unemp/unskilled non res", "Non-resident",
TRUE, "Unknown")</f>
        <v>Unknown</v>
      </c>
      <c r="J164" s="2" t="s">
        <v>148</v>
      </c>
      <c r="K164" s="3">
        <v>2</v>
      </c>
      <c r="L164" s="2" t="s">
        <v>140</v>
      </c>
      <c r="M164" s="13" t="s">
        <v>152</v>
      </c>
      <c r="N164" t="s">
        <v>17</v>
      </c>
      <c r="O164" s="2" t="str">
        <f>_xlfn.XLOOKUP(Table1[[#This Row],[Checking_Acct_Status]],Table3[Checking_Acct_Original],Table3[Category])</f>
        <v>No Account</v>
      </c>
      <c r="P164" s="10" t="s">
        <v>32</v>
      </c>
      <c r="Q164" s="13" t="str">
        <f>_xlfn.XLOOKUP(Table1[[#This Row],[Saving_Acct_Status]],Table5[Saving_Acct_Original],Table5[Category])</f>
        <v>Low Savings</v>
      </c>
      <c r="R164" t="s">
        <v>63</v>
      </c>
      <c r="S164" s="2" t="str">
        <f>IF(
      OR(Table1[[#This Row],[Job_Type]] = "high qualif/self emp/mgmt", Table1[[#This Row],[Job_Type]] = "skilled"),
      "Skilled", "Unskilled")</f>
        <v>Skilled</v>
      </c>
      <c r="T164" t="str">
        <f>IF(Table1[[#This Row],[Job_Type]] = "unemp/unskilled non res", "Unemployed", "Employed")</f>
        <v>Employed</v>
      </c>
      <c r="U164" t="s">
        <v>21</v>
      </c>
      <c r="V164" s="14" t="str" cm="1">
        <f t="array" ref="V16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64" t="s">
        <v>59</v>
      </c>
      <c r="X164" s="2" t="str">
        <f>_xlfn.XLOOKUP(Table1[[#This Row],[Loan_Credit_History]],Table4[Credit History],Table4[[ Category]])</f>
        <v>Previously Delayed</v>
      </c>
      <c r="Y164" s="3">
        <v>4</v>
      </c>
      <c r="Z164" s="3">
        <v>2</v>
      </c>
      <c r="AA164" s="5">
        <v>4463</v>
      </c>
      <c r="AB164" t="s">
        <v>151</v>
      </c>
      <c r="AC164" s="2" t="str" cm="1">
        <f t="array" ref="AC164">_xlfn.IFS(Table1[[#This Row],[Others_Parties]] = "No", "None",
Table1[[#This Row],[Others_Parties]] = "co applicant", "Co-applicant",
Table1[[#This Row],[Others_Parties]] = "guarantor", "Guarantor")</f>
        <v>None</v>
      </c>
      <c r="AD164" s="13" t="s">
        <v>145</v>
      </c>
      <c r="AE164" s="2" t="s">
        <v>111</v>
      </c>
      <c r="AF164" s="28" t="str" cm="1">
        <f t="array" ref="AF16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64" s="21">
        <v>36</v>
      </c>
      <c r="AH164" s="2" t="s">
        <v>153</v>
      </c>
      <c r="AI164"/>
      <c r="AZ164"/>
      <c r="BC164"/>
      <c r="BE164"/>
      <c r="BL164"/>
      <c r="BZ164"/>
      <c r="CA164"/>
      <c r="CF164"/>
      <c r="CG164"/>
      <c r="CH164"/>
      <c r="CI164"/>
      <c r="CK164"/>
      <c r="CN164"/>
    </row>
    <row r="165" spans="1:92" x14ac:dyDescent="0.3">
      <c r="A165" s="4">
        <v>163</v>
      </c>
      <c r="B165" s="11">
        <v>31</v>
      </c>
      <c r="C165" s="2" t="str">
        <f>_xlfn.XLOOKUP(Table1[[#This Row],[Age]],Table7[Start_Age],Table7[Age_Range],,-1)</f>
        <v>29-39</v>
      </c>
      <c r="D165" t="s">
        <v>130</v>
      </c>
      <c r="E165" s="2" t="s">
        <v>129</v>
      </c>
      <c r="F165" s="2" t="s">
        <v>133</v>
      </c>
      <c r="G165" s="3">
        <v>1</v>
      </c>
      <c r="H165" s="13" t="s">
        <v>152</v>
      </c>
      <c r="I165" s="2" t="str" cm="1">
        <f t="array" ref="I165">_xlfn.IFS(Table1[[#This Row],[Job_Type]] = "unskilled resident", "Resident",
Table1[[#This Row],[Job_Type]] = "unemp/unskilled non res", "Non-resident",
TRUE, "Unknown")</f>
        <v>Unknown</v>
      </c>
      <c r="J165" s="2" t="s">
        <v>148</v>
      </c>
      <c r="K165" s="3">
        <v>2</v>
      </c>
      <c r="L165" s="2" t="s">
        <v>140</v>
      </c>
      <c r="M165" s="13" t="s">
        <v>151</v>
      </c>
      <c r="N165" t="s">
        <v>50</v>
      </c>
      <c r="O165" s="2" t="str">
        <f>_xlfn.XLOOKUP(Table1[[#This Row],[Checking_Acct_Status]],Table3[Checking_Acct_Original],Table3[Category])</f>
        <v>High Balance</v>
      </c>
      <c r="P165" s="10" t="s">
        <v>32</v>
      </c>
      <c r="Q165" s="13" t="str">
        <f>_xlfn.XLOOKUP(Table1[[#This Row],[Saving_Acct_Status]],Table5[Saving_Acct_Original],Table5[Category])</f>
        <v>Low Savings</v>
      </c>
      <c r="R165" t="s">
        <v>41</v>
      </c>
      <c r="S165" s="2" t="str">
        <f>IF(
      OR(Table1[[#This Row],[Job_Type]] = "high qualif/self emp/mgmt", Table1[[#This Row],[Job_Type]] = "skilled"),
      "Skilled", "Unskilled")</f>
        <v>Skilled</v>
      </c>
      <c r="T165" t="str">
        <f>IF(Table1[[#This Row],[Job_Type]] = "unemp/unskilled non res", "Unemployed", "Employed")</f>
        <v>Employed</v>
      </c>
      <c r="U165" t="s">
        <v>38</v>
      </c>
      <c r="V165" s="14" t="str" cm="1">
        <f t="array" ref="V16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65" t="s">
        <v>31</v>
      </c>
      <c r="X165" s="2" t="str">
        <f>_xlfn.XLOOKUP(Table1[[#This Row],[Loan_Credit_History]],Table4[Credit History],Table4[[ Category]])</f>
        <v>Existing Credits Paid</v>
      </c>
      <c r="Y165" s="3">
        <v>4</v>
      </c>
      <c r="Z165" s="3">
        <v>1</v>
      </c>
      <c r="AA165" s="5">
        <v>4473</v>
      </c>
      <c r="AB165" t="s">
        <v>151</v>
      </c>
      <c r="AC165" s="2" t="str" cm="1">
        <f t="array" ref="AC165">_xlfn.IFS(Table1[[#This Row],[Others_Parties]] = "No", "None",
Table1[[#This Row],[Others_Parties]] = "co applicant", "Co-applicant",
Table1[[#This Row],[Others_Parties]] = "guarantor", "Guarantor")</f>
        <v>None</v>
      </c>
      <c r="AD165" s="13" t="s">
        <v>145</v>
      </c>
      <c r="AE165" s="2" t="s">
        <v>111</v>
      </c>
      <c r="AF165" s="28" t="str" cm="1">
        <f t="array" ref="AF16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65" s="21">
        <v>36</v>
      </c>
      <c r="AH165" s="2" t="s">
        <v>154</v>
      </c>
      <c r="AI165"/>
      <c r="AZ165"/>
      <c r="BC165"/>
      <c r="BE165"/>
      <c r="BL165"/>
      <c r="BZ165"/>
      <c r="CA165"/>
      <c r="CF165"/>
      <c r="CG165"/>
      <c r="CH165"/>
      <c r="CI165"/>
      <c r="CK165"/>
      <c r="CN165"/>
    </row>
    <row r="166" spans="1:92" x14ac:dyDescent="0.3">
      <c r="A166" s="4">
        <v>164</v>
      </c>
      <c r="B166" s="11">
        <v>32</v>
      </c>
      <c r="C166" s="2" t="str">
        <f>_xlfn.XLOOKUP(Table1[[#This Row],[Age]],Table7[Start_Age],Table7[Age_Range],,-1)</f>
        <v>29-39</v>
      </c>
      <c r="D166" t="s">
        <v>130</v>
      </c>
      <c r="E166" s="2" t="s">
        <v>129</v>
      </c>
      <c r="F166" s="2" t="s">
        <v>133</v>
      </c>
      <c r="G166" s="3">
        <v>1</v>
      </c>
      <c r="H166" s="13" t="s">
        <v>152</v>
      </c>
      <c r="I166" s="2" t="str" cm="1">
        <f t="array" ref="I166">_xlfn.IFS(Table1[[#This Row],[Job_Type]] = "unskilled resident", "Resident",
Table1[[#This Row],[Job_Type]] = "unemp/unskilled non res", "Non-resident",
TRUE, "Unknown")</f>
        <v>Unknown</v>
      </c>
      <c r="J166" s="2" t="s">
        <v>150</v>
      </c>
      <c r="K166" s="3">
        <v>2</v>
      </c>
      <c r="L166" s="2" t="s">
        <v>142</v>
      </c>
      <c r="M166" s="13" t="s">
        <v>152</v>
      </c>
      <c r="N166" t="s">
        <v>17</v>
      </c>
      <c r="O166" s="2" t="str">
        <f>_xlfn.XLOOKUP(Table1[[#This Row],[Checking_Acct_Status]],Table3[Checking_Acct_Original],Table3[Category])</f>
        <v>No Account</v>
      </c>
      <c r="P166" s="10" t="s">
        <v>32</v>
      </c>
      <c r="Q166" s="13" t="str">
        <f>_xlfn.XLOOKUP(Table1[[#This Row],[Saving_Acct_Status]],Table5[Saving_Acct_Original],Table5[Category])</f>
        <v>Low Savings</v>
      </c>
      <c r="R166" t="s">
        <v>63</v>
      </c>
      <c r="S166" s="2" t="str">
        <f>IF(
      OR(Table1[[#This Row],[Job_Type]] = "high qualif/self emp/mgmt", Table1[[#This Row],[Job_Type]] = "skilled"),
      "Skilled", "Unskilled")</f>
        <v>Skilled</v>
      </c>
      <c r="T166" t="str">
        <f>IF(Table1[[#This Row],[Job_Type]] = "unemp/unskilled non res", "Unemployed", "Employed")</f>
        <v>Employed</v>
      </c>
      <c r="U166" t="s">
        <v>21</v>
      </c>
      <c r="V166" s="14" t="str" cm="1">
        <f t="array" ref="V16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66" t="s">
        <v>31</v>
      </c>
      <c r="X166" s="2" t="str">
        <f>_xlfn.XLOOKUP(Table1[[#This Row],[Loan_Credit_History]],Table4[Credit History],Table4[[ Category]])</f>
        <v>Existing Credits Paid</v>
      </c>
      <c r="Y166" s="3">
        <v>2</v>
      </c>
      <c r="Z166" s="3">
        <v>1</v>
      </c>
      <c r="AA166" s="5">
        <v>4686</v>
      </c>
      <c r="AB166" t="s">
        <v>151</v>
      </c>
      <c r="AC166" s="2" t="str" cm="1">
        <f t="array" ref="AC166">_xlfn.IFS(Table1[[#This Row],[Others_Parties]] = "No", "None",
Table1[[#This Row],[Others_Parties]] = "co applicant", "Co-applicant",
Table1[[#This Row],[Others_Parties]] = "guarantor", "Guarantor")</f>
        <v>None</v>
      </c>
      <c r="AD166" s="13" t="s">
        <v>145</v>
      </c>
      <c r="AE166" s="2" t="s">
        <v>107</v>
      </c>
      <c r="AF166" s="28" t="str" cm="1">
        <f t="array" ref="AF16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66" s="21">
        <v>36</v>
      </c>
      <c r="AH166" s="2" t="s">
        <v>154</v>
      </c>
      <c r="AI166"/>
      <c r="AZ166"/>
      <c r="BC166"/>
      <c r="BE166"/>
      <c r="BL166"/>
      <c r="BZ166"/>
      <c r="CA166"/>
      <c r="CF166"/>
      <c r="CG166"/>
      <c r="CH166"/>
      <c r="CI166"/>
      <c r="CK166"/>
      <c r="CN166"/>
    </row>
    <row r="167" spans="1:92" x14ac:dyDescent="0.3">
      <c r="A167" s="4">
        <v>165</v>
      </c>
      <c r="B167" s="11">
        <v>30</v>
      </c>
      <c r="C167" s="2" t="str">
        <f>_xlfn.XLOOKUP(Table1[[#This Row],[Age]],Table7[Start_Age],Table7[Age_Range],,-1)</f>
        <v>29-39</v>
      </c>
      <c r="D167" t="s">
        <v>136</v>
      </c>
      <c r="E167" s="2" t="s">
        <v>131</v>
      </c>
      <c r="F167" s="2" t="s">
        <v>137</v>
      </c>
      <c r="G167" s="3">
        <v>1</v>
      </c>
      <c r="H167" s="13" t="s">
        <v>152</v>
      </c>
      <c r="I167" s="2" t="str" cm="1">
        <f t="array" ref="I167">_xlfn.IFS(Table1[[#This Row],[Job_Type]] = "unskilled resident", "Resident",
Table1[[#This Row],[Job_Type]] = "unemp/unskilled non res", "Non-resident",
TRUE, "Unknown")</f>
        <v>Unknown</v>
      </c>
      <c r="J167" s="2" t="s">
        <v>148</v>
      </c>
      <c r="K167" s="3">
        <v>1</v>
      </c>
      <c r="L167" s="2" t="s">
        <v>142</v>
      </c>
      <c r="M167" s="13" t="s">
        <v>152</v>
      </c>
      <c r="N167" t="s">
        <v>30</v>
      </c>
      <c r="O167" s="2" t="str">
        <f>_xlfn.XLOOKUP(Table1[[#This Row],[Checking_Acct_Status]],Table3[Checking_Acct_Original],Table3[Category])</f>
        <v>Low Balance</v>
      </c>
      <c r="P167" s="10" t="s">
        <v>32</v>
      </c>
      <c r="Q167" s="13" t="str">
        <f>_xlfn.XLOOKUP(Table1[[#This Row],[Saving_Acct_Status]],Table5[Saving_Acct_Original],Table5[Category])</f>
        <v>Low Savings</v>
      </c>
      <c r="R167" t="s">
        <v>63</v>
      </c>
      <c r="S167" s="2" t="str">
        <f>IF(
      OR(Table1[[#This Row],[Job_Type]] = "high qualif/self emp/mgmt", Table1[[#This Row],[Job_Type]] = "skilled"),
      "Skilled", "Unskilled")</f>
        <v>Skilled</v>
      </c>
      <c r="T167" t="str">
        <f>IF(Table1[[#This Row],[Job_Type]] = "unemp/unskilled non res", "Unemployed", "Employed")</f>
        <v>Employed</v>
      </c>
      <c r="U167" t="s">
        <v>45</v>
      </c>
      <c r="V167" s="14" t="str" cm="1">
        <f t="array" ref="V16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67" t="s">
        <v>31</v>
      </c>
      <c r="X167" s="2" t="str">
        <f>_xlfn.XLOOKUP(Table1[[#This Row],[Loan_Credit_History]],Table4[Credit History],Table4[[ Category]])</f>
        <v>Existing Credits Paid</v>
      </c>
      <c r="Y167" s="3">
        <v>4</v>
      </c>
      <c r="Z167" s="3">
        <v>1</v>
      </c>
      <c r="AA167" s="5">
        <v>4795</v>
      </c>
      <c r="AB167" t="s">
        <v>151</v>
      </c>
      <c r="AC167" s="2" t="str" cm="1">
        <f t="array" ref="AC167">_xlfn.IFS(Table1[[#This Row],[Others_Parties]] = "No", "None",
Table1[[#This Row],[Others_Parties]] = "co applicant", "Co-applicant",
Table1[[#This Row],[Others_Parties]] = "guarantor", "Guarantor")</f>
        <v>None</v>
      </c>
      <c r="AD167" s="13" t="s">
        <v>145</v>
      </c>
      <c r="AE167" s="2" t="s">
        <v>111</v>
      </c>
      <c r="AF167" s="28" t="str" cm="1">
        <f t="array" ref="AF16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67" s="21">
        <v>36</v>
      </c>
      <c r="AH167" s="2" t="s">
        <v>154</v>
      </c>
      <c r="AI167"/>
      <c r="AZ167"/>
      <c r="BC167"/>
      <c r="BE167"/>
      <c r="BL167"/>
      <c r="BZ167"/>
      <c r="CA167"/>
      <c r="CF167"/>
      <c r="CG167"/>
      <c r="CH167"/>
      <c r="CI167"/>
      <c r="CK167"/>
      <c r="CN167"/>
    </row>
    <row r="168" spans="1:92" x14ac:dyDescent="0.3">
      <c r="A168" s="4">
        <v>166</v>
      </c>
      <c r="B168" s="11">
        <v>29</v>
      </c>
      <c r="C168" s="2" t="str">
        <f>_xlfn.XLOOKUP(Table1[[#This Row],[Age]],Table7[Start_Age],Table7[Age_Range],,-1)</f>
        <v>29-39</v>
      </c>
      <c r="D168" t="s">
        <v>130</v>
      </c>
      <c r="E168" s="2" t="s">
        <v>129</v>
      </c>
      <c r="F168" s="2" t="s">
        <v>133</v>
      </c>
      <c r="G168" s="3">
        <v>1</v>
      </c>
      <c r="H168" s="13" t="s">
        <v>152</v>
      </c>
      <c r="I168" s="2" t="str" cm="1">
        <f t="array" ref="I168">_xlfn.IFS(Table1[[#This Row],[Job_Type]] = "unskilled resident", "Resident",
Table1[[#This Row],[Job_Type]] = "unemp/unskilled non res", "Non-resident",
TRUE, "Unknown")</f>
        <v>Unknown</v>
      </c>
      <c r="J168" s="2" t="s">
        <v>148</v>
      </c>
      <c r="K168" s="3">
        <v>2</v>
      </c>
      <c r="L168" s="2" t="s">
        <v>143</v>
      </c>
      <c r="M168" s="13" t="s">
        <v>151</v>
      </c>
      <c r="N168" t="s">
        <v>35</v>
      </c>
      <c r="O168" s="2" t="str">
        <f>_xlfn.XLOOKUP(Table1[[#This Row],[Checking_Acct_Status]],Table3[Checking_Acct_Original],Table3[Category])</f>
        <v>Negative Balance</v>
      </c>
      <c r="P168" s="10" t="s">
        <v>32</v>
      </c>
      <c r="Q168" s="13" t="str">
        <f>_xlfn.XLOOKUP(Table1[[#This Row],[Saving_Acct_Status]],Table5[Saving_Acct_Original],Table5[Category])</f>
        <v>Low Savings</v>
      </c>
      <c r="R168" t="s">
        <v>41</v>
      </c>
      <c r="S168" s="2" t="str">
        <f>IF(
      OR(Table1[[#This Row],[Job_Type]] = "high qualif/self emp/mgmt", Table1[[#This Row],[Job_Type]] = "skilled"),
      "Skilled", "Unskilled")</f>
        <v>Skilled</v>
      </c>
      <c r="T168" t="str">
        <f>IF(Table1[[#This Row],[Job_Type]] = "unemp/unskilled non res", "Unemployed", "Employed")</f>
        <v>Employed</v>
      </c>
      <c r="U168" t="s">
        <v>49</v>
      </c>
      <c r="V168" s="14" t="str" cm="1">
        <f t="array" ref="V16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68" t="s">
        <v>31</v>
      </c>
      <c r="X168" s="2" t="str">
        <f>_xlfn.XLOOKUP(Table1[[#This Row],[Loan_Credit_History]],Table4[Credit History],Table4[[ Category]])</f>
        <v>Existing Credits Paid</v>
      </c>
      <c r="Y168" s="3">
        <v>4</v>
      </c>
      <c r="Z168" s="3">
        <v>1</v>
      </c>
      <c r="AA168" s="5">
        <v>5179</v>
      </c>
      <c r="AB168" t="s">
        <v>151</v>
      </c>
      <c r="AC168" s="2" t="str" cm="1">
        <f t="array" ref="AC168">_xlfn.IFS(Table1[[#This Row],[Others_Parties]] = "No", "None",
Table1[[#This Row],[Others_Parties]] = "co applicant", "Co-applicant",
Table1[[#This Row],[Others_Parties]] = "guarantor", "Guarantor")</f>
        <v>None</v>
      </c>
      <c r="AD168" s="13" t="s">
        <v>145</v>
      </c>
      <c r="AE168" s="2" t="s">
        <v>108</v>
      </c>
      <c r="AF168" s="28" t="str" cm="1">
        <f t="array" ref="AF16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68" s="21">
        <v>36</v>
      </c>
      <c r="AH168" s="2" t="s">
        <v>153</v>
      </c>
      <c r="AI168"/>
      <c r="AZ168"/>
      <c r="BC168"/>
      <c r="BE168"/>
      <c r="BL168"/>
      <c r="BZ168"/>
      <c r="CA168"/>
      <c r="CF168"/>
      <c r="CG168"/>
      <c r="CH168"/>
      <c r="CI168"/>
      <c r="CK168"/>
      <c r="CN168"/>
    </row>
    <row r="169" spans="1:92" x14ac:dyDescent="0.3">
      <c r="A169" s="4">
        <v>167</v>
      </c>
      <c r="B169" s="11">
        <v>28</v>
      </c>
      <c r="C169" s="2" t="str">
        <f>_xlfn.XLOOKUP(Table1[[#This Row],[Age]],Table7[Start_Age],Table7[Age_Range],,-1)</f>
        <v>19-29</v>
      </c>
      <c r="D169" t="s">
        <v>130</v>
      </c>
      <c r="E169" s="2" t="s">
        <v>129</v>
      </c>
      <c r="F169" s="2" t="s">
        <v>133</v>
      </c>
      <c r="G169" s="3">
        <v>1</v>
      </c>
      <c r="H169" s="13" t="s">
        <v>152</v>
      </c>
      <c r="I169" s="2" t="str" cm="1">
        <f t="array" ref="I169">_xlfn.IFS(Table1[[#This Row],[Job_Type]] = "unskilled resident", "Resident",
Table1[[#This Row],[Job_Type]] = "unemp/unskilled non res", "Non-resident",
TRUE, "Unknown")</f>
        <v>Unknown</v>
      </c>
      <c r="J169" s="2" t="s">
        <v>148</v>
      </c>
      <c r="K169" s="3">
        <v>2</v>
      </c>
      <c r="L169" s="2" t="s">
        <v>143</v>
      </c>
      <c r="M169" s="13" t="s">
        <v>151</v>
      </c>
      <c r="N169" t="s">
        <v>35</v>
      </c>
      <c r="O169" s="2" t="str">
        <f>_xlfn.XLOOKUP(Table1[[#This Row],[Checking_Acct_Status]],Table3[Checking_Acct_Original],Table3[Category])</f>
        <v>Negative Balance</v>
      </c>
      <c r="P169" s="10" t="s">
        <v>32</v>
      </c>
      <c r="Q169" s="13" t="str">
        <f>_xlfn.XLOOKUP(Table1[[#This Row],[Saving_Acct_Status]],Table5[Saving_Acct_Original],Table5[Category])</f>
        <v>Low Savings</v>
      </c>
      <c r="R169" t="s">
        <v>41</v>
      </c>
      <c r="S169" s="2" t="str">
        <f>IF(
      OR(Table1[[#This Row],[Job_Type]] = "high qualif/self emp/mgmt", Table1[[#This Row],[Job_Type]] = "skilled"),
      "Skilled", "Unskilled")</f>
        <v>Skilled</v>
      </c>
      <c r="T169" t="str">
        <f>IF(Table1[[#This Row],[Job_Type]] = "unemp/unskilled non res", "Unemployed", "Employed")</f>
        <v>Employed</v>
      </c>
      <c r="U169" t="s">
        <v>21</v>
      </c>
      <c r="V169" s="14" t="str" cm="1">
        <f t="array" ref="V16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69" t="s">
        <v>103</v>
      </c>
      <c r="X169" s="2" t="str">
        <f>_xlfn.XLOOKUP(Table1[[#This Row],[Loan_Credit_History]],Table4[Credit History],Table4[[ Category]])</f>
        <v>Critical Credit History</v>
      </c>
      <c r="Y169" s="3">
        <v>3</v>
      </c>
      <c r="Z169" s="3">
        <v>2</v>
      </c>
      <c r="AA169" s="5">
        <v>5371</v>
      </c>
      <c r="AB169" t="s">
        <v>58</v>
      </c>
      <c r="AC169" s="2" t="str" cm="1">
        <f t="array" ref="AC169">_xlfn.IFS(Table1[[#This Row],[Others_Parties]] = "No", "None",
Table1[[#This Row],[Others_Parties]] = "co applicant", "Co-applicant",
Table1[[#This Row],[Others_Parties]] = "guarantor", "Guarantor")</f>
        <v>Guarantor</v>
      </c>
      <c r="AD169" s="13" t="s">
        <v>145</v>
      </c>
      <c r="AE169" s="2" t="s">
        <v>108</v>
      </c>
      <c r="AF169" s="28" t="str" cm="1">
        <f t="array" ref="AF16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69" s="21">
        <v>36</v>
      </c>
      <c r="AH169" s="2" t="s">
        <v>154</v>
      </c>
      <c r="AI169"/>
      <c r="AZ169"/>
      <c r="BC169"/>
      <c r="BE169"/>
      <c r="BL169"/>
      <c r="BZ169"/>
      <c r="CA169"/>
      <c r="CF169"/>
      <c r="CG169"/>
      <c r="CH169"/>
      <c r="CI169"/>
      <c r="CK169"/>
      <c r="CN169"/>
    </row>
    <row r="170" spans="1:92" x14ac:dyDescent="0.3">
      <c r="A170" s="4">
        <v>168</v>
      </c>
      <c r="B170" s="11">
        <v>42</v>
      </c>
      <c r="C170" s="2" t="str">
        <f>_xlfn.XLOOKUP(Table1[[#This Row],[Age]],Table7[Start_Age],Table7[Age_Range],,-1)</f>
        <v>39-49</v>
      </c>
      <c r="D170" t="s">
        <v>130</v>
      </c>
      <c r="E170" s="2" t="s">
        <v>129</v>
      </c>
      <c r="F170" s="2" t="s">
        <v>133</v>
      </c>
      <c r="G170" s="3">
        <v>2</v>
      </c>
      <c r="H170" s="13" t="s">
        <v>152</v>
      </c>
      <c r="I170" s="2" t="str" cm="1">
        <f t="array" ref="I170">_xlfn.IFS(Table1[[#This Row],[Job_Type]] = "unskilled resident", "Resident",
Table1[[#This Row],[Job_Type]] = "unemp/unskilled non res", "Non-resident",
TRUE, "Unknown")</f>
        <v>Unknown</v>
      </c>
      <c r="J170" s="2" t="s">
        <v>150</v>
      </c>
      <c r="K170" s="3">
        <v>4</v>
      </c>
      <c r="L170" s="2" t="s">
        <v>142</v>
      </c>
      <c r="M170" s="13" t="s">
        <v>151</v>
      </c>
      <c r="N170" t="s">
        <v>35</v>
      </c>
      <c r="O170" s="2" t="str">
        <f>_xlfn.XLOOKUP(Table1[[#This Row],[Checking_Acct_Status]],Table3[Checking_Acct_Original],Table3[Category])</f>
        <v>Negative Balance</v>
      </c>
      <c r="P170" s="10" t="s">
        <v>32</v>
      </c>
      <c r="Q170" s="13" t="str">
        <f>_xlfn.XLOOKUP(Table1[[#This Row],[Saving_Acct_Status]],Table5[Saving_Acct_Original],Table5[Category])</f>
        <v>Low Savings</v>
      </c>
      <c r="R170" t="s">
        <v>41</v>
      </c>
      <c r="S170" s="2" t="str">
        <f>IF(
      OR(Table1[[#This Row],[Job_Type]] = "high qualif/self emp/mgmt", Table1[[#This Row],[Job_Type]] = "skilled"),
      "Skilled", "Unskilled")</f>
        <v>Skilled</v>
      </c>
      <c r="T170" t="str">
        <f>IF(Table1[[#This Row],[Job_Type]] = "unemp/unskilled non res", "Unemployed", "Employed")</f>
        <v>Employed</v>
      </c>
      <c r="U170" t="s">
        <v>38</v>
      </c>
      <c r="V170" s="14" t="str" cm="1">
        <f t="array" ref="V17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70" t="s">
        <v>31</v>
      </c>
      <c r="X170" s="2" t="str">
        <f>_xlfn.XLOOKUP(Table1[[#This Row],[Loan_Credit_History]],Table4[Credit History],Table4[[ Category]])</f>
        <v>Existing Credits Paid</v>
      </c>
      <c r="Y170" s="3">
        <v>2</v>
      </c>
      <c r="Z170" s="3">
        <v>1</v>
      </c>
      <c r="AA170" s="5">
        <v>5493</v>
      </c>
      <c r="AB170" t="s">
        <v>151</v>
      </c>
      <c r="AC170" s="2" t="str" cm="1">
        <f t="array" ref="AC170">_xlfn.IFS(Table1[[#This Row],[Others_Parties]] = "No", "None",
Table1[[#This Row],[Others_Parties]] = "co applicant", "Co-applicant",
Table1[[#This Row],[Others_Parties]] = "guarantor", "Guarantor")</f>
        <v>None</v>
      </c>
      <c r="AD170" s="13" t="s">
        <v>145</v>
      </c>
      <c r="AE170" s="2" t="s">
        <v>107</v>
      </c>
      <c r="AF170" s="28" t="str" cm="1">
        <f t="array" ref="AF17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70" s="21">
        <v>36</v>
      </c>
      <c r="AH170" s="2" t="s">
        <v>154</v>
      </c>
      <c r="AI170"/>
      <c r="AZ170"/>
      <c r="BC170"/>
      <c r="BE170"/>
      <c r="BL170"/>
      <c r="BZ170"/>
      <c r="CA170"/>
      <c r="CF170"/>
      <c r="CG170"/>
      <c r="CH170"/>
      <c r="CI170"/>
      <c r="CK170"/>
      <c r="CN170"/>
    </row>
    <row r="171" spans="1:92" x14ac:dyDescent="0.3">
      <c r="A171" s="4">
        <v>169</v>
      </c>
      <c r="B171" s="11">
        <v>38</v>
      </c>
      <c r="C171" s="2" t="str">
        <f>_xlfn.XLOOKUP(Table1[[#This Row],[Age]],Table7[Start_Age],Table7[Age_Range],,-1)</f>
        <v>29-39</v>
      </c>
      <c r="D171" t="s">
        <v>130</v>
      </c>
      <c r="E171" s="2" t="s">
        <v>129</v>
      </c>
      <c r="F171" s="2" t="s">
        <v>133</v>
      </c>
      <c r="G171" s="3">
        <v>1</v>
      </c>
      <c r="H171" s="13" t="s">
        <v>152</v>
      </c>
      <c r="I171" s="2" t="str" cm="1">
        <f t="array" ref="I171">_xlfn.IFS(Table1[[#This Row],[Job_Type]] = "unskilled resident", "Resident",
Table1[[#This Row],[Job_Type]] = "unemp/unskilled non res", "Non-resident",
TRUE, "Unknown")</f>
        <v>Unknown</v>
      </c>
      <c r="J171" s="2" t="s">
        <v>148</v>
      </c>
      <c r="K171" s="3">
        <v>2</v>
      </c>
      <c r="L171" s="2" t="s">
        <v>140</v>
      </c>
      <c r="M171" s="13" t="s">
        <v>152</v>
      </c>
      <c r="N171" t="s">
        <v>17</v>
      </c>
      <c r="O171" s="2" t="str">
        <f>_xlfn.XLOOKUP(Table1[[#This Row],[Checking_Acct_Status]],Table3[Checking_Acct_Original],Table3[Category])</f>
        <v>No Account</v>
      </c>
      <c r="P171" s="10" t="s">
        <v>20</v>
      </c>
      <c r="Q171" s="13" t="str">
        <f>_xlfn.XLOOKUP(Table1[[#This Row],[Saving_Acct_Status]],Table5[Saving_Acct_Original],Table5[Category])</f>
        <v>Very High Savings</v>
      </c>
      <c r="R171" t="s">
        <v>63</v>
      </c>
      <c r="S171" s="2" t="str">
        <f>IF(
      OR(Table1[[#This Row],[Job_Type]] = "high qualif/self emp/mgmt", Table1[[#This Row],[Job_Type]] = "skilled"),
      "Skilled", "Unskilled")</f>
        <v>Skilled</v>
      </c>
      <c r="T171" t="str">
        <f>IF(Table1[[#This Row],[Job_Type]] = "unemp/unskilled non res", "Unemployed", "Employed")</f>
        <v>Employed</v>
      </c>
      <c r="U171" t="s">
        <v>38</v>
      </c>
      <c r="V171" s="14" t="str" cm="1">
        <f t="array" ref="V17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71" t="s">
        <v>103</v>
      </c>
      <c r="X171" s="2" t="str">
        <f>_xlfn.XLOOKUP(Table1[[#This Row],[Loan_Credit_History]],Table4[Credit History],Table4[[ Category]])</f>
        <v>Critical Credit History</v>
      </c>
      <c r="Y171" s="3">
        <v>4</v>
      </c>
      <c r="Z171" s="3">
        <v>2</v>
      </c>
      <c r="AA171" s="5">
        <v>5711</v>
      </c>
      <c r="AB171" t="s">
        <v>151</v>
      </c>
      <c r="AC171" s="2" t="str" cm="1">
        <f t="array" ref="AC171">_xlfn.IFS(Table1[[#This Row],[Others_Parties]] = "No", "None",
Table1[[#This Row],[Others_Parties]] = "co applicant", "Co-applicant",
Table1[[#This Row],[Others_Parties]] = "guarantor", "Guarantor")</f>
        <v>None</v>
      </c>
      <c r="AD171" s="13" t="s">
        <v>145</v>
      </c>
      <c r="AE171" s="2" t="s">
        <v>107</v>
      </c>
      <c r="AF171" s="28" t="str" cm="1">
        <f t="array" ref="AF17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71" s="21">
        <v>36</v>
      </c>
      <c r="AH171" s="2" t="s">
        <v>154</v>
      </c>
      <c r="AI171"/>
      <c r="AZ171"/>
      <c r="BC171"/>
      <c r="BE171"/>
      <c r="BL171"/>
      <c r="BZ171"/>
      <c r="CA171"/>
      <c r="CF171"/>
      <c r="CG171"/>
      <c r="CH171"/>
      <c r="CI171"/>
      <c r="CK171"/>
      <c r="CN171"/>
    </row>
    <row r="172" spans="1:92" x14ac:dyDescent="0.3">
      <c r="A172" s="4">
        <v>170</v>
      </c>
      <c r="B172" s="11">
        <v>31</v>
      </c>
      <c r="C172" s="2" t="str">
        <f>_xlfn.XLOOKUP(Table1[[#This Row],[Age]],Table7[Start_Age],Table7[Age_Range],,-1)</f>
        <v>29-39</v>
      </c>
      <c r="D172" t="s">
        <v>130</v>
      </c>
      <c r="E172" s="2" t="s">
        <v>129</v>
      </c>
      <c r="F172" s="2" t="s">
        <v>133</v>
      </c>
      <c r="G172" s="3">
        <v>1</v>
      </c>
      <c r="H172" s="13" t="s">
        <v>152</v>
      </c>
      <c r="I172" s="2" t="str" cm="1">
        <f t="array" ref="I172">_xlfn.IFS(Table1[[#This Row],[Job_Type]] = "unskilled resident", "Resident",
Table1[[#This Row],[Job_Type]] = "unemp/unskilled non res", "Non-resident",
TRUE, "Unknown")</f>
        <v>Unknown</v>
      </c>
      <c r="J172" s="2" t="s">
        <v>148</v>
      </c>
      <c r="K172" s="3">
        <v>2</v>
      </c>
      <c r="L172" s="2" t="s">
        <v>140</v>
      </c>
      <c r="M172" s="13" t="s">
        <v>152</v>
      </c>
      <c r="N172" t="s">
        <v>17</v>
      </c>
      <c r="O172" s="2" t="str">
        <f>_xlfn.XLOOKUP(Table1[[#This Row],[Checking_Acct_Status]],Table3[Checking_Acct_Original],Table3[Category])</f>
        <v>No Account</v>
      </c>
      <c r="P172" s="10" t="s">
        <v>46</v>
      </c>
      <c r="Q172" s="13" t="str">
        <f>_xlfn.XLOOKUP(Table1[[#This Row],[Saving_Acct_Status]],Table5[Saving_Acct_Original],Table5[Category])</f>
        <v>Medium Savings</v>
      </c>
      <c r="R172" t="s">
        <v>41</v>
      </c>
      <c r="S172" s="2" t="str">
        <f>IF(
      OR(Table1[[#This Row],[Job_Type]] = "high qualif/self emp/mgmt", Table1[[#This Row],[Job_Type]] = "skilled"),
      "Skilled", "Unskilled")</f>
        <v>Skilled</v>
      </c>
      <c r="T172" t="str">
        <f>IF(Table1[[#This Row],[Job_Type]] = "unemp/unskilled non res", "Unemployed", "Employed")</f>
        <v>Employed</v>
      </c>
      <c r="U172" t="s">
        <v>49</v>
      </c>
      <c r="V172" s="14" t="str" cm="1">
        <f t="array" ref="V17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72" t="s">
        <v>31</v>
      </c>
      <c r="X172" s="2" t="str">
        <f>_xlfn.XLOOKUP(Table1[[#This Row],[Loan_Credit_History]],Table4[Credit History],Table4[[ Category]])</f>
        <v>Existing Credits Paid</v>
      </c>
      <c r="Y172" s="3">
        <v>2</v>
      </c>
      <c r="Z172" s="3">
        <v>2</v>
      </c>
      <c r="AA172" s="5">
        <v>5742</v>
      </c>
      <c r="AB172" t="s">
        <v>151</v>
      </c>
      <c r="AC172" s="2" t="str" cm="1">
        <f t="array" ref="AC172">_xlfn.IFS(Table1[[#This Row],[Others_Parties]] = "No", "None",
Table1[[#This Row],[Others_Parties]] = "co applicant", "Co-applicant",
Table1[[#This Row],[Others_Parties]] = "guarantor", "Guarantor")</f>
        <v>None</v>
      </c>
      <c r="AD172" s="13" t="s">
        <v>145</v>
      </c>
      <c r="AE172" s="2" t="s">
        <v>105</v>
      </c>
      <c r="AF172" s="28" t="str" cm="1">
        <f t="array" ref="AF17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72" s="21">
        <v>36</v>
      </c>
      <c r="AH172" s="2" t="s">
        <v>154</v>
      </c>
      <c r="AI172"/>
      <c r="AZ172"/>
      <c r="BC172"/>
      <c r="BE172"/>
      <c r="BL172"/>
      <c r="BZ172"/>
      <c r="CA172"/>
      <c r="CF172"/>
      <c r="CG172"/>
      <c r="CH172"/>
      <c r="CI172"/>
      <c r="CK172"/>
      <c r="CN172"/>
    </row>
    <row r="173" spans="1:92" x14ac:dyDescent="0.3">
      <c r="A173" s="4">
        <v>171</v>
      </c>
      <c r="B173" s="11">
        <v>34</v>
      </c>
      <c r="C173" s="2" t="str">
        <f>_xlfn.XLOOKUP(Table1[[#This Row],[Age]],Table7[Start_Age],Table7[Age_Range],,-1)</f>
        <v>29-39</v>
      </c>
      <c r="D173" t="s">
        <v>130</v>
      </c>
      <c r="E173" s="2" t="s">
        <v>129</v>
      </c>
      <c r="F173" s="2" t="s">
        <v>133</v>
      </c>
      <c r="G173" s="3">
        <v>1</v>
      </c>
      <c r="H173" s="13" t="s">
        <v>152</v>
      </c>
      <c r="I173" s="2" t="str" cm="1">
        <f t="array" ref="I173">_xlfn.IFS(Table1[[#This Row],[Job_Type]] = "unskilled resident", "Resident",
Table1[[#This Row],[Job_Type]] = "unemp/unskilled non res", "Non-resident",
TRUE, "Unknown")</f>
        <v>Unknown</v>
      </c>
      <c r="J173" s="2" t="s">
        <v>148</v>
      </c>
      <c r="K173" s="3">
        <v>4</v>
      </c>
      <c r="L173" s="2" t="s">
        <v>140</v>
      </c>
      <c r="M173" s="13" t="s">
        <v>152</v>
      </c>
      <c r="N173" t="s">
        <v>30</v>
      </c>
      <c r="O173" s="2" t="str">
        <f>_xlfn.XLOOKUP(Table1[[#This Row],[Checking_Acct_Status]],Table3[Checking_Acct_Original],Table3[Category])</f>
        <v>Low Balance</v>
      </c>
      <c r="P173" s="10" t="s">
        <v>32</v>
      </c>
      <c r="Q173" s="13" t="str">
        <f>_xlfn.XLOOKUP(Table1[[#This Row],[Saving_Acct_Status]],Table5[Saving_Acct_Original],Table5[Category])</f>
        <v>Low Savings</v>
      </c>
      <c r="R173" t="s">
        <v>41</v>
      </c>
      <c r="S173" s="2" t="str">
        <f>IF(
      OR(Table1[[#This Row],[Job_Type]] = "high qualif/self emp/mgmt", Table1[[#This Row],[Job_Type]] = "skilled"),
      "Skilled", "Unskilled")</f>
        <v>Skilled</v>
      </c>
      <c r="T173" t="str">
        <f>IF(Table1[[#This Row],[Job_Type]] = "unemp/unskilled non res", "Unemployed", "Employed")</f>
        <v>Employed</v>
      </c>
      <c r="U173" t="s">
        <v>21</v>
      </c>
      <c r="V173" s="14" t="str" cm="1">
        <f t="array" ref="V17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73" t="s">
        <v>103</v>
      </c>
      <c r="X173" s="2" t="str">
        <f>_xlfn.XLOOKUP(Table1[[#This Row],[Loan_Credit_History]],Table4[Credit History],Table4[[ Category]])</f>
        <v>Critical Credit History</v>
      </c>
      <c r="Y173" s="3">
        <v>3</v>
      </c>
      <c r="Z173" s="3">
        <v>2</v>
      </c>
      <c r="AA173" s="5">
        <v>5800</v>
      </c>
      <c r="AB173" t="s">
        <v>151</v>
      </c>
      <c r="AC173" s="2" t="str" cm="1">
        <f t="array" ref="AC173">_xlfn.IFS(Table1[[#This Row],[Others_Parties]] = "No", "None",
Table1[[#This Row],[Others_Parties]] = "co applicant", "Co-applicant",
Table1[[#This Row],[Others_Parties]] = "guarantor", "Guarantor")</f>
        <v>None</v>
      </c>
      <c r="AD173" s="13" t="s">
        <v>145</v>
      </c>
      <c r="AE173" s="2" t="s">
        <v>107</v>
      </c>
      <c r="AF173" s="28" t="str" cm="1">
        <f t="array" ref="AF17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73" s="21">
        <v>36</v>
      </c>
      <c r="AH173" s="2" t="s">
        <v>154</v>
      </c>
      <c r="AI173"/>
      <c r="AZ173"/>
      <c r="BC173"/>
      <c r="BE173"/>
      <c r="BL173"/>
      <c r="BZ173"/>
      <c r="CA173"/>
      <c r="CF173"/>
      <c r="CG173"/>
      <c r="CH173"/>
      <c r="CI173"/>
      <c r="CK173"/>
      <c r="CN173"/>
    </row>
    <row r="174" spans="1:92" x14ac:dyDescent="0.3">
      <c r="A174" s="4">
        <v>172</v>
      </c>
      <c r="B174" s="11">
        <v>35</v>
      </c>
      <c r="C174" s="2" t="str">
        <f>_xlfn.XLOOKUP(Table1[[#This Row],[Age]],Table7[Start_Age],Table7[Age_Range],,-1)</f>
        <v>29-39</v>
      </c>
      <c r="D174" t="s">
        <v>130</v>
      </c>
      <c r="E174" s="2" t="s">
        <v>129</v>
      </c>
      <c r="F174" s="2" t="s">
        <v>133</v>
      </c>
      <c r="G174" s="3">
        <v>2</v>
      </c>
      <c r="H174" s="13" t="s">
        <v>152</v>
      </c>
      <c r="I174" s="2" t="str" cm="1">
        <f t="array" ref="I174">_xlfn.IFS(Table1[[#This Row],[Job_Type]] = "unskilled resident", "Resident",
Table1[[#This Row],[Job_Type]] = "unemp/unskilled non res", "Non-resident",
TRUE, "Unknown")</f>
        <v>Unknown</v>
      </c>
      <c r="J174" s="2" t="s">
        <v>148</v>
      </c>
      <c r="K174" s="3">
        <v>2</v>
      </c>
      <c r="L174" s="2" t="s">
        <v>143</v>
      </c>
      <c r="M174" s="13" t="s">
        <v>152</v>
      </c>
      <c r="N174" t="s">
        <v>17</v>
      </c>
      <c r="O174" s="2" t="str">
        <f>_xlfn.XLOOKUP(Table1[[#This Row],[Checking_Acct_Status]],Table3[Checking_Acct_Original],Table3[Category])</f>
        <v>No Account</v>
      </c>
      <c r="P174" s="10" t="s">
        <v>32</v>
      </c>
      <c r="Q174" s="13" t="str">
        <f>_xlfn.XLOOKUP(Table1[[#This Row],[Saving_Acct_Status]],Table5[Saving_Acct_Original],Table5[Category])</f>
        <v>Low Savings</v>
      </c>
      <c r="R174" t="s">
        <v>41</v>
      </c>
      <c r="S174" s="2" t="str">
        <f>IF(
      OR(Table1[[#This Row],[Job_Type]] = "high qualif/self emp/mgmt", Table1[[#This Row],[Job_Type]] = "skilled"),
      "Skilled", "Unskilled")</f>
        <v>Skilled</v>
      </c>
      <c r="T174" t="str">
        <f>IF(Table1[[#This Row],[Job_Type]] = "unemp/unskilled non res", "Unemployed", "Employed")</f>
        <v>Employed</v>
      </c>
      <c r="U174" t="s">
        <v>38</v>
      </c>
      <c r="V174" s="14" t="str" cm="1">
        <f t="array" ref="V17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74" t="s">
        <v>103</v>
      </c>
      <c r="X174" s="2" t="str">
        <f>_xlfn.XLOOKUP(Table1[[#This Row],[Loan_Credit_History]],Table4[Credit History],Table4[[ Category]])</f>
        <v>Critical Credit History</v>
      </c>
      <c r="Y174" s="3">
        <v>2</v>
      </c>
      <c r="Z174" s="3">
        <v>2</v>
      </c>
      <c r="AA174" s="5">
        <v>5842</v>
      </c>
      <c r="AB174" t="s">
        <v>151</v>
      </c>
      <c r="AC174" s="2" t="str" cm="1">
        <f t="array" ref="AC174">_xlfn.IFS(Table1[[#This Row],[Others_Parties]] = "No", "None",
Table1[[#This Row],[Others_Parties]] = "co applicant", "Co-applicant",
Table1[[#This Row],[Others_Parties]] = "guarantor", "Guarantor")</f>
        <v>None</v>
      </c>
      <c r="AD174" s="13" t="s">
        <v>145</v>
      </c>
      <c r="AE174" s="2" t="s">
        <v>107</v>
      </c>
      <c r="AF174" s="28" t="str" cm="1">
        <f t="array" ref="AF17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74" s="21">
        <v>36</v>
      </c>
      <c r="AH174" s="2" t="s">
        <v>154</v>
      </c>
      <c r="AI174"/>
      <c r="AZ174"/>
      <c r="BC174"/>
      <c r="BE174"/>
      <c r="BL174"/>
      <c r="BZ174"/>
      <c r="CA174"/>
      <c r="CF174"/>
      <c r="CG174"/>
      <c r="CH174"/>
      <c r="CI174"/>
      <c r="CK174"/>
      <c r="CN174"/>
    </row>
    <row r="175" spans="1:92" x14ac:dyDescent="0.3">
      <c r="A175" s="4">
        <v>173</v>
      </c>
      <c r="B175" s="11">
        <v>24</v>
      </c>
      <c r="C175" s="2" t="str">
        <f>_xlfn.XLOOKUP(Table1[[#This Row],[Age]],Table7[Start_Age],Table7[Age_Range],,-1)</f>
        <v>19-29</v>
      </c>
      <c r="D175" t="s">
        <v>130</v>
      </c>
      <c r="E175" s="2" t="s">
        <v>129</v>
      </c>
      <c r="F175" s="2" t="s">
        <v>133</v>
      </c>
      <c r="G175" s="3">
        <v>1</v>
      </c>
      <c r="H175" s="13" t="s">
        <v>152</v>
      </c>
      <c r="I175" s="2" t="str" cm="1">
        <f t="array" ref="I175">_xlfn.IFS(Table1[[#This Row],[Job_Type]] = "unskilled resident", "Resident",
Table1[[#This Row],[Job_Type]] = "unemp/unskilled non res", "Non-resident",
TRUE, "Unknown")</f>
        <v>Unknown</v>
      </c>
      <c r="J175" s="2" t="s">
        <v>148</v>
      </c>
      <c r="K175" s="3">
        <v>1</v>
      </c>
      <c r="L175" s="2" t="s">
        <v>140</v>
      </c>
      <c r="M175" s="13" t="s">
        <v>151</v>
      </c>
      <c r="N175" t="s">
        <v>50</v>
      </c>
      <c r="O175" s="2" t="str">
        <f>_xlfn.XLOOKUP(Table1[[#This Row],[Checking_Acct_Status]],Table3[Checking_Acct_Original],Table3[Category])</f>
        <v>High Balance</v>
      </c>
      <c r="P175" s="10" t="s">
        <v>32</v>
      </c>
      <c r="Q175" s="13" t="str">
        <f>_xlfn.XLOOKUP(Table1[[#This Row],[Saving_Acct_Status]],Table5[Saving_Acct_Original],Table5[Category])</f>
        <v>Low Savings</v>
      </c>
      <c r="R175" t="s">
        <v>41</v>
      </c>
      <c r="S175" s="2" t="str">
        <f>IF(
      OR(Table1[[#This Row],[Job_Type]] = "high qualif/self emp/mgmt", Table1[[#This Row],[Job_Type]] = "skilled"),
      "Skilled", "Unskilled")</f>
        <v>Skilled</v>
      </c>
      <c r="T175" t="str">
        <f>IF(Table1[[#This Row],[Job_Type]] = "unemp/unskilled non res", "Unemployed", "Employed")</f>
        <v>Employed</v>
      </c>
      <c r="U175" t="s">
        <v>21</v>
      </c>
      <c r="V175" s="14" t="str" cm="1">
        <f t="array" ref="V17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75" t="s">
        <v>31</v>
      </c>
      <c r="X175" s="2" t="str">
        <f>_xlfn.XLOOKUP(Table1[[#This Row],[Loan_Credit_History]],Table4[Credit History],Table4[[ Category]])</f>
        <v>Existing Credits Paid</v>
      </c>
      <c r="Y175" s="3">
        <v>4</v>
      </c>
      <c r="Z175" s="3">
        <v>1</v>
      </c>
      <c r="AA175" s="5">
        <v>5848</v>
      </c>
      <c r="AB175" t="s">
        <v>151</v>
      </c>
      <c r="AC175" s="2" t="str" cm="1">
        <f t="array" ref="AC175">_xlfn.IFS(Table1[[#This Row],[Others_Parties]] = "No", "None",
Table1[[#This Row],[Others_Parties]] = "co applicant", "Co-applicant",
Table1[[#This Row],[Others_Parties]] = "guarantor", "Guarantor")</f>
        <v>None</v>
      </c>
      <c r="AD175" s="13" t="s">
        <v>145</v>
      </c>
      <c r="AE175" s="2" t="s">
        <v>111</v>
      </c>
      <c r="AF175" s="28" t="str" cm="1">
        <f t="array" ref="AF17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75" s="21">
        <v>36</v>
      </c>
      <c r="AH175" s="2" t="s">
        <v>154</v>
      </c>
      <c r="AI175"/>
      <c r="AZ175"/>
      <c r="BC175"/>
      <c r="BE175"/>
      <c r="BL175"/>
      <c r="BZ175"/>
      <c r="CA175"/>
      <c r="CF175"/>
      <c r="CG175"/>
      <c r="CH175"/>
      <c r="CI175"/>
      <c r="CK175"/>
      <c r="CN175"/>
    </row>
    <row r="176" spans="1:92" x14ac:dyDescent="0.3">
      <c r="A176" s="4">
        <v>174</v>
      </c>
      <c r="B176" s="11">
        <v>23</v>
      </c>
      <c r="C176" s="2" t="str">
        <f>_xlfn.XLOOKUP(Table1[[#This Row],[Age]],Table7[Start_Age],Table7[Age_Range],,-1)</f>
        <v>19-29</v>
      </c>
      <c r="D176" t="s">
        <v>136</v>
      </c>
      <c r="E176" s="2" t="s">
        <v>131</v>
      </c>
      <c r="F176" s="2" t="s">
        <v>137</v>
      </c>
      <c r="G176" s="3">
        <v>1</v>
      </c>
      <c r="H176" s="13" t="s">
        <v>152</v>
      </c>
      <c r="I176" s="2" t="str" cm="1">
        <f t="array" ref="I176">_xlfn.IFS(Table1[[#This Row],[Job_Type]] = "unskilled resident", "Resident",
Table1[[#This Row],[Job_Type]] = "unemp/unskilled non res", "Non-resident",
TRUE, "Unknown")</f>
        <v>Resident</v>
      </c>
      <c r="J176" s="2" t="s">
        <v>149</v>
      </c>
      <c r="K176" s="3">
        <v>4</v>
      </c>
      <c r="L176" s="2" t="s">
        <v>142</v>
      </c>
      <c r="M176" s="13" t="s">
        <v>152</v>
      </c>
      <c r="N176" t="s">
        <v>35</v>
      </c>
      <c r="O176" s="2" t="str">
        <f>_xlfn.XLOOKUP(Table1[[#This Row],[Checking_Acct_Status]],Table3[Checking_Acct_Original],Table3[Category])</f>
        <v>Negative Balance</v>
      </c>
      <c r="P176" s="10" t="s">
        <v>32</v>
      </c>
      <c r="Q176" s="13" t="str">
        <f>_xlfn.XLOOKUP(Table1[[#This Row],[Saving_Acct_Status]],Table5[Saving_Acct_Original],Table5[Category])</f>
        <v>Low Savings</v>
      </c>
      <c r="R176" t="s">
        <v>27</v>
      </c>
      <c r="S176" s="2" t="str">
        <f>IF(
      OR(Table1[[#This Row],[Job_Type]] = "high qualif/self emp/mgmt", Table1[[#This Row],[Job_Type]] = "skilled"),
      "Skilled", "Unskilled")</f>
        <v>Unskilled</v>
      </c>
      <c r="T176" t="str">
        <f>IF(Table1[[#This Row],[Job_Type]] = "unemp/unskilled non res", "Unemployed", "Employed")</f>
        <v>Employed</v>
      </c>
      <c r="U176" t="s">
        <v>45</v>
      </c>
      <c r="V176" s="14" t="str" cm="1">
        <f t="array" ref="V17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76" t="s">
        <v>103</v>
      </c>
      <c r="X176" s="2" t="str">
        <f>_xlfn.XLOOKUP(Table1[[#This Row],[Loan_Credit_History]],Table4[Credit History],Table4[[ Category]])</f>
        <v>Critical Credit History</v>
      </c>
      <c r="Y176" s="3">
        <v>4</v>
      </c>
      <c r="Z176" s="3">
        <v>2</v>
      </c>
      <c r="AA176" s="5">
        <v>6229</v>
      </c>
      <c r="AB176" t="s">
        <v>55</v>
      </c>
      <c r="AC176" s="2" t="str" cm="1">
        <f t="array" ref="AC176">_xlfn.IFS(Table1[[#This Row],[Others_Parties]] = "No", "None",
Table1[[#This Row],[Others_Parties]] = "co applicant", "Co-applicant",
Table1[[#This Row],[Others_Parties]] = "guarantor", "Guarantor")</f>
        <v>Co-applicant</v>
      </c>
      <c r="AD176" s="13" t="s">
        <v>145</v>
      </c>
      <c r="AE176" s="2" t="s">
        <v>108</v>
      </c>
      <c r="AF176" s="28" t="str" cm="1">
        <f t="array" ref="AF17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76" s="21">
        <v>36</v>
      </c>
      <c r="AH176" s="2" t="s">
        <v>153</v>
      </c>
      <c r="AI176"/>
      <c r="AZ176"/>
      <c r="BC176"/>
      <c r="BE176"/>
      <c r="BL176"/>
      <c r="BZ176"/>
      <c r="CA176"/>
      <c r="CF176"/>
      <c r="CG176"/>
      <c r="CH176"/>
      <c r="CI176"/>
      <c r="CK176"/>
      <c r="CN176"/>
    </row>
    <row r="177" spans="1:92" x14ac:dyDescent="0.3">
      <c r="A177" s="4">
        <v>175</v>
      </c>
      <c r="B177" s="11">
        <v>36</v>
      </c>
      <c r="C177" s="2" t="str">
        <f>_xlfn.XLOOKUP(Table1[[#This Row],[Age]],Table7[Start_Age],Table7[Age_Range],,-1)</f>
        <v>29-39</v>
      </c>
      <c r="D177" t="s">
        <v>130</v>
      </c>
      <c r="E177" s="2" t="s">
        <v>129</v>
      </c>
      <c r="F177" s="2" t="s">
        <v>133</v>
      </c>
      <c r="G177" s="3">
        <v>1</v>
      </c>
      <c r="H177" s="13" t="s">
        <v>152</v>
      </c>
      <c r="I177" s="2" t="str" cm="1">
        <f t="array" ref="I177">_xlfn.IFS(Table1[[#This Row],[Job_Type]] = "unskilled resident", "Resident",
Table1[[#This Row],[Job_Type]] = "unemp/unskilled non res", "Non-resident",
TRUE, "Unknown")</f>
        <v>Unknown</v>
      </c>
      <c r="J177" s="2" t="s">
        <v>148</v>
      </c>
      <c r="K177" s="3">
        <v>4</v>
      </c>
      <c r="L177" s="2" t="s">
        <v>144</v>
      </c>
      <c r="M177" s="13" t="s">
        <v>151</v>
      </c>
      <c r="N177" t="s">
        <v>17</v>
      </c>
      <c r="O177" s="2" t="str">
        <f>_xlfn.XLOOKUP(Table1[[#This Row],[Checking_Acct_Status]],Table3[Checking_Acct_Original],Table3[Category])</f>
        <v>No Account</v>
      </c>
      <c r="P177" s="10" t="s">
        <v>47</v>
      </c>
      <c r="Q177" s="13" t="str">
        <f>_xlfn.XLOOKUP(Table1[[#This Row],[Saving_Acct_Status]],Table5[Saving_Acct_Original],Table5[Category])</f>
        <v>No Savings</v>
      </c>
      <c r="R177" t="s">
        <v>41</v>
      </c>
      <c r="S177" s="2" t="str">
        <f>IF(
      OR(Table1[[#This Row],[Job_Type]] = "high qualif/self emp/mgmt", Table1[[#This Row],[Job_Type]] = "skilled"),
      "Skilled", "Unskilled")</f>
        <v>Skilled</v>
      </c>
      <c r="T177" t="str">
        <f>IF(Table1[[#This Row],[Job_Type]] = "unemp/unskilled non res", "Unemployed", "Employed")</f>
        <v>Employed</v>
      </c>
      <c r="U177" t="s">
        <v>38</v>
      </c>
      <c r="V177" s="14" t="str" cm="1">
        <f t="array" ref="V17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77" t="s">
        <v>103</v>
      </c>
      <c r="X177" s="2" t="str">
        <f>_xlfn.XLOOKUP(Table1[[#This Row],[Loan_Credit_History]],Table4[Credit History],Table4[[ Category]])</f>
        <v>Critical Credit History</v>
      </c>
      <c r="Y177" s="3">
        <v>4</v>
      </c>
      <c r="Z177" s="3">
        <v>2</v>
      </c>
      <c r="AA177" s="5">
        <v>6304</v>
      </c>
      <c r="AB177" t="s">
        <v>151</v>
      </c>
      <c r="AC177" s="2" t="str" cm="1">
        <f t="array" ref="AC177">_xlfn.IFS(Table1[[#This Row],[Others_Parties]] = "No", "None",
Table1[[#This Row],[Others_Parties]] = "co applicant", "Co-applicant",
Table1[[#This Row],[Others_Parties]] = "guarantor", "Guarantor")</f>
        <v>None</v>
      </c>
      <c r="AD177" s="13" t="s">
        <v>145</v>
      </c>
      <c r="AE177" s="2" t="s">
        <v>105</v>
      </c>
      <c r="AF177" s="28" t="str" cm="1">
        <f t="array" ref="AF17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77" s="21">
        <v>36</v>
      </c>
      <c r="AH177" s="2" t="s">
        <v>154</v>
      </c>
      <c r="AI177"/>
      <c r="AZ177"/>
      <c r="BC177"/>
      <c r="BE177"/>
      <c r="BL177"/>
      <c r="BZ177"/>
      <c r="CA177"/>
      <c r="CF177"/>
      <c r="CG177"/>
      <c r="CH177"/>
      <c r="CI177"/>
      <c r="CK177"/>
      <c r="CN177"/>
    </row>
    <row r="178" spans="1:92" x14ac:dyDescent="0.3">
      <c r="A178" s="4">
        <v>176</v>
      </c>
      <c r="B178" s="11">
        <v>34</v>
      </c>
      <c r="C178" s="2" t="str">
        <f>_xlfn.XLOOKUP(Table1[[#This Row],[Age]],Table7[Start_Age],Table7[Age_Range],,-1)</f>
        <v>29-39</v>
      </c>
      <c r="D178" t="s">
        <v>130</v>
      </c>
      <c r="E178" s="2" t="s">
        <v>129</v>
      </c>
      <c r="F178" s="2" t="s">
        <v>133</v>
      </c>
      <c r="G178" s="3">
        <v>1</v>
      </c>
      <c r="H178" s="13" t="s">
        <v>152</v>
      </c>
      <c r="I178" s="2" t="str" cm="1">
        <f t="array" ref="I178">_xlfn.IFS(Table1[[#This Row],[Job_Type]] = "unskilled resident", "Resident",
Table1[[#This Row],[Job_Type]] = "unemp/unskilled non res", "Non-resident",
TRUE, "Unknown")</f>
        <v>Unknown</v>
      </c>
      <c r="J178" s="2" t="s">
        <v>148</v>
      </c>
      <c r="K178" s="3">
        <v>4</v>
      </c>
      <c r="L178" s="2" t="s">
        <v>140</v>
      </c>
      <c r="M178" s="13" t="s">
        <v>152</v>
      </c>
      <c r="N178" t="s">
        <v>17</v>
      </c>
      <c r="O178" s="2" t="str">
        <f>_xlfn.XLOOKUP(Table1[[#This Row],[Checking_Acct_Status]],Table3[Checking_Acct_Original],Table3[Category])</f>
        <v>No Account</v>
      </c>
      <c r="P178" s="10" t="s">
        <v>32</v>
      </c>
      <c r="Q178" s="13" t="str">
        <f>_xlfn.XLOOKUP(Table1[[#This Row],[Saving_Acct_Status]],Table5[Saving_Acct_Original],Table5[Category])</f>
        <v>Low Savings</v>
      </c>
      <c r="R178" t="s">
        <v>63</v>
      </c>
      <c r="S178" s="2" t="str">
        <f>IF(
      OR(Table1[[#This Row],[Job_Type]] = "high qualif/self emp/mgmt", Table1[[#This Row],[Job_Type]] = "skilled"),
      "Skilled", "Unskilled")</f>
        <v>Skilled</v>
      </c>
      <c r="T178" t="str">
        <f>IF(Table1[[#This Row],[Job_Type]] = "unemp/unskilled non res", "Unemployed", "Employed")</f>
        <v>Employed</v>
      </c>
      <c r="U178" t="s">
        <v>38</v>
      </c>
      <c r="V178" s="14" t="str" cm="1">
        <f t="array" ref="V17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78" t="s">
        <v>103</v>
      </c>
      <c r="X178" s="2" t="str">
        <f>_xlfn.XLOOKUP(Table1[[#This Row],[Loan_Credit_History]],Table4[Credit History],Table4[[ Category]])</f>
        <v>Critical Credit History</v>
      </c>
      <c r="Y178" s="3">
        <v>4</v>
      </c>
      <c r="Z178" s="3">
        <v>2</v>
      </c>
      <c r="AA178" s="5">
        <v>6614</v>
      </c>
      <c r="AB178" t="s">
        <v>151</v>
      </c>
      <c r="AC178" s="2" t="str" cm="1">
        <f t="array" ref="AC178">_xlfn.IFS(Table1[[#This Row],[Others_Parties]] = "No", "None",
Table1[[#This Row],[Others_Parties]] = "co applicant", "Co-applicant",
Table1[[#This Row],[Others_Parties]] = "guarantor", "Guarantor")</f>
        <v>None</v>
      </c>
      <c r="AD178" s="13" t="s">
        <v>145</v>
      </c>
      <c r="AE178" s="2" t="s">
        <v>141</v>
      </c>
      <c r="AF178" s="28" t="str" cm="1">
        <f t="array" ref="AF17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78" s="21">
        <v>36</v>
      </c>
      <c r="AH178" s="2" t="s">
        <v>154</v>
      </c>
      <c r="AI178"/>
      <c r="AZ178"/>
      <c r="BC178"/>
      <c r="BE178"/>
      <c r="BL178"/>
      <c r="BZ178"/>
      <c r="CA178"/>
      <c r="CF178"/>
      <c r="CG178"/>
      <c r="CH178"/>
      <c r="CI178"/>
      <c r="CK178"/>
      <c r="CN178"/>
    </row>
    <row r="179" spans="1:92" x14ac:dyDescent="0.3">
      <c r="A179" s="4">
        <v>177</v>
      </c>
      <c r="B179" s="11">
        <v>29</v>
      </c>
      <c r="C179" s="2" t="str">
        <f>_xlfn.XLOOKUP(Table1[[#This Row],[Age]],Table7[Start_Age],Table7[Age_Range],,-1)</f>
        <v>29-39</v>
      </c>
      <c r="D179" t="s">
        <v>130</v>
      </c>
      <c r="E179" s="2" t="s">
        <v>129</v>
      </c>
      <c r="F179" s="2" t="s">
        <v>133</v>
      </c>
      <c r="G179" s="3">
        <v>1</v>
      </c>
      <c r="H179" s="13" t="s">
        <v>152</v>
      </c>
      <c r="I179" s="2" t="str" cm="1">
        <f t="array" ref="I179">_xlfn.IFS(Table1[[#This Row],[Job_Type]] = "unskilled resident", "Resident",
Table1[[#This Row],[Job_Type]] = "unemp/unskilled non res", "Non-resident",
TRUE, "Unknown")</f>
        <v>Unknown</v>
      </c>
      <c r="J179" s="2" t="s">
        <v>148</v>
      </c>
      <c r="K179" s="3">
        <v>3</v>
      </c>
      <c r="L179" s="2" t="s">
        <v>143</v>
      </c>
      <c r="M179" s="13" t="s">
        <v>152</v>
      </c>
      <c r="N179" t="s">
        <v>35</v>
      </c>
      <c r="O179" s="2" t="str">
        <f>_xlfn.XLOOKUP(Table1[[#This Row],[Checking_Acct_Status]],Table3[Checking_Acct_Original],Table3[Category])</f>
        <v>Negative Balance</v>
      </c>
      <c r="P179" s="10" t="s">
        <v>32</v>
      </c>
      <c r="Q179" s="13" t="str">
        <f>_xlfn.XLOOKUP(Table1[[#This Row],[Saving_Acct_Status]],Table5[Saving_Acct_Original],Table5[Category])</f>
        <v>Low Savings</v>
      </c>
      <c r="R179" t="s">
        <v>41</v>
      </c>
      <c r="S179" s="2" t="str">
        <f>IF(
      OR(Table1[[#This Row],[Job_Type]] = "high qualif/self emp/mgmt", Table1[[#This Row],[Job_Type]] = "skilled"),
      "Skilled", "Unskilled")</f>
        <v>Skilled</v>
      </c>
      <c r="T179" t="str">
        <f>IF(Table1[[#This Row],[Job_Type]] = "unemp/unskilled non res", "Unemployed", "Employed")</f>
        <v>Employed</v>
      </c>
      <c r="U179" t="s">
        <v>21</v>
      </c>
      <c r="V179" s="14" t="str" cm="1">
        <f t="array" ref="V17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79" t="s">
        <v>59</v>
      </c>
      <c r="X179" s="2" t="str">
        <f>_xlfn.XLOOKUP(Table1[[#This Row],[Loan_Credit_History]],Table4[Credit History],Table4[[ Category]])</f>
        <v>Previously Delayed</v>
      </c>
      <c r="Y179" s="3">
        <v>4</v>
      </c>
      <c r="Z179" s="3">
        <v>1</v>
      </c>
      <c r="AA179" s="5">
        <v>6887</v>
      </c>
      <c r="AB179" t="s">
        <v>151</v>
      </c>
      <c r="AC179" s="2" t="str" cm="1">
        <f t="array" ref="AC179">_xlfn.IFS(Table1[[#This Row],[Others_Parties]] = "No", "None",
Table1[[#This Row],[Others_Parties]] = "co applicant", "Co-applicant",
Table1[[#This Row],[Others_Parties]] = "guarantor", "Guarantor")</f>
        <v>None</v>
      </c>
      <c r="AD179" s="13" t="s">
        <v>147</v>
      </c>
      <c r="AE179" s="2" t="s">
        <v>100</v>
      </c>
      <c r="AF179" s="28" t="str" cm="1">
        <f t="array" ref="AF17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79" s="21">
        <v>36</v>
      </c>
      <c r="AH179" s="2" t="s">
        <v>153</v>
      </c>
      <c r="AI179"/>
      <c r="AZ179"/>
      <c r="BC179"/>
      <c r="BE179"/>
      <c r="BL179"/>
      <c r="BZ179"/>
      <c r="CA179"/>
      <c r="CF179"/>
      <c r="CG179"/>
      <c r="CH179"/>
      <c r="CI179"/>
      <c r="CK179"/>
      <c r="CN179"/>
    </row>
    <row r="180" spans="1:92" x14ac:dyDescent="0.3">
      <c r="A180" s="4">
        <v>178</v>
      </c>
      <c r="B180" s="11">
        <v>35</v>
      </c>
      <c r="C180" s="2" t="str">
        <f>_xlfn.XLOOKUP(Table1[[#This Row],[Age]],Table7[Start_Age],Table7[Age_Range],,-1)</f>
        <v>29-39</v>
      </c>
      <c r="D180" t="s">
        <v>130</v>
      </c>
      <c r="E180" s="2" t="s">
        <v>129</v>
      </c>
      <c r="F180" s="2" t="s">
        <v>133</v>
      </c>
      <c r="G180" s="3">
        <v>1</v>
      </c>
      <c r="H180" s="13" t="s">
        <v>152</v>
      </c>
      <c r="I180" s="2" t="str" cm="1">
        <f t="array" ref="I180">_xlfn.IFS(Table1[[#This Row],[Job_Type]] = "unskilled resident", "Resident",
Table1[[#This Row],[Job_Type]] = "unemp/unskilled non res", "Non-resident",
TRUE, "Unknown")</f>
        <v>Unknown</v>
      </c>
      <c r="J180" s="2" t="s">
        <v>149</v>
      </c>
      <c r="K180" s="3">
        <v>2</v>
      </c>
      <c r="L180" s="2" t="s">
        <v>140</v>
      </c>
      <c r="M180" s="13" t="s">
        <v>152</v>
      </c>
      <c r="N180" t="s">
        <v>30</v>
      </c>
      <c r="O180" s="2" t="str">
        <f>_xlfn.XLOOKUP(Table1[[#This Row],[Checking_Acct_Status]],Table3[Checking_Acct_Original],Table3[Category])</f>
        <v>Low Balance</v>
      </c>
      <c r="P180" s="10" t="s">
        <v>32</v>
      </c>
      <c r="Q180" s="13" t="str">
        <f>_xlfn.XLOOKUP(Table1[[#This Row],[Saving_Acct_Status]],Table5[Saving_Acct_Original],Table5[Category])</f>
        <v>Low Savings</v>
      </c>
      <c r="R180" t="s">
        <v>63</v>
      </c>
      <c r="S180" s="2" t="str">
        <f>IF(
      OR(Table1[[#This Row],[Job_Type]] = "high qualif/self emp/mgmt", Table1[[#This Row],[Job_Type]] = "skilled"),
      "Skilled", "Unskilled")</f>
        <v>Skilled</v>
      </c>
      <c r="T180" t="str">
        <f>IF(Table1[[#This Row],[Job_Type]] = "unemp/unskilled non res", "Unemployed", "Employed")</f>
        <v>Employed</v>
      </c>
      <c r="U180" t="s">
        <v>21</v>
      </c>
      <c r="V180" s="14" t="str" cm="1">
        <f t="array" ref="V18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80" t="s">
        <v>31</v>
      </c>
      <c r="X180" s="2" t="str">
        <f>_xlfn.XLOOKUP(Table1[[#This Row],[Loan_Credit_History]],Table4[Credit History],Table4[[ Category]])</f>
        <v>Existing Credits Paid</v>
      </c>
      <c r="Y180" s="3">
        <v>2</v>
      </c>
      <c r="Z180" s="3">
        <v>1</v>
      </c>
      <c r="AA180" s="5">
        <v>6948</v>
      </c>
      <c r="AB180" t="s">
        <v>151</v>
      </c>
      <c r="AC180" s="2" t="str" cm="1">
        <f t="array" ref="AC180">_xlfn.IFS(Table1[[#This Row],[Others_Parties]] = "No", "None",
Table1[[#This Row],[Others_Parties]] = "co applicant", "Co-applicant",
Table1[[#This Row],[Others_Parties]] = "guarantor", "Guarantor")</f>
        <v>None</v>
      </c>
      <c r="AD180" s="13" t="s">
        <v>145</v>
      </c>
      <c r="AE180" s="2" t="s">
        <v>107</v>
      </c>
      <c r="AF180" s="28" t="str" cm="1">
        <f t="array" ref="AF18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80" s="21">
        <v>36</v>
      </c>
      <c r="AH180" s="2" t="s">
        <v>154</v>
      </c>
      <c r="AI180"/>
      <c r="AZ180"/>
      <c r="BC180"/>
      <c r="BE180"/>
      <c r="BL180"/>
      <c r="BZ180"/>
      <c r="CA180"/>
      <c r="CF180"/>
      <c r="CG180"/>
      <c r="CH180"/>
      <c r="CI180"/>
      <c r="CK180"/>
      <c r="CN180"/>
    </row>
    <row r="181" spans="1:92" x14ac:dyDescent="0.3">
      <c r="A181" s="4">
        <v>179</v>
      </c>
      <c r="B181" s="11">
        <v>23</v>
      </c>
      <c r="C181" s="2" t="str">
        <f>_xlfn.XLOOKUP(Table1[[#This Row],[Age]],Table7[Start_Age],Table7[Age_Range],,-1)</f>
        <v>19-29</v>
      </c>
      <c r="D181" t="s">
        <v>136</v>
      </c>
      <c r="E181" s="2" t="s">
        <v>131</v>
      </c>
      <c r="F181" s="2" t="s">
        <v>137</v>
      </c>
      <c r="G181" s="3">
        <v>1</v>
      </c>
      <c r="H181" s="13" t="s">
        <v>152</v>
      </c>
      <c r="I181" s="2" t="str" cm="1">
        <f t="array" ref="I181">_xlfn.IFS(Table1[[#This Row],[Job_Type]] = "unskilled resident", "Resident",
Table1[[#This Row],[Job_Type]] = "unemp/unskilled non res", "Non-resident",
TRUE, "Unknown")</f>
        <v>Unknown</v>
      </c>
      <c r="J181" s="2" t="s">
        <v>149</v>
      </c>
      <c r="K181" s="3">
        <v>4</v>
      </c>
      <c r="L181" s="2" t="s">
        <v>143</v>
      </c>
      <c r="M181" s="13" t="s">
        <v>152</v>
      </c>
      <c r="N181" t="s">
        <v>17</v>
      </c>
      <c r="O181" s="2" t="str">
        <f>_xlfn.XLOOKUP(Table1[[#This Row],[Checking_Acct_Status]],Table3[Checking_Acct_Original],Table3[Category])</f>
        <v>No Account</v>
      </c>
      <c r="P181" s="10" t="s">
        <v>32</v>
      </c>
      <c r="Q181" s="13" t="str">
        <f>_xlfn.XLOOKUP(Table1[[#This Row],[Saving_Acct_Status]],Table5[Saving_Acct_Original],Table5[Category])</f>
        <v>Low Savings</v>
      </c>
      <c r="R181" t="s">
        <v>41</v>
      </c>
      <c r="S181" s="2" t="str">
        <f>IF(
      OR(Table1[[#This Row],[Job_Type]] = "high qualif/self emp/mgmt", Table1[[#This Row],[Job_Type]] = "skilled"),
      "Skilled", "Unskilled")</f>
        <v>Skilled</v>
      </c>
      <c r="T181" t="str">
        <f>IF(Table1[[#This Row],[Job_Type]] = "unemp/unskilled non res", "Unemployed", "Employed")</f>
        <v>Employed</v>
      </c>
      <c r="U181" t="s">
        <v>45</v>
      </c>
      <c r="V181" s="14" t="str" cm="1">
        <f t="array" ref="V18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81" t="s">
        <v>103</v>
      </c>
      <c r="X181" s="2" t="str">
        <f>_xlfn.XLOOKUP(Table1[[#This Row],[Loan_Credit_History]],Table4[Credit History],Table4[[ Category]])</f>
        <v>Critical Credit History</v>
      </c>
      <c r="Y181" s="3">
        <v>2</v>
      </c>
      <c r="Z181" s="3">
        <v>2</v>
      </c>
      <c r="AA181" s="5">
        <v>7127</v>
      </c>
      <c r="AB181" t="s">
        <v>151</v>
      </c>
      <c r="AC181" s="2" t="str" cm="1">
        <f t="array" ref="AC181">_xlfn.IFS(Table1[[#This Row],[Others_Parties]] = "No", "None",
Table1[[#This Row],[Others_Parties]] = "co applicant", "Co-applicant",
Table1[[#This Row],[Others_Parties]] = "guarantor", "Guarantor")</f>
        <v>None</v>
      </c>
      <c r="AD181" s="13" t="s">
        <v>145</v>
      </c>
      <c r="AE181" s="2" t="s">
        <v>108</v>
      </c>
      <c r="AF181" s="28" t="str" cm="1">
        <f t="array" ref="AF18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81" s="21">
        <v>36</v>
      </c>
      <c r="AH181" s="2" t="s">
        <v>153</v>
      </c>
      <c r="AI181"/>
      <c r="AZ181"/>
      <c r="BC181"/>
      <c r="BE181"/>
      <c r="BL181"/>
      <c r="BZ181"/>
      <c r="CA181"/>
      <c r="CF181"/>
      <c r="CG181"/>
      <c r="CH181"/>
      <c r="CI181"/>
      <c r="CK181"/>
      <c r="CN181"/>
    </row>
    <row r="182" spans="1:92" x14ac:dyDescent="0.3">
      <c r="A182" s="4">
        <v>180</v>
      </c>
      <c r="B182" s="11">
        <v>37</v>
      </c>
      <c r="C182" s="2" t="str">
        <f>_xlfn.XLOOKUP(Table1[[#This Row],[Age]],Table7[Start_Age],Table7[Age_Range],,-1)</f>
        <v>29-39</v>
      </c>
      <c r="D182" t="s">
        <v>130</v>
      </c>
      <c r="E182" s="2" t="s">
        <v>129</v>
      </c>
      <c r="F182" s="2" t="s">
        <v>133</v>
      </c>
      <c r="G182" s="3">
        <v>1</v>
      </c>
      <c r="H182" s="13" t="s">
        <v>152</v>
      </c>
      <c r="I182" s="2" t="str" cm="1">
        <f t="array" ref="I182">_xlfn.IFS(Table1[[#This Row],[Job_Type]] = "unskilled resident", "Resident",
Table1[[#This Row],[Job_Type]] = "unemp/unskilled non res", "Non-resident",
TRUE, "Unknown")</f>
        <v>Unknown</v>
      </c>
      <c r="J182" s="2" t="s">
        <v>148</v>
      </c>
      <c r="K182" s="3">
        <v>2</v>
      </c>
      <c r="L182" s="2" t="s">
        <v>143</v>
      </c>
      <c r="M182" s="13" t="s">
        <v>151</v>
      </c>
      <c r="N182" t="s">
        <v>17</v>
      </c>
      <c r="O182" s="2" t="str">
        <f>_xlfn.XLOOKUP(Table1[[#This Row],[Checking_Acct_Status]],Table3[Checking_Acct_Original],Table3[Category])</f>
        <v>No Account</v>
      </c>
      <c r="P182" s="10" t="s">
        <v>47</v>
      </c>
      <c r="Q182" s="13" t="str">
        <f>_xlfn.XLOOKUP(Table1[[#This Row],[Saving_Acct_Status]],Table5[Saving_Acct_Original],Table5[Category])</f>
        <v>No Savings</v>
      </c>
      <c r="R182" t="s">
        <v>41</v>
      </c>
      <c r="S182" s="2" t="str">
        <f>IF(
      OR(Table1[[#This Row],[Job_Type]] = "high qualif/self emp/mgmt", Table1[[#This Row],[Job_Type]] = "skilled"),
      "Skilled", "Unskilled")</f>
        <v>Skilled</v>
      </c>
      <c r="T182" t="str">
        <f>IF(Table1[[#This Row],[Job_Type]] = "unemp/unskilled non res", "Unemployed", "Employed")</f>
        <v>Employed</v>
      </c>
      <c r="U182" t="s">
        <v>38</v>
      </c>
      <c r="V182" s="14" t="str" cm="1">
        <f t="array" ref="V18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82" t="s">
        <v>31</v>
      </c>
      <c r="X182" s="2" t="str">
        <f>_xlfn.XLOOKUP(Table1[[#This Row],[Loan_Credit_History]],Table4[Credit History],Table4[[ Category]])</f>
        <v>Existing Credits Paid</v>
      </c>
      <c r="Y182" s="3">
        <v>3</v>
      </c>
      <c r="Z182" s="3">
        <v>2</v>
      </c>
      <c r="AA182" s="5">
        <v>7409</v>
      </c>
      <c r="AB182" t="s">
        <v>151</v>
      </c>
      <c r="AC182" s="2" t="str" cm="1">
        <f t="array" ref="AC182">_xlfn.IFS(Table1[[#This Row],[Others_Parties]] = "No", "None",
Table1[[#This Row],[Others_Parties]] = "co applicant", "Co-applicant",
Table1[[#This Row],[Others_Parties]] = "guarantor", "Guarantor")</f>
        <v>None</v>
      </c>
      <c r="AD182" s="13" t="s">
        <v>145</v>
      </c>
      <c r="AE182" s="2" t="s">
        <v>105</v>
      </c>
      <c r="AF182" s="28" t="str" cm="1">
        <f t="array" ref="AF18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82" s="21">
        <v>36</v>
      </c>
      <c r="AH182" s="2" t="s">
        <v>154</v>
      </c>
      <c r="AI182"/>
      <c r="AZ182"/>
      <c r="BC182"/>
      <c r="BE182"/>
      <c r="BL182"/>
      <c r="BZ182"/>
      <c r="CA182"/>
      <c r="CF182"/>
      <c r="CG182"/>
      <c r="CH182"/>
      <c r="CI182"/>
      <c r="CK182"/>
      <c r="CN182"/>
    </row>
    <row r="183" spans="1:92" x14ac:dyDescent="0.3">
      <c r="A183" s="4">
        <v>181</v>
      </c>
      <c r="B183" s="11">
        <v>54</v>
      </c>
      <c r="C183" s="2" t="str">
        <f>_xlfn.XLOOKUP(Table1[[#This Row],[Age]],Table7[Start_Age],Table7[Age_Range],,-1)</f>
        <v>49-59</v>
      </c>
      <c r="D183" t="s">
        <v>136</v>
      </c>
      <c r="E183" s="2" t="s">
        <v>131</v>
      </c>
      <c r="F183" s="2" t="s">
        <v>137</v>
      </c>
      <c r="G183" s="3">
        <v>1</v>
      </c>
      <c r="H183" s="13" t="s">
        <v>152</v>
      </c>
      <c r="I183" s="2" t="str" cm="1">
        <f t="array" ref="I183">_xlfn.IFS(Table1[[#This Row],[Job_Type]] = "unskilled resident", "Resident",
Table1[[#This Row],[Job_Type]] = "unemp/unskilled non res", "Non-resident",
TRUE, "Unknown")</f>
        <v>Unknown</v>
      </c>
      <c r="J183" s="2" t="s">
        <v>149</v>
      </c>
      <c r="K183" s="3">
        <v>2</v>
      </c>
      <c r="L183" s="2" t="s">
        <v>143</v>
      </c>
      <c r="M183" s="13" t="s">
        <v>151</v>
      </c>
      <c r="N183" t="s">
        <v>30</v>
      </c>
      <c r="O183" s="2" t="str">
        <f>_xlfn.XLOOKUP(Table1[[#This Row],[Checking_Acct_Status]],Table3[Checking_Acct_Original],Table3[Category])</f>
        <v>Low Balance</v>
      </c>
      <c r="P183" s="10" t="s">
        <v>32</v>
      </c>
      <c r="Q183" s="13" t="str">
        <f>_xlfn.XLOOKUP(Table1[[#This Row],[Saving_Acct_Status]],Table5[Saving_Acct_Original],Table5[Category])</f>
        <v>Low Savings</v>
      </c>
      <c r="R183" t="s">
        <v>41</v>
      </c>
      <c r="S183" s="2" t="str">
        <f>IF(
      OR(Table1[[#This Row],[Job_Type]] = "high qualif/self emp/mgmt", Table1[[#This Row],[Job_Type]] = "skilled"),
      "Skilled", "Unskilled")</f>
        <v>Skilled</v>
      </c>
      <c r="T183" t="str">
        <f>IF(Table1[[#This Row],[Job_Type]] = "unemp/unskilled non res", "Unemployed", "Employed")</f>
        <v>Employed</v>
      </c>
      <c r="U183" t="s">
        <v>21</v>
      </c>
      <c r="V183" s="14" t="str" cm="1">
        <f t="array" ref="V18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83" t="s">
        <v>59</v>
      </c>
      <c r="X183" s="2" t="str">
        <f>_xlfn.XLOOKUP(Table1[[#This Row],[Loan_Credit_History]],Table4[Credit History],Table4[[ Category]])</f>
        <v>Previously Delayed</v>
      </c>
      <c r="Y183" s="3">
        <v>2</v>
      </c>
      <c r="Z183" s="3">
        <v>1</v>
      </c>
      <c r="AA183" s="5">
        <v>7432</v>
      </c>
      <c r="AB183" t="s">
        <v>151</v>
      </c>
      <c r="AC183" s="2" t="str" cm="1">
        <f t="array" ref="AC183">_xlfn.IFS(Table1[[#This Row],[Others_Parties]] = "No", "None",
Table1[[#This Row],[Others_Parties]] = "co applicant", "Co-applicant",
Table1[[#This Row],[Others_Parties]] = "guarantor", "Guarantor")</f>
        <v>None</v>
      </c>
      <c r="AD183" s="13" t="s">
        <v>145</v>
      </c>
      <c r="AE183" s="2" t="s">
        <v>141</v>
      </c>
      <c r="AF183" s="28" t="str" cm="1">
        <f t="array" ref="AF18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83" s="21">
        <v>36</v>
      </c>
      <c r="AH183" s="2" t="s">
        <v>154</v>
      </c>
      <c r="AI183"/>
      <c r="AZ183"/>
      <c r="BC183"/>
      <c r="BE183"/>
      <c r="BL183"/>
      <c r="BZ183"/>
      <c r="CA183"/>
      <c r="CF183"/>
      <c r="CG183"/>
      <c r="CH183"/>
      <c r="CI183"/>
      <c r="CK183"/>
      <c r="CN183"/>
    </row>
    <row r="184" spans="1:92" x14ac:dyDescent="0.3">
      <c r="A184" s="4">
        <v>182</v>
      </c>
      <c r="B184" s="11">
        <v>40</v>
      </c>
      <c r="C184" s="2" t="str">
        <f>_xlfn.XLOOKUP(Table1[[#This Row],[Age]],Table7[Start_Age],Table7[Age_Range],,-1)</f>
        <v>39-49</v>
      </c>
      <c r="D184" t="s">
        <v>136</v>
      </c>
      <c r="E184" s="2" t="s">
        <v>131</v>
      </c>
      <c r="F184" s="2" t="s">
        <v>137</v>
      </c>
      <c r="G184" s="3">
        <v>1</v>
      </c>
      <c r="H184" s="13" t="s">
        <v>152</v>
      </c>
      <c r="I184" s="2" t="str" cm="1">
        <f t="array" ref="I184">_xlfn.IFS(Table1[[#This Row],[Job_Type]] = "unskilled resident", "Resident",
Table1[[#This Row],[Job_Type]] = "unemp/unskilled non res", "Non-resident",
TRUE, "Unknown")</f>
        <v>Unknown</v>
      </c>
      <c r="J184" s="2" t="s">
        <v>148</v>
      </c>
      <c r="K184" s="3">
        <v>4</v>
      </c>
      <c r="L184" s="2" t="s">
        <v>140</v>
      </c>
      <c r="M184" s="13" t="s">
        <v>152</v>
      </c>
      <c r="N184" t="s">
        <v>17</v>
      </c>
      <c r="O184" s="2" t="str">
        <f>_xlfn.XLOOKUP(Table1[[#This Row],[Checking_Acct_Status]],Table3[Checking_Acct_Original],Table3[Category])</f>
        <v>No Account</v>
      </c>
      <c r="P184" s="10" t="s">
        <v>37</v>
      </c>
      <c r="Q184" s="13" t="str">
        <f>_xlfn.XLOOKUP(Table1[[#This Row],[Saving_Acct_Status]],Table5[Saving_Acct_Original],Table5[Category])</f>
        <v>High Savings</v>
      </c>
      <c r="R184" t="s">
        <v>41</v>
      </c>
      <c r="S184" s="2" t="str">
        <f>IF(
      OR(Table1[[#This Row],[Job_Type]] = "high qualif/self emp/mgmt", Table1[[#This Row],[Job_Type]] = "skilled"),
      "Skilled", "Unskilled")</f>
        <v>Skilled</v>
      </c>
      <c r="T184" t="str">
        <f>IF(Table1[[#This Row],[Job_Type]] = "unemp/unskilled non res", "Unemployed", "Employed")</f>
        <v>Employed</v>
      </c>
      <c r="U184" t="s">
        <v>49</v>
      </c>
      <c r="V184" s="14" t="str" cm="1">
        <f t="array" ref="V18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84" t="s">
        <v>59</v>
      </c>
      <c r="X184" s="2" t="str">
        <f>_xlfn.XLOOKUP(Table1[[#This Row],[Loan_Credit_History]],Table4[Credit History],Table4[[ Category]])</f>
        <v>Previously Delayed</v>
      </c>
      <c r="Y184" s="3">
        <v>2</v>
      </c>
      <c r="Z184" s="3">
        <v>2</v>
      </c>
      <c r="AA184" s="5">
        <v>7678</v>
      </c>
      <c r="AB184" t="s">
        <v>151</v>
      </c>
      <c r="AC184" s="2" t="str" cm="1">
        <f t="array" ref="AC184">_xlfn.IFS(Table1[[#This Row],[Others_Parties]] = "No", "None",
Table1[[#This Row],[Others_Parties]] = "co applicant", "Co-applicant",
Table1[[#This Row],[Others_Parties]] = "guarantor", "Guarantor")</f>
        <v>None</v>
      </c>
      <c r="AD184" s="13" t="s">
        <v>145</v>
      </c>
      <c r="AE184" s="2" t="s">
        <v>108</v>
      </c>
      <c r="AF184" s="28" t="str" cm="1">
        <f t="array" ref="AF18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84" s="21">
        <v>36</v>
      </c>
      <c r="AH184" s="2" t="s">
        <v>154</v>
      </c>
      <c r="AI184"/>
      <c r="AZ184"/>
      <c r="BC184"/>
      <c r="BE184"/>
      <c r="BL184"/>
      <c r="BZ184"/>
      <c r="CA184"/>
      <c r="CF184"/>
      <c r="CG184"/>
      <c r="CH184"/>
      <c r="CI184"/>
      <c r="CK184"/>
      <c r="CN184"/>
    </row>
    <row r="185" spans="1:92" x14ac:dyDescent="0.3">
      <c r="A185" s="4">
        <v>183</v>
      </c>
      <c r="B185" s="11">
        <v>25</v>
      </c>
      <c r="C185" s="2" t="str">
        <f>_xlfn.XLOOKUP(Table1[[#This Row],[Age]],Table7[Start_Age],Table7[Age_Range],,-1)</f>
        <v>19-29</v>
      </c>
      <c r="D185" t="s">
        <v>136</v>
      </c>
      <c r="E185" s="2" t="s">
        <v>131</v>
      </c>
      <c r="F185" s="2" t="s">
        <v>137</v>
      </c>
      <c r="G185" s="3">
        <v>1</v>
      </c>
      <c r="H185" s="13" t="s">
        <v>152</v>
      </c>
      <c r="I185" s="2" t="str" cm="1">
        <f t="array" ref="I185">_xlfn.IFS(Table1[[#This Row],[Job_Type]] = "unskilled resident", "Resident",
Table1[[#This Row],[Job_Type]] = "unemp/unskilled non res", "Non-resident",
TRUE, "Unknown")</f>
        <v>Unknown</v>
      </c>
      <c r="J185" s="2" t="s">
        <v>148</v>
      </c>
      <c r="K185" s="3">
        <v>2</v>
      </c>
      <c r="L185" s="2" t="s">
        <v>144</v>
      </c>
      <c r="M185" s="13" t="s">
        <v>152</v>
      </c>
      <c r="N185" t="s">
        <v>17</v>
      </c>
      <c r="O185" s="2" t="str">
        <f>_xlfn.XLOOKUP(Table1[[#This Row],[Checking_Acct_Status]],Table3[Checking_Acct_Original],Table3[Category])</f>
        <v>No Account</v>
      </c>
      <c r="P185" s="10" t="s">
        <v>32</v>
      </c>
      <c r="Q185" s="13" t="str">
        <f>_xlfn.XLOOKUP(Table1[[#This Row],[Saving_Acct_Status]],Table5[Saving_Acct_Original],Table5[Category])</f>
        <v>Low Savings</v>
      </c>
      <c r="R185" t="s">
        <v>41</v>
      </c>
      <c r="S185" s="2" t="str">
        <f>IF(
      OR(Table1[[#This Row],[Job_Type]] = "high qualif/self emp/mgmt", Table1[[#This Row],[Job_Type]] = "skilled"),
      "Skilled", "Unskilled")</f>
        <v>Skilled</v>
      </c>
      <c r="T185" t="str">
        <f>IF(Table1[[#This Row],[Job_Type]] = "unemp/unskilled non res", "Unemployed", "Employed")</f>
        <v>Employed</v>
      </c>
      <c r="U185" t="s">
        <v>21</v>
      </c>
      <c r="V185" s="14" t="str" cm="1">
        <f t="array" ref="V18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85" t="s">
        <v>103</v>
      </c>
      <c r="X185" s="2" t="str">
        <f>_xlfn.XLOOKUP(Table1[[#This Row],[Loan_Credit_History]],Table4[Credit History],Table4[[ Category]])</f>
        <v>Critical Credit History</v>
      </c>
      <c r="Y185" s="3">
        <v>4</v>
      </c>
      <c r="Z185" s="3">
        <v>2</v>
      </c>
      <c r="AA185" s="5">
        <v>7855</v>
      </c>
      <c r="AB185" t="s">
        <v>151</v>
      </c>
      <c r="AC185" s="2" t="str" cm="1">
        <f t="array" ref="AC185">_xlfn.IFS(Table1[[#This Row],[Others_Parties]] = "No", "None",
Table1[[#This Row],[Others_Parties]] = "co applicant", "Co-applicant",
Table1[[#This Row],[Others_Parties]] = "guarantor", "Guarantor")</f>
        <v>None</v>
      </c>
      <c r="AD185" s="13" t="s">
        <v>147</v>
      </c>
      <c r="AE185" s="2" t="s">
        <v>141</v>
      </c>
      <c r="AF185" s="28" t="str" cm="1">
        <f t="array" ref="AF18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85" s="21">
        <v>36</v>
      </c>
      <c r="AH185" s="2" t="s">
        <v>153</v>
      </c>
      <c r="AI185"/>
      <c r="AZ185"/>
      <c r="BC185"/>
      <c r="BE185"/>
      <c r="BL185"/>
      <c r="BZ185"/>
      <c r="CA185"/>
      <c r="CF185"/>
      <c r="CG185"/>
      <c r="CH185"/>
      <c r="CI185"/>
      <c r="CK185"/>
      <c r="CN185"/>
    </row>
    <row r="186" spans="1:92" x14ac:dyDescent="0.3">
      <c r="A186" s="4">
        <v>184</v>
      </c>
      <c r="B186" s="11">
        <v>27</v>
      </c>
      <c r="C186" s="2" t="str">
        <f>_xlfn.XLOOKUP(Table1[[#This Row],[Age]],Table7[Start_Age],Table7[Age_Range],,-1)</f>
        <v>19-29</v>
      </c>
      <c r="D186" t="s">
        <v>130</v>
      </c>
      <c r="E186" s="2" t="s">
        <v>129</v>
      </c>
      <c r="F186" s="2" t="s">
        <v>133</v>
      </c>
      <c r="G186" s="3">
        <v>1</v>
      </c>
      <c r="H186" s="13" t="s">
        <v>152</v>
      </c>
      <c r="I186" s="2" t="str" cm="1">
        <f t="array" ref="I186">_xlfn.IFS(Table1[[#This Row],[Job_Type]] = "unskilled resident", "Resident",
Table1[[#This Row],[Job_Type]] = "unemp/unskilled non res", "Non-resident",
TRUE, "Unknown")</f>
        <v>Unknown</v>
      </c>
      <c r="J186" s="2" t="s">
        <v>149</v>
      </c>
      <c r="K186" s="3">
        <v>4</v>
      </c>
      <c r="L186" s="2" t="s">
        <v>140</v>
      </c>
      <c r="M186" s="13" t="s">
        <v>152</v>
      </c>
      <c r="N186" t="s">
        <v>17</v>
      </c>
      <c r="O186" s="2" t="str">
        <f>_xlfn.XLOOKUP(Table1[[#This Row],[Checking_Acct_Status]],Table3[Checking_Acct_Original],Table3[Category])</f>
        <v>No Account</v>
      </c>
      <c r="P186" s="10" t="s">
        <v>47</v>
      </c>
      <c r="Q186" s="13" t="str">
        <f>_xlfn.XLOOKUP(Table1[[#This Row],[Saving_Acct_Status]],Table5[Saving_Acct_Original],Table5[Category])</f>
        <v>No Savings</v>
      </c>
      <c r="R186" t="s">
        <v>41</v>
      </c>
      <c r="S186" s="2" t="str">
        <f>IF(
      OR(Table1[[#This Row],[Job_Type]] = "high qualif/self emp/mgmt", Table1[[#This Row],[Job_Type]] = "skilled"),
      "Skilled", "Unskilled")</f>
        <v>Skilled</v>
      </c>
      <c r="T186" t="str">
        <f>IF(Table1[[#This Row],[Job_Type]] = "unemp/unskilled non res", "Unemployed", "Employed")</f>
        <v>Employed</v>
      </c>
      <c r="U186" t="s">
        <v>45</v>
      </c>
      <c r="V186" s="14" t="str" cm="1">
        <f t="array" ref="V18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86" t="s">
        <v>59</v>
      </c>
      <c r="X186" s="2" t="str">
        <f>_xlfn.XLOOKUP(Table1[[#This Row],[Loan_Credit_History]],Table4[Credit History],Table4[[ Category]])</f>
        <v>Previously Delayed</v>
      </c>
      <c r="Y186" s="3">
        <v>4</v>
      </c>
      <c r="Z186" s="3">
        <v>2</v>
      </c>
      <c r="AA186" s="5">
        <v>7980</v>
      </c>
      <c r="AB186" t="s">
        <v>151</v>
      </c>
      <c r="AC186" s="2" t="str" cm="1">
        <f t="array" ref="AC186">_xlfn.IFS(Table1[[#This Row],[Others_Parties]] = "No", "None",
Table1[[#This Row],[Others_Parties]] = "co applicant", "Co-applicant",
Table1[[#This Row],[Others_Parties]] = "guarantor", "Guarantor")</f>
        <v>None</v>
      </c>
      <c r="AD186" s="13" t="s">
        <v>145</v>
      </c>
      <c r="AE186" s="2" t="s">
        <v>105</v>
      </c>
      <c r="AF186" s="28" t="str" cm="1">
        <f t="array" ref="AF18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86" s="21">
        <v>36</v>
      </c>
      <c r="AH186" s="2" t="s">
        <v>153</v>
      </c>
      <c r="AI186"/>
      <c r="AZ186"/>
      <c r="BC186"/>
      <c r="BE186"/>
      <c r="BL186"/>
      <c r="BZ186"/>
      <c r="CA186"/>
      <c r="CF186"/>
      <c r="CG186"/>
      <c r="CH186"/>
      <c r="CI186"/>
      <c r="CK186"/>
      <c r="CN186"/>
    </row>
    <row r="187" spans="1:92" x14ac:dyDescent="0.3">
      <c r="A187" s="4">
        <v>185</v>
      </c>
      <c r="B187" s="11">
        <v>25</v>
      </c>
      <c r="C187" s="2" t="str">
        <f>_xlfn.XLOOKUP(Table1[[#This Row],[Age]],Table7[Start_Age],Table7[Age_Range],,-1)</f>
        <v>19-29</v>
      </c>
      <c r="D187" t="s">
        <v>136</v>
      </c>
      <c r="E187" s="2" t="s">
        <v>131</v>
      </c>
      <c r="F187" s="2" t="s">
        <v>137</v>
      </c>
      <c r="G187" s="3">
        <v>1</v>
      </c>
      <c r="H187" s="13" t="s">
        <v>152</v>
      </c>
      <c r="I187" s="2" t="str" cm="1">
        <f t="array" ref="I187">_xlfn.IFS(Table1[[#This Row],[Job_Type]] = "unskilled resident", "Resident",
Table1[[#This Row],[Job_Type]] = "unemp/unskilled non res", "Non-resident",
TRUE, "Unknown")</f>
        <v>Unknown</v>
      </c>
      <c r="J187" s="2" t="s">
        <v>148</v>
      </c>
      <c r="K187" s="3">
        <v>2</v>
      </c>
      <c r="L187" s="2" t="s">
        <v>142</v>
      </c>
      <c r="M187" s="13" t="s">
        <v>152</v>
      </c>
      <c r="N187" t="s">
        <v>35</v>
      </c>
      <c r="O187" s="2" t="str">
        <f>_xlfn.XLOOKUP(Table1[[#This Row],[Checking_Acct_Status]],Table3[Checking_Acct_Original],Table3[Category])</f>
        <v>Negative Balance</v>
      </c>
      <c r="P187" s="10" t="s">
        <v>32</v>
      </c>
      <c r="Q187" s="13" t="str">
        <f>_xlfn.XLOOKUP(Table1[[#This Row],[Saving_Acct_Status]],Table5[Saving_Acct_Original],Table5[Category])</f>
        <v>Low Savings</v>
      </c>
      <c r="R187" t="s">
        <v>63</v>
      </c>
      <c r="S187" s="2" t="str">
        <f>IF(
      OR(Table1[[#This Row],[Job_Type]] = "high qualif/self emp/mgmt", Table1[[#This Row],[Job_Type]] = "skilled"),
      "Skilled", "Unskilled")</f>
        <v>Skilled</v>
      </c>
      <c r="T187" t="str">
        <f>IF(Table1[[#This Row],[Job_Type]] = "unemp/unskilled non res", "Unemployed", "Employed")</f>
        <v>Employed</v>
      </c>
      <c r="U187" t="s">
        <v>21</v>
      </c>
      <c r="V187" s="14" t="str" cm="1">
        <f t="array" ref="V18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87" t="s">
        <v>103</v>
      </c>
      <c r="X187" s="2" t="str">
        <f>_xlfn.XLOOKUP(Table1[[#This Row],[Loan_Credit_History]],Table4[Credit History],Table4[[ Category]])</f>
        <v>Critical Credit History</v>
      </c>
      <c r="Y187" s="3">
        <v>3</v>
      </c>
      <c r="Z187" s="3">
        <v>2</v>
      </c>
      <c r="AA187" s="5">
        <v>8065</v>
      </c>
      <c r="AB187" t="s">
        <v>151</v>
      </c>
      <c r="AC187" s="2" t="str" cm="1">
        <f t="array" ref="AC187">_xlfn.IFS(Table1[[#This Row],[Others_Parties]] = "No", "None",
Table1[[#This Row],[Others_Parties]] = "co applicant", "Co-applicant",
Table1[[#This Row],[Others_Parties]] = "guarantor", "Guarantor")</f>
        <v>None</v>
      </c>
      <c r="AD187" s="13" t="s">
        <v>145</v>
      </c>
      <c r="AE187" s="2" t="s">
        <v>100</v>
      </c>
      <c r="AF187" s="28" t="str" cm="1">
        <f t="array" ref="AF18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87" s="21">
        <v>36</v>
      </c>
      <c r="AH187" s="2" t="s">
        <v>153</v>
      </c>
      <c r="AI187"/>
      <c r="AZ187"/>
      <c r="BC187"/>
      <c r="BE187"/>
      <c r="BL187"/>
      <c r="BZ187"/>
      <c r="CA187"/>
      <c r="CF187"/>
      <c r="CG187"/>
      <c r="CH187"/>
      <c r="CI187"/>
      <c r="CK187"/>
      <c r="CN187"/>
    </row>
    <row r="188" spans="1:92" x14ac:dyDescent="0.3">
      <c r="A188" s="4">
        <v>186</v>
      </c>
      <c r="B188" s="11">
        <v>42</v>
      </c>
      <c r="C188" s="2" t="str">
        <f>_xlfn.XLOOKUP(Table1[[#This Row],[Age]],Table7[Start_Age],Table7[Age_Range],,-1)</f>
        <v>39-49</v>
      </c>
      <c r="D188" t="s">
        <v>130</v>
      </c>
      <c r="E188" s="2" t="s">
        <v>129</v>
      </c>
      <c r="F188" s="2" t="s">
        <v>133</v>
      </c>
      <c r="G188" s="3">
        <v>1</v>
      </c>
      <c r="H188" s="13" t="s">
        <v>152</v>
      </c>
      <c r="I188" s="2" t="str" cm="1">
        <f t="array" ref="I188">_xlfn.IFS(Table1[[#This Row],[Job_Type]] = "unskilled resident", "Resident",
Table1[[#This Row],[Job_Type]] = "unemp/unskilled non res", "Non-resident",
TRUE, "Unknown")</f>
        <v>Unknown</v>
      </c>
      <c r="J188" s="2" t="s">
        <v>148</v>
      </c>
      <c r="K188" s="3">
        <v>4</v>
      </c>
      <c r="L188" s="2" t="s">
        <v>140</v>
      </c>
      <c r="M188" s="13" t="s">
        <v>152</v>
      </c>
      <c r="N188" t="s">
        <v>30</v>
      </c>
      <c r="O188" s="2" t="str">
        <f>_xlfn.XLOOKUP(Table1[[#This Row],[Checking_Acct_Status]],Table3[Checking_Acct_Original],Table3[Category])</f>
        <v>Low Balance</v>
      </c>
      <c r="P188" s="10" t="s">
        <v>46</v>
      </c>
      <c r="Q188" s="13" t="str">
        <f>_xlfn.XLOOKUP(Table1[[#This Row],[Saving_Acct_Status]],Table5[Saving_Acct_Original],Table5[Category])</f>
        <v>Medium Savings</v>
      </c>
      <c r="R188" t="s">
        <v>63</v>
      </c>
      <c r="S188" s="2" t="str">
        <f>IF(
      OR(Table1[[#This Row],[Job_Type]] = "high qualif/self emp/mgmt", Table1[[#This Row],[Job_Type]] = "skilled"),
      "Skilled", "Unskilled")</f>
        <v>Skilled</v>
      </c>
      <c r="T188" t="str">
        <f>IF(Table1[[#This Row],[Job_Type]] = "unemp/unskilled non res", "Unemployed", "Employed")</f>
        <v>Employed</v>
      </c>
      <c r="U188" t="s">
        <v>38</v>
      </c>
      <c r="V188" s="14" t="str" cm="1">
        <f t="array" ref="V18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88" t="s">
        <v>59</v>
      </c>
      <c r="X188" s="2" t="str">
        <f>_xlfn.XLOOKUP(Table1[[#This Row],[Loan_Credit_History]],Table4[Credit History],Table4[[ Category]])</f>
        <v>Previously Delayed</v>
      </c>
      <c r="Y188" s="3">
        <v>2</v>
      </c>
      <c r="Z188" s="3">
        <v>4</v>
      </c>
      <c r="AA188" s="5">
        <v>8086</v>
      </c>
      <c r="AB188" t="s">
        <v>151</v>
      </c>
      <c r="AC188" s="2" t="str" cm="1">
        <f t="array" ref="AC188">_xlfn.IFS(Table1[[#This Row],[Others_Parties]] = "No", "None",
Table1[[#This Row],[Others_Parties]] = "co applicant", "Co-applicant",
Table1[[#This Row],[Others_Parties]] = "guarantor", "Guarantor")</f>
        <v>None</v>
      </c>
      <c r="AD188" s="13" t="s">
        <v>145</v>
      </c>
      <c r="AE188" s="2" t="s">
        <v>141</v>
      </c>
      <c r="AF188" s="28" t="str" cm="1">
        <f t="array" ref="AF18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88" s="21">
        <v>36</v>
      </c>
      <c r="AH188" s="2" t="s">
        <v>153</v>
      </c>
      <c r="AI188"/>
      <c r="AZ188"/>
      <c r="BC188"/>
      <c r="BE188"/>
      <c r="BL188"/>
      <c r="BZ188"/>
      <c r="CA188"/>
      <c r="CF188"/>
      <c r="CG188"/>
      <c r="CH188"/>
      <c r="CI188"/>
      <c r="CK188"/>
      <c r="CN188"/>
    </row>
    <row r="189" spans="1:92" x14ac:dyDescent="0.3">
      <c r="A189" s="4">
        <v>187</v>
      </c>
      <c r="B189" s="11">
        <v>30</v>
      </c>
      <c r="C189" s="2" t="str">
        <f>_xlfn.XLOOKUP(Table1[[#This Row],[Age]],Table7[Start_Age],Table7[Age_Range],,-1)</f>
        <v>29-39</v>
      </c>
      <c r="D189" t="s">
        <v>136</v>
      </c>
      <c r="E189" s="2" t="s">
        <v>131</v>
      </c>
      <c r="F189" s="2" t="s">
        <v>137</v>
      </c>
      <c r="G189" s="3">
        <v>1</v>
      </c>
      <c r="H189" s="13" t="s">
        <v>152</v>
      </c>
      <c r="I189" s="2" t="str" cm="1">
        <f t="array" ref="I189">_xlfn.IFS(Table1[[#This Row],[Job_Type]] = "unskilled resident", "Resident",
Table1[[#This Row],[Job_Type]] = "unemp/unskilled non res", "Non-resident",
TRUE, "Unknown")</f>
        <v>Unknown</v>
      </c>
      <c r="J189" s="2" t="s">
        <v>148</v>
      </c>
      <c r="K189" s="3">
        <v>2</v>
      </c>
      <c r="L189" s="2" t="s">
        <v>143</v>
      </c>
      <c r="M189" s="13" t="s">
        <v>151</v>
      </c>
      <c r="N189" t="s">
        <v>17</v>
      </c>
      <c r="O189" s="2" t="str">
        <f>_xlfn.XLOOKUP(Table1[[#This Row],[Checking_Acct_Status]],Table3[Checking_Acct_Original],Table3[Category])</f>
        <v>No Account</v>
      </c>
      <c r="P189" s="10" t="s">
        <v>32</v>
      </c>
      <c r="Q189" s="13" t="str">
        <f>_xlfn.XLOOKUP(Table1[[#This Row],[Saving_Acct_Status]],Table5[Saving_Acct_Original],Table5[Category])</f>
        <v>Low Savings</v>
      </c>
      <c r="R189" t="s">
        <v>41</v>
      </c>
      <c r="S189" s="2" t="str">
        <f>IF(
      OR(Table1[[#This Row],[Job_Type]] = "high qualif/self emp/mgmt", Table1[[#This Row],[Job_Type]] = "skilled"),
      "Skilled", "Unskilled")</f>
        <v>Skilled</v>
      </c>
      <c r="T189" t="str">
        <f>IF(Table1[[#This Row],[Job_Type]] = "unemp/unskilled non res", "Unemployed", "Employed")</f>
        <v>Employed</v>
      </c>
      <c r="U189" t="s">
        <v>21</v>
      </c>
      <c r="V189" s="14" t="str" cm="1">
        <f t="array" ref="V18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89" t="s">
        <v>31</v>
      </c>
      <c r="X189" s="2" t="str">
        <f>_xlfn.XLOOKUP(Table1[[#This Row],[Loan_Credit_History]],Table4[Credit History],Table4[[ Category]])</f>
        <v>Existing Credits Paid</v>
      </c>
      <c r="Y189" s="3">
        <v>1</v>
      </c>
      <c r="Z189" s="3">
        <v>1</v>
      </c>
      <c r="AA189" s="5">
        <v>8133</v>
      </c>
      <c r="AB189" t="s">
        <v>151</v>
      </c>
      <c r="AC189" s="2" t="str" cm="1">
        <f t="array" ref="AC189">_xlfn.IFS(Table1[[#This Row],[Others_Parties]] = "No", "None",
Table1[[#This Row],[Others_Parties]] = "co applicant", "Co-applicant",
Table1[[#This Row],[Others_Parties]] = "guarantor", "Guarantor")</f>
        <v>None</v>
      </c>
      <c r="AD189" s="13" t="s">
        <v>146</v>
      </c>
      <c r="AE189" s="2" t="s">
        <v>107</v>
      </c>
      <c r="AF189" s="28" t="str" cm="1">
        <f t="array" ref="AF18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89" s="21">
        <v>36</v>
      </c>
      <c r="AH189" s="2" t="s">
        <v>154</v>
      </c>
      <c r="AI189"/>
      <c r="AZ189"/>
      <c r="BC189"/>
      <c r="BE189"/>
      <c r="BL189"/>
      <c r="BZ189"/>
      <c r="CA189"/>
      <c r="CF189"/>
      <c r="CG189"/>
      <c r="CH189"/>
      <c r="CI189"/>
      <c r="CK189"/>
      <c r="CN189"/>
    </row>
    <row r="190" spans="1:92" x14ac:dyDescent="0.3">
      <c r="A190" s="4">
        <v>188</v>
      </c>
      <c r="B190" s="11">
        <v>26</v>
      </c>
      <c r="C190" s="2" t="str">
        <f>_xlfn.XLOOKUP(Table1[[#This Row],[Age]],Table7[Start_Age],Table7[Age_Range],,-1)</f>
        <v>19-29</v>
      </c>
      <c r="D190" t="s">
        <v>130</v>
      </c>
      <c r="E190" s="2" t="s">
        <v>129</v>
      </c>
      <c r="F190" s="2" t="s">
        <v>133</v>
      </c>
      <c r="G190" s="3">
        <v>2</v>
      </c>
      <c r="H190" s="13" t="s">
        <v>152</v>
      </c>
      <c r="I190" s="2" t="str" cm="1">
        <f t="array" ref="I190">_xlfn.IFS(Table1[[#This Row],[Job_Type]] = "unskilled resident", "Resident",
Table1[[#This Row],[Job_Type]] = "unemp/unskilled non res", "Non-resident",
TRUE, "Unknown")</f>
        <v>Unknown</v>
      </c>
      <c r="J190" s="2" t="s">
        <v>148</v>
      </c>
      <c r="K190" s="3">
        <v>2</v>
      </c>
      <c r="L190" s="2" t="s">
        <v>143</v>
      </c>
      <c r="M190" s="13" t="s">
        <v>151</v>
      </c>
      <c r="N190" t="s">
        <v>35</v>
      </c>
      <c r="O190" s="2" t="str">
        <f>_xlfn.XLOOKUP(Table1[[#This Row],[Checking_Acct_Status]],Table3[Checking_Acct_Original],Table3[Category])</f>
        <v>Negative Balance</v>
      </c>
      <c r="P190" s="10" t="s">
        <v>32</v>
      </c>
      <c r="Q190" s="13" t="str">
        <f>_xlfn.XLOOKUP(Table1[[#This Row],[Saving_Acct_Status]],Table5[Saving_Acct_Original],Table5[Category])</f>
        <v>Low Savings</v>
      </c>
      <c r="R190" t="s">
        <v>41</v>
      </c>
      <c r="S190" s="2" t="str">
        <f>IF(
      OR(Table1[[#This Row],[Job_Type]] = "high qualif/self emp/mgmt", Table1[[#This Row],[Job_Type]] = "skilled"),
      "Skilled", "Unskilled")</f>
        <v>Skilled</v>
      </c>
      <c r="T190" t="str">
        <f>IF(Table1[[#This Row],[Job_Type]] = "unemp/unskilled non res", "Unemployed", "Employed")</f>
        <v>Employed</v>
      </c>
      <c r="U190" t="s">
        <v>21</v>
      </c>
      <c r="V190" s="14" t="str" cm="1">
        <f t="array" ref="V19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90" t="s">
        <v>31</v>
      </c>
      <c r="X190" s="2" t="str">
        <f>_xlfn.XLOOKUP(Table1[[#This Row],[Loan_Credit_History]],Table4[Credit History],Table4[[ Category]])</f>
        <v>Existing Credits Paid</v>
      </c>
      <c r="Y190" s="3">
        <v>2</v>
      </c>
      <c r="Z190" s="3">
        <v>1</v>
      </c>
      <c r="AA190" s="5">
        <v>8229</v>
      </c>
      <c r="AB190" t="s">
        <v>151</v>
      </c>
      <c r="AC190" s="2" t="str" cm="1">
        <f t="array" ref="AC190">_xlfn.IFS(Table1[[#This Row],[Others_Parties]] = "No", "None",
Table1[[#This Row],[Others_Parties]] = "co applicant", "Co-applicant",
Table1[[#This Row],[Others_Parties]] = "guarantor", "Guarantor")</f>
        <v>None</v>
      </c>
      <c r="AD190" s="13" t="s">
        <v>145</v>
      </c>
      <c r="AE190" s="2" t="s">
        <v>107</v>
      </c>
      <c r="AF190" s="28" t="str" cm="1">
        <f t="array" ref="AF19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90" s="21">
        <v>36</v>
      </c>
      <c r="AH190" s="2" t="s">
        <v>153</v>
      </c>
      <c r="AI190"/>
      <c r="AZ190"/>
      <c r="BC190"/>
      <c r="BE190"/>
      <c r="BL190"/>
      <c r="BZ190"/>
      <c r="CA190"/>
      <c r="CF190"/>
      <c r="CG190"/>
      <c r="CH190"/>
      <c r="CI190"/>
      <c r="CK190"/>
      <c r="CN190"/>
    </row>
    <row r="191" spans="1:92" x14ac:dyDescent="0.3">
      <c r="A191" s="4">
        <v>189</v>
      </c>
      <c r="B191" s="11">
        <v>47</v>
      </c>
      <c r="C191" s="2" t="str">
        <f>_xlfn.XLOOKUP(Table1[[#This Row],[Age]],Table7[Start_Age],Table7[Age_Range],,-1)</f>
        <v>39-49</v>
      </c>
      <c r="D191" t="s">
        <v>130</v>
      </c>
      <c r="E191" s="2" t="s">
        <v>129</v>
      </c>
      <c r="F191" s="2" t="s">
        <v>133</v>
      </c>
      <c r="G191" s="3">
        <v>1</v>
      </c>
      <c r="H191" s="13" t="s">
        <v>152</v>
      </c>
      <c r="I191" s="2" t="str" cm="1">
        <f t="array" ref="I191">_xlfn.IFS(Table1[[#This Row],[Job_Type]] = "unskilled resident", "Resident",
Table1[[#This Row],[Job_Type]] = "unemp/unskilled non res", "Non-resident",
TRUE, "Unknown")</f>
        <v>Unknown</v>
      </c>
      <c r="J191" s="2" t="s">
        <v>150</v>
      </c>
      <c r="K191" s="3">
        <v>4</v>
      </c>
      <c r="L191" s="2" t="s">
        <v>142</v>
      </c>
      <c r="M191" s="13" t="s">
        <v>151</v>
      </c>
      <c r="N191" t="s">
        <v>35</v>
      </c>
      <c r="O191" s="2" t="str">
        <f>_xlfn.XLOOKUP(Table1[[#This Row],[Checking_Acct_Status]],Table3[Checking_Acct_Original],Table3[Category])</f>
        <v>Negative Balance</v>
      </c>
      <c r="P191" s="10" t="s">
        <v>47</v>
      </c>
      <c r="Q191" s="13" t="str">
        <f>_xlfn.XLOOKUP(Table1[[#This Row],[Saving_Acct_Status]],Table5[Saving_Acct_Original],Table5[Category])</f>
        <v>No Savings</v>
      </c>
      <c r="R191" t="s">
        <v>41</v>
      </c>
      <c r="S191" s="2" t="str">
        <f>IF(
      OR(Table1[[#This Row],[Job_Type]] = "high qualif/self emp/mgmt", Table1[[#This Row],[Job_Type]] = "skilled"),
      "Skilled", "Unskilled")</f>
        <v>Skilled</v>
      </c>
      <c r="T191" t="str">
        <f>IF(Table1[[#This Row],[Job_Type]] = "unemp/unskilled non res", "Unemployed", "Employed")</f>
        <v>Employed</v>
      </c>
      <c r="U191" t="s">
        <v>38</v>
      </c>
      <c r="V191" s="14" t="str" cm="1">
        <f t="array" ref="V19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191" t="s">
        <v>31</v>
      </c>
      <c r="X191" s="2" t="str">
        <f>_xlfn.XLOOKUP(Table1[[#This Row],[Loan_Credit_History]],Table4[Credit History],Table4[[ Category]])</f>
        <v>Existing Credits Paid</v>
      </c>
      <c r="Y191" s="3">
        <v>3</v>
      </c>
      <c r="Z191" s="3">
        <v>1</v>
      </c>
      <c r="AA191" s="5">
        <v>8335</v>
      </c>
      <c r="AB191" t="s">
        <v>151</v>
      </c>
      <c r="AC191" s="2" t="str" cm="1">
        <f t="array" ref="AC191">_xlfn.IFS(Table1[[#This Row],[Others_Parties]] = "No", "None",
Table1[[#This Row],[Others_Parties]] = "co applicant", "Co-applicant",
Table1[[#This Row],[Others_Parties]] = "guarantor", "Guarantor")</f>
        <v>None</v>
      </c>
      <c r="AD191" s="13" t="s">
        <v>145</v>
      </c>
      <c r="AE191" s="2" t="s">
        <v>107</v>
      </c>
      <c r="AF191" s="28" t="str" cm="1">
        <f t="array" ref="AF19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91" s="21">
        <v>36</v>
      </c>
      <c r="AH191" s="2" t="s">
        <v>153</v>
      </c>
      <c r="AI191"/>
      <c r="AZ191"/>
      <c r="BC191"/>
      <c r="BE191"/>
      <c r="BL191"/>
      <c r="BZ191"/>
      <c r="CA191"/>
      <c r="CF191"/>
      <c r="CG191"/>
      <c r="CH191"/>
      <c r="CI191"/>
      <c r="CK191"/>
      <c r="CN191"/>
    </row>
    <row r="192" spans="1:92" x14ac:dyDescent="0.3">
      <c r="A192" s="4">
        <v>190</v>
      </c>
      <c r="B192" s="11">
        <v>31</v>
      </c>
      <c r="C192" s="2" t="str">
        <f>_xlfn.XLOOKUP(Table1[[#This Row],[Age]],Table7[Start_Age],Table7[Age_Range],,-1)</f>
        <v>29-39</v>
      </c>
      <c r="D192" t="s">
        <v>130</v>
      </c>
      <c r="E192" s="2" t="s">
        <v>129</v>
      </c>
      <c r="F192" s="2" t="s">
        <v>133</v>
      </c>
      <c r="G192" s="3">
        <v>2</v>
      </c>
      <c r="H192" s="13" t="s">
        <v>152</v>
      </c>
      <c r="I192" s="2" t="str" cm="1">
        <f t="array" ref="I192">_xlfn.IFS(Table1[[#This Row],[Job_Type]] = "unskilled resident", "Resident",
Table1[[#This Row],[Job_Type]] = "unemp/unskilled non res", "Non-resident",
TRUE, "Unknown")</f>
        <v>Unknown</v>
      </c>
      <c r="J192" s="2" t="s">
        <v>148</v>
      </c>
      <c r="K192" s="3">
        <v>2</v>
      </c>
      <c r="L192" s="2" t="s">
        <v>140</v>
      </c>
      <c r="M192" s="13" t="s">
        <v>152</v>
      </c>
      <c r="N192" t="s">
        <v>17</v>
      </c>
      <c r="O192" s="2" t="str">
        <f>_xlfn.XLOOKUP(Table1[[#This Row],[Checking_Acct_Status]],Table3[Checking_Acct_Original],Table3[Category])</f>
        <v>No Account</v>
      </c>
      <c r="P192" s="10" t="s">
        <v>47</v>
      </c>
      <c r="Q192" s="13" t="str">
        <f>_xlfn.XLOOKUP(Table1[[#This Row],[Saving_Acct_Status]],Table5[Saving_Acct_Original],Table5[Category])</f>
        <v>No Savings</v>
      </c>
      <c r="R192" t="s">
        <v>63</v>
      </c>
      <c r="S192" s="2" t="str">
        <f>IF(
      OR(Table1[[#This Row],[Job_Type]] = "high qualif/self emp/mgmt", Table1[[#This Row],[Job_Type]] = "skilled"),
      "Skilled", "Unskilled")</f>
        <v>Skilled</v>
      </c>
      <c r="T192" t="str">
        <f>IF(Table1[[#This Row],[Job_Type]] = "unemp/unskilled non res", "Unemployed", "Employed")</f>
        <v>Employed</v>
      </c>
      <c r="U192" t="s">
        <v>49</v>
      </c>
      <c r="V192" s="14" t="str" cm="1">
        <f t="array" ref="V19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92" t="s">
        <v>59</v>
      </c>
      <c r="X192" s="2" t="str">
        <f>_xlfn.XLOOKUP(Table1[[#This Row],[Loan_Credit_History]],Table4[Credit History],Table4[[ Category]])</f>
        <v>Previously Delayed</v>
      </c>
      <c r="Y192" s="3">
        <v>3</v>
      </c>
      <c r="Z192" s="3">
        <v>1</v>
      </c>
      <c r="AA192" s="5">
        <v>8947</v>
      </c>
      <c r="AB192" t="s">
        <v>151</v>
      </c>
      <c r="AC192" s="2" t="str" cm="1">
        <f t="array" ref="AC192">_xlfn.IFS(Table1[[#This Row],[Others_Parties]] = "No", "None",
Table1[[#This Row],[Others_Parties]] = "co applicant", "Co-applicant",
Table1[[#This Row],[Others_Parties]] = "guarantor", "Guarantor")</f>
        <v>None</v>
      </c>
      <c r="AD192" s="13" t="s">
        <v>147</v>
      </c>
      <c r="AE192" s="2" t="s">
        <v>107</v>
      </c>
      <c r="AF192" s="28" t="str" cm="1">
        <f t="array" ref="AF19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92" s="21">
        <v>36</v>
      </c>
      <c r="AH192" s="2" t="s">
        <v>154</v>
      </c>
      <c r="AI192"/>
      <c r="AZ192"/>
      <c r="BC192"/>
      <c r="BE192"/>
      <c r="BL192"/>
      <c r="BZ192"/>
      <c r="CA192"/>
      <c r="CF192"/>
      <c r="CG192"/>
      <c r="CH192"/>
      <c r="CI192"/>
      <c r="CK192"/>
      <c r="CN192"/>
    </row>
    <row r="193" spans="1:92" x14ac:dyDescent="0.3">
      <c r="A193" s="4">
        <v>191</v>
      </c>
      <c r="B193" s="11">
        <v>29</v>
      </c>
      <c r="C193" s="2" t="str">
        <f>_xlfn.XLOOKUP(Table1[[#This Row],[Age]],Table7[Start_Age],Table7[Age_Range],,-1)</f>
        <v>29-39</v>
      </c>
      <c r="D193" t="s">
        <v>130</v>
      </c>
      <c r="E193" s="2" t="s">
        <v>129</v>
      </c>
      <c r="F193" s="2" t="s">
        <v>133</v>
      </c>
      <c r="G193" s="3">
        <v>1</v>
      </c>
      <c r="H193" s="13" t="s">
        <v>152</v>
      </c>
      <c r="I193" s="2" t="str" cm="1">
        <f t="array" ref="I193">_xlfn.IFS(Table1[[#This Row],[Job_Type]] = "unskilled resident", "Resident",
Table1[[#This Row],[Job_Type]] = "unemp/unskilled non res", "Non-resident",
TRUE, "Unknown")</f>
        <v>Unknown</v>
      </c>
      <c r="J193" s="2" t="s">
        <v>149</v>
      </c>
      <c r="K193" s="3">
        <v>1</v>
      </c>
      <c r="L193" s="2" t="s">
        <v>142</v>
      </c>
      <c r="M193" s="13" t="s">
        <v>152</v>
      </c>
      <c r="N193" t="s">
        <v>30</v>
      </c>
      <c r="O193" s="2" t="str">
        <f>_xlfn.XLOOKUP(Table1[[#This Row],[Checking_Acct_Status]],Table3[Checking_Acct_Original],Table3[Category])</f>
        <v>Low Balance</v>
      </c>
      <c r="P193" s="10" t="s">
        <v>46</v>
      </c>
      <c r="Q193" s="13" t="str">
        <f>_xlfn.XLOOKUP(Table1[[#This Row],[Saving_Acct_Status]],Table5[Saving_Acct_Original],Table5[Category])</f>
        <v>Medium Savings</v>
      </c>
      <c r="R193" t="s">
        <v>63</v>
      </c>
      <c r="S193" s="2" t="str">
        <f>IF(
      OR(Table1[[#This Row],[Job_Type]] = "high qualif/self emp/mgmt", Table1[[#This Row],[Job_Type]] = "skilled"),
      "Skilled", "Unskilled")</f>
        <v>Skilled</v>
      </c>
      <c r="T193" t="str">
        <f>IF(Table1[[#This Row],[Job_Type]] = "unemp/unskilled non res", "Unemployed", "Employed")</f>
        <v>Employed</v>
      </c>
      <c r="U193" t="s">
        <v>45</v>
      </c>
      <c r="V193" s="14" t="str" cm="1">
        <f t="array" ref="V19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93" t="s">
        <v>31</v>
      </c>
      <c r="X193" s="2" t="str">
        <f>_xlfn.XLOOKUP(Table1[[#This Row],[Loan_Credit_History]],Table4[Credit History],Table4[[ Category]])</f>
        <v>Existing Credits Paid</v>
      </c>
      <c r="Y193" s="3">
        <v>4</v>
      </c>
      <c r="Z193" s="3">
        <v>1</v>
      </c>
      <c r="AA193" s="5">
        <v>9034</v>
      </c>
      <c r="AB193" t="s">
        <v>55</v>
      </c>
      <c r="AC193" s="2" t="str" cm="1">
        <f t="array" ref="AC193">_xlfn.IFS(Table1[[#This Row],[Others_Parties]] = "No", "None",
Table1[[#This Row],[Others_Parties]] = "co applicant", "Co-applicant",
Table1[[#This Row],[Others_Parties]] = "guarantor", "Guarantor")</f>
        <v>Co-applicant</v>
      </c>
      <c r="AD193" s="13" t="s">
        <v>145</v>
      </c>
      <c r="AE193" s="2" t="s">
        <v>108</v>
      </c>
      <c r="AF193" s="28" t="str" cm="1">
        <f t="array" ref="AF19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93" s="21">
        <v>36</v>
      </c>
      <c r="AH193" s="2" t="s">
        <v>153</v>
      </c>
      <c r="AI193"/>
      <c r="AZ193"/>
      <c r="BC193"/>
      <c r="BE193"/>
      <c r="BL193"/>
      <c r="BZ193"/>
      <c r="CA193"/>
      <c r="CF193"/>
      <c r="CG193"/>
      <c r="CH193"/>
      <c r="CI193"/>
      <c r="CK193"/>
      <c r="CN193"/>
    </row>
    <row r="194" spans="1:92" x14ac:dyDescent="0.3">
      <c r="A194" s="4">
        <v>192</v>
      </c>
      <c r="B194" s="11">
        <v>35</v>
      </c>
      <c r="C194" s="2" t="str">
        <f>_xlfn.XLOOKUP(Table1[[#This Row],[Age]],Table7[Start_Age],Table7[Age_Range],,-1)</f>
        <v>29-39</v>
      </c>
      <c r="D194" t="s">
        <v>130</v>
      </c>
      <c r="E194" s="2" t="s">
        <v>129</v>
      </c>
      <c r="F194" s="2" t="s">
        <v>133</v>
      </c>
      <c r="G194" s="3">
        <v>2</v>
      </c>
      <c r="H194" s="13" t="s">
        <v>152</v>
      </c>
      <c r="I194" s="2" t="str" cm="1">
        <f t="array" ref="I194">_xlfn.IFS(Table1[[#This Row],[Job_Type]] = "unskilled resident", "Resident",
Table1[[#This Row],[Job_Type]] = "unemp/unskilled non res", "Non-resident",
TRUE, "Unknown")</f>
        <v>Resident</v>
      </c>
      <c r="J194" s="2" t="s">
        <v>150</v>
      </c>
      <c r="K194" s="3">
        <v>4</v>
      </c>
      <c r="L194" s="2" t="s">
        <v>142</v>
      </c>
      <c r="M194" s="13" t="s">
        <v>152</v>
      </c>
      <c r="N194" t="s">
        <v>17</v>
      </c>
      <c r="O194" s="2" t="str">
        <f>_xlfn.XLOOKUP(Table1[[#This Row],[Checking_Acct_Status]],Table3[Checking_Acct_Original],Table3[Category])</f>
        <v>No Account</v>
      </c>
      <c r="P194" s="10" t="s">
        <v>47</v>
      </c>
      <c r="Q194" s="13" t="str">
        <f>_xlfn.XLOOKUP(Table1[[#This Row],[Saving_Acct_Status]],Table5[Saving_Acct_Original],Table5[Category])</f>
        <v>No Savings</v>
      </c>
      <c r="R194" t="s">
        <v>27</v>
      </c>
      <c r="S194" s="2" t="str">
        <f>IF(
      OR(Table1[[#This Row],[Job_Type]] = "high qualif/self emp/mgmt", Table1[[#This Row],[Job_Type]] = "skilled"),
      "Skilled", "Unskilled")</f>
        <v>Unskilled</v>
      </c>
      <c r="T194" t="str">
        <f>IF(Table1[[#This Row],[Job_Type]] = "unemp/unskilled non res", "Unemployed", "Employed")</f>
        <v>Employed</v>
      </c>
      <c r="U194" t="s">
        <v>21</v>
      </c>
      <c r="V194" s="14" t="str" cm="1">
        <f t="array" ref="V19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94" t="s">
        <v>31</v>
      </c>
      <c r="X194" s="2" t="str">
        <f>_xlfn.XLOOKUP(Table1[[#This Row],[Loan_Credit_History]],Table4[Credit History],Table4[[ Category]])</f>
        <v>Existing Credits Paid</v>
      </c>
      <c r="Y194" s="3">
        <v>2</v>
      </c>
      <c r="Z194" s="3">
        <v>1</v>
      </c>
      <c r="AA194" s="5">
        <v>9055</v>
      </c>
      <c r="AB194" t="s">
        <v>151</v>
      </c>
      <c r="AC194" s="2" t="str" cm="1">
        <f t="array" ref="AC194">_xlfn.IFS(Table1[[#This Row],[Others_Parties]] = "No", "None",
Table1[[#This Row],[Others_Parties]] = "co applicant", "Co-applicant",
Table1[[#This Row],[Others_Parties]] = "guarantor", "Guarantor")</f>
        <v>None</v>
      </c>
      <c r="AD194" s="13" t="s">
        <v>145</v>
      </c>
      <c r="AE194" s="2" t="s">
        <v>100</v>
      </c>
      <c r="AF194" s="28" t="str" cm="1">
        <f t="array" ref="AF19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94" s="21">
        <v>36</v>
      </c>
      <c r="AH194" s="2" t="s">
        <v>154</v>
      </c>
      <c r="AI194"/>
      <c r="AZ194"/>
      <c r="BC194"/>
      <c r="BE194"/>
      <c r="BL194"/>
      <c r="BZ194"/>
      <c r="CA194"/>
      <c r="CF194"/>
      <c r="CG194"/>
      <c r="CH194"/>
      <c r="CI194"/>
      <c r="CK194"/>
      <c r="CN194"/>
    </row>
    <row r="195" spans="1:92" x14ac:dyDescent="0.3">
      <c r="A195" s="4">
        <v>193</v>
      </c>
      <c r="B195" s="11">
        <v>24</v>
      </c>
      <c r="C195" s="2" t="str">
        <f>_xlfn.XLOOKUP(Table1[[#This Row],[Age]],Table7[Start_Age],Table7[Age_Range],,-1)</f>
        <v>19-29</v>
      </c>
      <c r="D195" t="s">
        <v>130</v>
      </c>
      <c r="E195" s="2" t="s">
        <v>129</v>
      </c>
      <c r="F195" s="2" t="s">
        <v>133</v>
      </c>
      <c r="G195" s="3">
        <v>1</v>
      </c>
      <c r="H195" s="13" t="s">
        <v>152</v>
      </c>
      <c r="I195" s="2" t="str" cm="1">
        <f t="array" ref="I195">_xlfn.IFS(Table1[[#This Row],[Job_Type]] = "unskilled resident", "Resident",
Table1[[#This Row],[Job_Type]] = "unemp/unskilled non res", "Non-resident",
TRUE, "Unknown")</f>
        <v>Unknown</v>
      </c>
      <c r="J195" s="2" t="s">
        <v>148</v>
      </c>
      <c r="K195" s="3">
        <v>1</v>
      </c>
      <c r="L195" s="2" t="s">
        <v>140</v>
      </c>
      <c r="M195" s="13" t="s">
        <v>152</v>
      </c>
      <c r="N195" t="s">
        <v>35</v>
      </c>
      <c r="O195" s="2" t="str">
        <f>_xlfn.XLOOKUP(Table1[[#This Row],[Checking_Acct_Status]],Table3[Checking_Acct_Original],Table3[Category])</f>
        <v>Negative Balance</v>
      </c>
      <c r="P195" s="10" t="s">
        <v>32</v>
      </c>
      <c r="Q195" s="13" t="str">
        <f>_xlfn.XLOOKUP(Table1[[#This Row],[Saving_Acct_Status]],Table5[Saving_Acct_Original],Table5[Category])</f>
        <v>Low Savings</v>
      </c>
      <c r="R195" t="s">
        <v>41</v>
      </c>
      <c r="S195" s="2" t="str">
        <f>IF(
      OR(Table1[[#This Row],[Job_Type]] = "high qualif/self emp/mgmt", Table1[[#This Row],[Job_Type]] = "skilled"),
      "Skilled", "Unskilled")</f>
        <v>Skilled</v>
      </c>
      <c r="T195" t="str">
        <f>IF(Table1[[#This Row],[Job_Type]] = "unemp/unskilled non res", "Unemployed", "Employed")</f>
        <v>Employed</v>
      </c>
      <c r="U195" t="s">
        <v>49</v>
      </c>
      <c r="V195" s="14" t="str" cm="1">
        <f t="array" ref="V19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95" t="s">
        <v>31</v>
      </c>
      <c r="X195" s="2" t="str">
        <f>_xlfn.XLOOKUP(Table1[[#This Row],[Loan_Credit_History]],Table4[Credit History],Table4[[ Category]])</f>
        <v>Existing Credits Paid</v>
      </c>
      <c r="Y195" s="3">
        <v>2</v>
      </c>
      <c r="Z195" s="3">
        <v>1</v>
      </c>
      <c r="AA195" s="5">
        <v>9271</v>
      </c>
      <c r="AB195" t="s">
        <v>151</v>
      </c>
      <c r="AC195" s="2" t="str" cm="1">
        <f t="array" ref="AC195">_xlfn.IFS(Table1[[#This Row],[Others_Parties]] = "No", "None",
Table1[[#This Row],[Others_Parties]] = "co applicant", "Co-applicant",
Table1[[#This Row],[Others_Parties]] = "guarantor", "Guarantor")</f>
        <v>None</v>
      </c>
      <c r="AD195" s="13" t="s">
        <v>145</v>
      </c>
      <c r="AE195" s="2" t="s">
        <v>141</v>
      </c>
      <c r="AF195" s="28" t="str" cm="1">
        <f t="array" ref="AF19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95" s="21">
        <v>36</v>
      </c>
      <c r="AH195" s="2" t="s">
        <v>153</v>
      </c>
      <c r="AI195"/>
      <c r="AZ195"/>
      <c r="BC195"/>
      <c r="BE195"/>
      <c r="BL195"/>
      <c r="BZ195"/>
      <c r="CA195"/>
      <c r="CF195"/>
      <c r="CG195"/>
      <c r="CH195"/>
      <c r="CI195"/>
      <c r="CK195"/>
      <c r="CN195"/>
    </row>
    <row r="196" spans="1:92" x14ac:dyDescent="0.3">
      <c r="A196" s="4">
        <v>194</v>
      </c>
      <c r="B196" s="11">
        <v>28</v>
      </c>
      <c r="C196" s="2" t="str">
        <f>_xlfn.XLOOKUP(Table1[[#This Row],[Age]],Table7[Start_Age],Table7[Age_Range],,-1)</f>
        <v>19-29</v>
      </c>
      <c r="D196" t="s">
        <v>134</v>
      </c>
      <c r="E196" s="2" t="s">
        <v>129</v>
      </c>
      <c r="F196" s="2" t="s">
        <v>135</v>
      </c>
      <c r="G196" s="3">
        <v>1</v>
      </c>
      <c r="H196" s="13" t="s">
        <v>152</v>
      </c>
      <c r="I196" s="2" t="str" cm="1">
        <f t="array" ref="I196">_xlfn.IFS(Table1[[#This Row],[Job_Type]] = "unskilled resident", "Resident",
Table1[[#This Row],[Job_Type]] = "unemp/unskilled non res", "Non-resident",
TRUE, "Unknown")</f>
        <v>Unknown</v>
      </c>
      <c r="J196" s="2" t="s">
        <v>149</v>
      </c>
      <c r="K196" s="3">
        <v>4</v>
      </c>
      <c r="L196" s="2" t="s">
        <v>140</v>
      </c>
      <c r="M196" s="13" t="s">
        <v>152</v>
      </c>
      <c r="N196" t="s">
        <v>30</v>
      </c>
      <c r="O196" s="2" t="str">
        <f>_xlfn.XLOOKUP(Table1[[#This Row],[Checking_Acct_Status]],Table3[Checking_Acct_Original],Table3[Category])</f>
        <v>Low Balance</v>
      </c>
      <c r="P196" s="10" t="s">
        <v>32</v>
      </c>
      <c r="Q196" s="13" t="str">
        <f>_xlfn.XLOOKUP(Table1[[#This Row],[Saving_Acct_Status]],Table5[Saving_Acct_Original],Table5[Category])</f>
        <v>Low Savings</v>
      </c>
      <c r="R196" t="s">
        <v>63</v>
      </c>
      <c r="S196" s="2" t="str">
        <f>IF(
      OR(Table1[[#This Row],[Job_Type]] = "high qualif/self emp/mgmt", Table1[[#This Row],[Job_Type]] = "skilled"),
      "Skilled", "Unskilled")</f>
        <v>Skilled</v>
      </c>
      <c r="T196" t="str">
        <f>IF(Table1[[#This Row],[Job_Type]] = "unemp/unskilled non res", "Unemployed", "Employed")</f>
        <v>Employed</v>
      </c>
      <c r="U196" t="s">
        <v>45</v>
      </c>
      <c r="V196" s="14" t="str" cm="1">
        <f t="array" ref="V19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96" t="s">
        <v>31</v>
      </c>
      <c r="X196" s="2" t="str">
        <f>_xlfn.XLOOKUP(Table1[[#This Row],[Loan_Credit_History]],Table4[Credit History],Table4[[ Category]])</f>
        <v>Existing Credits Paid</v>
      </c>
      <c r="Y196" s="3">
        <v>1</v>
      </c>
      <c r="Z196" s="3">
        <v>1</v>
      </c>
      <c r="AA196" s="5">
        <v>9398</v>
      </c>
      <c r="AB196" t="s">
        <v>151</v>
      </c>
      <c r="AC196" s="2" t="str" cm="1">
        <f t="array" ref="AC196">_xlfn.IFS(Table1[[#This Row],[Others_Parties]] = "No", "None",
Table1[[#This Row],[Others_Parties]] = "co applicant", "Co-applicant",
Table1[[#This Row],[Others_Parties]] = "guarantor", "Guarantor")</f>
        <v>None</v>
      </c>
      <c r="AD196" s="13" t="s">
        <v>145</v>
      </c>
      <c r="AE196" s="2" t="s">
        <v>107</v>
      </c>
      <c r="AF196" s="28" t="str" cm="1">
        <f t="array" ref="AF19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96" s="21">
        <v>36</v>
      </c>
      <c r="AH196" s="2" t="s">
        <v>153</v>
      </c>
      <c r="AI196"/>
      <c r="AZ196"/>
      <c r="BC196"/>
      <c r="BE196"/>
      <c r="BL196"/>
      <c r="BZ196"/>
      <c r="CA196"/>
      <c r="CF196"/>
      <c r="CG196"/>
      <c r="CH196"/>
      <c r="CI196"/>
      <c r="CK196"/>
      <c r="CN196"/>
    </row>
    <row r="197" spans="1:92" x14ac:dyDescent="0.3">
      <c r="A197" s="4">
        <v>195</v>
      </c>
      <c r="B197" s="11">
        <v>31</v>
      </c>
      <c r="C197" s="2" t="str">
        <f>_xlfn.XLOOKUP(Table1[[#This Row],[Age]],Table7[Start_Age],Table7[Age_Range],,-1)</f>
        <v>29-39</v>
      </c>
      <c r="D197" t="s">
        <v>136</v>
      </c>
      <c r="E197" s="2" t="s">
        <v>131</v>
      </c>
      <c r="F197" s="2" t="s">
        <v>137</v>
      </c>
      <c r="G197" s="3">
        <v>1</v>
      </c>
      <c r="H197" s="13" t="s">
        <v>152</v>
      </c>
      <c r="I197" s="2" t="str" cm="1">
        <f t="array" ref="I197">_xlfn.IFS(Table1[[#This Row],[Job_Type]] = "unskilled resident", "Resident",
Table1[[#This Row],[Job_Type]] = "unemp/unskilled non res", "Non-resident",
TRUE, "Unknown")</f>
        <v>Unknown</v>
      </c>
      <c r="J197" s="2" t="s">
        <v>148</v>
      </c>
      <c r="K197" s="3">
        <v>2</v>
      </c>
      <c r="L197" s="2" t="s">
        <v>140</v>
      </c>
      <c r="M197" s="13" t="s">
        <v>151</v>
      </c>
      <c r="N197" t="s">
        <v>17</v>
      </c>
      <c r="O197" s="2" t="str">
        <f>_xlfn.XLOOKUP(Table1[[#This Row],[Checking_Acct_Status]],Table3[Checking_Acct_Original],Table3[Category])</f>
        <v>No Account</v>
      </c>
      <c r="P197" s="10" t="s">
        <v>32</v>
      </c>
      <c r="Q197" s="13" t="str">
        <f>_xlfn.XLOOKUP(Table1[[#This Row],[Saving_Acct_Status]],Table5[Saving_Acct_Original],Table5[Category])</f>
        <v>Low Savings</v>
      </c>
      <c r="R197" t="s">
        <v>41</v>
      </c>
      <c r="S197" s="2" t="str">
        <f>IF(
      OR(Table1[[#This Row],[Job_Type]] = "high qualif/self emp/mgmt", Table1[[#This Row],[Job_Type]] = "skilled"),
      "Skilled", "Unskilled")</f>
        <v>Skilled</v>
      </c>
      <c r="T197" t="str">
        <f>IF(Table1[[#This Row],[Job_Type]] = "unemp/unskilled non res", "Unemployed", "Employed")</f>
        <v>Employed</v>
      </c>
      <c r="U197" t="s">
        <v>21</v>
      </c>
      <c r="V197" s="14" t="str" cm="1">
        <f t="array" ref="V19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197" t="s">
        <v>103</v>
      </c>
      <c r="X197" s="2" t="str">
        <f>_xlfn.XLOOKUP(Table1[[#This Row],[Loan_Credit_History]],Table4[Credit History],Table4[[ Category]])</f>
        <v>Critical Credit History</v>
      </c>
      <c r="Y197" s="3">
        <v>2</v>
      </c>
      <c r="Z197" s="3">
        <v>2</v>
      </c>
      <c r="AA197" s="5">
        <v>9566</v>
      </c>
      <c r="AB197" t="s">
        <v>151</v>
      </c>
      <c r="AC197" s="2" t="str" cm="1">
        <f t="array" ref="AC197">_xlfn.IFS(Table1[[#This Row],[Others_Parties]] = "No", "None",
Table1[[#This Row],[Others_Parties]] = "co applicant", "Co-applicant",
Table1[[#This Row],[Others_Parties]] = "guarantor", "Guarantor")</f>
        <v>None</v>
      </c>
      <c r="AD197" s="13" t="s">
        <v>147</v>
      </c>
      <c r="AE197" s="2" t="s">
        <v>111</v>
      </c>
      <c r="AF197" s="28" t="str" cm="1">
        <f t="array" ref="AF19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97" s="21">
        <v>36</v>
      </c>
      <c r="AH197" s="2" t="s">
        <v>154</v>
      </c>
      <c r="AI197"/>
      <c r="AZ197"/>
      <c r="BC197"/>
      <c r="BE197"/>
      <c r="BL197"/>
      <c r="BZ197"/>
      <c r="CA197"/>
      <c r="CF197"/>
      <c r="CG197"/>
      <c r="CH197"/>
      <c r="CI197"/>
      <c r="CK197"/>
      <c r="CN197"/>
    </row>
    <row r="198" spans="1:92" x14ac:dyDescent="0.3">
      <c r="A198" s="4">
        <v>196</v>
      </c>
      <c r="B198" s="11">
        <v>28</v>
      </c>
      <c r="C198" s="2" t="str">
        <f>_xlfn.XLOOKUP(Table1[[#This Row],[Age]],Table7[Start_Age],Table7[Age_Range],,-1)</f>
        <v>19-29</v>
      </c>
      <c r="D198" t="s">
        <v>138</v>
      </c>
      <c r="E198" s="2" t="s">
        <v>129</v>
      </c>
      <c r="F198" s="2" t="s">
        <v>178</v>
      </c>
      <c r="G198" s="3">
        <v>1</v>
      </c>
      <c r="H198" s="13" t="s">
        <v>152</v>
      </c>
      <c r="I198" s="2" t="str" cm="1">
        <f t="array" ref="I198">_xlfn.IFS(Table1[[#This Row],[Job_Type]] = "unskilled resident", "Resident",
Table1[[#This Row],[Job_Type]] = "unemp/unskilled non res", "Non-resident",
TRUE, "Unknown")</f>
        <v>Unknown</v>
      </c>
      <c r="J198" s="2" t="s">
        <v>148</v>
      </c>
      <c r="K198" s="3">
        <v>1</v>
      </c>
      <c r="L198" s="2" t="s">
        <v>140</v>
      </c>
      <c r="M198" s="13" t="s">
        <v>151</v>
      </c>
      <c r="N198" t="s">
        <v>17</v>
      </c>
      <c r="O198" s="2" t="str">
        <f>_xlfn.XLOOKUP(Table1[[#This Row],[Checking_Acct_Status]],Table3[Checking_Acct_Original],Table3[Category])</f>
        <v>No Account</v>
      </c>
      <c r="P198" s="10" t="s">
        <v>32</v>
      </c>
      <c r="Q198" s="13" t="str">
        <f>_xlfn.XLOOKUP(Table1[[#This Row],[Saving_Acct_Status]],Table5[Saving_Acct_Original],Table5[Category])</f>
        <v>Low Savings</v>
      </c>
      <c r="R198" t="s">
        <v>41</v>
      </c>
      <c r="S198" s="2" t="str">
        <f>IF(
      OR(Table1[[#This Row],[Job_Type]] = "high qualif/self emp/mgmt", Table1[[#This Row],[Job_Type]] = "skilled"),
      "Skilled", "Unskilled")</f>
        <v>Skilled</v>
      </c>
      <c r="T198" t="str">
        <f>IF(Table1[[#This Row],[Job_Type]] = "unemp/unskilled non res", "Unemployed", "Employed")</f>
        <v>Employed</v>
      </c>
      <c r="U198" t="s">
        <v>45</v>
      </c>
      <c r="V198" s="14" t="str" cm="1">
        <f t="array" ref="V19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198" t="s">
        <v>59</v>
      </c>
      <c r="X198" s="2" t="str">
        <f>_xlfn.XLOOKUP(Table1[[#This Row],[Loan_Credit_History]],Table4[Credit History],Table4[[ Category]])</f>
        <v>Previously Delayed</v>
      </c>
      <c r="Y198" s="3">
        <v>1</v>
      </c>
      <c r="Z198" s="3">
        <v>2</v>
      </c>
      <c r="AA198" s="5">
        <v>9572</v>
      </c>
      <c r="AB198" t="s">
        <v>151</v>
      </c>
      <c r="AC198" s="2" t="str" cm="1">
        <f t="array" ref="AC198">_xlfn.IFS(Table1[[#This Row],[Others_Parties]] = "No", "None",
Table1[[#This Row],[Others_Parties]] = "co applicant", "Co-applicant",
Table1[[#This Row],[Others_Parties]] = "guarantor", "Guarantor")</f>
        <v>None</v>
      </c>
      <c r="AD198" s="13" t="s">
        <v>145</v>
      </c>
      <c r="AE198" s="2" t="s">
        <v>105</v>
      </c>
      <c r="AF198" s="28" t="str" cm="1">
        <f t="array" ref="AF19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98" s="21">
        <v>36</v>
      </c>
      <c r="AH198" s="2" t="s">
        <v>153</v>
      </c>
      <c r="AI198"/>
      <c r="AZ198"/>
      <c r="BC198"/>
      <c r="BE198"/>
      <c r="BL198"/>
      <c r="BZ198"/>
      <c r="CA198"/>
      <c r="CF198"/>
      <c r="CG198"/>
      <c r="CH198"/>
      <c r="CI198"/>
      <c r="CK198"/>
      <c r="CN198"/>
    </row>
    <row r="199" spans="1:92" x14ac:dyDescent="0.3">
      <c r="A199" s="4">
        <v>197</v>
      </c>
      <c r="B199" s="11">
        <v>24</v>
      </c>
      <c r="C199" s="2" t="str">
        <f>_xlfn.XLOOKUP(Table1[[#This Row],[Age]],Table7[Start_Age],Table7[Age_Range],,-1)</f>
        <v>19-29</v>
      </c>
      <c r="D199" t="s">
        <v>130</v>
      </c>
      <c r="E199" s="2" t="s">
        <v>129</v>
      </c>
      <c r="F199" s="2" t="s">
        <v>133</v>
      </c>
      <c r="G199" s="3">
        <v>1</v>
      </c>
      <c r="H199" s="13" t="s">
        <v>152</v>
      </c>
      <c r="I199" s="2" t="str" cm="1">
        <f t="array" ref="I199">_xlfn.IFS(Table1[[#This Row],[Job_Type]] = "unskilled resident", "Resident",
Table1[[#This Row],[Job_Type]] = "unemp/unskilled non res", "Non-resident",
TRUE, "Unknown")</f>
        <v>Unknown</v>
      </c>
      <c r="J199" s="2" t="s">
        <v>148</v>
      </c>
      <c r="K199" s="3">
        <v>4</v>
      </c>
      <c r="L199" s="2" t="s">
        <v>140</v>
      </c>
      <c r="M199" s="13" t="s">
        <v>152</v>
      </c>
      <c r="N199" t="s">
        <v>35</v>
      </c>
      <c r="O199" s="2" t="str">
        <f>_xlfn.XLOOKUP(Table1[[#This Row],[Checking_Acct_Status]],Table3[Checking_Acct_Original],Table3[Category])</f>
        <v>Negative Balance</v>
      </c>
      <c r="P199" s="10" t="s">
        <v>32</v>
      </c>
      <c r="Q199" s="13" t="str">
        <f>_xlfn.XLOOKUP(Table1[[#This Row],[Saving_Acct_Status]],Table5[Saving_Acct_Original],Table5[Category])</f>
        <v>Low Savings</v>
      </c>
      <c r="R199" t="s">
        <v>41</v>
      </c>
      <c r="S199" s="2" t="str">
        <f>IF(
      OR(Table1[[#This Row],[Job_Type]] = "high qualif/self emp/mgmt", Table1[[#This Row],[Job_Type]] = "skilled"),
      "Skilled", "Unskilled")</f>
        <v>Skilled</v>
      </c>
      <c r="T199" t="str">
        <f>IF(Table1[[#This Row],[Job_Type]] = "unemp/unskilled non res", "Unemployed", "Employed")</f>
        <v>Employed</v>
      </c>
      <c r="U199" t="s">
        <v>49</v>
      </c>
      <c r="V199" s="14" t="str" cm="1">
        <f t="array" ref="V19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99" t="s">
        <v>103</v>
      </c>
      <c r="X199" s="2" t="str">
        <f>_xlfn.XLOOKUP(Table1[[#This Row],[Loan_Credit_History]],Table4[Credit History],Table4[[ Category]])</f>
        <v>Critical Credit History</v>
      </c>
      <c r="Y199" s="3">
        <v>4</v>
      </c>
      <c r="Z199" s="3">
        <v>2</v>
      </c>
      <c r="AA199" s="5">
        <v>9629</v>
      </c>
      <c r="AB199" t="s">
        <v>151</v>
      </c>
      <c r="AC199" s="2" t="str" cm="1">
        <f t="array" ref="AC199">_xlfn.IFS(Table1[[#This Row],[Others_Parties]] = "No", "None",
Table1[[#This Row],[Others_Parties]] = "co applicant", "Co-applicant",
Table1[[#This Row],[Others_Parties]] = "guarantor", "Guarantor")</f>
        <v>None</v>
      </c>
      <c r="AD199" s="13" t="s">
        <v>145</v>
      </c>
      <c r="AE199" s="2" t="s">
        <v>107</v>
      </c>
      <c r="AF199" s="28" t="str" cm="1">
        <f t="array" ref="AF19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199" s="21">
        <v>36</v>
      </c>
      <c r="AH199" s="2" t="s">
        <v>153</v>
      </c>
      <c r="AI199"/>
      <c r="AZ199"/>
      <c r="BC199"/>
      <c r="BE199"/>
      <c r="BL199"/>
      <c r="BZ199"/>
      <c r="CA199"/>
      <c r="CF199"/>
      <c r="CG199"/>
      <c r="CH199"/>
      <c r="CI199"/>
      <c r="CK199"/>
      <c r="CN199"/>
    </row>
    <row r="200" spans="1:92" x14ac:dyDescent="0.3">
      <c r="A200" s="4">
        <v>198</v>
      </c>
      <c r="B200" s="11">
        <v>31</v>
      </c>
      <c r="C200" s="2" t="str">
        <f>_xlfn.XLOOKUP(Table1[[#This Row],[Age]],Table7[Start_Age],Table7[Age_Range],,-1)</f>
        <v>29-39</v>
      </c>
      <c r="D200" t="s">
        <v>130</v>
      </c>
      <c r="E200" s="2" t="s">
        <v>129</v>
      </c>
      <c r="F200" s="2" t="s">
        <v>133</v>
      </c>
      <c r="G200" s="3">
        <v>2</v>
      </c>
      <c r="H200" s="13" t="s">
        <v>152</v>
      </c>
      <c r="I200" s="2" t="str" cm="1">
        <f t="array" ref="I200">_xlfn.IFS(Table1[[#This Row],[Job_Type]] = "unskilled resident", "Resident",
Table1[[#This Row],[Job_Type]] = "unemp/unskilled non res", "Non-resident",
TRUE, "Unknown")</f>
        <v>Resident</v>
      </c>
      <c r="J200" s="2" t="s">
        <v>148</v>
      </c>
      <c r="K200" s="3">
        <v>3</v>
      </c>
      <c r="L200" s="2" t="s">
        <v>143</v>
      </c>
      <c r="M200" s="13" t="s">
        <v>152</v>
      </c>
      <c r="N200" t="s">
        <v>30</v>
      </c>
      <c r="O200" s="2" t="str">
        <f>_xlfn.XLOOKUP(Table1[[#This Row],[Checking_Acct_Status]],Table3[Checking_Acct_Original],Table3[Category])</f>
        <v>Low Balance</v>
      </c>
      <c r="P200" s="10" t="s">
        <v>46</v>
      </c>
      <c r="Q200" s="13" t="str">
        <f>_xlfn.XLOOKUP(Table1[[#This Row],[Saving_Acct_Status]],Table5[Saving_Acct_Original],Table5[Category])</f>
        <v>Medium Savings</v>
      </c>
      <c r="R200" t="s">
        <v>27</v>
      </c>
      <c r="S200" s="2" t="str">
        <f>IF(
      OR(Table1[[#This Row],[Job_Type]] = "high qualif/self emp/mgmt", Table1[[#This Row],[Job_Type]] = "skilled"),
      "Skilled", "Unskilled")</f>
        <v>Unskilled</v>
      </c>
      <c r="T200" t="str">
        <f>IF(Table1[[#This Row],[Job_Type]] = "unemp/unskilled non res", "Unemployed", "Employed")</f>
        <v>Employed</v>
      </c>
      <c r="U200" t="s">
        <v>49</v>
      </c>
      <c r="V200" s="14" t="str" cm="1">
        <f t="array" ref="V20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00" t="s">
        <v>59</v>
      </c>
      <c r="X200" s="2" t="str">
        <f>_xlfn.XLOOKUP(Table1[[#This Row],[Loan_Credit_History]],Table4[Credit History],Table4[[ Category]])</f>
        <v>Previously Delayed</v>
      </c>
      <c r="Y200" s="3">
        <v>1</v>
      </c>
      <c r="Z200" s="3">
        <v>2</v>
      </c>
      <c r="AA200" s="5">
        <v>9857</v>
      </c>
      <c r="AB200" t="s">
        <v>151</v>
      </c>
      <c r="AC200" s="2" t="str" cm="1">
        <f t="array" ref="AC200">_xlfn.IFS(Table1[[#This Row],[Others_Parties]] = "No", "None",
Table1[[#This Row],[Others_Parties]] = "co applicant", "Co-applicant",
Table1[[#This Row],[Others_Parties]] = "guarantor", "Guarantor")</f>
        <v>None</v>
      </c>
      <c r="AD200" s="13" t="s">
        <v>145</v>
      </c>
      <c r="AE200" s="2" t="s">
        <v>105</v>
      </c>
      <c r="AF200" s="28" t="str" cm="1">
        <f t="array" ref="AF20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00" s="21">
        <v>36</v>
      </c>
      <c r="AH200" s="2" t="s">
        <v>154</v>
      </c>
      <c r="AI200"/>
      <c r="AZ200"/>
      <c r="BC200"/>
      <c r="BE200"/>
      <c r="BL200"/>
      <c r="BZ200"/>
      <c r="CA200"/>
      <c r="CF200"/>
      <c r="CG200"/>
      <c r="CH200"/>
      <c r="CI200"/>
      <c r="CK200"/>
      <c r="CN200"/>
    </row>
    <row r="201" spans="1:92" x14ac:dyDescent="0.3">
      <c r="A201" s="4">
        <v>199</v>
      </c>
      <c r="B201" s="11">
        <v>42</v>
      </c>
      <c r="C201" s="2" t="str">
        <f>_xlfn.XLOOKUP(Table1[[#This Row],[Age]],Table7[Start_Age],Table7[Age_Range],,-1)</f>
        <v>39-49</v>
      </c>
      <c r="D201" t="s">
        <v>130</v>
      </c>
      <c r="E201" s="2" t="s">
        <v>129</v>
      </c>
      <c r="F201" s="2" t="s">
        <v>133</v>
      </c>
      <c r="G201" s="3">
        <v>1</v>
      </c>
      <c r="H201" s="13" t="s">
        <v>152</v>
      </c>
      <c r="I201" s="2" t="str" cm="1">
        <f t="array" ref="I201">_xlfn.IFS(Table1[[#This Row],[Job_Type]] = "unskilled resident", "Resident",
Table1[[#This Row],[Job_Type]] = "unemp/unskilled non res", "Non-resident",
TRUE, "Unknown")</f>
        <v>Unknown</v>
      </c>
      <c r="J201" s="2" t="s">
        <v>150</v>
      </c>
      <c r="K201" s="3">
        <v>4</v>
      </c>
      <c r="L201" s="2" t="s">
        <v>142</v>
      </c>
      <c r="M201" s="13" t="s">
        <v>151</v>
      </c>
      <c r="N201" t="s">
        <v>17</v>
      </c>
      <c r="O201" s="2" t="str">
        <f>_xlfn.XLOOKUP(Table1[[#This Row],[Checking_Acct_Status]],Table3[Checking_Acct_Original],Table3[Category])</f>
        <v>No Account</v>
      </c>
      <c r="P201" s="10" t="s">
        <v>47</v>
      </c>
      <c r="Q201" s="13" t="str">
        <f>_xlfn.XLOOKUP(Table1[[#This Row],[Saving_Acct_Status]],Table5[Saving_Acct_Original],Table5[Category])</f>
        <v>No Savings</v>
      </c>
      <c r="R201" t="s">
        <v>41</v>
      </c>
      <c r="S201" s="2" t="str">
        <f>IF(
      OR(Table1[[#This Row],[Job_Type]] = "high qualif/self emp/mgmt", Table1[[#This Row],[Job_Type]] = "skilled"),
      "Skilled", "Unskilled")</f>
        <v>Skilled</v>
      </c>
      <c r="T201" t="str">
        <f>IF(Table1[[#This Row],[Job_Type]] = "unemp/unskilled non res", "Unemployed", "Employed")</f>
        <v>Employed</v>
      </c>
      <c r="U201" t="s">
        <v>38</v>
      </c>
      <c r="V201" s="14" t="str" cm="1">
        <f t="array" ref="V20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01" t="s">
        <v>103</v>
      </c>
      <c r="X201" s="2" t="str">
        <f>_xlfn.XLOOKUP(Table1[[#This Row],[Loan_Credit_History]],Table4[Credit History],Table4[[ Category]])</f>
        <v>Critical Credit History</v>
      </c>
      <c r="Y201" s="3">
        <v>2</v>
      </c>
      <c r="Z201" s="3">
        <v>2</v>
      </c>
      <c r="AA201" s="5">
        <v>10477</v>
      </c>
      <c r="AB201" t="s">
        <v>151</v>
      </c>
      <c r="AC201" s="2" t="str" cm="1">
        <f t="array" ref="AC201">_xlfn.IFS(Table1[[#This Row],[Others_Parties]] = "No", "None",
Table1[[#This Row],[Others_Parties]] = "co applicant", "Co-applicant",
Table1[[#This Row],[Others_Parties]] = "guarantor", "Guarantor")</f>
        <v>None</v>
      </c>
      <c r="AD201" s="13" t="s">
        <v>145</v>
      </c>
      <c r="AE201" s="2" t="s">
        <v>107</v>
      </c>
      <c r="AF201" s="28" t="str" cm="1">
        <f t="array" ref="AF20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01" s="21">
        <v>36</v>
      </c>
      <c r="AH201" s="2" t="s">
        <v>154</v>
      </c>
      <c r="AI201"/>
      <c r="AZ201"/>
      <c r="BC201"/>
      <c r="BE201"/>
      <c r="BL201"/>
      <c r="BZ201"/>
      <c r="CA201"/>
      <c r="CF201"/>
      <c r="CG201"/>
      <c r="CH201"/>
      <c r="CI201"/>
      <c r="CK201"/>
      <c r="CN201"/>
    </row>
    <row r="202" spans="1:92" x14ac:dyDescent="0.3">
      <c r="A202" s="4">
        <v>200</v>
      </c>
      <c r="B202" s="11">
        <v>45</v>
      </c>
      <c r="C202" s="2" t="str">
        <f>_xlfn.XLOOKUP(Table1[[#This Row],[Age]],Table7[Start_Age],Table7[Age_Range],,-1)</f>
        <v>39-49</v>
      </c>
      <c r="D202" t="s">
        <v>130</v>
      </c>
      <c r="E202" s="2" t="s">
        <v>129</v>
      </c>
      <c r="F202" s="2" t="s">
        <v>133</v>
      </c>
      <c r="G202" s="3">
        <v>2</v>
      </c>
      <c r="H202" s="13" t="s">
        <v>152</v>
      </c>
      <c r="I202" s="2" t="str" cm="1">
        <f t="array" ref="I202">_xlfn.IFS(Table1[[#This Row],[Job_Type]] = "unskilled resident", "Resident",
Table1[[#This Row],[Job_Type]] = "unemp/unskilled non res", "Non-resident",
TRUE, "Unknown")</f>
        <v>Unknown</v>
      </c>
      <c r="J202" s="2" t="s">
        <v>148</v>
      </c>
      <c r="K202" s="3">
        <v>2</v>
      </c>
      <c r="L202" s="2" t="s">
        <v>140</v>
      </c>
      <c r="M202" s="13" t="s">
        <v>152</v>
      </c>
      <c r="N202" t="s">
        <v>17</v>
      </c>
      <c r="O202" s="2" t="str">
        <f>_xlfn.XLOOKUP(Table1[[#This Row],[Checking_Acct_Status]],Table3[Checking_Acct_Original],Table3[Category])</f>
        <v>No Account</v>
      </c>
      <c r="P202" s="10" t="s">
        <v>32</v>
      </c>
      <c r="Q202" s="13" t="str">
        <f>_xlfn.XLOOKUP(Table1[[#This Row],[Saving_Acct_Status]],Table5[Saving_Acct_Original],Table5[Category])</f>
        <v>Low Savings</v>
      </c>
      <c r="R202" t="s">
        <v>41</v>
      </c>
      <c r="S202" s="2" t="str">
        <f>IF(
      OR(Table1[[#This Row],[Job_Type]] = "high qualif/self emp/mgmt", Table1[[#This Row],[Job_Type]] = "skilled"),
      "Skilled", "Unskilled")</f>
        <v>Skilled</v>
      </c>
      <c r="T202" t="str">
        <f>IF(Table1[[#This Row],[Job_Type]] = "unemp/unskilled non res", "Unemployed", "Employed")</f>
        <v>Employed</v>
      </c>
      <c r="U202" t="s">
        <v>38</v>
      </c>
      <c r="V202" s="14" t="str" cm="1">
        <f t="array" ref="V20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02" t="s">
        <v>59</v>
      </c>
      <c r="X202" s="2" t="str">
        <f>_xlfn.XLOOKUP(Table1[[#This Row],[Loan_Credit_History]],Table4[Credit History],Table4[[ Category]])</f>
        <v>Previously Delayed</v>
      </c>
      <c r="Y202" s="3">
        <v>2</v>
      </c>
      <c r="Z202" s="3">
        <v>2</v>
      </c>
      <c r="AA202" s="5">
        <v>10875</v>
      </c>
      <c r="AB202" t="s">
        <v>151</v>
      </c>
      <c r="AC202" s="2" t="str" cm="1">
        <f t="array" ref="AC202">_xlfn.IFS(Table1[[#This Row],[Others_Parties]] = "No", "None",
Table1[[#This Row],[Others_Parties]] = "co applicant", "Co-applicant",
Table1[[#This Row],[Others_Parties]] = "guarantor", "Guarantor")</f>
        <v>None</v>
      </c>
      <c r="AD202" s="13" t="s">
        <v>145</v>
      </c>
      <c r="AE202" s="2" t="s">
        <v>141</v>
      </c>
      <c r="AF202" s="28" t="str" cm="1">
        <f t="array" ref="AF20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02" s="21">
        <v>36</v>
      </c>
      <c r="AH202" s="2" t="s">
        <v>154</v>
      </c>
      <c r="AI202"/>
      <c r="AZ202"/>
      <c r="BC202"/>
      <c r="BE202"/>
      <c r="BL202"/>
      <c r="BZ202"/>
      <c r="CA202"/>
      <c r="CF202"/>
      <c r="CG202"/>
      <c r="CH202"/>
      <c r="CI202"/>
      <c r="CK202"/>
      <c r="CN202"/>
    </row>
    <row r="203" spans="1:92" x14ac:dyDescent="0.3">
      <c r="A203" s="4">
        <v>201</v>
      </c>
      <c r="B203" s="11">
        <v>26</v>
      </c>
      <c r="C203" s="2" t="str">
        <f>_xlfn.XLOOKUP(Table1[[#This Row],[Age]],Table7[Start_Age],Table7[Age_Range],,-1)</f>
        <v>19-29</v>
      </c>
      <c r="D203" t="s">
        <v>136</v>
      </c>
      <c r="E203" s="2" t="s">
        <v>131</v>
      </c>
      <c r="F203" s="2" t="s">
        <v>137</v>
      </c>
      <c r="G203" s="3">
        <v>1</v>
      </c>
      <c r="H203" s="13" t="s">
        <v>152</v>
      </c>
      <c r="I203" s="2" t="str" cm="1">
        <f t="array" ref="I203">_xlfn.IFS(Table1[[#This Row],[Job_Type]] = "unskilled resident", "Resident",
Table1[[#This Row],[Job_Type]] = "unemp/unskilled non res", "Non-resident",
TRUE, "Unknown")</f>
        <v>Unknown</v>
      </c>
      <c r="J203" s="2" t="s">
        <v>148</v>
      </c>
      <c r="K203" s="3">
        <v>2</v>
      </c>
      <c r="L203" s="2" t="s">
        <v>140</v>
      </c>
      <c r="M203" s="13" t="s">
        <v>152</v>
      </c>
      <c r="N203" t="s">
        <v>17</v>
      </c>
      <c r="O203" s="2" t="str">
        <f>_xlfn.XLOOKUP(Table1[[#This Row],[Checking_Acct_Status]],Table3[Checking_Acct_Original],Table3[Category])</f>
        <v>No Account</v>
      </c>
      <c r="P203" s="10" t="s">
        <v>32</v>
      </c>
      <c r="Q203" s="13" t="str">
        <f>_xlfn.XLOOKUP(Table1[[#This Row],[Saving_Acct_Status]],Table5[Saving_Acct_Original],Table5[Category])</f>
        <v>Low Savings</v>
      </c>
      <c r="R203" t="s">
        <v>63</v>
      </c>
      <c r="S203" s="2" t="str">
        <f>IF(
      OR(Table1[[#This Row],[Job_Type]] = "high qualif/self emp/mgmt", Table1[[#This Row],[Job_Type]] = "skilled"),
      "Skilled", "Unskilled")</f>
        <v>Skilled</v>
      </c>
      <c r="T203" t="str">
        <f>IF(Table1[[#This Row],[Job_Type]] = "unemp/unskilled non res", "Unemployed", "Employed")</f>
        <v>Employed</v>
      </c>
      <c r="U203" t="s">
        <v>54</v>
      </c>
      <c r="V203" s="14" t="str" cm="1">
        <f t="array" ref="V203">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203" t="s">
        <v>31</v>
      </c>
      <c r="X203" s="2" t="str">
        <f>_xlfn.XLOOKUP(Table1[[#This Row],[Loan_Credit_History]],Table4[Credit History],Table4[[ Category]])</f>
        <v>Existing Credits Paid</v>
      </c>
      <c r="Y203" s="3">
        <v>4</v>
      </c>
      <c r="Z203" s="3">
        <v>2</v>
      </c>
      <c r="AA203" s="5">
        <v>10974</v>
      </c>
      <c r="AB203" t="s">
        <v>151</v>
      </c>
      <c r="AC203" s="2" t="str" cm="1">
        <f t="array" ref="AC203">_xlfn.IFS(Table1[[#This Row],[Others_Parties]] = "No", "None",
Table1[[#This Row],[Others_Parties]] = "co applicant", "Co-applicant",
Table1[[#This Row],[Others_Parties]] = "guarantor", "Guarantor")</f>
        <v>None</v>
      </c>
      <c r="AD203" s="13" t="s">
        <v>145</v>
      </c>
      <c r="AE203" s="2" t="s">
        <v>108</v>
      </c>
      <c r="AF203" s="28" t="str" cm="1">
        <f t="array" ref="AF20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03" s="21">
        <v>36</v>
      </c>
      <c r="AH203" s="2" t="s">
        <v>153</v>
      </c>
      <c r="AI203"/>
      <c r="AZ203"/>
      <c r="BC203"/>
      <c r="BE203"/>
      <c r="BL203"/>
      <c r="BZ203"/>
      <c r="CA203"/>
      <c r="CF203"/>
      <c r="CG203"/>
      <c r="CH203"/>
      <c r="CI203"/>
      <c r="CK203"/>
      <c r="CN203"/>
    </row>
    <row r="204" spans="1:92" x14ac:dyDescent="0.3">
      <c r="A204" s="4">
        <v>202</v>
      </c>
      <c r="B204" s="11">
        <v>30</v>
      </c>
      <c r="C204" s="2" t="str">
        <f>_xlfn.XLOOKUP(Table1[[#This Row],[Age]],Table7[Start_Age],Table7[Age_Range],,-1)</f>
        <v>29-39</v>
      </c>
      <c r="D204" t="s">
        <v>130</v>
      </c>
      <c r="E204" s="2" t="s">
        <v>129</v>
      </c>
      <c r="F204" s="2" t="s">
        <v>133</v>
      </c>
      <c r="G204" s="3">
        <v>1</v>
      </c>
      <c r="H204" s="13" t="s">
        <v>152</v>
      </c>
      <c r="I204" s="2" t="str" cm="1">
        <f t="array" ref="I204">_xlfn.IFS(Table1[[#This Row],[Job_Type]] = "unskilled resident", "Resident",
Table1[[#This Row],[Job_Type]] = "unemp/unskilled non res", "Non-resident",
TRUE, "Unknown")</f>
        <v>Unknown</v>
      </c>
      <c r="J204" s="2" t="s">
        <v>148</v>
      </c>
      <c r="K204" s="3">
        <v>2</v>
      </c>
      <c r="L204" s="2" t="s">
        <v>140</v>
      </c>
      <c r="M204" s="13" t="s">
        <v>152</v>
      </c>
      <c r="N204" t="s">
        <v>17</v>
      </c>
      <c r="O204" s="2" t="str">
        <f>_xlfn.XLOOKUP(Table1[[#This Row],[Checking_Acct_Status]],Table3[Checking_Acct_Original],Table3[Category])</f>
        <v>No Account</v>
      </c>
      <c r="P204" s="10" t="s">
        <v>47</v>
      </c>
      <c r="Q204" s="13" t="str">
        <f>_xlfn.XLOOKUP(Table1[[#This Row],[Saving_Acct_Status]],Table5[Saving_Acct_Original],Table5[Category])</f>
        <v>No Savings</v>
      </c>
      <c r="R204" t="s">
        <v>63</v>
      </c>
      <c r="S204" s="2" t="str">
        <f>IF(
      OR(Table1[[#This Row],[Job_Type]] = "high qualif/self emp/mgmt", Table1[[#This Row],[Job_Type]] = "skilled"),
      "Skilled", "Unskilled")</f>
        <v>Skilled</v>
      </c>
      <c r="T204" t="str">
        <f>IF(Table1[[#This Row],[Job_Type]] = "unemp/unskilled non res", "Unemployed", "Employed")</f>
        <v>Employed</v>
      </c>
      <c r="U204" t="s">
        <v>21</v>
      </c>
      <c r="V204" s="14" t="str" cm="1">
        <f t="array" ref="V20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04" t="s">
        <v>103</v>
      </c>
      <c r="X204" s="2" t="str">
        <f>_xlfn.XLOOKUP(Table1[[#This Row],[Loan_Credit_History]],Table4[Credit History],Table4[[ Category]])</f>
        <v>Critical Credit History</v>
      </c>
      <c r="Y204" s="3">
        <v>4</v>
      </c>
      <c r="Z204" s="3">
        <v>1</v>
      </c>
      <c r="AA204" s="5">
        <v>11054</v>
      </c>
      <c r="AB204" t="s">
        <v>151</v>
      </c>
      <c r="AC204" s="2" t="str" cm="1">
        <f t="array" ref="AC204">_xlfn.IFS(Table1[[#This Row],[Others_Parties]] = "No", "None",
Table1[[#This Row],[Others_Parties]] = "co applicant", "Co-applicant",
Table1[[#This Row],[Others_Parties]] = "guarantor", "Guarantor")</f>
        <v>None</v>
      </c>
      <c r="AD204" s="13" t="s">
        <v>145</v>
      </c>
      <c r="AE204" s="2" t="s">
        <v>107</v>
      </c>
      <c r="AF204" s="28" t="str" cm="1">
        <f t="array" ref="AF20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04" s="21">
        <v>36</v>
      </c>
      <c r="AH204" s="2" t="s">
        <v>154</v>
      </c>
      <c r="AI204"/>
      <c r="AZ204"/>
      <c r="BC204"/>
      <c r="BE204"/>
      <c r="BL204"/>
      <c r="BZ204"/>
      <c r="CA204"/>
      <c r="CF204"/>
      <c r="CG204"/>
      <c r="CH204"/>
      <c r="CI204"/>
      <c r="CK204"/>
      <c r="CN204"/>
    </row>
    <row r="205" spans="1:92" x14ac:dyDescent="0.3">
      <c r="A205" s="4">
        <v>203</v>
      </c>
      <c r="B205" s="11">
        <v>37</v>
      </c>
      <c r="C205" s="2" t="str">
        <f>_xlfn.XLOOKUP(Table1[[#This Row],[Age]],Table7[Start_Age],Table7[Age_Range],,-1)</f>
        <v>29-39</v>
      </c>
      <c r="D205" t="s">
        <v>130</v>
      </c>
      <c r="E205" s="2" t="s">
        <v>129</v>
      </c>
      <c r="F205" s="2" t="s">
        <v>133</v>
      </c>
      <c r="G205" s="3">
        <v>1</v>
      </c>
      <c r="H205" s="13" t="s">
        <v>152</v>
      </c>
      <c r="I205" s="2" t="str" cm="1">
        <f t="array" ref="I205">_xlfn.IFS(Table1[[#This Row],[Job_Type]] = "unskilled resident", "Resident",
Table1[[#This Row],[Job_Type]] = "unemp/unskilled non res", "Non-resident",
TRUE, "Unknown")</f>
        <v>Unknown</v>
      </c>
      <c r="J205" s="2" t="s">
        <v>150</v>
      </c>
      <c r="K205" s="3">
        <v>4</v>
      </c>
      <c r="L205" s="2" t="s">
        <v>142</v>
      </c>
      <c r="M205" s="13" t="s">
        <v>152</v>
      </c>
      <c r="N205" t="s">
        <v>30</v>
      </c>
      <c r="O205" s="2" t="str">
        <f>_xlfn.XLOOKUP(Table1[[#This Row],[Checking_Acct_Status]],Table3[Checking_Acct_Original],Table3[Category])</f>
        <v>Low Balance</v>
      </c>
      <c r="P205" s="10" t="s">
        <v>47</v>
      </c>
      <c r="Q205" s="13" t="str">
        <f>_xlfn.XLOOKUP(Table1[[#This Row],[Saving_Acct_Status]],Table5[Saving_Acct_Original],Table5[Category])</f>
        <v>No Savings</v>
      </c>
      <c r="R205" t="s">
        <v>41</v>
      </c>
      <c r="S205" s="2" t="str">
        <f>IF(
      OR(Table1[[#This Row],[Job_Type]] = "high qualif/self emp/mgmt", Table1[[#This Row],[Job_Type]] = "skilled"),
      "Skilled", "Unskilled")</f>
        <v>Skilled</v>
      </c>
      <c r="T205" t="str">
        <f>IF(Table1[[#This Row],[Job_Type]] = "unemp/unskilled non res", "Unemployed", "Employed")</f>
        <v>Employed</v>
      </c>
      <c r="U205" t="s">
        <v>21</v>
      </c>
      <c r="V205" s="14" t="str" cm="1">
        <f t="array" ref="V20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05" t="s">
        <v>31</v>
      </c>
      <c r="X205" s="2" t="str">
        <f>_xlfn.XLOOKUP(Table1[[#This Row],[Loan_Credit_History]],Table4[Credit History],Table4[[ Category]])</f>
        <v>Existing Credits Paid</v>
      </c>
      <c r="Y205" s="3">
        <v>1</v>
      </c>
      <c r="Z205" s="3">
        <v>1</v>
      </c>
      <c r="AA205" s="5">
        <v>12389</v>
      </c>
      <c r="AB205" t="s">
        <v>151</v>
      </c>
      <c r="AC205" s="2" t="str" cm="1">
        <f t="array" ref="AC205">_xlfn.IFS(Table1[[#This Row],[Others_Parties]] = "No", "None",
Table1[[#This Row],[Others_Parties]] = "co applicant", "Co-applicant",
Table1[[#This Row],[Others_Parties]] = "guarantor", "Guarantor")</f>
        <v>None</v>
      </c>
      <c r="AD205" s="13" t="s">
        <v>145</v>
      </c>
      <c r="AE205" s="2" t="s">
        <v>141</v>
      </c>
      <c r="AF205" s="28" t="str" cm="1">
        <f t="array" ref="AF20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05" s="21">
        <v>36</v>
      </c>
      <c r="AH205" s="2" t="s">
        <v>153</v>
      </c>
      <c r="AI205"/>
      <c r="AZ205"/>
      <c r="BC205"/>
      <c r="BE205"/>
      <c r="BL205"/>
      <c r="BZ205"/>
      <c r="CA205"/>
      <c r="CF205"/>
      <c r="CG205"/>
      <c r="CH205"/>
      <c r="CI205"/>
      <c r="CK205"/>
      <c r="CN205"/>
    </row>
    <row r="206" spans="1:92" x14ac:dyDescent="0.3">
      <c r="A206" s="4">
        <v>204</v>
      </c>
      <c r="B206" s="11">
        <v>47</v>
      </c>
      <c r="C206" s="2" t="str">
        <f>_xlfn.XLOOKUP(Table1[[#This Row],[Age]],Table7[Start_Age],Table7[Age_Range],,-1)</f>
        <v>39-49</v>
      </c>
      <c r="D206" t="s">
        <v>130</v>
      </c>
      <c r="E206" s="2" t="s">
        <v>129</v>
      </c>
      <c r="F206" s="2" t="s">
        <v>133</v>
      </c>
      <c r="G206" s="3">
        <v>2</v>
      </c>
      <c r="H206" s="13" t="s">
        <v>152</v>
      </c>
      <c r="I206" s="2" t="str" cm="1">
        <f t="array" ref="I206">_xlfn.IFS(Table1[[#This Row],[Job_Type]] = "unskilled resident", "Resident",
Table1[[#This Row],[Job_Type]] = "unemp/unskilled non res", "Non-resident",
TRUE, "Unknown")</f>
        <v>Unknown</v>
      </c>
      <c r="J206" s="2" t="s">
        <v>150</v>
      </c>
      <c r="K206" s="3">
        <v>4</v>
      </c>
      <c r="L206" s="2" t="s">
        <v>142</v>
      </c>
      <c r="M206" s="13" t="s">
        <v>152</v>
      </c>
      <c r="N206" t="s">
        <v>30</v>
      </c>
      <c r="O206" s="2" t="str">
        <f>_xlfn.XLOOKUP(Table1[[#This Row],[Checking_Acct_Status]],Table3[Checking_Acct_Original],Table3[Category])</f>
        <v>Low Balance</v>
      </c>
      <c r="P206" s="10" t="s">
        <v>46</v>
      </c>
      <c r="Q206" s="13" t="str">
        <f>_xlfn.XLOOKUP(Table1[[#This Row],[Saving_Acct_Status]],Table5[Saving_Acct_Original],Table5[Category])</f>
        <v>Medium Savings</v>
      </c>
      <c r="R206" t="s">
        <v>41</v>
      </c>
      <c r="S206" s="2" t="str">
        <f>IF(
      OR(Table1[[#This Row],[Job_Type]] = "high qualif/self emp/mgmt", Table1[[#This Row],[Job_Type]] = "skilled"),
      "Skilled", "Unskilled")</f>
        <v>Skilled</v>
      </c>
      <c r="T206" t="str">
        <f>IF(Table1[[#This Row],[Job_Type]] = "unemp/unskilled non res", "Unemployed", "Employed")</f>
        <v>Employed</v>
      </c>
      <c r="U206" t="s">
        <v>21</v>
      </c>
      <c r="V206" s="14" t="str" cm="1">
        <f t="array" ref="V20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06" t="s">
        <v>31</v>
      </c>
      <c r="X206" s="2" t="str">
        <f>_xlfn.XLOOKUP(Table1[[#This Row],[Loan_Credit_History]],Table4[Credit History],Table4[[ Category]])</f>
        <v>Existing Credits Paid</v>
      </c>
      <c r="Y206" s="3">
        <v>1</v>
      </c>
      <c r="Z206" s="3">
        <v>1</v>
      </c>
      <c r="AA206" s="5">
        <v>12612</v>
      </c>
      <c r="AB206" t="s">
        <v>151</v>
      </c>
      <c r="AC206" s="2" t="str" cm="1">
        <f t="array" ref="AC206">_xlfn.IFS(Table1[[#This Row],[Others_Parties]] = "No", "None",
Table1[[#This Row],[Others_Parties]] = "co applicant", "Co-applicant",
Table1[[#This Row],[Others_Parties]] = "guarantor", "Guarantor")</f>
        <v>None</v>
      </c>
      <c r="AD206" s="13" t="s">
        <v>145</v>
      </c>
      <c r="AE206" s="2" t="s">
        <v>100</v>
      </c>
      <c r="AF206" s="28" t="str" cm="1">
        <f t="array" ref="AF20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06" s="21">
        <v>36</v>
      </c>
      <c r="AH206" s="2" t="s">
        <v>153</v>
      </c>
      <c r="AI206"/>
      <c r="AZ206"/>
      <c r="BC206"/>
      <c r="BE206"/>
      <c r="BL206"/>
      <c r="BZ206"/>
      <c r="CA206"/>
      <c r="CF206"/>
      <c r="CG206"/>
      <c r="CH206"/>
      <c r="CI206"/>
      <c r="CK206"/>
      <c r="CN206"/>
    </row>
    <row r="207" spans="1:92" x14ac:dyDescent="0.3">
      <c r="A207" s="4">
        <v>205</v>
      </c>
      <c r="B207" s="11">
        <v>57</v>
      </c>
      <c r="C207" s="2" t="str">
        <f>_xlfn.XLOOKUP(Table1[[#This Row],[Age]],Table7[Start_Age],Table7[Age_Range],,-1)</f>
        <v>49-59</v>
      </c>
      <c r="D207" t="s">
        <v>130</v>
      </c>
      <c r="E207" s="2" t="s">
        <v>129</v>
      </c>
      <c r="F207" s="2" t="s">
        <v>133</v>
      </c>
      <c r="G207" s="3">
        <v>1</v>
      </c>
      <c r="H207" s="13" t="s">
        <v>152</v>
      </c>
      <c r="I207" s="2" t="str" cm="1">
        <f t="array" ref="I207">_xlfn.IFS(Table1[[#This Row],[Job_Type]] = "unskilled resident", "Resident",
Table1[[#This Row],[Job_Type]] = "unemp/unskilled non res", "Non-resident",
TRUE, "Unknown")</f>
        <v>Unknown</v>
      </c>
      <c r="J207" s="2" t="s">
        <v>150</v>
      </c>
      <c r="K207" s="3">
        <v>2</v>
      </c>
      <c r="L207" s="2" t="s">
        <v>142</v>
      </c>
      <c r="M207" s="13" t="s">
        <v>152</v>
      </c>
      <c r="N207" t="s">
        <v>30</v>
      </c>
      <c r="O207" s="2" t="str">
        <f>_xlfn.XLOOKUP(Table1[[#This Row],[Checking_Acct_Status]],Table3[Checking_Acct_Original],Table3[Category])</f>
        <v>Low Balance</v>
      </c>
      <c r="P207" s="10" t="s">
        <v>32</v>
      </c>
      <c r="Q207" s="13" t="str">
        <f>_xlfn.XLOOKUP(Table1[[#This Row],[Saving_Acct_Status]],Table5[Saving_Acct_Original],Table5[Category])</f>
        <v>Low Savings</v>
      </c>
      <c r="R207" t="s">
        <v>63</v>
      </c>
      <c r="S207" s="2" t="str">
        <f>IF(
      OR(Table1[[#This Row],[Job_Type]] = "high qualif/self emp/mgmt", Table1[[#This Row],[Job_Type]] = "skilled"),
      "Skilled", "Unskilled")</f>
        <v>Skilled</v>
      </c>
      <c r="T207" t="str">
        <f>IF(Table1[[#This Row],[Job_Type]] = "unemp/unskilled non res", "Unemployed", "Employed")</f>
        <v>Employed</v>
      </c>
      <c r="U207" t="s">
        <v>38</v>
      </c>
      <c r="V207" s="14" t="str" cm="1">
        <f t="array" ref="V20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07" t="s">
        <v>31</v>
      </c>
      <c r="X207" s="2" t="str">
        <f>_xlfn.XLOOKUP(Table1[[#This Row],[Loan_Credit_History]],Table4[Credit History],Table4[[ Category]])</f>
        <v>Existing Credits Paid</v>
      </c>
      <c r="Y207" s="3">
        <v>4</v>
      </c>
      <c r="Z207" s="3">
        <v>1</v>
      </c>
      <c r="AA207" s="5">
        <v>14318</v>
      </c>
      <c r="AB207" t="s">
        <v>151</v>
      </c>
      <c r="AC207" s="2" t="str" cm="1">
        <f t="array" ref="AC207">_xlfn.IFS(Table1[[#This Row],[Others_Parties]] = "No", "None",
Table1[[#This Row],[Others_Parties]] = "co applicant", "Co-applicant",
Table1[[#This Row],[Others_Parties]] = "guarantor", "Guarantor")</f>
        <v>None</v>
      </c>
      <c r="AD207" s="13" t="s">
        <v>145</v>
      </c>
      <c r="AE207" s="2" t="s">
        <v>141</v>
      </c>
      <c r="AF207" s="28" t="str" cm="1">
        <f t="array" ref="AF20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07" s="21">
        <v>36</v>
      </c>
      <c r="AH207" s="2" t="s">
        <v>153</v>
      </c>
      <c r="AI207"/>
      <c r="AZ207"/>
      <c r="BC207"/>
      <c r="BE207"/>
      <c r="BL207"/>
      <c r="BZ207"/>
      <c r="CA207"/>
      <c r="CF207"/>
      <c r="CG207"/>
      <c r="CH207"/>
      <c r="CI207"/>
      <c r="CK207"/>
      <c r="CN207"/>
    </row>
    <row r="208" spans="1:92" x14ac:dyDescent="0.3">
      <c r="A208" s="4">
        <v>206</v>
      </c>
      <c r="B208" s="11">
        <v>43</v>
      </c>
      <c r="C208" s="2" t="str">
        <f>_xlfn.XLOOKUP(Table1[[#This Row],[Age]],Table7[Start_Age],Table7[Age_Range],,-1)</f>
        <v>39-49</v>
      </c>
      <c r="D208" t="s">
        <v>138</v>
      </c>
      <c r="E208" s="2" t="s">
        <v>129</v>
      </c>
      <c r="F208" s="2" t="s">
        <v>178</v>
      </c>
      <c r="G208" s="3">
        <v>1</v>
      </c>
      <c r="H208" s="13" t="s">
        <v>152</v>
      </c>
      <c r="I208" s="2" t="str" cm="1">
        <f t="array" ref="I208">_xlfn.IFS(Table1[[#This Row],[Job_Type]] = "unskilled resident", "Resident",
Table1[[#This Row],[Job_Type]] = "unemp/unskilled non res", "Non-resident",
TRUE, "Unknown")</f>
        <v>Unknown</v>
      </c>
      <c r="J208" s="2" t="s">
        <v>148</v>
      </c>
      <c r="K208" s="3">
        <v>3</v>
      </c>
      <c r="L208" s="2" t="s">
        <v>140</v>
      </c>
      <c r="M208" s="13" t="s">
        <v>151</v>
      </c>
      <c r="N208" t="s">
        <v>35</v>
      </c>
      <c r="O208" s="2" t="str">
        <f>_xlfn.XLOOKUP(Table1[[#This Row],[Checking_Acct_Status]],Table3[Checking_Acct_Original],Table3[Category])</f>
        <v>Negative Balance</v>
      </c>
      <c r="P208" s="10" t="s">
        <v>32</v>
      </c>
      <c r="Q208" s="13" t="str">
        <f>_xlfn.XLOOKUP(Table1[[#This Row],[Saving_Acct_Status]],Table5[Saving_Acct_Original],Table5[Category])</f>
        <v>Low Savings</v>
      </c>
      <c r="R208" t="s">
        <v>63</v>
      </c>
      <c r="S208" s="2" t="str">
        <f>IF(
      OR(Table1[[#This Row],[Job_Type]] = "high qualif/self emp/mgmt", Table1[[#This Row],[Job_Type]] = "skilled"),
      "Skilled", "Unskilled")</f>
        <v>Skilled</v>
      </c>
      <c r="T208" t="str">
        <f>IF(Table1[[#This Row],[Job_Type]] = "unemp/unskilled non res", "Unemployed", "Employed")</f>
        <v>Employed</v>
      </c>
      <c r="U208" t="s">
        <v>54</v>
      </c>
      <c r="V208" s="14" t="str" cm="1">
        <f t="array" ref="V208">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208" t="s">
        <v>31</v>
      </c>
      <c r="X208" s="2" t="str">
        <f>_xlfn.XLOOKUP(Table1[[#This Row],[Loan_Credit_History]],Table4[Credit History],Table4[[ Category]])</f>
        <v>Existing Credits Paid</v>
      </c>
      <c r="Y208" s="3">
        <v>2</v>
      </c>
      <c r="Z208" s="3">
        <v>1</v>
      </c>
      <c r="AA208" s="5">
        <v>15857</v>
      </c>
      <c r="AB208" t="s">
        <v>55</v>
      </c>
      <c r="AC208" s="2" t="str" cm="1">
        <f t="array" ref="AC208">_xlfn.IFS(Table1[[#This Row],[Others_Parties]] = "No", "None",
Table1[[#This Row],[Others_Parties]] = "co applicant", "Co-applicant",
Table1[[#This Row],[Others_Parties]] = "guarantor", "Guarantor")</f>
        <v>Co-applicant</v>
      </c>
      <c r="AD208" s="13" t="s">
        <v>145</v>
      </c>
      <c r="AE208" s="2" t="s">
        <v>104</v>
      </c>
      <c r="AF208" s="28" t="str" cm="1">
        <f t="array" ref="AF20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08" s="21">
        <v>36</v>
      </c>
      <c r="AH208" s="2" t="s">
        <v>154</v>
      </c>
      <c r="AI208"/>
      <c r="AZ208"/>
      <c r="BC208"/>
      <c r="BE208"/>
      <c r="BL208"/>
      <c r="BZ208"/>
      <c r="CA208"/>
      <c r="CF208"/>
      <c r="CG208"/>
      <c r="CH208"/>
      <c r="CI208"/>
      <c r="CK208"/>
      <c r="CN208"/>
    </row>
    <row r="209" spans="1:92" x14ac:dyDescent="0.3">
      <c r="A209" s="4">
        <v>207</v>
      </c>
      <c r="B209" s="11">
        <v>26</v>
      </c>
      <c r="C209" s="2" t="str">
        <f>_xlfn.XLOOKUP(Table1[[#This Row],[Age]],Table7[Start_Age],Table7[Age_Range],,-1)</f>
        <v>19-29</v>
      </c>
      <c r="D209" t="s">
        <v>136</v>
      </c>
      <c r="E209" s="2" t="s">
        <v>131</v>
      </c>
      <c r="F209" s="2" t="s">
        <v>137</v>
      </c>
      <c r="G209" s="3">
        <v>1</v>
      </c>
      <c r="H209" s="13" t="s">
        <v>152</v>
      </c>
      <c r="I209" s="2" t="str" cm="1">
        <f t="array" ref="I209">_xlfn.IFS(Table1[[#This Row],[Job_Type]] = "unskilled resident", "Resident",
Table1[[#This Row],[Job_Type]] = "unemp/unskilled non res", "Non-resident",
TRUE, "Unknown")</f>
        <v>Unknown</v>
      </c>
      <c r="J209" s="2" t="s">
        <v>148</v>
      </c>
      <c r="K209" s="3">
        <v>2</v>
      </c>
      <c r="L209" s="2" t="s">
        <v>140</v>
      </c>
      <c r="M209" s="13" t="s">
        <v>152</v>
      </c>
      <c r="N209" t="s">
        <v>17</v>
      </c>
      <c r="O209" s="2" t="str">
        <f>_xlfn.XLOOKUP(Table1[[#This Row],[Checking_Acct_Status]],Table3[Checking_Acct_Original],Table3[Category])</f>
        <v>No Account</v>
      </c>
      <c r="P209" s="10" t="s">
        <v>32</v>
      </c>
      <c r="Q209" s="13" t="str">
        <f>_xlfn.XLOOKUP(Table1[[#This Row],[Saving_Acct_Status]],Table5[Saving_Acct_Original],Table5[Category])</f>
        <v>Low Savings</v>
      </c>
      <c r="R209" t="s">
        <v>41</v>
      </c>
      <c r="S209" s="2" t="str">
        <f>IF(
      OR(Table1[[#This Row],[Job_Type]] = "high qualif/self emp/mgmt", Table1[[#This Row],[Job_Type]] = "skilled"),
      "Skilled", "Unskilled")</f>
        <v>Skilled</v>
      </c>
      <c r="T209" t="str">
        <f>IF(Table1[[#This Row],[Job_Type]] = "unemp/unskilled non res", "Unemployed", "Employed")</f>
        <v>Employed</v>
      </c>
      <c r="U209" t="s">
        <v>21</v>
      </c>
      <c r="V209" s="14" t="str" cm="1">
        <f t="array" ref="V20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09" t="s">
        <v>59</v>
      </c>
      <c r="X209" s="2" t="str">
        <f>_xlfn.XLOOKUP(Table1[[#This Row],[Loan_Credit_History]],Table4[Credit History],Table4[[ Category]])</f>
        <v>Previously Delayed</v>
      </c>
      <c r="Y209" s="3">
        <v>2</v>
      </c>
      <c r="Z209" s="3">
        <v>2</v>
      </c>
      <c r="AA209" s="5">
        <v>2764</v>
      </c>
      <c r="AB209" t="s">
        <v>151</v>
      </c>
      <c r="AC209" s="2" t="str" cm="1">
        <f t="array" ref="AC209">_xlfn.IFS(Table1[[#This Row],[Others_Parties]] = "No", "None",
Table1[[#This Row],[Others_Parties]] = "co applicant", "Co-applicant",
Table1[[#This Row],[Others_Parties]] = "guarantor", "Guarantor")</f>
        <v>None</v>
      </c>
      <c r="AD209" s="13" t="s">
        <v>145</v>
      </c>
      <c r="AE209" s="2" t="s">
        <v>105</v>
      </c>
      <c r="AF209" s="28" t="str" cm="1">
        <f t="array" ref="AF20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09" s="21">
        <v>33</v>
      </c>
      <c r="AH209" s="2" t="s">
        <v>154</v>
      </c>
      <c r="AI209"/>
      <c r="AZ209"/>
      <c r="BC209"/>
      <c r="BE209"/>
      <c r="BL209"/>
      <c r="BZ209"/>
      <c r="CA209"/>
      <c r="CF209"/>
      <c r="CG209"/>
      <c r="CH209"/>
      <c r="CI209"/>
      <c r="CK209"/>
      <c r="CN209"/>
    </row>
    <row r="210" spans="1:92" x14ac:dyDescent="0.3">
      <c r="A210" s="4">
        <v>208</v>
      </c>
      <c r="B210" s="11">
        <v>23</v>
      </c>
      <c r="C210" s="2" t="str">
        <f>_xlfn.XLOOKUP(Table1[[#This Row],[Age]],Table7[Start_Age],Table7[Age_Range],,-1)</f>
        <v>19-29</v>
      </c>
      <c r="D210" t="s">
        <v>136</v>
      </c>
      <c r="E210" s="2" t="s">
        <v>131</v>
      </c>
      <c r="F210" s="2" t="s">
        <v>137</v>
      </c>
      <c r="G210" s="3">
        <v>1</v>
      </c>
      <c r="H210" s="13" t="s">
        <v>152</v>
      </c>
      <c r="I210" s="2" t="str" cm="1">
        <f t="array" ref="I210">_xlfn.IFS(Table1[[#This Row],[Job_Type]] = "unskilled resident", "Resident",
Table1[[#This Row],[Job_Type]] = "unemp/unskilled non res", "Non-resident",
TRUE, "Unknown")</f>
        <v>Unknown</v>
      </c>
      <c r="J210" s="2" t="s">
        <v>148</v>
      </c>
      <c r="K210" s="3">
        <v>4</v>
      </c>
      <c r="L210" s="2" t="s">
        <v>140</v>
      </c>
      <c r="M210" s="13" t="s">
        <v>151</v>
      </c>
      <c r="N210" t="s">
        <v>35</v>
      </c>
      <c r="O210" s="2" t="str">
        <f>_xlfn.XLOOKUP(Table1[[#This Row],[Checking_Acct_Status]],Table3[Checking_Acct_Original],Table3[Category])</f>
        <v>Negative Balance</v>
      </c>
      <c r="P210" s="10" t="s">
        <v>37</v>
      </c>
      <c r="Q210" s="13" t="str">
        <f>_xlfn.XLOOKUP(Table1[[#This Row],[Saving_Acct_Status]],Table5[Saving_Acct_Original],Table5[Category])</f>
        <v>High Savings</v>
      </c>
      <c r="R210" t="s">
        <v>41</v>
      </c>
      <c r="S210" s="2" t="str">
        <f>IF(
      OR(Table1[[#This Row],[Job_Type]] = "high qualif/self emp/mgmt", Table1[[#This Row],[Job_Type]] = "skilled"),
      "Skilled", "Unskilled")</f>
        <v>Skilled</v>
      </c>
      <c r="T210" t="str">
        <f>IF(Table1[[#This Row],[Job_Type]] = "unemp/unskilled non res", "Unemployed", "Employed")</f>
        <v>Employed</v>
      </c>
      <c r="U210" t="s">
        <v>21</v>
      </c>
      <c r="V210" s="14" t="str" cm="1">
        <f t="array" ref="V21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10" t="s">
        <v>103</v>
      </c>
      <c r="X210" s="2" t="str">
        <f>_xlfn.XLOOKUP(Table1[[#This Row],[Loan_Credit_History]],Table4[Credit History],Table4[[ Category]])</f>
        <v>Critical Credit History</v>
      </c>
      <c r="Y210" s="3">
        <v>1</v>
      </c>
      <c r="Z210" s="3">
        <v>2</v>
      </c>
      <c r="AA210" s="5">
        <v>4281</v>
      </c>
      <c r="AB210" t="s">
        <v>151</v>
      </c>
      <c r="AC210" s="2" t="str" cm="1">
        <f t="array" ref="AC210">_xlfn.IFS(Table1[[#This Row],[Others_Parties]] = "No", "None",
Table1[[#This Row],[Others_Parties]] = "co applicant", "Co-applicant",
Table1[[#This Row],[Others_Parties]] = "guarantor", "Guarantor")</f>
        <v>None</v>
      </c>
      <c r="AD210" s="13" t="s">
        <v>145</v>
      </c>
      <c r="AE210" s="2" t="s">
        <v>108</v>
      </c>
      <c r="AF210" s="28" t="str" cm="1">
        <f t="array" ref="AF21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10" s="21">
        <v>33</v>
      </c>
      <c r="AH210" s="2" t="s">
        <v>153</v>
      </c>
      <c r="AI210"/>
      <c r="AZ210"/>
      <c r="BC210"/>
      <c r="BE210"/>
      <c r="BL210"/>
      <c r="BZ210"/>
      <c r="CA210"/>
      <c r="CF210"/>
      <c r="CG210"/>
      <c r="CH210"/>
      <c r="CI210"/>
      <c r="CK210"/>
      <c r="CN210"/>
    </row>
    <row r="211" spans="1:92" x14ac:dyDescent="0.3">
      <c r="A211" s="4">
        <v>209</v>
      </c>
      <c r="B211" s="11">
        <v>35</v>
      </c>
      <c r="C211" s="2" t="str">
        <f>_xlfn.XLOOKUP(Table1[[#This Row],[Age]],Table7[Start_Age],Table7[Age_Range],,-1)</f>
        <v>29-39</v>
      </c>
      <c r="D211" t="s">
        <v>130</v>
      </c>
      <c r="E211" s="2" t="s">
        <v>129</v>
      </c>
      <c r="F211" s="2" t="s">
        <v>133</v>
      </c>
      <c r="G211" s="3">
        <v>1</v>
      </c>
      <c r="H211" s="13" t="s">
        <v>152</v>
      </c>
      <c r="I211" s="2" t="str" cm="1">
        <f t="array" ref="I211">_xlfn.IFS(Table1[[#This Row],[Job_Type]] = "unskilled resident", "Resident",
Table1[[#This Row],[Job_Type]] = "unemp/unskilled non res", "Non-resident",
TRUE, "Unknown")</f>
        <v>Unknown</v>
      </c>
      <c r="J211" s="2" t="s">
        <v>148</v>
      </c>
      <c r="K211" s="3">
        <v>2</v>
      </c>
      <c r="L211" s="2" t="s">
        <v>140</v>
      </c>
      <c r="M211" s="13" t="s">
        <v>152</v>
      </c>
      <c r="N211" t="s">
        <v>17</v>
      </c>
      <c r="O211" s="2" t="str">
        <f>_xlfn.XLOOKUP(Table1[[#This Row],[Checking_Acct_Status]],Table3[Checking_Acct_Original],Table3[Category])</f>
        <v>No Account</v>
      </c>
      <c r="P211" s="10" t="s">
        <v>32</v>
      </c>
      <c r="Q211" s="13" t="str">
        <f>_xlfn.XLOOKUP(Table1[[#This Row],[Saving_Acct_Status]],Table5[Saving_Acct_Original],Table5[Category])</f>
        <v>Low Savings</v>
      </c>
      <c r="R211" t="s">
        <v>63</v>
      </c>
      <c r="S211" s="2" t="str">
        <f>IF(
      OR(Table1[[#This Row],[Job_Type]] = "high qualif/self emp/mgmt", Table1[[#This Row],[Job_Type]] = "skilled"),
      "Skilled", "Unskilled")</f>
        <v>Skilled</v>
      </c>
      <c r="T211" t="str">
        <f>IF(Table1[[#This Row],[Job_Type]] = "unemp/unskilled non res", "Unemployed", "Employed")</f>
        <v>Employed</v>
      </c>
      <c r="U211" t="s">
        <v>49</v>
      </c>
      <c r="V211" s="14" t="str" cm="1">
        <f t="array" ref="V21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11" t="s">
        <v>103</v>
      </c>
      <c r="X211" s="2" t="str">
        <f>_xlfn.XLOOKUP(Table1[[#This Row],[Loan_Credit_History]],Table4[Credit History],Table4[[ Category]])</f>
        <v>Critical Credit History</v>
      </c>
      <c r="Y211" s="3">
        <v>3</v>
      </c>
      <c r="Z211" s="3">
        <v>2</v>
      </c>
      <c r="AA211" s="5">
        <v>7253</v>
      </c>
      <c r="AB211" t="s">
        <v>151</v>
      </c>
      <c r="AC211" s="2" t="str" cm="1">
        <f t="array" ref="AC211">_xlfn.IFS(Table1[[#This Row],[Others_Parties]] = "No", "None",
Table1[[#This Row],[Others_Parties]] = "co applicant", "Co-applicant",
Table1[[#This Row],[Others_Parties]] = "guarantor", "Guarantor")</f>
        <v>None</v>
      </c>
      <c r="AD211" s="13" t="s">
        <v>145</v>
      </c>
      <c r="AE211" s="2" t="s">
        <v>107</v>
      </c>
      <c r="AF211" s="28" t="str" cm="1">
        <f t="array" ref="AF21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11" s="21">
        <v>33</v>
      </c>
      <c r="AH211" s="2" t="s">
        <v>154</v>
      </c>
      <c r="AI211"/>
      <c r="AZ211"/>
      <c r="BC211"/>
      <c r="BE211"/>
      <c r="BL211"/>
      <c r="BZ211"/>
      <c r="CA211"/>
      <c r="CF211"/>
      <c r="CG211"/>
      <c r="CH211"/>
      <c r="CI211"/>
      <c r="CK211"/>
      <c r="CN211"/>
    </row>
    <row r="212" spans="1:92" x14ac:dyDescent="0.3">
      <c r="A212" s="4">
        <v>210</v>
      </c>
      <c r="B212" s="11">
        <v>26</v>
      </c>
      <c r="C212" s="2" t="str">
        <f>_xlfn.XLOOKUP(Table1[[#This Row],[Age]],Table7[Start_Age],Table7[Age_Range],,-1)</f>
        <v>19-29</v>
      </c>
      <c r="D212" t="s">
        <v>136</v>
      </c>
      <c r="E212" s="2" t="s">
        <v>131</v>
      </c>
      <c r="F212" s="2" t="s">
        <v>137</v>
      </c>
      <c r="G212" s="3">
        <v>1</v>
      </c>
      <c r="H212" s="13" t="s">
        <v>152</v>
      </c>
      <c r="I212" s="2" t="str" cm="1">
        <f t="array" ref="I212">_xlfn.IFS(Table1[[#This Row],[Job_Type]] = "unskilled resident", "Resident",
Table1[[#This Row],[Job_Type]] = "unemp/unskilled non res", "Non-resident",
TRUE, "Unknown")</f>
        <v>Unknown</v>
      </c>
      <c r="J212" s="2" t="s">
        <v>148</v>
      </c>
      <c r="K212" s="3">
        <v>1</v>
      </c>
      <c r="L212" s="2" t="s">
        <v>140</v>
      </c>
      <c r="M212" s="13" t="s">
        <v>151</v>
      </c>
      <c r="N212" t="s">
        <v>30</v>
      </c>
      <c r="O212" s="2" t="str">
        <f>_xlfn.XLOOKUP(Table1[[#This Row],[Checking_Acct_Status]],Table3[Checking_Acct_Original],Table3[Category])</f>
        <v>Low Balance</v>
      </c>
      <c r="P212" s="10" t="s">
        <v>47</v>
      </c>
      <c r="Q212" s="13" t="str">
        <f>_xlfn.XLOOKUP(Table1[[#This Row],[Saving_Acct_Status]],Table5[Saving_Acct_Original],Table5[Category])</f>
        <v>No Savings</v>
      </c>
      <c r="R212" t="s">
        <v>41</v>
      </c>
      <c r="S212" s="2" t="str">
        <f>IF(
      OR(Table1[[#This Row],[Job_Type]] = "high qualif/self emp/mgmt", Table1[[#This Row],[Job_Type]] = "skilled"),
      "Skilled", "Unskilled")</f>
        <v>Skilled</v>
      </c>
      <c r="T212" t="str">
        <f>IF(Table1[[#This Row],[Job_Type]] = "unemp/unskilled non res", "Unemployed", "Employed")</f>
        <v>Employed</v>
      </c>
      <c r="U212" t="s">
        <v>21</v>
      </c>
      <c r="V212" s="14" t="str" cm="1">
        <f t="array" ref="V21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12" t="s">
        <v>31</v>
      </c>
      <c r="X212" s="2" t="str">
        <f>_xlfn.XLOOKUP(Table1[[#This Row],[Loan_Credit_History]],Table4[Credit History],Table4[[ Category]])</f>
        <v>Existing Credits Paid</v>
      </c>
      <c r="Y212" s="3">
        <v>4</v>
      </c>
      <c r="Z212" s="3">
        <v>1</v>
      </c>
      <c r="AA212" s="5">
        <v>1715</v>
      </c>
      <c r="AB212" t="s">
        <v>151</v>
      </c>
      <c r="AC212" s="2" t="str" cm="1">
        <f t="array" ref="AC212">_xlfn.IFS(Table1[[#This Row],[Others_Parties]] = "No", "None",
Table1[[#This Row],[Others_Parties]] = "co applicant", "Co-applicant",
Table1[[#This Row],[Others_Parties]] = "guarantor", "Guarantor")</f>
        <v>None</v>
      </c>
      <c r="AD212" s="13" t="s">
        <v>145</v>
      </c>
      <c r="AE212" s="2" t="s">
        <v>111</v>
      </c>
      <c r="AF212" s="28" t="str" cm="1">
        <f t="array" ref="AF21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12" s="21">
        <v>30</v>
      </c>
      <c r="AH212" s="2" t="s">
        <v>154</v>
      </c>
      <c r="AI212"/>
      <c r="AZ212"/>
      <c r="BC212"/>
      <c r="BE212"/>
      <c r="BL212"/>
      <c r="BZ212"/>
      <c r="CA212"/>
      <c r="CF212"/>
      <c r="CG212"/>
      <c r="CH212"/>
      <c r="CI212"/>
      <c r="CK212"/>
      <c r="CN212"/>
    </row>
    <row r="213" spans="1:92" x14ac:dyDescent="0.3">
      <c r="A213" s="4">
        <v>211</v>
      </c>
      <c r="B213" s="11">
        <v>58</v>
      </c>
      <c r="C213" s="2" t="str">
        <f>_xlfn.XLOOKUP(Table1[[#This Row],[Age]],Table7[Start_Age],Table7[Age_Range],,-1)</f>
        <v>49-59</v>
      </c>
      <c r="D213" t="s">
        <v>130</v>
      </c>
      <c r="E213" s="2" t="s">
        <v>129</v>
      </c>
      <c r="F213" s="2" t="s">
        <v>133</v>
      </c>
      <c r="G213" s="3">
        <v>1</v>
      </c>
      <c r="H213" s="13" t="s">
        <v>152</v>
      </c>
      <c r="I213" s="2" t="str" cm="1">
        <f t="array" ref="I213">_xlfn.IFS(Table1[[#This Row],[Job_Type]] = "unskilled resident", "Resident",
Table1[[#This Row],[Job_Type]] = "unemp/unskilled non res", "Non-resident",
TRUE, "Unknown")</f>
        <v>Unknown</v>
      </c>
      <c r="J213" s="2" t="s">
        <v>148</v>
      </c>
      <c r="K213" s="3">
        <v>4</v>
      </c>
      <c r="L213" s="2" t="s">
        <v>140</v>
      </c>
      <c r="M213" s="13" t="s">
        <v>152</v>
      </c>
      <c r="N213" t="s">
        <v>17</v>
      </c>
      <c r="O213" s="2" t="str">
        <f>_xlfn.XLOOKUP(Table1[[#This Row],[Checking_Acct_Status]],Table3[Checking_Acct_Original],Table3[Category])</f>
        <v>No Account</v>
      </c>
      <c r="P213" s="10" t="s">
        <v>47</v>
      </c>
      <c r="Q213" s="13" t="str">
        <f>_xlfn.XLOOKUP(Table1[[#This Row],[Saving_Acct_Status]],Table5[Saving_Acct_Original],Table5[Category])</f>
        <v>No Savings</v>
      </c>
      <c r="R213" t="s">
        <v>41</v>
      </c>
      <c r="S213" s="2" t="str">
        <f>IF(
      OR(Table1[[#This Row],[Job_Type]] = "high qualif/self emp/mgmt", Table1[[#This Row],[Job_Type]] = "skilled"),
      "Skilled", "Unskilled")</f>
        <v>Skilled</v>
      </c>
      <c r="T213" t="str">
        <f>IF(Table1[[#This Row],[Job_Type]] = "unemp/unskilled non res", "Unemployed", "Employed")</f>
        <v>Employed</v>
      </c>
      <c r="U213" t="s">
        <v>38</v>
      </c>
      <c r="V213" s="14" t="str" cm="1">
        <f t="array" ref="V21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13" t="s">
        <v>31</v>
      </c>
      <c r="X213" s="2" t="str">
        <f>_xlfn.XLOOKUP(Table1[[#This Row],[Loan_Credit_History]],Table4[Credit History],Table4[[ Category]])</f>
        <v>Existing Credits Paid</v>
      </c>
      <c r="Y213" s="3">
        <v>4</v>
      </c>
      <c r="Z213" s="3">
        <v>1</v>
      </c>
      <c r="AA213" s="5">
        <v>1867</v>
      </c>
      <c r="AB213" t="s">
        <v>151</v>
      </c>
      <c r="AC213" s="2" t="str" cm="1">
        <f t="array" ref="AC213">_xlfn.IFS(Table1[[#This Row],[Others_Parties]] = "No", "None",
Table1[[#This Row],[Others_Parties]] = "co applicant", "Co-applicant",
Table1[[#This Row],[Others_Parties]] = "guarantor", "Guarantor")</f>
        <v>None</v>
      </c>
      <c r="AD213" s="13" t="s">
        <v>145</v>
      </c>
      <c r="AE213" s="2" t="s">
        <v>111</v>
      </c>
      <c r="AF213" s="28" t="str" cm="1">
        <f t="array" ref="AF21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13" s="21">
        <v>30</v>
      </c>
      <c r="AH213" s="2" t="s">
        <v>154</v>
      </c>
      <c r="AI213"/>
      <c r="AZ213"/>
      <c r="BC213"/>
      <c r="BE213"/>
      <c r="BL213"/>
      <c r="BZ213"/>
      <c r="CA213"/>
      <c r="CF213"/>
      <c r="CG213"/>
      <c r="CH213"/>
      <c r="CI213"/>
      <c r="CK213"/>
      <c r="CN213"/>
    </row>
    <row r="214" spans="1:92" x14ac:dyDescent="0.3">
      <c r="A214" s="4">
        <v>212</v>
      </c>
      <c r="B214" s="11">
        <v>66</v>
      </c>
      <c r="C214" s="2" t="str">
        <f>_xlfn.XLOOKUP(Table1[[#This Row],[Age]],Table7[Start_Age],Table7[Age_Range],,-1)</f>
        <v>59-69</v>
      </c>
      <c r="D214" t="s">
        <v>130</v>
      </c>
      <c r="E214" s="2" t="s">
        <v>129</v>
      </c>
      <c r="F214" s="2" t="s">
        <v>133</v>
      </c>
      <c r="G214" s="3">
        <v>1</v>
      </c>
      <c r="H214" s="13" t="s">
        <v>152</v>
      </c>
      <c r="I214" s="2" t="str" cm="1">
        <f t="array" ref="I214">_xlfn.IFS(Table1[[#This Row],[Job_Type]] = "unskilled resident", "Resident",
Table1[[#This Row],[Job_Type]] = "unemp/unskilled non res", "Non-resident",
TRUE, "Unknown")</f>
        <v>Unknown</v>
      </c>
      <c r="J214" s="2" t="s">
        <v>148</v>
      </c>
      <c r="K214" s="3">
        <v>4</v>
      </c>
      <c r="L214" s="2" t="s">
        <v>144</v>
      </c>
      <c r="M214" s="13" t="s">
        <v>152</v>
      </c>
      <c r="N214" t="s">
        <v>50</v>
      </c>
      <c r="O214" s="2" t="str">
        <f>_xlfn.XLOOKUP(Table1[[#This Row],[Checking_Acct_Status]],Table3[Checking_Acct_Original],Table3[Category])</f>
        <v>High Balance</v>
      </c>
      <c r="P214" s="10" t="s">
        <v>32</v>
      </c>
      <c r="Q214" s="13" t="str">
        <f>_xlfn.XLOOKUP(Table1[[#This Row],[Saving_Acct_Status]],Table5[Saving_Acct_Original],Table5[Category])</f>
        <v>Low Savings</v>
      </c>
      <c r="R214" t="s">
        <v>63</v>
      </c>
      <c r="S214" s="2" t="str">
        <f>IF(
      OR(Table1[[#This Row],[Job_Type]] = "high qualif/self emp/mgmt", Table1[[#This Row],[Job_Type]] = "skilled"),
      "Skilled", "Unskilled")</f>
        <v>Skilled</v>
      </c>
      <c r="T214" t="str">
        <f>IF(Table1[[#This Row],[Job_Type]] = "unemp/unskilled non res", "Unemployed", "Employed")</f>
        <v>Employed</v>
      </c>
      <c r="U214" t="s">
        <v>38</v>
      </c>
      <c r="V214" s="14" t="str" cm="1">
        <f t="array" ref="V21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14" t="s">
        <v>59</v>
      </c>
      <c r="X214" s="2" t="str">
        <f>_xlfn.XLOOKUP(Table1[[#This Row],[Loan_Credit_History]],Table4[Credit History],Table4[[ Category]])</f>
        <v>Previously Delayed</v>
      </c>
      <c r="Y214" s="3">
        <v>4</v>
      </c>
      <c r="Z214" s="3">
        <v>1</v>
      </c>
      <c r="AA214" s="5">
        <v>1908</v>
      </c>
      <c r="AB214" t="s">
        <v>151</v>
      </c>
      <c r="AC214" s="2" t="str" cm="1">
        <f t="array" ref="AC214">_xlfn.IFS(Table1[[#This Row],[Others_Parties]] = "No", "None",
Table1[[#This Row],[Others_Parties]] = "co applicant", "Co-applicant",
Table1[[#This Row],[Others_Parties]] = "guarantor", "Guarantor")</f>
        <v>None</v>
      </c>
      <c r="AD214" s="13" t="s">
        <v>145</v>
      </c>
      <c r="AE214" s="2" t="s">
        <v>105</v>
      </c>
      <c r="AF214" s="28" t="str" cm="1">
        <f t="array" ref="AF21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14" s="21">
        <v>30</v>
      </c>
      <c r="AH214" s="2" t="s">
        <v>153</v>
      </c>
      <c r="AI214"/>
      <c r="AZ214"/>
      <c r="BC214"/>
      <c r="BE214"/>
      <c r="BL214"/>
      <c r="BZ214"/>
      <c r="CA214"/>
      <c r="CF214"/>
      <c r="CG214"/>
      <c r="CH214"/>
      <c r="CI214"/>
      <c r="CK214"/>
      <c r="CN214"/>
    </row>
    <row r="215" spans="1:92" x14ac:dyDescent="0.3">
      <c r="A215" s="4">
        <v>213</v>
      </c>
      <c r="B215" s="11">
        <v>30</v>
      </c>
      <c r="C215" s="2" t="str">
        <f>_xlfn.XLOOKUP(Table1[[#This Row],[Age]],Table7[Start_Age],Table7[Age_Range],,-1)</f>
        <v>29-39</v>
      </c>
      <c r="D215" t="s">
        <v>130</v>
      </c>
      <c r="E215" s="2" t="s">
        <v>129</v>
      </c>
      <c r="F215" s="2" t="s">
        <v>133</v>
      </c>
      <c r="G215" s="3">
        <v>1</v>
      </c>
      <c r="H215" s="13" t="s">
        <v>152</v>
      </c>
      <c r="I215" s="2" t="str" cm="1">
        <f t="array" ref="I215">_xlfn.IFS(Table1[[#This Row],[Job_Type]] = "unskilled resident", "Resident",
Table1[[#This Row],[Job_Type]] = "unemp/unskilled non res", "Non-resident",
TRUE, "Unknown")</f>
        <v>Unknown</v>
      </c>
      <c r="J215" s="2" t="s">
        <v>148</v>
      </c>
      <c r="K215" s="3">
        <v>3</v>
      </c>
      <c r="L215" s="2" t="s">
        <v>142</v>
      </c>
      <c r="M215" s="13" t="s">
        <v>151</v>
      </c>
      <c r="N215" t="s">
        <v>30</v>
      </c>
      <c r="O215" s="2" t="str">
        <f>_xlfn.XLOOKUP(Table1[[#This Row],[Checking_Acct_Status]],Table3[Checking_Acct_Original],Table3[Category])</f>
        <v>Low Balance</v>
      </c>
      <c r="P215" s="10" t="s">
        <v>46</v>
      </c>
      <c r="Q215" s="13" t="str">
        <f>_xlfn.XLOOKUP(Table1[[#This Row],[Saving_Acct_Status]],Table5[Saving_Acct_Original],Table5[Category])</f>
        <v>Medium Savings</v>
      </c>
      <c r="R215" t="s">
        <v>63</v>
      </c>
      <c r="S215" s="2" t="str">
        <f>IF(
      OR(Table1[[#This Row],[Job_Type]] = "high qualif/self emp/mgmt", Table1[[#This Row],[Job_Type]] = "skilled"),
      "Skilled", "Unskilled")</f>
        <v>Skilled</v>
      </c>
      <c r="T215" t="str">
        <f>IF(Table1[[#This Row],[Job_Type]] = "unemp/unskilled non res", "Unemployed", "Employed")</f>
        <v>Employed</v>
      </c>
      <c r="U215" t="s">
        <v>45</v>
      </c>
      <c r="V215" s="14" t="str" cm="1">
        <f t="array" ref="V21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15" t="s">
        <v>59</v>
      </c>
      <c r="X215" s="2" t="str">
        <f>_xlfn.XLOOKUP(Table1[[#This Row],[Loan_Credit_History]],Table4[Credit History],Table4[[ Category]])</f>
        <v>Previously Delayed</v>
      </c>
      <c r="Y215" s="3">
        <v>4</v>
      </c>
      <c r="Z215" s="3">
        <v>2</v>
      </c>
      <c r="AA215" s="5">
        <v>1919</v>
      </c>
      <c r="AB215" t="s">
        <v>151</v>
      </c>
      <c r="AC215" s="2" t="str" cm="1">
        <f t="array" ref="AC215">_xlfn.IFS(Table1[[#This Row],[Others_Parties]] = "No", "None",
Table1[[#This Row],[Others_Parties]] = "co applicant", "Co-applicant",
Table1[[#This Row],[Others_Parties]] = "guarantor", "Guarantor")</f>
        <v>None</v>
      </c>
      <c r="AD215" s="13" t="s">
        <v>147</v>
      </c>
      <c r="AE215" s="2" t="s">
        <v>111</v>
      </c>
      <c r="AF215" s="28" t="str" cm="1">
        <f t="array" ref="AF21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15" s="21">
        <v>30</v>
      </c>
      <c r="AH215" s="2" t="s">
        <v>153</v>
      </c>
      <c r="AI215"/>
      <c r="AZ215"/>
      <c r="BC215"/>
      <c r="BE215"/>
      <c r="BL215"/>
      <c r="BZ215"/>
      <c r="CA215"/>
      <c r="CF215"/>
      <c r="CG215"/>
      <c r="CH215"/>
      <c r="CI215"/>
      <c r="CK215"/>
      <c r="CN215"/>
    </row>
    <row r="216" spans="1:92" x14ac:dyDescent="0.3">
      <c r="A216" s="4">
        <v>214</v>
      </c>
      <c r="B216" s="11">
        <v>24</v>
      </c>
      <c r="C216" s="2" t="str">
        <f>_xlfn.XLOOKUP(Table1[[#This Row],[Age]],Table7[Start_Age],Table7[Age_Range],,-1)</f>
        <v>19-29</v>
      </c>
      <c r="D216" t="s">
        <v>136</v>
      </c>
      <c r="E216" s="2" t="s">
        <v>131</v>
      </c>
      <c r="F216" s="2" t="s">
        <v>137</v>
      </c>
      <c r="G216" s="3">
        <v>1</v>
      </c>
      <c r="H216" s="13" t="s">
        <v>152</v>
      </c>
      <c r="I216" s="2" t="str" cm="1">
        <f t="array" ref="I216">_xlfn.IFS(Table1[[#This Row],[Job_Type]] = "unskilled resident", "Resident",
Table1[[#This Row],[Job_Type]] = "unemp/unskilled non res", "Non-resident",
TRUE, "Unknown")</f>
        <v>Unknown</v>
      </c>
      <c r="J216" s="2" t="s">
        <v>148</v>
      </c>
      <c r="K216" s="3">
        <v>2</v>
      </c>
      <c r="L216" s="2" t="s">
        <v>142</v>
      </c>
      <c r="M216" s="13" t="s">
        <v>151</v>
      </c>
      <c r="N216" t="s">
        <v>30</v>
      </c>
      <c r="O216" s="2" t="str">
        <f>_xlfn.XLOOKUP(Table1[[#This Row],[Checking_Acct_Status]],Table3[Checking_Acct_Original],Table3[Category])</f>
        <v>Low Balance</v>
      </c>
      <c r="P216" s="10" t="s">
        <v>32</v>
      </c>
      <c r="Q216" s="13" t="str">
        <f>_xlfn.XLOOKUP(Table1[[#This Row],[Saving_Acct_Status]],Table5[Saving_Acct_Original],Table5[Category])</f>
        <v>Low Savings</v>
      </c>
      <c r="R216" t="s">
        <v>41</v>
      </c>
      <c r="S216" s="2" t="str">
        <f>IF(
      OR(Table1[[#This Row],[Job_Type]] = "high qualif/self emp/mgmt", Table1[[#This Row],[Job_Type]] = "skilled"),
      "Skilled", "Unskilled")</f>
        <v>Skilled</v>
      </c>
      <c r="T216" t="str">
        <f>IF(Table1[[#This Row],[Job_Type]] = "unemp/unskilled non res", "Unemployed", "Employed")</f>
        <v>Employed</v>
      </c>
      <c r="U216" t="s">
        <v>21</v>
      </c>
      <c r="V216" s="14" t="str" cm="1">
        <f t="array" ref="V21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16" t="s">
        <v>31</v>
      </c>
      <c r="X216" s="2" t="str">
        <f>_xlfn.XLOOKUP(Table1[[#This Row],[Loan_Credit_History]],Table4[Credit History],Table4[[ Category]])</f>
        <v>Existing Credits Paid</v>
      </c>
      <c r="Y216" s="3">
        <v>4</v>
      </c>
      <c r="Z216" s="3">
        <v>1</v>
      </c>
      <c r="AA216" s="5">
        <v>2150</v>
      </c>
      <c r="AB216" t="s">
        <v>58</v>
      </c>
      <c r="AC216" s="2" t="str" cm="1">
        <f t="array" ref="AC216">_xlfn.IFS(Table1[[#This Row],[Others_Parties]] = "No", "None",
Table1[[#This Row],[Others_Parties]] = "co applicant", "Co-applicant",
Table1[[#This Row],[Others_Parties]] = "guarantor", "Guarantor")</f>
        <v>Guarantor</v>
      </c>
      <c r="AD216" s="13" t="s">
        <v>146</v>
      </c>
      <c r="AE216" s="2" t="s">
        <v>141</v>
      </c>
      <c r="AF216" s="28" t="str" cm="1">
        <f t="array" ref="AF21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16" s="21">
        <v>30</v>
      </c>
      <c r="AH216" s="2" t="s">
        <v>153</v>
      </c>
      <c r="AI216"/>
      <c r="AZ216"/>
      <c r="BC216"/>
      <c r="BE216"/>
      <c r="BL216"/>
      <c r="BZ216"/>
      <c r="CA216"/>
      <c r="CF216"/>
      <c r="CG216"/>
      <c r="CH216"/>
      <c r="CI216"/>
      <c r="CK216"/>
      <c r="CN216"/>
    </row>
    <row r="217" spans="1:92" x14ac:dyDescent="0.3">
      <c r="A217" s="4">
        <v>215</v>
      </c>
      <c r="B217" s="11">
        <v>36</v>
      </c>
      <c r="C217" s="2" t="str">
        <f>_xlfn.XLOOKUP(Table1[[#This Row],[Age]],Table7[Start_Age],Table7[Age_Range],,-1)</f>
        <v>29-39</v>
      </c>
      <c r="D217" t="s">
        <v>130</v>
      </c>
      <c r="E217" s="2" t="s">
        <v>129</v>
      </c>
      <c r="F217" s="2" t="s">
        <v>133</v>
      </c>
      <c r="G217" s="3">
        <v>1</v>
      </c>
      <c r="H217" s="13" t="s">
        <v>152</v>
      </c>
      <c r="I217" s="2" t="str" cm="1">
        <f t="array" ref="I217">_xlfn.IFS(Table1[[#This Row],[Job_Type]] = "unskilled resident", "Resident",
Table1[[#This Row],[Job_Type]] = "unemp/unskilled non res", "Non-resident",
TRUE, "Unknown")</f>
        <v>Unknown</v>
      </c>
      <c r="J217" s="2" t="s">
        <v>148</v>
      </c>
      <c r="K217" s="3">
        <v>4</v>
      </c>
      <c r="L217" s="2" t="s">
        <v>144</v>
      </c>
      <c r="M217" s="13" t="s">
        <v>151</v>
      </c>
      <c r="N217" t="s">
        <v>30</v>
      </c>
      <c r="O217" s="2" t="str">
        <f>_xlfn.XLOOKUP(Table1[[#This Row],[Checking_Acct_Status]],Table3[Checking_Acct_Original],Table3[Category])</f>
        <v>Low Balance</v>
      </c>
      <c r="P217" s="10" t="s">
        <v>47</v>
      </c>
      <c r="Q217" s="13" t="str">
        <f>_xlfn.XLOOKUP(Table1[[#This Row],[Saving_Acct_Status]],Table5[Saving_Acct_Original],Table5[Category])</f>
        <v>No Savings</v>
      </c>
      <c r="R217" t="s">
        <v>41</v>
      </c>
      <c r="S217" s="2" t="str">
        <f>IF(
      OR(Table1[[#This Row],[Job_Type]] = "high qualif/self emp/mgmt", Table1[[#This Row],[Job_Type]] = "skilled"),
      "Skilled", "Unskilled")</f>
        <v>Skilled</v>
      </c>
      <c r="T217" t="str">
        <f>IF(Table1[[#This Row],[Job_Type]] = "unemp/unskilled non res", "Unemployed", "Employed")</f>
        <v>Employed</v>
      </c>
      <c r="U217" t="s">
        <v>38</v>
      </c>
      <c r="V217" s="14" t="str" cm="1">
        <f t="array" ref="V21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17" t="s">
        <v>103</v>
      </c>
      <c r="X217" s="2" t="str">
        <f>_xlfn.XLOOKUP(Table1[[#This Row],[Loan_Credit_History]],Table4[Credit History],Table4[[ Category]])</f>
        <v>Critical Credit History</v>
      </c>
      <c r="Y217" s="3">
        <v>4</v>
      </c>
      <c r="Z217" s="3">
        <v>2</v>
      </c>
      <c r="AA217" s="5">
        <v>2181</v>
      </c>
      <c r="AB217" t="s">
        <v>151</v>
      </c>
      <c r="AC217" s="2" t="str" cm="1">
        <f t="array" ref="AC217">_xlfn.IFS(Table1[[#This Row],[Others_Parties]] = "No", "None",
Table1[[#This Row],[Others_Parties]] = "co applicant", "Co-applicant",
Table1[[#This Row],[Others_Parties]] = "guarantor", "Guarantor")</f>
        <v>None</v>
      </c>
      <c r="AD217" s="13" t="s">
        <v>145</v>
      </c>
      <c r="AE217" s="2" t="s">
        <v>141</v>
      </c>
      <c r="AF217" s="28" t="str" cm="1">
        <f t="array" ref="AF21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17" s="21">
        <v>30</v>
      </c>
      <c r="AH217" s="2" t="s">
        <v>154</v>
      </c>
      <c r="AI217"/>
      <c r="AZ217"/>
      <c r="BC217"/>
      <c r="BE217"/>
      <c r="BL217"/>
      <c r="BZ217"/>
      <c r="CA217"/>
      <c r="CF217"/>
      <c r="CG217"/>
      <c r="CH217"/>
      <c r="CI217"/>
      <c r="CK217"/>
      <c r="CN217"/>
    </row>
    <row r="218" spans="1:92" x14ac:dyDescent="0.3">
      <c r="A218" s="4">
        <v>216</v>
      </c>
      <c r="B218" s="11">
        <v>30</v>
      </c>
      <c r="C218" s="2" t="str">
        <f>_xlfn.XLOOKUP(Table1[[#This Row],[Age]],Table7[Start_Age],Table7[Age_Range],,-1)</f>
        <v>29-39</v>
      </c>
      <c r="D218" t="s">
        <v>130</v>
      </c>
      <c r="E218" s="2" t="s">
        <v>129</v>
      </c>
      <c r="F218" s="2" t="s">
        <v>133</v>
      </c>
      <c r="G218" s="3">
        <v>1</v>
      </c>
      <c r="H218" s="13" t="s">
        <v>152</v>
      </c>
      <c r="I218" s="2" t="str" cm="1">
        <f t="array" ref="I218">_xlfn.IFS(Table1[[#This Row],[Job_Type]] = "unskilled resident", "Resident",
Table1[[#This Row],[Job_Type]] = "unemp/unskilled non res", "Non-resident",
TRUE, "Unknown")</f>
        <v>Unknown</v>
      </c>
      <c r="J218" s="2" t="s">
        <v>148</v>
      </c>
      <c r="K218" s="3">
        <v>2</v>
      </c>
      <c r="L218" s="2" t="s">
        <v>140</v>
      </c>
      <c r="M218" s="13" t="s">
        <v>151</v>
      </c>
      <c r="N218" t="s">
        <v>17</v>
      </c>
      <c r="O218" s="2" t="str">
        <f>_xlfn.XLOOKUP(Table1[[#This Row],[Checking_Acct_Status]],Table3[Checking_Acct_Original],Table3[Category])</f>
        <v>No Account</v>
      </c>
      <c r="P218" s="10" t="s">
        <v>37</v>
      </c>
      <c r="Q218" s="13" t="str">
        <f>_xlfn.XLOOKUP(Table1[[#This Row],[Saving_Acct_Status]],Table5[Saving_Acct_Original],Table5[Category])</f>
        <v>High Savings</v>
      </c>
      <c r="R218" t="s">
        <v>63</v>
      </c>
      <c r="S218" s="2" t="str">
        <f>IF(
      OR(Table1[[#This Row],[Job_Type]] = "high qualif/self emp/mgmt", Table1[[#This Row],[Job_Type]] = "skilled"),
      "Skilled", "Unskilled")</f>
        <v>Skilled</v>
      </c>
      <c r="T218" t="str">
        <f>IF(Table1[[#This Row],[Job_Type]] = "unemp/unskilled non res", "Unemployed", "Employed")</f>
        <v>Employed</v>
      </c>
      <c r="U218" t="s">
        <v>38</v>
      </c>
      <c r="V218" s="14" t="str" cm="1">
        <f t="array" ref="V21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18" t="s">
        <v>31</v>
      </c>
      <c r="X218" s="2" t="str">
        <f>_xlfn.XLOOKUP(Table1[[#This Row],[Loan_Credit_History]],Table4[Credit History],Table4[[ Category]])</f>
        <v>Existing Credits Paid</v>
      </c>
      <c r="Y218" s="3">
        <v>4</v>
      </c>
      <c r="Z218" s="3">
        <v>1</v>
      </c>
      <c r="AA218" s="5">
        <v>2333</v>
      </c>
      <c r="AB218" t="s">
        <v>151</v>
      </c>
      <c r="AC218" s="2" t="str" cm="1">
        <f t="array" ref="AC218">_xlfn.IFS(Table1[[#This Row],[Others_Parties]] = "No", "None",
Table1[[#This Row],[Others_Parties]] = "co applicant", "Co-applicant",
Table1[[#This Row],[Others_Parties]] = "guarantor", "Guarantor")</f>
        <v>None</v>
      </c>
      <c r="AD218" s="13" t="s">
        <v>146</v>
      </c>
      <c r="AE218" s="2" t="s">
        <v>111</v>
      </c>
      <c r="AF218" s="28" t="str" cm="1">
        <f t="array" ref="AF21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18" s="21">
        <v>30</v>
      </c>
      <c r="AH218" s="2" t="s">
        <v>154</v>
      </c>
      <c r="AI218"/>
      <c r="AZ218"/>
      <c r="BC218"/>
      <c r="BE218"/>
      <c r="BL218"/>
      <c r="BZ218"/>
      <c r="CA218"/>
      <c r="CF218"/>
      <c r="CG218"/>
      <c r="CH218"/>
      <c r="CI218"/>
      <c r="CK218"/>
      <c r="CN218"/>
    </row>
    <row r="219" spans="1:92" x14ac:dyDescent="0.3">
      <c r="A219" s="4">
        <v>217</v>
      </c>
      <c r="B219" s="11">
        <v>23</v>
      </c>
      <c r="C219" s="2" t="str">
        <f>_xlfn.XLOOKUP(Table1[[#This Row],[Age]],Table7[Start_Age],Table7[Age_Range],,-1)</f>
        <v>19-29</v>
      </c>
      <c r="D219" t="s">
        <v>136</v>
      </c>
      <c r="E219" s="2" t="s">
        <v>131</v>
      </c>
      <c r="F219" s="2" t="s">
        <v>137</v>
      </c>
      <c r="G219" s="3">
        <v>1</v>
      </c>
      <c r="H219" s="13" t="s">
        <v>152</v>
      </c>
      <c r="I219" s="2" t="str" cm="1">
        <f t="array" ref="I219">_xlfn.IFS(Table1[[#This Row],[Job_Type]] = "unskilled resident", "Resident",
Table1[[#This Row],[Job_Type]] = "unemp/unskilled non res", "Non-resident",
TRUE, "Unknown")</f>
        <v>Unknown</v>
      </c>
      <c r="J219" s="2" t="s">
        <v>149</v>
      </c>
      <c r="K219" s="3">
        <v>4</v>
      </c>
      <c r="L219" s="2" t="s">
        <v>144</v>
      </c>
      <c r="M219" s="13" t="s">
        <v>151</v>
      </c>
      <c r="N219" t="s">
        <v>35</v>
      </c>
      <c r="O219" s="2" t="str">
        <f>_xlfn.XLOOKUP(Table1[[#This Row],[Checking_Acct_Status]],Table3[Checking_Acct_Original],Table3[Category])</f>
        <v>Negative Balance</v>
      </c>
      <c r="P219" s="10" t="s">
        <v>32</v>
      </c>
      <c r="Q219" s="13" t="str">
        <f>_xlfn.XLOOKUP(Table1[[#This Row],[Saving_Acct_Status]],Table5[Saving_Acct_Original],Table5[Category])</f>
        <v>Low Savings</v>
      </c>
      <c r="R219" t="s">
        <v>41</v>
      </c>
      <c r="S219" s="2" t="str">
        <f>IF(
      OR(Table1[[#This Row],[Job_Type]] = "high qualif/self emp/mgmt", Table1[[#This Row],[Job_Type]] = "skilled"),
      "Skilled", "Unskilled")</f>
        <v>Skilled</v>
      </c>
      <c r="T219" t="str">
        <f>IF(Table1[[#This Row],[Job_Type]] = "unemp/unskilled non res", "Unemployed", "Employed")</f>
        <v>Employed</v>
      </c>
      <c r="U219" t="s">
        <v>49</v>
      </c>
      <c r="V219" s="14" t="str" cm="1">
        <f t="array" ref="V21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19" t="s">
        <v>31</v>
      </c>
      <c r="X219" s="2" t="str">
        <f>_xlfn.XLOOKUP(Table1[[#This Row],[Loan_Credit_History]],Table4[Credit History],Table4[[ Category]])</f>
        <v>Existing Credits Paid</v>
      </c>
      <c r="Y219" s="3">
        <v>4</v>
      </c>
      <c r="Z219" s="3">
        <v>1</v>
      </c>
      <c r="AA219" s="5">
        <v>2406</v>
      </c>
      <c r="AB219" t="s">
        <v>151</v>
      </c>
      <c r="AC219" s="2" t="str" cm="1">
        <f t="array" ref="AC219">_xlfn.IFS(Table1[[#This Row],[Others_Parties]] = "No", "None",
Table1[[#This Row],[Others_Parties]] = "co applicant", "Co-applicant",
Table1[[#This Row],[Others_Parties]] = "guarantor", "Guarantor")</f>
        <v>None</v>
      </c>
      <c r="AD219" s="13" t="s">
        <v>145</v>
      </c>
      <c r="AE219" s="2" t="s">
        <v>108</v>
      </c>
      <c r="AF219" s="28" t="str" cm="1">
        <f t="array" ref="AF21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19" s="21">
        <v>30</v>
      </c>
      <c r="AH219" s="2" t="s">
        <v>153</v>
      </c>
      <c r="AI219"/>
      <c r="AZ219"/>
      <c r="BC219"/>
      <c r="BE219"/>
      <c r="BL219"/>
      <c r="BZ219"/>
      <c r="CA219"/>
      <c r="CF219"/>
      <c r="CG219"/>
      <c r="CH219"/>
      <c r="CI219"/>
      <c r="CK219"/>
      <c r="CN219"/>
    </row>
    <row r="220" spans="1:92" x14ac:dyDescent="0.3">
      <c r="A220" s="4">
        <v>218</v>
      </c>
      <c r="B220" s="11">
        <v>41</v>
      </c>
      <c r="C220" s="2" t="str">
        <f>_xlfn.XLOOKUP(Table1[[#This Row],[Age]],Table7[Start_Age],Table7[Age_Range],,-1)</f>
        <v>39-49</v>
      </c>
      <c r="D220" t="s">
        <v>130</v>
      </c>
      <c r="E220" s="2" t="s">
        <v>129</v>
      </c>
      <c r="F220" s="2" t="s">
        <v>133</v>
      </c>
      <c r="G220" s="3">
        <v>1</v>
      </c>
      <c r="H220" s="13" t="s">
        <v>152</v>
      </c>
      <c r="I220" s="2" t="str" cm="1">
        <f t="array" ref="I220">_xlfn.IFS(Table1[[#This Row],[Job_Type]] = "unskilled resident", "Resident",
Table1[[#This Row],[Job_Type]] = "unemp/unskilled non res", "Non-resident",
TRUE, "Unknown")</f>
        <v>Unknown</v>
      </c>
      <c r="J220" s="2" t="s">
        <v>148</v>
      </c>
      <c r="K220" s="3">
        <v>2</v>
      </c>
      <c r="L220" s="2" t="s">
        <v>143</v>
      </c>
      <c r="M220" s="13" t="s">
        <v>151</v>
      </c>
      <c r="N220" t="s">
        <v>30</v>
      </c>
      <c r="O220" s="2" t="str">
        <f>_xlfn.XLOOKUP(Table1[[#This Row],[Checking_Acct_Status]],Table3[Checking_Acct_Original],Table3[Category])</f>
        <v>Low Balance</v>
      </c>
      <c r="P220" s="10" t="s">
        <v>46</v>
      </c>
      <c r="Q220" s="13" t="str">
        <f>_xlfn.XLOOKUP(Table1[[#This Row],[Saving_Acct_Status]],Table5[Saving_Acct_Original],Table5[Category])</f>
        <v>Medium Savings</v>
      </c>
      <c r="R220" t="s">
        <v>41</v>
      </c>
      <c r="S220" s="2" t="str">
        <f>IF(
      OR(Table1[[#This Row],[Job_Type]] = "high qualif/self emp/mgmt", Table1[[#This Row],[Job_Type]] = "skilled"),
      "Skilled", "Unskilled")</f>
        <v>Skilled</v>
      </c>
      <c r="T220" t="str">
        <f>IF(Table1[[#This Row],[Job_Type]] = "unemp/unskilled non res", "Unemployed", "Employed")</f>
        <v>Employed</v>
      </c>
      <c r="U220" t="s">
        <v>38</v>
      </c>
      <c r="V220" s="14" t="str" cm="1">
        <f t="array" ref="V22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20" t="s">
        <v>59</v>
      </c>
      <c r="X220" s="2" t="str">
        <f>_xlfn.XLOOKUP(Table1[[#This Row],[Loan_Credit_History]],Table4[Credit History],Table4[[ Category]])</f>
        <v>Previously Delayed</v>
      </c>
      <c r="Y220" s="3">
        <v>4</v>
      </c>
      <c r="Z220" s="3">
        <v>2</v>
      </c>
      <c r="AA220" s="5">
        <v>2503</v>
      </c>
      <c r="AB220" t="s">
        <v>151</v>
      </c>
      <c r="AC220" s="2" t="str" cm="1">
        <f t="array" ref="AC220">_xlfn.IFS(Table1[[#This Row],[Others_Parties]] = "No", "None",
Table1[[#This Row],[Others_Parties]] = "co applicant", "Co-applicant",
Table1[[#This Row],[Others_Parties]] = "guarantor", "Guarantor")</f>
        <v>None</v>
      </c>
      <c r="AD220" s="13" t="s">
        <v>147</v>
      </c>
      <c r="AE220" s="2" t="s">
        <v>105</v>
      </c>
      <c r="AF220" s="28" t="str" cm="1">
        <f t="array" ref="AF22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20" s="21">
        <v>30</v>
      </c>
      <c r="AH220" s="2" t="s">
        <v>154</v>
      </c>
      <c r="AI220"/>
      <c r="AZ220"/>
      <c r="BC220"/>
      <c r="BE220"/>
      <c r="BL220"/>
      <c r="BZ220"/>
      <c r="CA220"/>
      <c r="CF220"/>
      <c r="CG220"/>
      <c r="CH220"/>
      <c r="CI220"/>
      <c r="CK220"/>
      <c r="CN220"/>
    </row>
    <row r="221" spans="1:92" x14ac:dyDescent="0.3">
      <c r="A221" s="4">
        <v>219</v>
      </c>
      <c r="B221" s="11">
        <v>39</v>
      </c>
      <c r="C221" s="2" t="str">
        <f>_xlfn.XLOOKUP(Table1[[#This Row],[Age]],Table7[Start_Age],Table7[Age_Range],,-1)</f>
        <v>39-49</v>
      </c>
      <c r="D221" t="s">
        <v>130</v>
      </c>
      <c r="E221" s="2" t="s">
        <v>129</v>
      </c>
      <c r="F221" s="2" t="s">
        <v>133</v>
      </c>
      <c r="G221" s="3">
        <v>2</v>
      </c>
      <c r="H221" s="13" t="s">
        <v>152</v>
      </c>
      <c r="I221" s="2" t="str" cm="1">
        <f t="array" ref="I221">_xlfn.IFS(Table1[[#This Row],[Job_Type]] = "unskilled resident", "Resident",
Table1[[#This Row],[Job_Type]] = "unemp/unskilled non res", "Non-resident",
TRUE, "Unknown")</f>
        <v>Unknown</v>
      </c>
      <c r="J221" s="2" t="s">
        <v>148</v>
      </c>
      <c r="K221" s="3">
        <v>3</v>
      </c>
      <c r="L221" s="2" t="s">
        <v>143</v>
      </c>
      <c r="M221" s="13" t="s">
        <v>151</v>
      </c>
      <c r="N221" t="s">
        <v>35</v>
      </c>
      <c r="O221" s="2" t="str">
        <f>_xlfn.XLOOKUP(Table1[[#This Row],[Checking_Acct_Status]],Table3[Checking_Acct_Original],Table3[Category])</f>
        <v>Negative Balance</v>
      </c>
      <c r="P221" s="10" t="s">
        <v>32</v>
      </c>
      <c r="Q221" s="13" t="str">
        <f>_xlfn.XLOOKUP(Table1[[#This Row],[Saving_Acct_Status]],Table5[Saving_Acct_Original],Table5[Category])</f>
        <v>Low Savings</v>
      </c>
      <c r="R221" t="s">
        <v>41</v>
      </c>
      <c r="S221" s="2" t="str">
        <f>IF(
      OR(Table1[[#This Row],[Job_Type]] = "high qualif/self emp/mgmt", Table1[[#This Row],[Job_Type]] = "skilled"),
      "Skilled", "Unskilled")</f>
        <v>Skilled</v>
      </c>
      <c r="T221" t="str">
        <f>IF(Table1[[#This Row],[Job_Type]] = "unemp/unskilled non res", "Unemployed", "Employed")</f>
        <v>Employed</v>
      </c>
      <c r="U221" t="s">
        <v>38</v>
      </c>
      <c r="V221" s="14" t="str" cm="1">
        <f t="array" ref="V22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21" t="s">
        <v>31</v>
      </c>
      <c r="X221" s="2" t="str">
        <f>_xlfn.XLOOKUP(Table1[[#This Row],[Loan_Credit_History]],Table4[Credit History],Table4[[ Category]])</f>
        <v>Existing Credits Paid</v>
      </c>
      <c r="Y221" s="3">
        <v>1</v>
      </c>
      <c r="Z221" s="3">
        <v>1</v>
      </c>
      <c r="AA221" s="5">
        <v>2522</v>
      </c>
      <c r="AB221" t="s">
        <v>58</v>
      </c>
      <c r="AC221" s="2" t="str" cm="1">
        <f t="array" ref="AC221">_xlfn.IFS(Table1[[#This Row],[Others_Parties]] = "No", "None",
Table1[[#This Row],[Others_Parties]] = "co applicant", "Co-applicant",
Table1[[#This Row],[Others_Parties]] = "guarantor", "Guarantor")</f>
        <v>Guarantor</v>
      </c>
      <c r="AD221" s="13" t="s">
        <v>145</v>
      </c>
      <c r="AE221" s="2" t="s">
        <v>111</v>
      </c>
      <c r="AF221" s="28" t="str" cm="1">
        <f t="array" ref="AF22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21" s="21">
        <v>30</v>
      </c>
      <c r="AH221" s="2" t="s">
        <v>154</v>
      </c>
      <c r="AI221"/>
      <c r="AZ221"/>
      <c r="BC221"/>
      <c r="BE221"/>
      <c r="BL221"/>
      <c r="BZ221"/>
      <c r="CA221"/>
      <c r="CF221"/>
      <c r="CG221"/>
      <c r="CH221"/>
      <c r="CI221"/>
      <c r="CK221"/>
      <c r="CN221"/>
    </row>
    <row r="222" spans="1:92" x14ac:dyDescent="0.3">
      <c r="A222" s="4">
        <v>220</v>
      </c>
      <c r="B222" s="11">
        <v>33</v>
      </c>
      <c r="C222" s="2" t="str">
        <f>_xlfn.XLOOKUP(Table1[[#This Row],[Age]],Table7[Start_Age],Table7[Age_Range],,-1)</f>
        <v>29-39</v>
      </c>
      <c r="D222" t="s">
        <v>136</v>
      </c>
      <c r="E222" s="2" t="s">
        <v>131</v>
      </c>
      <c r="F222" s="2" t="s">
        <v>137</v>
      </c>
      <c r="G222" s="3">
        <v>1</v>
      </c>
      <c r="H222" s="13" t="s">
        <v>152</v>
      </c>
      <c r="I222" s="2" t="str" cm="1">
        <f t="array" ref="I222">_xlfn.IFS(Table1[[#This Row],[Job_Type]] = "unskilled resident", "Resident",
Table1[[#This Row],[Job_Type]] = "unemp/unskilled non res", "Non-resident",
TRUE, "Unknown")</f>
        <v>Unknown</v>
      </c>
      <c r="J222" s="2" t="s">
        <v>148</v>
      </c>
      <c r="K222" s="3">
        <v>2</v>
      </c>
      <c r="L222" s="2" t="s">
        <v>140</v>
      </c>
      <c r="M222" s="13" t="s">
        <v>152</v>
      </c>
      <c r="N222" t="s">
        <v>17</v>
      </c>
      <c r="O222" s="2" t="str">
        <f>_xlfn.XLOOKUP(Table1[[#This Row],[Checking_Acct_Status]],Table3[Checking_Acct_Original],Table3[Category])</f>
        <v>No Account</v>
      </c>
      <c r="P222" s="10" t="s">
        <v>32</v>
      </c>
      <c r="Q222" s="13" t="str">
        <f>_xlfn.XLOOKUP(Table1[[#This Row],[Saving_Acct_Status]],Table5[Saving_Acct_Original],Table5[Category])</f>
        <v>Low Savings</v>
      </c>
      <c r="R222" t="s">
        <v>41</v>
      </c>
      <c r="S222" s="2" t="str">
        <f>IF(
      OR(Table1[[#This Row],[Job_Type]] = "high qualif/self emp/mgmt", Table1[[#This Row],[Job_Type]] = "skilled"),
      "Skilled", "Unskilled")</f>
        <v>Skilled</v>
      </c>
      <c r="T222" t="str">
        <f>IF(Table1[[#This Row],[Job_Type]] = "unemp/unskilled non res", "Unemployed", "Employed")</f>
        <v>Employed</v>
      </c>
      <c r="U222" t="s">
        <v>21</v>
      </c>
      <c r="V222" s="14" t="str" cm="1">
        <f t="array" ref="V22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22" t="s">
        <v>103</v>
      </c>
      <c r="X222" s="2" t="str">
        <f>_xlfn.XLOOKUP(Table1[[#This Row],[Loan_Credit_History]],Table4[Credit History],Table4[[ Category]])</f>
        <v>Critical Credit History</v>
      </c>
      <c r="Y222" s="3">
        <v>4</v>
      </c>
      <c r="Z222" s="3">
        <v>1</v>
      </c>
      <c r="AA222" s="5">
        <v>2831</v>
      </c>
      <c r="AB222" t="s">
        <v>151</v>
      </c>
      <c r="AC222" s="2" t="str" cm="1">
        <f t="array" ref="AC222">_xlfn.IFS(Table1[[#This Row],[Others_Parties]] = "No", "None",
Table1[[#This Row],[Others_Parties]] = "co applicant", "Co-applicant",
Table1[[#This Row],[Others_Parties]] = "guarantor", "Guarantor")</f>
        <v>None</v>
      </c>
      <c r="AD222" s="13" t="s">
        <v>145</v>
      </c>
      <c r="AE222" s="2" t="s">
        <v>111</v>
      </c>
      <c r="AF222" s="28" t="str" cm="1">
        <f t="array" ref="AF22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22" s="21">
        <v>30</v>
      </c>
      <c r="AH222" s="2" t="s">
        <v>154</v>
      </c>
      <c r="AI222"/>
      <c r="AZ222"/>
      <c r="BC222"/>
      <c r="BE222"/>
      <c r="BL222"/>
      <c r="BZ222"/>
      <c r="CA222"/>
      <c r="CF222"/>
      <c r="CG222"/>
      <c r="CH222"/>
      <c r="CI222"/>
      <c r="CK222"/>
      <c r="CN222"/>
    </row>
    <row r="223" spans="1:92" x14ac:dyDescent="0.3">
      <c r="A223" s="4">
        <v>221</v>
      </c>
      <c r="B223" s="11">
        <v>25</v>
      </c>
      <c r="C223" s="2" t="str">
        <f>_xlfn.XLOOKUP(Table1[[#This Row],[Age]],Table7[Start_Age],Table7[Age_Range],,-1)</f>
        <v>19-29</v>
      </c>
      <c r="D223" t="s">
        <v>136</v>
      </c>
      <c r="E223" s="2" t="s">
        <v>131</v>
      </c>
      <c r="F223" s="2" t="s">
        <v>137</v>
      </c>
      <c r="G223" s="3">
        <v>1</v>
      </c>
      <c r="H223" s="13" t="s">
        <v>152</v>
      </c>
      <c r="I223" s="2" t="str" cm="1">
        <f t="array" ref="I223">_xlfn.IFS(Table1[[#This Row],[Job_Type]] = "unskilled resident", "Resident",
Table1[[#This Row],[Job_Type]] = "unemp/unskilled non res", "Non-resident",
TRUE, "Unknown")</f>
        <v>Unknown</v>
      </c>
      <c r="J223" s="2" t="s">
        <v>148</v>
      </c>
      <c r="K223" s="3">
        <v>4</v>
      </c>
      <c r="L223" s="2" t="s">
        <v>140</v>
      </c>
      <c r="M223" s="13" t="s">
        <v>151</v>
      </c>
      <c r="N223" t="s">
        <v>30</v>
      </c>
      <c r="O223" s="2" t="str">
        <f>_xlfn.XLOOKUP(Table1[[#This Row],[Checking_Acct_Status]],Table3[Checking_Acct_Original],Table3[Category])</f>
        <v>Low Balance</v>
      </c>
      <c r="P223" s="10" t="s">
        <v>47</v>
      </c>
      <c r="Q223" s="13" t="str">
        <f>_xlfn.XLOOKUP(Table1[[#This Row],[Saving_Acct_Status]],Table5[Saving_Acct_Original],Table5[Category])</f>
        <v>No Savings</v>
      </c>
      <c r="R223" t="s">
        <v>41</v>
      </c>
      <c r="S223" s="2" t="str">
        <f>IF(
      OR(Table1[[#This Row],[Job_Type]] = "high qualif/self emp/mgmt", Table1[[#This Row],[Job_Type]] = "skilled"),
      "Skilled", "Unskilled")</f>
        <v>Skilled</v>
      </c>
      <c r="T223" t="str">
        <f>IF(Table1[[#This Row],[Job_Type]] = "unemp/unskilled non res", "Unemployed", "Employed")</f>
        <v>Employed</v>
      </c>
      <c r="U223" t="s">
        <v>38</v>
      </c>
      <c r="V223" s="14" t="str" cm="1">
        <f t="array" ref="V22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23" t="s">
        <v>31</v>
      </c>
      <c r="X223" s="2" t="str">
        <f>_xlfn.XLOOKUP(Table1[[#This Row],[Loan_Credit_History]],Table4[Credit History],Table4[[ Category]])</f>
        <v>Existing Credits Paid</v>
      </c>
      <c r="Y223" s="3">
        <v>2</v>
      </c>
      <c r="Z223" s="3">
        <v>1</v>
      </c>
      <c r="AA223" s="5">
        <v>2991</v>
      </c>
      <c r="AB223" t="s">
        <v>151</v>
      </c>
      <c r="AC223" s="2" t="str" cm="1">
        <f t="array" ref="AC223">_xlfn.IFS(Table1[[#This Row],[Others_Parties]] = "No", "None",
Table1[[#This Row],[Others_Parties]] = "co applicant", "Co-applicant",
Table1[[#This Row],[Others_Parties]] = "guarantor", "Guarantor")</f>
        <v>None</v>
      </c>
      <c r="AD223" s="13" t="s">
        <v>145</v>
      </c>
      <c r="AE223" s="2" t="s">
        <v>111</v>
      </c>
      <c r="AF223" s="28" t="str" cm="1">
        <f t="array" ref="AF22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23" s="21">
        <v>30</v>
      </c>
      <c r="AH223" s="2" t="s">
        <v>154</v>
      </c>
      <c r="AI223"/>
      <c r="AZ223"/>
      <c r="BC223"/>
      <c r="BE223"/>
      <c r="BL223"/>
      <c r="BZ223"/>
      <c r="CA223"/>
      <c r="CF223"/>
      <c r="CG223"/>
      <c r="CH223"/>
      <c r="CI223"/>
      <c r="CK223"/>
      <c r="CN223"/>
    </row>
    <row r="224" spans="1:92" x14ac:dyDescent="0.3">
      <c r="A224" s="4">
        <v>222</v>
      </c>
      <c r="B224" s="11">
        <v>47</v>
      </c>
      <c r="C224" s="2" t="str">
        <f>_xlfn.XLOOKUP(Table1[[#This Row],[Age]],Table7[Start_Age],Table7[Age_Range],,-1)</f>
        <v>39-49</v>
      </c>
      <c r="D224" t="s">
        <v>130</v>
      </c>
      <c r="E224" s="2" t="s">
        <v>129</v>
      </c>
      <c r="F224" s="2" t="s">
        <v>133</v>
      </c>
      <c r="G224" s="3">
        <v>1</v>
      </c>
      <c r="H224" s="13" t="s">
        <v>152</v>
      </c>
      <c r="I224" s="2" t="str" cm="1">
        <f t="array" ref="I224">_xlfn.IFS(Table1[[#This Row],[Job_Type]] = "unskilled resident", "Resident",
Table1[[#This Row],[Job_Type]] = "unemp/unskilled non res", "Non-resident",
TRUE, "Unknown")</f>
        <v>Unknown</v>
      </c>
      <c r="J224" s="2" t="s">
        <v>148</v>
      </c>
      <c r="K224" s="3">
        <v>4</v>
      </c>
      <c r="L224" s="2" t="s">
        <v>143</v>
      </c>
      <c r="M224" s="13" t="s">
        <v>151</v>
      </c>
      <c r="N224" t="s">
        <v>50</v>
      </c>
      <c r="O224" s="2" t="str">
        <f>_xlfn.XLOOKUP(Table1[[#This Row],[Checking_Acct_Status]],Table3[Checking_Acct_Original],Table3[Category])</f>
        <v>High Balance</v>
      </c>
      <c r="P224" s="10" t="s">
        <v>32</v>
      </c>
      <c r="Q224" s="13" t="str">
        <f>_xlfn.XLOOKUP(Table1[[#This Row],[Saving_Acct_Status]],Table5[Saving_Acct_Original],Table5[Category])</f>
        <v>Low Savings</v>
      </c>
      <c r="R224" t="s">
        <v>41</v>
      </c>
      <c r="S224" s="2" t="str">
        <f>IF(
      OR(Table1[[#This Row],[Job_Type]] = "high qualif/self emp/mgmt", Table1[[#This Row],[Job_Type]] = "skilled"),
      "Skilled", "Unskilled")</f>
        <v>Skilled</v>
      </c>
      <c r="T224" t="str">
        <f>IF(Table1[[#This Row],[Job_Type]] = "unemp/unskilled non res", "Unemployed", "Employed")</f>
        <v>Employed</v>
      </c>
      <c r="U224" t="s">
        <v>38</v>
      </c>
      <c r="V224" s="14" t="str" cm="1">
        <f t="array" ref="V22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24" t="s">
        <v>103</v>
      </c>
      <c r="X224" s="2" t="str">
        <f>_xlfn.XLOOKUP(Table1[[#This Row],[Loan_Credit_History]],Table4[Credit History],Table4[[ Category]])</f>
        <v>Critical Credit History</v>
      </c>
      <c r="Y224" s="3">
        <v>4</v>
      </c>
      <c r="Z224" s="3">
        <v>1</v>
      </c>
      <c r="AA224" s="5">
        <v>3017</v>
      </c>
      <c r="AB224" t="s">
        <v>151</v>
      </c>
      <c r="AC224" s="2" t="str" cm="1">
        <f t="array" ref="AC224">_xlfn.IFS(Table1[[#This Row],[Others_Parties]] = "No", "None",
Table1[[#This Row],[Others_Parties]] = "co applicant", "Co-applicant",
Table1[[#This Row],[Others_Parties]] = "guarantor", "Guarantor")</f>
        <v>None</v>
      </c>
      <c r="AD224" s="13" t="s">
        <v>145</v>
      </c>
      <c r="AE224" s="2" t="s">
        <v>111</v>
      </c>
      <c r="AF224" s="28" t="str" cm="1">
        <f t="array" ref="AF22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24" s="21">
        <v>30</v>
      </c>
      <c r="AH224" s="2" t="s">
        <v>154</v>
      </c>
      <c r="AI224"/>
      <c r="AZ224"/>
      <c r="BC224"/>
      <c r="BE224"/>
      <c r="BL224"/>
      <c r="BZ224"/>
      <c r="CA224"/>
      <c r="CF224"/>
      <c r="CG224"/>
      <c r="CH224"/>
      <c r="CI224"/>
      <c r="CK224"/>
      <c r="CN224"/>
    </row>
    <row r="225" spans="1:92" x14ac:dyDescent="0.3">
      <c r="A225" s="4">
        <v>223</v>
      </c>
      <c r="B225" s="11">
        <v>40</v>
      </c>
      <c r="C225" s="2" t="str">
        <f>_xlfn.XLOOKUP(Table1[[#This Row],[Age]],Table7[Start_Age],Table7[Age_Range],,-1)</f>
        <v>39-49</v>
      </c>
      <c r="D225" t="s">
        <v>130</v>
      </c>
      <c r="E225" s="2" t="s">
        <v>129</v>
      </c>
      <c r="F225" s="2" t="s">
        <v>133</v>
      </c>
      <c r="G225" s="3">
        <v>2</v>
      </c>
      <c r="H225" s="13" t="s">
        <v>152</v>
      </c>
      <c r="I225" s="2" t="str" cm="1">
        <f t="array" ref="I225">_xlfn.IFS(Table1[[#This Row],[Job_Type]] = "unskilled resident", "Resident",
Table1[[#This Row],[Job_Type]] = "unemp/unskilled non res", "Non-resident",
TRUE, "Unknown")</f>
        <v>Unknown</v>
      </c>
      <c r="J225" s="2" t="s">
        <v>148</v>
      </c>
      <c r="K225" s="3">
        <v>2</v>
      </c>
      <c r="L225" s="2" t="s">
        <v>140</v>
      </c>
      <c r="M225" s="13" t="s">
        <v>152</v>
      </c>
      <c r="N225" t="s">
        <v>17</v>
      </c>
      <c r="O225" s="2" t="str">
        <f>_xlfn.XLOOKUP(Table1[[#This Row],[Checking_Acct_Status]],Table3[Checking_Acct_Original],Table3[Category])</f>
        <v>No Account</v>
      </c>
      <c r="P225" s="10" t="s">
        <v>47</v>
      </c>
      <c r="Q225" s="13" t="str">
        <f>_xlfn.XLOOKUP(Table1[[#This Row],[Saving_Acct_Status]],Table5[Saving_Acct_Original],Table5[Category])</f>
        <v>No Savings</v>
      </c>
      <c r="R225" t="s">
        <v>41</v>
      </c>
      <c r="S225" s="2" t="str">
        <f>IF(
      OR(Table1[[#This Row],[Job_Type]] = "high qualif/self emp/mgmt", Table1[[#This Row],[Job_Type]] = "skilled"),
      "Skilled", "Unskilled")</f>
        <v>Skilled</v>
      </c>
      <c r="T225" t="str">
        <f>IF(Table1[[#This Row],[Job_Type]] = "unemp/unskilled non res", "Unemployed", "Employed")</f>
        <v>Employed</v>
      </c>
      <c r="U225" t="s">
        <v>38</v>
      </c>
      <c r="V225" s="14" t="str" cm="1">
        <f t="array" ref="V22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25" t="s">
        <v>103</v>
      </c>
      <c r="X225" s="2" t="str">
        <f>_xlfn.XLOOKUP(Table1[[#This Row],[Loan_Credit_History]],Table4[Credit History],Table4[[ Category]])</f>
        <v>Critical Credit History</v>
      </c>
      <c r="Y225" s="3">
        <v>3</v>
      </c>
      <c r="Z225" s="3">
        <v>2</v>
      </c>
      <c r="AA225" s="5">
        <v>3077</v>
      </c>
      <c r="AB225" t="s">
        <v>151</v>
      </c>
      <c r="AC225" s="2" t="str" cm="1">
        <f t="array" ref="AC225">_xlfn.IFS(Table1[[#This Row],[Others_Parties]] = "No", "None",
Table1[[#This Row],[Others_Parties]] = "co applicant", "Co-applicant",
Table1[[#This Row],[Others_Parties]] = "guarantor", "Guarantor")</f>
        <v>None</v>
      </c>
      <c r="AD225" s="13" t="s">
        <v>145</v>
      </c>
      <c r="AE225" s="2" t="s">
        <v>111</v>
      </c>
      <c r="AF225" s="28" t="str" cm="1">
        <f t="array" ref="AF22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25" s="21">
        <v>30</v>
      </c>
      <c r="AH225" s="2" t="s">
        <v>154</v>
      </c>
      <c r="AI225"/>
      <c r="AZ225"/>
      <c r="BC225"/>
      <c r="BE225"/>
      <c r="BL225"/>
      <c r="BZ225"/>
      <c r="CA225"/>
      <c r="CF225"/>
      <c r="CG225"/>
      <c r="CH225"/>
      <c r="CI225"/>
      <c r="CK225"/>
      <c r="CN225"/>
    </row>
    <row r="226" spans="1:92" x14ac:dyDescent="0.3">
      <c r="A226" s="4">
        <v>224</v>
      </c>
      <c r="B226" s="11">
        <v>31</v>
      </c>
      <c r="C226" s="2" t="str">
        <f>_xlfn.XLOOKUP(Table1[[#This Row],[Age]],Table7[Start_Age],Table7[Age_Range],,-1)</f>
        <v>29-39</v>
      </c>
      <c r="D226" t="s">
        <v>138</v>
      </c>
      <c r="E226" s="2" t="s">
        <v>129</v>
      </c>
      <c r="F226" s="2" t="s">
        <v>178</v>
      </c>
      <c r="G226" s="3">
        <v>1</v>
      </c>
      <c r="H226" s="13" t="s">
        <v>152</v>
      </c>
      <c r="I226" s="2" t="str" cm="1">
        <f t="array" ref="I226">_xlfn.IFS(Table1[[#This Row],[Job_Type]] = "unskilled resident", "Resident",
Table1[[#This Row],[Job_Type]] = "unemp/unskilled non res", "Non-resident",
TRUE, "Unknown")</f>
        <v>Resident</v>
      </c>
      <c r="J226" s="2" t="s">
        <v>148</v>
      </c>
      <c r="K226" s="3">
        <v>4</v>
      </c>
      <c r="L226" s="2" t="s">
        <v>143</v>
      </c>
      <c r="M226" s="13" t="s">
        <v>151</v>
      </c>
      <c r="N226" t="s">
        <v>35</v>
      </c>
      <c r="O226" s="2" t="str">
        <f>_xlfn.XLOOKUP(Table1[[#This Row],[Checking_Acct_Status]],Table3[Checking_Acct_Original],Table3[Category])</f>
        <v>Negative Balance</v>
      </c>
      <c r="P226" s="10" t="s">
        <v>32</v>
      </c>
      <c r="Q226" s="13" t="str">
        <f>_xlfn.XLOOKUP(Table1[[#This Row],[Saving_Acct_Status]],Table5[Saving_Acct_Original],Table5[Category])</f>
        <v>Low Savings</v>
      </c>
      <c r="R226" t="s">
        <v>27</v>
      </c>
      <c r="S226" s="2" t="str">
        <f>IF(
      OR(Table1[[#This Row],[Job_Type]] = "high qualif/self emp/mgmt", Table1[[#This Row],[Job_Type]] = "skilled"),
      "Skilled", "Unskilled")</f>
        <v>Unskilled</v>
      </c>
      <c r="T226" t="str">
        <f>IF(Table1[[#This Row],[Job_Type]] = "unemp/unskilled non res", "Unemployed", "Employed")</f>
        <v>Employed</v>
      </c>
      <c r="U226" t="s">
        <v>45</v>
      </c>
      <c r="V226" s="14" t="str" cm="1">
        <f t="array" ref="V22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26" t="s">
        <v>31</v>
      </c>
      <c r="X226" s="2" t="str">
        <f>_xlfn.XLOOKUP(Table1[[#This Row],[Loan_Credit_History]],Table4[Credit History],Table4[[ Category]])</f>
        <v>Existing Credits Paid</v>
      </c>
      <c r="Y226" s="3">
        <v>2</v>
      </c>
      <c r="Z226" s="3">
        <v>1</v>
      </c>
      <c r="AA226" s="5">
        <v>3108</v>
      </c>
      <c r="AB226" t="s">
        <v>151</v>
      </c>
      <c r="AC226" s="2" t="str" cm="1">
        <f t="array" ref="AC226">_xlfn.IFS(Table1[[#This Row],[Others_Parties]] = "No", "None",
Table1[[#This Row],[Others_Parties]] = "co applicant", "Co-applicant",
Table1[[#This Row],[Others_Parties]] = "guarantor", "Guarantor")</f>
        <v>None</v>
      </c>
      <c r="AD226" s="13" t="s">
        <v>145</v>
      </c>
      <c r="AE226" s="2" t="s">
        <v>108</v>
      </c>
      <c r="AF226" s="28" t="str" cm="1">
        <f t="array" ref="AF22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26" s="21">
        <v>30</v>
      </c>
      <c r="AH226" s="2" t="s">
        <v>153</v>
      </c>
      <c r="AI226"/>
      <c r="AZ226"/>
      <c r="BC226"/>
      <c r="BE226"/>
      <c r="BL226"/>
      <c r="BZ226"/>
      <c r="CA226"/>
      <c r="CF226"/>
      <c r="CG226"/>
      <c r="CH226"/>
      <c r="CI226"/>
      <c r="CK226"/>
      <c r="CN226"/>
    </row>
    <row r="227" spans="1:92" x14ac:dyDescent="0.3">
      <c r="A227" s="4">
        <v>225</v>
      </c>
      <c r="B227" s="11">
        <v>21</v>
      </c>
      <c r="C227" s="2" t="str">
        <f>_xlfn.XLOOKUP(Table1[[#This Row],[Age]],Table7[Start_Age],Table7[Age_Range],,-1)</f>
        <v>19-29</v>
      </c>
      <c r="D227" t="s">
        <v>136</v>
      </c>
      <c r="E227" s="2" t="s">
        <v>131</v>
      </c>
      <c r="F227" s="2" t="s">
        <v>137</v>
      </c>
      <c r="G227" s="3">
        <v>1</v>
      </c>
      <c r="H227" s="13" t="s">
        <v>152</v>
      </c>
      <c r="I227" s="2" t="str" cm="1">
        <f t="array" ref="I227">_xlfn.IFS(Table1[[#This Row],[Job_Type]] = "unskilled resident", "Resident",
Table1[[#This Row],[Job_Type]] = "unemp/unskilled non res", "Non-resident",
TRUE, "Unknown")</f>
        <v>Unknown</v>
      </c>
      <c r="J227" s="2" t="s">
        <v>149</v>
      </c>
      <c r="K227" s="3">
        <v>4</v>
      </c>
      <c r="L227" s="2" t="s">
        <v>140</v>
      </c>
      <c r="M227" s="13" t="s">
        <v>151</v>
      </c>
      <c r="N227" t="s">
        <v>30</v>
      </c>
      <c r="O227" s="2" t="str">
        <f>_xlfn.XLOOKUP(Table1[[#This Row],[Checking_Acct_Status]],Table3[Checking_Acct_Original],Table3[Category])</f>
        <v>Low Balance</v>
      </c>
      <c r="P227" s="10" t="s">
        <v>46</v>
      </c>
      <c r="Q227" s="13" t="str">
        <f>_xlfn.XLOOKUP(Table1[[#This Row],[Saving_Acct_Status]],Table5[Saving_Acct_Original],Table5[Category])</f>
        <v>Medium Savings</v>
      </c>
      <c r="R227" t="s">
        <v>41</v>
      </c>
      <c r="S227" s="2" t="str">
        <f>IF(
      OR(Table1[[#This Row],[Job_Type]] = "high qualif/self emp/mgmt", Table1[[#This Row],[Job_Type]] = "skilled"),
      "Skilled", "Unskilled")</f>
        <v>Skilled</v>
      </c>
      <c r="T227" t="str">
        <f>IF(Table1[[#This Row],[Job_Type]] = "unemp/unskilled non res", "Unemployed", "Employed")</f>
        <v>Employed</v>
      </c>
      <c r="U227" t="s">
        <v>21</v>
      </c>
      <c r="V227" s="14" t="str" cm="1">
        <f t="array" ref="V22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27" t="s">
        <v>31</v>
      </c>
      <c r="X227" s="2" t="str">
        <f>_xlfn.XLOOKUP(Table1[[#This Row],[Loan_Credit_History]],Table4[Credit History],Table4[[ Category]])</f>
        <v>Existing Credits Paid</v>
      </c>
      <c r="Y227" s="3">
        <v>2</v>
      </c>
      <c r="Z227" s="3">
        <v>1</v>
      </c>
      <c r="AA227" s="5">
        <v>3441</v>
      </c>
      <c r="AB227" t="s">
        <v>55</v>
      </c>
      <c r="AC227" s="2" t="str" cm="1">
        <f t="array" ref="AC227">_xlfn.IFS(Table1[[#This Row],[Others_Parties]] = "No", "None",
Table1[[#This Row],[Others_Parties]] = "co applicant", "Co-applicant",
Table1[[#This Row],[Others_Parties]] = "guarantor", "Guarantor")</f>
        <v>Co-applicant</v>
      </c>
      <c r="AD227" s="13" t="s">
        <v>145</v>
      </c>
      <c r="AE227" s="2" t="s">
        <v>108</v>
      </c>
      <c r="AF227" s="28" t="str" cm="1">
        <f t="array" ref="AF22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27" s="21">
        <v>30</v>
      </c>
      <c r="AH227" s="2" t="s">
        <v>153</v>
      </c>
      <c r="AI227"/>
      <c r="AZ227"/>
      <c r="BC227"/>
      <c r="BE227"/>
      <c r="BL227"/>
      <c r="BZ227"/>
      <c r="CA227"/>
      <c r="CF227"/>
      <c r="CG227"/>
      <c r="CH227"/>
      <c r="CI227"/>
      <c r="CK227"/>
      <c r="CN227"/>
    </row>
    <row r="228" spans="1:92" x14ac:dyDescent="0.3">
      <c r="A228" s="4">
        <v>226</v>
      </c>
      <c r="B228" s="11">
        <v>34</v>
      </c>
      <c r="C228" s="2" t="str">
        <f>_xlfn.XLOOKUP(Table1[[#This Row],[Age]],Table7[Start_Age],Table7[Age_Range],,-1)</f>
        <v>29-39</v>
      </c>
      <c r="D228" t="s">
        <v>130</v>
      </c>
      <c r="E228" s="2" t="s">
        <v>129</v>
      </c>
      <c r="F228" s="2" t="s">
        <v>133</v>
      </c>
      <c r="G228" s="3">
        <v>2</v>
      </c>
      <c r="H228" s="13" t="s">
        <v>152</v>
      </c>
      <c r="I228" s="2" t="str" cm="1">
        <f t="array" ref="I228">_xlfn.IFS(Table1[[#This Row],[Job_Type]] = "unskilled resident", "Resident",
Table1[[#This Row],[Job_Type]] = "unemp/unskilled non res", "Non-resident",
TRUE, "Unknown")</f>
        <v>Unknown</v>
      </c>
      <c r="J228" s="2" t="s">
        <v>148</v>
      </c>
      <c r="K228" s="3">
        <v>2</v>
      </c>
      <c r="L228" s="2" t="s">
        <v>140</v>
      </c>
      <c r="M228" s="13" t="s">
        <v>152</v>
      </c>
      <c r="N228" t="s">
        <v>30</v>
      </c>
      <c r="O228" s="2" t="str">
        <f>_xlfn.XLOOKUP(Table1[[#This Row],[Checking_Acct_Status]],Table3[Checking_Acct_Original],Table3[Category])</f>
        <v>Low Balance</v>
      </c>
      <c r="P228" s="10" t="s">
        <v>20</v>
      </c>
      <c r="Q228" s="13" t="str">
        <f>_xlfn.XLOOKUP(Table1[[#This Row],[Saving_Acct_Status]],Table5[Saving_Acct_Original],Table5[Category])</f>
        <v>Very High Savings</v>
      </c>
      <c r="R228" t="s">
        <v>41</v>
      </c>
      <c r="S228" s="2" t="str">
        <f>IF(
      OR(Table1[[#This Row],[Job_Type]] = "high qualif/self emp/mgmt", Table1[[#This Row],[Job_Type]] = "skilled"),
      "Skilled", "Unskilled")</f>
        <v>Skilled</v>
      </c>
      <c r="T228" t="str">
        <f>IF(Table1[[#This Row],[Job_Type]] = "unemp/unskilled non res", "Unemployed", "Employed")</f>
        <v>Employed</v>
      </c>
      <c r="U228" t="s">
        <v>21</v>
      </c>
      <c r="V228" s="14" t="str" cm="1">
        <f t="array" ref="V22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28" t="s">
        <v>42</v>
      </c>
      <c r="X228" s="2" t="str">
        <f>_xlfn.XLOOKUP(Table1[[#This Row],[Loan_Credit_History]],Table4[Credit History],Table4[[ Category]])</f>
        <v>All Paid</v>
      </c>
      <c r="Y228" s="3">
        <v>4</v>
      </c>
      <c r="Z228" s="3">
        <v>1</v>
      </c>
      <c r="AA228" s="5">
        <v>3496</v>
      </c>
      <c r="AB228" t="s">
        <v>151</v>
      </c>
      <c r="AC228" s="2" t="str" cm="1">
        <f t="array" ref="AC228">_xlfn.IFS(Table1[[#This Row],[Others_Parties]] = "No", "None",
Table1[[#This Row],[Others_Parties]] = "co applicant", "Co-applicant",
Table1[[#This Row],[Others_Parties]] = "guarantor", "Guarantor")</f>
        <v>None</v>
      </c>
      <c r="AD228" s="13" t="s">
        <v>147</v>
      </c>
      <c r="AE228" s="2" t="s">
        <v>108</v>
      </c>
      <c r="AF228" s="28" t="str" cm="1">
        <f t="array" ref="AF22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28" s="21">
        <v>30</v>
      </c>
      <c r="AH228" s="2" t="s">
        <v>154</v>
      </c>
      <c r="AI228"/>
      <c r="AZ228"/>
      <c r="BC228"/>
      <c r="BE228"/>
      <c r="BL228"/>
      <c r="BZ228"/>
      <c r="CA228"/>
      <c r="CF228"/>
      <c r="CG228"/>
      <c r="CH228"/>
      <c r="CI228"/>
      <c r="CK228"/>
      <c r="CN228"/>
    </row>
    <row r="229" spans="1:92" x14ac:dyDescent="0.3">
      <c r="A229" s="4">
        <v>227</v>
      </c>
      <c r="B229" s="11">
        <v>57</v>
      </c>
      <c r="C229" s="2" t="str">
        <f>_xlfn.XLOOKUP(Table1[[#This Row],[Age]],Table7[Start_Age],Table7[Age_Range],,-1)</f>
        <v>49-59</v>
      </c>
      <c r="D229" t="s">
        <v>136</v>
      </c>
      <c r="E229" s="2" t="s">
        <v>131</v>
      </c>
      <c r="F229" s="2" t="s">
        <v>137</v>
      </c>
      <c r="G229" s="3">
        <v>1</v>
      </c>
      <c r="H229" s="13" t="s">
        <v>152</v>
      </c>
      <c r="I229" s="2" t="str" cm="1">
        <f t="array" ref="I229">_xlfn.IFS(Table1[[#This Row],[Job_Type]] = "unskilled resident", "Resident",
Table1[[#This Row],[Job_Type]] = "unemp/unskilled non res", "Non-resident",
TRUE, "Unknown")</f>
        <v>Unknown</v>
      </c>
      <c r="J229" s="2" t="s">
        <v>149</v>
      </c>
      <c r="K229" s="3">
        <v>4</v>
      </c>
      <c r="L229" s="2" t="s">
        <v>143</v>
      </c>
      <c r="M229" s="13" t="s">
        <v>152</v>
      </c>
      <c r="N229" t="s">
        <v>35</v>
      </c>
      <c r="O229" s="2" t="str">
        <f>_xlfn.XLOOKUP(Table1[[#This Row],[Checking_Acct_Status]],Table3[Checking_Acct_Original],Table3[Category])</f>
        <v>Negative Balance</v>
      </c>
      <c r="P229" s="10" t="s">
        <v>20</v>
      </c>
      <c r="Q229" s="13" t="str">
        <f>_xlfn.XLOOKUP(Table1[[#This Row],[Saving_Acct_Status]],Table5[Saving_Acct_Original],Table5[Category])</f>
        <v>Very High Savings</v>
      </c>
      <c r="R229" t="s">
        <v>41</v>
      </c>
      <c r="S229" s="2" t="str">
        <f>IF(
      OR(Table1[[#This Row],[Job_Type]] = "high qualif/self emp/mgmt", Table1[[#This Row],[Job_Type]] = "skilled"),
      "Skilled", "Unskilled")</f>
        <v>Skilled</v>
      </c>
      <c r="T229" t="str">
        <f>IF(Table1[[#This Row],[Job_Type]] = "unemp/unskilled non res", "Unemployed", "Employed")</f>
        <v>Employed</v>
      </c>
      <c r="U229" t="s">
        <v>38</v>
      </c>
      <c r="V229" s="14" t="str" cm="1">
        <f t="array" ref="V22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29" t="s">
        <v>31</v>
      </c>
      <c r="X229" s="2" t="str">
        <f>_xlfn.XLOOKUP(Table1[[#This Row],[Loan_Credit_History]],Table4[Credit History],Table4[[ Category]])</f>
        <v>Existing Credits Paid</v>
      </c>
      <c r="Y229" s="3">
        <v>4</v>
      </c>
      <c r="Z229" s="3">
        <v>2</v>
      </c>
      <c r="AA229" s="5">
        <v>3622</v>
      </c>
      <c r="AB229" t="s">
        <v>151</v>
      </c>
      <c r="AC229" s="2" t="str" cm="1">
        <f t="array" ref="AC229">_xlfn.IFS(Table1[[#This Row],[Others_Parties]] = "No", "None",
Table1[[#This Row],[Others_Parties]] = "co applicant", "Co-applicant",
Table1[[#This Row],[Others_Parties]] = "guarantor", "Guarantor")</f>
        <v>None</v>
      </c>
      <c r="AD229" s="13" t="s">
        <v>145</v>
      </c>
      <c r="AE229" s="2" t="s">
        <v>108</v>
      </c>
      <c r="AF229" s="28" t="str" cm="1">
        <f t="array" ref="AF22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29" s="21">
        <v>30</v>
      </c>
      <c r="AH229" s="2" t="s">
        <v>154</v>
      </c>
      <c r="AI229"/>
      <c r="AZ229"/>
      <c r="BC229"/>
      <c r="BE229"/>
      <c r="BL229"/>
      <c r="BZ229"/>
      <c r="CA229"/>
      <c r="CF229"/>
      <c r="CG229"/>
      <c r="CH229"/>
      <c r="CI229"/>
      <c r="CK229"/>
      <c r="CN229"/>
    </row>
    <row r="230" spans="1:92" x14ac:dyDescent="0.3">
      <c r="A230" s="4">
        <v>228</v>
      </c>
      <c r="B230" s="11">
        <v>49</v>
      </c>
      <c r="C230" s="2" t="str">
        <f>_xlfn.XLOOKUP(Table1[[#This Row],[Age]],Table7[Start_Age],Table7[Age_Range],,-1)</f>
        <v>49-59</v>
      </c>
      <c r="D230" t="s">
        <v>130</v>
      </c>
      <c r="E230" s="2" t="s">
        <v>129</v>
      </c>
      <c r="F230" s="2" t="s">
        <v>133</v>
      </c>
      <c r="G230" s="3">
        <v>1</v>
      </c>
      <c r="H230" s="13" t="s">
        <v>152</v>
      </c>
      <c r="I230" s="2" t="str" cm="1">
        <f t="array" ref="I230">_xlfn.IFS(Table1[[#This Row],[Job_Type]] = "unskilled resident", "Resident",
Table1[[#This Row],[Job_Type]] = "unemp/unskilled non res", "Non-resident",
TRUE, "Unknown")</f>
        <v>Resident</v>
      </c>
      <c r="J230" s="2" t="s">
        <v>148</v>
      </c>
      <c r="K230" s="3">
        <v>4</v>
      </c>
      <c r="L230" s="2" t="s">
        <v>143</v>
      </c>
      <c r="M230" s="13" t="s">
        <v>151</v>
      </c>
      <c r="N230" t="s">
        <v>50</v>
      </c>
      <c r="O230" s="2" t="str">
        <f>_xlfn.XLOOKUP(Table1[[#This Row],[Checking_Acct_Status]],Table3[Checking_Acct_Original],Table3[Category])</f>
        <v>High Balance</v>
      </c>
      <c r="P230" s="10" t="s">
        <v>47</v>
      </c>
      <c r="Q230" s="13" t="str">
        <f>_xlfn.XLOOKUP(Table1[[#This Row],[Saving_Acct_Status]],Table5[Saving_Acct_Original],Table5[Category])</f>
        <v>No Savings</v>
      </c>
      <c r="R230" t="s">
        <v>27</v>
      </c>
      <c r="S230" s="2" t="str">
        <f>IF(
      OR(Table1[[#This Row],[Job_Type]] = "high qualif/self emp/mgmt", Table1[[#This Row],[Job_Type]] = "skilled"),
      "Skilled", "Unskilled")</f>
        <v>Unskilled</v>
      </c>
      <c r="T230" t="str">
        <f>IF(Table1[[#This Row],[Job_Type]] = "unemp/unskilled non res", "Unemployed", "Employed")</f>
        <v>Employed</v>
      </c>
      <c r="U230" t="s">
        <v>38</v>
      </c>
      <c r="V230" s="14" t="str" cm="1">
        <f t="array" ref="V23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30" t="s">
        <v>103</v>
      </c>
      <c r="X230" s="2" t="str">
        <f>_xlfn.XLOOKUP(Table1[[#This Row],[Loan_Credit_History]],Table4[Credit History],Table4[[ Category]])</f>
        <v>Critical Credit History</v>
      </c>
      <c r="Y230" s="3">
        <v>4</v>
      </c>
      <c r="Z230" s="3">
        <v>2</v>
      </c>
      <c r="AA230" s="5">
        <v>3656</v>
      </c>
      <c r="AB230" t="s">
        <v>151</v>
      </c>
      <c r="AC230" s="2" t="str" cm="1">
        <f t="array" ref="AC230">_xlfn.IFS(Table1[[#This Row],[Others_Parties]] = "No", "None",
Table1[[#This Row],[Others_Parties]] = "co applicant", "Co-applicant",
Table1[[#This Row],[Others_Parties]] = "guarantor", "Guarantor")</f>
        <v>None</v>
      </c>
      <c r="AD230" s="13" t="s">
        <v>147</v>
      </c>
      <c r="AE230" s="2" t="s">
        <v>111</v>
      </c>
      <c r="AF230" s="28" t="str" cm="1">
        <f t="array" ref="AF23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30" s="21">
        <v>30</v>
      </c>
      <c r="AH230" s="2" t="s">
        <v>154</v>
      </c>
      <c r="AI230"/>
      <c r="AZ230"/>
      <c r="BC230"/>
      <c r="BE230"/>
      <c r="BL230"/>
      <c r="BZ230"/>
      <c r="CA230"/>
      <c r="CF230"/>
      <c r="CG230"/>
      <c r="CH230"/>
      <c r="CI230"/>
      <c r="CK230"/>
      <c r="CN230"/>
    </row>
    <row r="231" spans="1:92" x14ac:dyDescent="0.3">
      <c r="A231" s="4">
        <v>229</v>
      </c>
      <c r="B231" s="11">
        <v>22</v>
      </c>
      <c r="C231" s="2" t="str">
        <f>_xlfn.XLOOKUP(Table1[[#This Row],[Age]],Table7[Start_Age],Table7[Age_Range],,-1)</f>
        <v>19-29</v>
      </c>
      <c r="D231" t="s">
        <v>134</v>
      </c>
      <c r="E231" s="2" t="s">
        <v>129</v>
      </c>
      <c r="F231" s="2" t="s">
        <v>135</v>
      </c>
      <c r="G231" s="3">
        <v>1</v>
      </c>
      <c r="H231" s="13" t="s">
        <v>152</v>
      </c>
      <c r="I231" s="2" t="str" cm="1">
        <f t="array" ref="I231">_xlfn.IFS(Table1[[#This Row],[Job_Type]] = "unskilled resident", "Resident",
Table1[[#This Row],[Job_Type]] = "unemp/unskilled non res", "Non-resident",
TRUE, "Unknown")</f>
        <v>Unknown</v>
      </c>
      <c r="J231" s="2" t="s">
        <v>148</v>
      </c>
      <c r="K231" s="3">
        <v>1</v>
      </c>
      <c r="L231" s="2" t="s">
        <v>143</v>
      </c>
      <c r="M231" s="13" t="s">
        <v>151</v>
      </c>
      <c r="N231" t="s">
        <v>30</v>
      </c>
      <c r="O231" s="2" t="str">
        <f>_xlfn.XLOOKUP(Table1[[#This Row],[Checking_Acct_Status]],Table3[Checking_Acct_Original],Table3[Category])</f>
        <v>Low Balance</v>
      </c>
      <c r="P231" s="10" t="s">
        <v>32</v>
      </c>
      <c r="Q231" s="13" t="str">
        <f>_xlfn.XLOOKUP(Table1[[#This Row],[Saving_Acct_Status]],Table5[Saving_Acct_Original],Table5[Category])</f>
        <v>Low Savings</v>
      </c>
      <c r="R231" t="s">
        <v>41</v>
      </c>
      <c r="S231" s="2" t="str">
        <f>IF(
      OR(Table1[[#This Row],[Job_Type]] = "high qualif/self emp/mgmt", Table1[[#This Row],[Job_Type]] = "skilled"),
      "Skilled", "Unskilled")</f>
        <v>Skilled</v>
      </c>
      <c r="T231" t="str">
        <f>IF(Table1[[#This Row],[Job_Type]] = "unemp/unskilled non res", "Unemployed", "Employed")</f>
        <v>Employed</v>
      </c>
      <c r="U231" t="s">
        <v>45</v>
      </c>
      <c r="V231" s="14" t="str" cm="1">
        <f t="array" ref="V23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31" t="s">
        <v>31</v>
      </c>
      <c r="X231" s="2" t="str">
        <f>_xlfn.XLOOKUP(Table1[[#This Row],[Loan_Credit_History]],Table4[Credit History],Table4[[ Category]])</f>
        <v>Existing Credits Paid</v>
      </c>
      <c r="Y231" s="3">
        <v>2</v>
      </c>
      <c r="Z231" s="3">
        <v>1</v>
      </c>
      <c r="AA231" s="5">
        <v>3832</v>
      </c>
      <c r="AB231" t="s">
        <v>151</v>
      </c>
      <c r="AC231" s="2" t="str" cm="1">
        <f t="array" ref="AC231">_xlfn.IFS(Table1[[#This Row],[Others_Parties]] = "No", "None",
Table1[[#This Row],[Others_Parties]] = "co applicant", "Co-applicant",
Table1[[#This Row],[Others_Parties]] = "guarantor", "Guarantor")</f>
        <v>None</v>
      </c>
      <c r="AD231" s="13" t="s">
        <v>145</v>
      </c>
      <c r="AE231" s="2" t="s">
        <v>108</v>
      </c>
      <c r="AF231" s="28" t="str" cm="1">
        <f t="array" ref="AF23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31" s="21">
        <v>30</v>
      </c>
      <c r="AH231" s="2" t="s">
        <v>154</v>
      </c>
      <c r="AI231"/>
      <c r="AZ231"/>
      <c r="BC231"/>
      <c r="BE231"/>
      <c r="BL231"/>
      <c r="BZ231"/>
      <c r="CA231"/>
      <c r="CF231"/>
      <c r="CG231"/>
      <c r="CH231"/>
      <c r="CI231"/>
      <c r="CK231"/>
      <c r="CN231"/>
    </row>
    <row r="232" spans="1:92" x14ac:dyDescent="0.3">
      <c r="A232" s="4">
        <v>230</v>
      </c>
      <c r="B232" s="11">
        <v>40</v>
      </c>
      <c r="C232" s="2" t="str">
        <f>_xlfn.XLOOKUP(Table1[[#This Row],[Age]],Table7[Start_Age],Table7[Age_Range],,-1)</f>
        <v>39-49</v>
      </c>
      <c r="D232" t="s">
        <v>138</v>
      </c>
      <c r="E232" s="2" t="s">
        <v>129</v>
      </c>
      <c r="F232" s="2" t="s">
        <v>178</v>
      </c>
      <c r="G232" s="3">
        <v>1</v>
      </c>
      <c r="H232" s="13" t="s">
        <v>152</v>
      </c>
      <c r="I232" s="2" t="str" cm="1">
        <f t="array" ref="I232">_xlfn.IFS(Table1[[#This Row],[Job_Type]] = "unskilled resident", "Resident",
Table1[[#This Row],[Job_Type]] = "unemp/unskilled non res", "Non-resident",
TRUE, "Unknown")</f>
        <v>Unknown</v>
      </c>
      <c r="J232" s="2" t="s">
        <v>148</v>
      </c>
      <c r="K232" s="3">
        <v>4</v>
      </c>
      <c r="L232" s="2" t="s">
        <v>143</v>
      </c>
      <c r="M232" s="13" t="s">
        <v>152</v>
      </c>
      <c r="N232" t="s">
        <v>35</v>
      </c>
      <c r="O232" s="2" t="str">
        <f>_xlfn.XLOOKUP(Table1[[#This Row],[Checking_Acct_Status]],Table3[Checking_Acct_Original],Table3[Category])</f>
        <v>Negative Balance</v>
      </c>
      <c r="P232" s="10" t="s">
        <v>32</v>
      </c>
      <c r="Q232" s="13" t="str">
        <f>_xlfn.XLOOKUP(Table1[[#This Row],[Saving_Acct_Status]],Table5[Saving_Acct_Original],Table5[Category])</f>
        <v>Low Savings</v>
      </c>
      <c r="R232" t="s">
        <v>63</v>
      </c>
      <c r="S232" s="2" t="str">
        <f>IF(
      OR(Table1[[#This Row],[Job_Type]] = "high qualif/self emp/mgmt", Table1[[#This Row],[Job_Type]] = "skilled"),
      "Skilled", "Unskilled")</f>
        <v>Skilled</v>
      </c>
      <c r="T232" t="str">
        <f>IF(Table1[[#This Row],[Job_Type]] = "unemp/unskilled non res", "Unemployed", "Employed")</f>
        <v>Employed</v>
      </c>
      <c r="U232" t="s">
        <v>21</v>
      </c>
      <c r="V232" s="14" t="str" cm="1">
        <f t="array" ref="V23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32" t="s">
        <v>31</v>
      </c>
      <c r="X232" s="2" t="str">
        <f>_xlfn.XLOOKUP(Table1[[#This Row],[Loan_Credit_History]],Table4[Credit History],Table4[[ Category]])</f>
        <v>Existing Credits Paid</v>
      </c>
      <c r="Y232" s="3">
        <v>4</v>
      </c>
      <c r="Z232" s="3">
        <v>1</v>
      </c>
      <c r="AA232" s="5">
        <v>3857</v>
      </c>
      <c r="AB232" t="s">
        <v>151</v>
      </c>
      <c r="AC232" s="2" t="str" cm="1">
        <f t="array" ref="AC232">_xlfn.IFS(Table1[[#This Row],[Others_Parties]] = "No", "None",
Table1[[#This Row],[Others_Parties]] = "co applicant", "Co-applicant",
Table1[[#This Row],[Others_Parties]] = "guarantor", "Guarantor")</f>
        <v>None</v>
      </c>
      <c r="AD232" s="13" t="s">
        <v>145</v>
      </c>
      <c r="AE232" s="2" t="s">
        <v>107</v>
      </c>
      <c r="AF232" s="28" t="str" cm="1">
        <f t="array" ref="AF23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32" s="21">
        <v>30</v>
      </c>
      <c r="AH232" s="2" t="s">
        <v>154</v>
      </c>
      <c r="AI232"/>
      <c r="AZ232"/>
      <c r="BC232"/>
      <c r="BE232"/>
      <c r="BL232"/>
      <c r="BZ232"/>
      <c r="CA232"/>
      <c r="CF232"/>
      <c r="CG232"/>
      <c r="CH232"/>
      <c r="CI232"/>
      <c r="CK232"/>
      <c r="CN232"/>
    </row>
    <row r="233" spans="1:92" x14ac:dyDescent="0.3">
      <c r="A233" s="4">
        <v>231</v>
      </c>
      <c r="B233" s="11">
        <v>28</v>
      </c>
      <c r="C233" s="2" t="str">
        <f>_xlfn.XLOOKUP(Table1[[#This Row],[Age]],Table7[Start_Age],Table7[Age_Range],,-1)</f>
        <v>19-29</v>
      </c>
      <c r="D233" t="s">
        <v>136</v>
      </c>
      <c r="E233" s="2" t="s">
        <v>131</v>
      </c>
      <c r="F233" s="2" t="s">
        <v>137</v>
      </c>
      <c r="G233" s="3">
        <v>1</v>
      </c>
      <c r="H233" s="13" t="s">
        <v>152</v>
      </c>
      <c r="I233" s="2" t="str" cm="1">
        <f t="array" ref="I233">_xlfn.IFS(Table1[[#This Row],[Job_Type]] = "unskilled resident", "Resident",
Table1[[#This Row],[Job_Type]] = "unemp/unskilled non res", "Non-resident",
TRUE, "Unknown")</f>
        <v>Unknown</v>
      </c>
      <c r="J233" s="2" t="s">
        <v>148</v>
      </c>
      <c r="K233" s="3">
        <v>1</v>
      </c>
      <c r="L233" s="2" t="s">
        <v>140</v>
      </c>
      <c r="M233" s="13" t="s">
        <v>151</v>
      </c>
      <c r="N233" t="s">
        <v>30</v>
      </c>
      <c r="O233" s="2" t="str">
        <f>_xlfn.XLOOKUP(Table1[[#This Row],[Checking_Acct_Status]],Table3[Checking_Acct_Original],Table3[Category])</f>
        <v>Low Balance</v>
      </c>
      <c r="P233" s="10" t="s">
        <v>32</v>
      </c>
      <c r="Q233" s="13" t="str">
        <f>_xlfn.XLOOKUP(Table1[[#This Row],[Saving_Acct_Status]],Table5[Saving_Acct_Original],Table5[Category])</f>
        <v>Low Savings</v>
      </c>
      <c r="R233" t="s">
        <v>41</v>
      </c>
      <c r="S233" s="2" t="str">
        <f>IF(
      OR(Table1[[#This Row],[Job_Type]] = "high qualif/self emp/mgmt", Table1[[#This Row],[Job_Type]] = "skilled"),
      "Skilled", "Unskilled")</f>
        <v>Skilled</v>
      </c>
      <c r="T233" t="str">
        <f>IF(Table1[[#This Row],[Job_Type]] = "unemp/unskilled non res", "Unemployed", "Employed")</f>
        <v>Employed</v>
      </c>
      <c r="U233" t="s">
        <v>21</v>
      </c>
      <c r="V233" s="14" t="str" cm="1">
        <f t="array" ref="V23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33" t="s">
        <v>52</v>
      </c>
      <c r="X233" s="2" t="str">
        <f>_xlfn.XLOOKUP(Table1[[#This Row],[Loan_Credit_History]],Table4[Credit History],Table4[[ Category]])</f>
        <v>No Credit History</v>
      </c>
      <c r="Y233" s="3">
        <v>2</v>
      </c>
      <c r="Z233" s="3">
        <v>2</v>
      </c>
      <c r="AA233" s="5">
        <v>4221</v>
      </c>
      <c r="AB233" t="s">
        <v>151</v>
      </c>
      <c r="AC233" s="2" t="str" cm="1">
        <f t="array" ref="AC233">_xlfn.IFS(Table1[[#This Row],[Others_Parties]] = "No", "None",
Table1[[#This Row],[Others_Parties]] = "co applicant", "Co-applicant",
Table1[[#This Row],[Others_Parties]] = "guarantor", "Guarantor")</f>
        <v>None</v>
      </c>
      <c r="AD233" s="13" t="s">
        <v>145</v>
      </c>
      <c r="AE233" s="2" t="s">
        <v>105</v>
      </c>
      <c r="AF233" s="28" t="str" cm="1">
        <f t="array" ref="AF23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33" s="21">
        <v>30</v>
      </c>
      <c r="AH233" s="2" t="s">
        <v>154</v>
      </c>
      <c r="AI233"/>
      <c r="AZ233"/>
      <c r="BC233"/>
      <c r="BE233"/>
      <c r="BL233"/>
      <c r="BZ233"/>
      <c r="CA233"/>
      <c r="CF233"/>
      <c r="CG233"/>
      <c r="CH233"/>
      <c r="CI233"/>
      <c r="CK233"/>
      <c r="CN233"/>
    </row>
    <row r="234" spans="1:92" x14ac:dyDescent="0.3">
      <c r="A234" s="4">
        <v>232</v>
      </c>
      <c r="B234" s="11">
        <v>28</v>
      </c>
      <c r="C234" s="2" t="str">
        <f>_xlfn.XLOOKUP(Table1[[#This Row],[Age]],Table7[Start_Age],Table7[Age_Range],,-1)</f>
        <v>19-29</v>
      </c>
      <c r="D234" t="s">
        <v>134</v>
      </c>
      <c r="E234" s="2" t="s">
        <v>129</v>
      </c>
      <c r="F234" s="2" t="s">
        <v>135</v>
      </c>
      <c r="G234" s="3">
        <v>1</v>
      </c>
      <c r="H234" s="13" t="s">
        <v>152</v>
      </c>
      <c r="I234" s="2" t="str" cm="1">
        <f t="array" ref="I234">_xlfn.IFS(Table1[[#This Row],[Job_Type]] = "unskilled resident", "Resident",
Table1[[#This Row],[Job_Type]] = "unemp/unskilled non res", "Non-resident",
TRUE, "Unknown")</f>
        <v>Unknown</v>
      </c>
      <c r="J234" s="2" t="s">
        <v>148</v>
      </c>
      <c r="K234" s="3">
        <v>2</v>
      </c>
      <c r="L234" s="2" t="s">
        <v>140</v>
      </c>
      <c r="M234" s="13" t="s">
        <v>151</v>
      </c>
      <c r="N234" t="s">
        <v>30</v>
      </c>
      <c r="O234" s="2" t="str">
        <f>_xlfn.XLOOKUP(Table1[[#This Row],[Checking_Acct_Status]],Table3[Checking_Acct_Original],Table3[Category])</f>
        <v>Low Balance</v>
      </c>
      <c r="P234" s="10" t="s">
        <v>32</v>
      </c>
      <c r="Q234" s="13" t="str">
        <f>_xlfn.XLOOKUP(Table1[[#This Row],[Saving_Acct_Status]],Table5[Saving_Acct_Original],Table5[Category])</f>
        <v>Low Savings</v>
      </c>
      <c r="R234" t="s">
        <v>63</v>
      </c>
      <c r="S234" s="2" t="str">
        <f>IF(
      OR(Table1[[#This Row],[Job_Type]] = "high qualif/self emp/mgmt", Table1[[#This Row],[Job_Type]] = "skilled"),
      "Skilled", "Unskilled")</f>
        <v>Skilled</v>
      </c>
      <c r="T234" t="str">
        <f>IF(Table1[[#This Row],[Job_Type]] = "unemp/unskilled non res", "Unemployed", "Employed")</f>
        <v>Employed</v>
      </c>
      <c r="U234" t="s">
        <v>54</v>
      </c>
      <c r="V234" s="14" t="str" cm="1">
        <f t="array" ref="V234">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234" t="s">
        <v>103</v>
      </c>
      <c r="X234" s="2" t="str">
        <f>_xlfn.XLOOKUP(Table1[[#This Row],[Loan_Credit_History]],Table4[Credit History],Table4[[ Category]])</f>
        <v>Critical Credit History</v>
      </c>
      <c r="Y234" s="3">
        <v>4</v>
      </c>
      <c r="Z234" s="3">
        <v>2</v>
      </c>
      <c r="AA234" s="5">
        <v>4249</v>
      </c>
      <c r="AB234" t="s">
        <v>151</v>
      </c>
      <c r="AC234" s="2" t="str" cm="1">
        <f t="array" ref="AC234">_xlfn.IFS(Table1[[#This Row],[Others_Parties]] = "No", "None",
Table1[[#This Row],[Others_Parties]] = "co applicant", "Co-applicant",
Table1[[#This Row],[Others_Parties]] = "guarantor", "Guarantor")</f>
        <v>None</v>
      </c>
      <c r="AD234" s="13" t="s">
        <v>145</v>
      </c>
      <c r="AE234" s="2" t="s">
        <v>141</v>
      </c>
      <c r="AF234" s="28" t="str" cm="1">
        <f t="array" ref="AF23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34" s="21">
        <v>30</v>
      </c>
      <c r="AH234" s="2" t="s">
        <v>153</v>
      </c>
      <c r="AI234"/>
      <c r="AZ234"/>
      <c r="BC234"/>
      <c r="BE234"/>
      <c r="BL234"/>
      <c r="BZ234"/>
      <c r="CA234"/>
      <c r="CF234"/>
      <c r="CG234"/>
      <c r="CH234"/>
      <c r="CI234"/>
      <c r="CK234"/>
      <c r="CN234"/>
    </row>
    <row r="235" spans="1:92" x14ac:dyDescent="0.3">
      <c r="A235" s="4">
        <v>233</v>
      </c>
      <c r="B235" s="11">
        <v>26</v>
      </c>
      <c r="C235" s="2" t="str">
        <f>_xlfn.XLOOKUP(Table1[[#This Row],[Age]],Table7[Start_Age],Table7[Age_Range],,-1)</f>
        <v>19-29</v>
      </c>
      <c r="D235" t="s">
        <v>130</v>
      </c>
      <c r="E235" s="2" t="s">
        <v>129</v>
      </c>
      <c r="F235" s="2" t="s">
        <v>133</v>
      </c>
      <c r="G235" s="3">
        <v>1</v>
      </c>
      <c r="H235" s="13" t="s">
        <v>152</v>
      </c>
      <c r="I235" s="2" t="str" cm="1">
        <f t="array" ref="I235">_xlfn.IFS(Table1[[#This Row],[Job_Type]] = "unskilled resident", "Resident",
Table1[[#This Row],[Job_Type]] = "unemp/unskilled non res", "Non-resident",
TRUE, "Unknown")</f>
        <v>Resident</v>
      </c>
      <c r="J235" s="2" t="s">
        <v>148</v>
      </c>
      <c r="K235" s="3">
        <v>2</v>
      </c>
      <c r="L235" s="2" t="s">
        <v>143</v>
      </c>
      <c r="M235" s="13" t="s">
        <v>151</v>
      </c>
      <c r="N235" t="s">
        <v>17</v>
      </c>
      <c r="O235" s="2" t="str">
        <f>_xlfn.XLOOKUP(Table1[[#This Row],[Checking_Acct_Status]],Table3[Checking_Acct_Original],Table3[Category])</f>
        <v>No Account</v>
      </c>
      <c r="P235" s="10" t="s">
        <v>46</v>
      </c>
      <c r="Q235" s="13" t="str">
        <f>_xlfn.XLOOKUP(Table1[[#This Row],[Saving_Acct_Status]],Table5[Saving_Acct_Original],Table5[Category])</f>
        <v>Medium Savings</v>
      </c>
      <c r="R235" t="s">
        <v>27</v>
      </c>
      <c r="S235" s="2" t="str">
        <f>IF(
      OR(Table1[[#This Row],[Job_Type]] = "high qualif/self emp/mgmt", Table1[[#This Row],[Job_Type]] = "skilled"),
      "Skilled", "Unskilled")</f>
        <v>Unskilled</v>
      </c>
      <c r="T235" t="str">
        <f>IF(Table1[[#This Row],[Job_Type]] = "unemp/unskilled non res", "Unemployed", "Employed")</f>
        <v>Employed</v>
      </c>
      <c r="U235" t="s">
        <v>21</v>
      </c>
      <c r="V235" s="14" t="str" cm="1">
        <f t="array" ref="V23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35" t="s">
        <v>59</v>
      </c>
      <c r="X235" s="2" t="str">
        <f>_xlfn.XLOOKUP(Table1[[#This Row],[Loan_Credit_History]],Table4[Credit History],Table4[[ Category]])</f>
        <v>Previously Delayed</v>
      </c>
      <c r="Y235" s="3">
        <v>2</v>
      </c>
      <c r="Z235" s="3">
        <v>2</v>
      </c>
      <c r="AA235" s="5">
        <v>4272</v>
      </c>
      <c r="AB235" t="s">
        <v>151</v>
      </c>
      <c r="AC235" s="2" t="str" cm="1">
        <f t="array" ref="AC235">_xlfn.IFS(Table1[[#This Row],[Others_Parties]] = "No", "None",
Table1[[#This Row],[Others_Parties]] = "co applicant", "Co-applicant",
Table1[[#This Row],[Others_Parties]] = "guarantor", "Guarantor")</f>
        <v>None</v>
      </c>
      <c r="AD235" s="13" t="s">
        <v>145</v>
      </c>
      <c r="AE235" s="2" t="s">
        <v>105</v>
      </c>
      <c r="AF235" s="28" t="str" cm="1">
        <f t="array" ref="AF23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35" s="21">
        <v>30</v>
      </c>
      <c r="AH235" s="2" t="s">
        <v>154</v>
      </c>
      <c r="AI235"/>
      <c r="AZ235"/>
      <c r="BC235"/>
      <c r="BE235"/>
      <c r="BL235"/>
      <c r="BZ235"/>
      <c r="CA235"/>
      <c r="CF235"/>
      <c r="CG235"/>
      <c r="CH235"/>
      <c r="CI235"/>
      <c r="CK235"/>
      <c r="CN235"/>
    </row>
    <row r="236" spans="1:92" x14ac:dyDescent="0.3">
      <c r="A236" s="4">
        <v>234</v>
      </c>
      <c r="B236" s="11">
        <v>26</v>
      </c>
      <c r="C236" s="2" t="str">
        <f>_xlfn.XLOOKUP(Table1[[#This Row],[Age]],Table7[Start_Age],Table7[Age_Range],,-1)</f>
        <v>19-29</v>
      </c>
      <c r="D236" t="s">
        <v>136</v>
      </c>
      <c r="E236" s="2" t="s">
        <v>131</v>
      </c>
      <c r="F236" s="2" t="s">
        <v>137</v>
      </c>
      <c r="G236" s="3">
        <v>1</v>
      </c>
      <c r="H236" s="13" t="s">
        <v>152</v>
      </c>
      <c r="I236" s="2" t="str" cm="1">
        <f t="array" ref="I236">_xlfn.IFS(Table1[[#This Row],[Job_Type]] = "unskilled resident", "Resident",
Table1[[#This Row],[Job_Type]] = "unemp/unskilled non res", "Non-resident",
TRUE, "Unknown")</f>
        <v>Resident</v>
      </c>
      <c r="J236" s="2" t="s">
        <v>149</v>
      </c>
      <c r="K236" s="3">
        <v>4</v>
      </c>
      <c r="L236" s="2" t="s">
        <v>140</v>
      </c>
      <c r="M236" s="13" t="s">
        <v>151</v>
      </c>
      <c r="N236" t="s">
        <v>30</v>
      </c>
      <c r="O236" s="2" t="str">
        <f>_xlfn.XLOOKUP(Table1[[#This Row],[Checking_Acct_Status]],Table3[Checking_Acct_Original],Table3[Category])</f>
        <v>Low Balance</v>
      </c>
      <c r="P236" s="10" t="s">
        <v>46</v>
      </c>
      <c r="Q236" s="13" t="str">
        <f>_xlfn.XLOOKUP(Table1[[#This Row],[Saving_Acct_Status]],Table5[Saving_Acct_Original],Table5[Category])</f>
        <v>Medium Savings</v>
      </c>
      <c r="R236" t="s">
        <v>27</v>
      </c>
      <c r="S236" s="2" t="str">
        <f>IF(
      OR(Table1[[#This Row],[Job_Type]] = "high qualif/self emp/mgmt", Table1[[#This Row],[Job_Type]] = "skilled"),
      "Skilled", "Unskilled")</f>
        <v>Unskilled</v>
      </c>
      <c r="T236" t="str">
        <f>IF(Table1[[#This Row],[Job_Type]] = "unemp/unskilled non res", "Unemployed", "Employed")</f>
        <v>Employed</v>
      </c>
      <c r="U236" t="s">
        <v>21</v>
      </c>
      <c r="V236" s="14" t="str" cm="1">
        <f t="array" ref="V23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36" t="s">
        <v>52</v>
      </c>
      <c r="X236" s="2" t="str">
        <f>_xlfn.XLOOKUP(Table1[[#This Row],[Loan_Credit_History]],Table4[Credit History],Table4[[ Category]])</f>
        <v>No Credit History</v>
      </c>
      <c r="Y236" s="3">
        <v>4</v>
      </c>
      <c r="Z236" s="3">
        <v>2</v>
      </c>
      <c r="AA236" s="5">
        <v>4280</v>
      </c>
      <c r="AB236" t="s">
        <v>151</v>
      </c>
      <c r="AC236" s="2" t="str" cm="1">
        <f t="array" ref="AC236">_xlfn.IFS(Table1[[#This Row],[Others_Parties]] = "No", "None",
Table1[[#This Row],[Others_Parties]] = "co applicant", "Co-applicant",
Table1[[#This Row],[Others_Parties]] = "guarantor", "Guarantor")</f>
        <v>None</v>
      </c>
      <c r="AD236" s="13" t="s">
        <v>145</v>
      </c>
      <c r="AE236" s="2" t="s">
        <v>105</v>
      </c>
      <c r="AF236" s="28" t="str" cm="1">
        <f t="array" ref="AF23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36" s="21">
        <v>30</v>
      </c>
      <c r="AH236" s="2" t="s">
        <v>153</v>
      </c>
      <c r="AI236"/>
      <c r="AZ236"/>
      <c r="BC236"/>
      <c r="BE236"/>
      <c r="BL236"/>
      <c r="BZ236"/>
      <c r="CA236"/>
      <c r="CF236"/>
      <c r="CG236"/>
      <c r="CH236"/>
      <c r="CI236"/>
      <c r="CK236"/>
      <c r="CN236"/>
    </row>
    <row r="237" spans="1:92" x14ac:dyDescent="0.3">
      <c r="A237" s="4">
        <v>235</v>
      </c>
      <c r="B237" s="11">
        <v>26</v>
      </c>
      <c r="C237" s="2" t="str">
        <f>_xlfn.XLOOKUP(Table1[[#This Row],[Age]],Table7[Start_Age],Table7[Age_Range],,-1)</f>
        <v>19-29</v>
      </c>
      <c r="D237" t="s">
        <v>136</v>
      </c>
      <c r="E237" s="2" t="s">
        <v>131</v>
      </c>
      <c r="F237" s="2" t="s">
        <v>137</v>
      </c>
      <c r="G237" s="3">
        <v>1</v>
      </c>
      <c r="H237" s="13" t="s">
        <v>152</v>
      </c>
      <c r="I237" s="2" t="str" cm="1">
        <f t="array" ref="I237">_xlfn.IFS(Table1[[#This Row],[Job_Type]] = "unskilled resident", "Resident",
Table1[[#This Row],[Job_Type]] = "unemp/unskilled non res", "Non-resident",
TRUE, "Unknown")</f>
        <v>Unknown</v>
      </c>
      <c r="J237" s="2" t="s">
        <v>149</v>
      </c>
      <c r="K237" s="3">
        <v>4</v>
      </c>
      <c r="L237" s="2" t="s">
        <v>140</v>
      </c>
      <c r="M237" s="13" t="s">
        <v>152</v>
      </c>
      <c r="N237" t="s">
        <v>17</v>
      </c>
      <c r="O237" s="2" t="str">
        <f>_xlfn.XLOOKUP(Table1[[#This Row],[Checking_Acct_Status]],Table3[Checking_Acct_Original],Table3[Category])</f>
        <v>No Account</v>
      </c>
      <c r="P237" s="10" t="s">
        <v>32</v>
      </c>
      <c r="Q237" s="13" t="str">
        <f>_xlfn.XLOOKUP(Table1[[#This Row],[Saving_Acct_Status]],Table5[Saving_Acct_Original],Table5[Category])</f>
        <v>Low Savings</v>
      </c>
      <c r="R237" t="s">
        <v>63</v>
      </c>
      <c r="S237" s="2" t="str">
        <f>IF(
      OR(Table1[[#This Row],[Job_Type]] = "high qualif/self emp/mgmt", Table1[[#This Row],[Job_Type]] = "skilled"),
      "Skilled", "Unskilled")</f>
        <v>Skilled</v>
      </c>
      <c r="T237" t="str">
        <f>IF(Table1[[#This Row],[Job_Type]] = "unemp/unskilled non res", "Unemployed", "Employed")</f>
        <v>Employed</v>
      </c>
      <c r="U237" t="s">
        <v>49</v>
      </c>
      <c r="V237" s="14" t="str" cm="1">
        <f t="array" ref="V23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37" t="s">
        <v>103</v>
      </c>
      <c r="X237" s="2" t="str">
        <f>_xlfn.XLOOKUP(Table1[[#This Row],[Loan_Credit_History]],Table4[Credit History],Table4[[ Category]])</f>
        <v>Critical Credit History</v>
      </c>
      <c r="Y237" s="3">
        <v>4</v>
      </c>
      <c r="Z237" s="3">
        <v>1</v>
      </c>
      <c r="AA237" s="5">
        <v>4530</v>
      </c>
      <c r="AB237" t="s">
        <v>151</v>
      </c>
      <c r="AC237" s="2" t="str" cm="1">
        <f t="array" ref="AC237">_xlfn.IFS(Table1[[#This Row],[Others_Parties]] = "No", "None",
Table1[[#This Row],[Others_Parties]] = "co applicant", "Co-applicant",
Table1[[#This Row],[Others_Parties]] = "guarantor", "Guarantor")</f>
        <v>None</v>
      </c>
      <c r="AD237" s="13" t="s">
        <v>145</v>
      </c>
      <c r="AE237" s="2" t="s">
        <v>111</v>
      </c>
      <c r="AF237" s="28" t="str" cm="1">
        <f t="array" ref="AF23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37" s="21">
        <v>30</v>
      </c>
      <c r="AH237" s="2" t="s">
        <v>154</v>
      </c>
      <c r="AI237"/>
      <c r="AZ237"/>
      <c r="BC237"/>
      <c r="BE237"/>
      <c r="BL237"/>
      <c r="BZ237"/>
      <c r="CA237"/>
      <c r="CF237"/>
      <c r="CG237"/>
      <c r="CH237"/>
      <c r="CI237"/>
      <c r="CK237"/>
      <c r="CN237"/>
    </row>
    <row r="238" spans="1:92" x14ac:dyDescent="0.3">
      <c r="A238" s="4">
        <v>236</v>
      </c>
      <c r="B238" s="11">
        <v>32</v>
      </c>
      <c r="C238" s="2" t="str">
        <f>_xlfn.XLOOKUP(Table1[[#This Row],[Age]],Table7[Start_Age],Table7[Age_Range],,-1)</f>
        <v>29-39</v>
      </c>
      <c r="D238" t="s">
        <v>138</v>
      </c>
      <c r="E238" s="2" t="s">
        <v>129</v>
      </c>
      <c r="F238" s="2" t="s">
        <v>178</v>
      </c>
      <c r="G238" s="3">
        <v>1</v>
      </c>
      <c r="H238" s="13" t="s">
        <v>152</v>
      </c>
      <c r="I238" s="2" t="str" cm="1">
        <f t="array" ref="I238">_xlfn.IFS(Table1[[#This Row],[Job_Type]] = "unskilled resident", "Resident",
Table1[[#This Row],[Job_Type]] = "unemp/unskilled non res", "Non-resident",
TRUE, "Unknown")</f>
        <v>Unknown</v>
      </c>
      <c r="J238" s="2" t="s">
        <v>148</v>
      </c>
      <c r="K238" s="3">
        <v>2</v>
      </c>
      <c r="L238" s="2" t="s">
        <v>144</v>
      </c>
      <c r="M238" s="13" t="s">
        <v>151</v>
      </c>
      <c r="N238" t="s">
        <v>35</v>
      </c>
      <c r="O238" s="2" t="str">
        <f>_xlfn.XLOOKUP(Table1[[#This Row],[Checking_Acct_Status]],Table3[Checking_Acct_Original],Table3[Category])</f>
        <v>Negative Balance</v>
      </c>
      <c r="P238" s="10" t="s">
        <v>32</v>
      </c>
      <c r="Q238" s="13" t="str">
        <f>_xlfn.XLOOKUP(Table1[[#This Row],[Saving_Acct_Status]],Table5[Saving_Acct_Original],Table5[Category])</f>
        <v>Low Savings</v>
      </c>
      <c r="R238" t="s">
        <v>41</v>
      </c>
      <c r="S238" s="2" t="str">
        <f>IF(
      OR(Table1[[#This Row],[Job_Type]] = "high qualif/self emp/mgmt", Table1[[#This Row],[Job_Type]] = "skilled"),
      "Skilled", "Unskilled")</f>
        <v>Skilled</v>
      </c>
      <c r="T238" t="str">
        <f>IF(Table1[[#This Row],[Job_Type]] = "unemp/unskilled non res", "Unemployed", "Employed")</f>
        <v>Employed</v>
      </c>
      <c r="U238" t="s">
        <v>21</v>
      </c>
      <c r="V238" s="14" t="str" cm="1">
        <f t="array" ref="V23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38" t="s">
        <v>52</v>
      </c>
      <c r="X238" s="2" t="str">
        <f>_xlfn.XLOOKUP(Table1[[#This Row],[Loan_Credit_History]],Table4[Credit History],Table4[[ Category]])</f>
        <v>No Credit History</v>
      </c>
      <c r="Y238" s="3">
        <v>2</v>
      </c>
      <c r="Z238" s="3">
        <v>2</v>
      </c>
      <c r="AA238" s="5">
        <v>4583</v>
      </c>
      <c r="AB238" t="s">
        <v>58</v>
      </c>
      <c r="AC238" s="2" t="str" cm="1">
        <f t="array" ref="AC238">_xlfn.IFS(Table1[[#This Row],[Others_Parties]] = "No", "None",
Table1[[#This Row],[Others_Parties]] = "co applicant", "Co-applicant",
Table1[[#This Row],[Others_Parties]] = "guarantor", "Guarantor")</f>
        <v>Guarantor</v>
      </c>
      <c r="AD238" s="13" t="s">
        <v>145</v>
      </c>
      <c r="AE238" s="2" t="s">
        <v>108</v>
      </c>
      <c r="AF238" s="28" t="str" cm="1">
        <f t="array" ref="AF23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38" s="21">
        <v>30</v>
      </c>
      <c r="AH238" s="2" t="s">
        <v>154</v>
      </c>
      <c r="AI238"/>
      <c r="AZ238"/>
      <c r="BC238"/>
      <c r="BE238"/>
      <c r="BL238"/>
      <c r="BZ238"/>
      <c r="CA238"/>
      <c r="CF238"/>
      <c r="CG238"/>
      <c r="CH238"/>
      <c r="CI238"/>
      <c r="CK238"/>
      <c r="CN238"/>
    </row>
    <row r="239" spans="1:92" x14ac:dyDescent="0.3">
      <c r="A239" s="4">
        <v>237</v>
      </c>
      <c r="B239" s="11">
        <v>24</v>
      </c>
      <c r="C239" s="2" t="str">
        <f>_xlfn.XLOOKUP(Table1[[#This Row],[Age]],Table7[Start_Age],Table7[Age_Range],,-1)</f>
        <v>19-29</v>
      </c>
      <c r="D239" t="s">
        <v>136</v>
      </c>
      <c r="E239" s="2" t="s">
        <v>131</v>
      </c>
      <c r="F239" s="2" t="s">
        <v>137</v>
      </c>
      <c r="G239" s="3">
        <v>1</v>
      </c>
      <c r="H239" s="13" t="s">
        <v>152</v>
      </c>
      <c r="I239" s="2" t="str" cm="1">
        <f t="array" ref="I239">_xlfn.IFS(Table1[[#This Row],[Job_Type]] = "unskilled resident", "Resident",
Table1[[#This Row],[Job_Type]] = "unemp/unskilled non res", "Non-resident",
TRUE, "Unknown")</f>
        <v>Resident</v>
      </c>
      <c r="J239" s="2" t="s">
        <v>149</v>
      </c>
      <c r="K239" s="3">
        <v>4</v>
      </c>
      <c r="L239" s="2" t="s">
        <v>143</v>
      </c>
      <c r="M239" s="13" t="s">
        <v>151</v>
      </c>
      <c r="N239" t="s">
        <v>17</v>
      </c>
      <c r="O239" s="2" t="str">
        <f>_xlfn.XLOOKUP(Table1[[#This Row],[Checking_Acct_Status]],Table3[Checking_Acct_Original],Table3[Category])</f>
        <v>No Account</v>
      </c>
      <c r="P239" s="10" t="s">
        <v>47</v>
      </c>
      <c r="Q239" s="13" t="str">
        <f>_xlfn.XLOOKUP(Table1[[#This Row],[Saving_Acct_Status]],Table5[Saving_Acct_Original],Table5[Category])</f>
        <v>No Savings</v>
      </c>
      <c r="R239" t="s">
        <v>27</v>
      </c>
      <c r="S239" s="2" t="str">
        <f>IF(
      OR(Table1[[#This Row],[Job_Type]] = "high qualif/self emp/mgmt", Table1[[#This Row],[Job_Type]] = "skilled"),
      "Skilled", "Unskilled")</f>
        <v>Unskilled</v>
      </c>
      <c r="T239" t="str">
        <f>IF(Table1[[#This Row],[Job_Type]] = "unemp/unskilled non res", "Unemployed", "Employed")</f>
        <v>Employed</v>
      </c>
      <c r="U239" t="s">
        <v>49</v>
      </c>
      <c r="V239" s="14" t="str" cm="1">
        <f t="array" ref="V23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39" t="s">
        <v>31</v>
      </c>
      <c r="X239" s="2" t="str">
        <f>_xlfn.XLOOKUP(Table1[[#This Row],[Loan_Credit_History]],Table4[Credit History],Table4[[ Category]])</f>
        <v>Existing Credits Paid</v>
      </c>
      <c r="Y239" s="3">
        <v>2</v>
      </c>
      <c r="Z239" s="3">
        <v>1</v>
      </c>
      <c r="AA239" s="5">
        <v>4811</v>
      </c>
      <c r="AB239" t="s">
        <v>151</v>
      </c>
      <c r="AC239" s="2" t="str" cm="1">
        <f t="array" ref="AC239">_xlfn.IFS(Table1[[#This Row],[Others_Parties]] = "No", "None",
Table1[[#This Row],[Others_Parties]] = "co applicant", "Co-applicant",
Table1[[#This Row],[Others_Parties]] = "guarantor", "Guarantor")</f>
        <v>None</v>
      </c>
      <c r="AD239" s="13" t="s">
        <v>147</v>
      </c>
      <c r="AE239" s="2" t="s">
        <v>107</v>
      </c>
      <c r="AF239" s="28" t="str" cm="1">
        <f t="array" ref="AF23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39" s="21">
        <v>30</v>
      </c>
      <c r="AH239" s="2" t="s">
        <v>154</v>
      </c>
      <c r="AI239"/>
      <c r="AZ239"/>
      <c r="BC239"/>
      <c r="BE239"/>
      <c r="BL239"/>
      <c r="BZ239"/>
      <c r="CA239"/>
      <c r="CF239"/>
      <c r="CG239"/>
      <c r="CH239"/>
      <c r="CI239"/>
      <c r="CK239"/>
      <c r="CN239"/>
    </row>
    <row r="240" spans="1:92" x14ac:dyDescent="0.3">
      <c r="A240" s="4">
        <v>238</v>
      </c>
      <c r="B240" s="11">
        <v>28</v>
      </c>
      <c r="C240" s="2" t="str">
        <f>_xlfn.XLOOKUP(Table1[[#This Row],[Age]],Table7[Start_Age],Table7[Age_Range],,-1)</f>
        <v>19-29</v>
      </c>
      <c r="D240" t="s">
        <v>134</v>
      </c>
      <c r="E240" s="2" t="s">
        <v>129</v>
      </c>
      <c r="F240" s="2" t="s">
        <v>135</v>
      </c>
      <c r="G240" s="3">
        <v>1</v>
      </c>
      <c r="H240" s="13" t="s">
        <v>152</v>
      </c>
      <c r="I240" s="2" t="str" cm="1">
        <f t="array" ref="I240">_xlfn.IFS(Table1[[#This Row],[Job_Type]] = "unskilled resident", "Resident",
Table1[[#This Row],[Job_Type]] = "unemp/unskilled non res", "Non-resident",
TRUE, "Unknown")</f>
        <v>Unknown</v>
      </c>
      <c r="J240" s="2" t="s">
        <v>148</v>
      </c>
      <c r="K240" s="3">
        <v>2</v>
      </c>
      <c r="L240" s="2" t="s">
        <v>140</v>
      </c>
      <c r="M240" s="13" t="s">
        <v>151</v>
      </c>
      <c r="N240" t="s">
        <v>30</v>
      </c>
      <c r="O240" s="2" t="str">
        <f>_xlfn.XLOOKUP(Table1[[#This Row],[Checking_Acct_Status]],Table3[Checking_Acct_Original],Table3[Category])</f>
        <v>Low Balance</v>
      </c>
      <c r="P240" s="10" t="s">
        <v>32</v>
      </c>
      <c r="Q240" s="13" t="str">
        <f>_xlfn.XLOOKUP(Table1[[#This Row],[Saving_Acct_Status]],Table5[Saving_Acct_Original],Table5[Category])</f>
        <v>Low Savings</v>
      </c>
      <c r="R240" t="s">
        <v>63</v>
      </c>
      <c r="S240" s="2" t="str">
        <f>IF(
      OR(Table1[[#This Row],[Job_Type]] = "high qualif/self emp/mgmt", Table1[[#This Row],[Job_Type]] = "skilled"),
      "Skilled", "Unskilled")</f>
        <v>Skilled</v>
      </c>
      <c r="T240" t="str">
        <f>IF(Table1[[#This Row],[Job_Type]] = "unemp/unskilled non res", "Unemployed", "Employed")</f>
        <v>Employed</v>
      </c>
      <c r="U240" t="s">
        <v>54</v>
      </c>
      <c r="V240" s="14" t="str" cm="1">
        <f t="array" ref="V240">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240" t="s">
        <v>103</v>
      </c>
      <c r="X240" s="2" t="str">
        <f>_xlfn.XLOOKUP(Table1[[#This Row],[Loan_Credit_History]],Table4[Credit History],Table4[[ Category]])</f>
        <v>Critical Credit History</v>
      </c>
      <c r="Y240" s="3">
        <v>4</v>
      </c>
      <c r="Z240" s="3">
        <v>2</v>
      </c>
      <c r="AA240" s="5">
        <v>5234</v>
      </c>
      <c r="AB240" t="s">
        <v>151</v>
      </c>
      <c r="AC240" s="2" t="str" cm="1">
        <f t="array" ref="AC240">_xlfn.IFS(Table1[[#This Row],[Others_Parties]] = "No", "None",
Table1[[#This Row],[Others_Parties]] = "co applicant", "Co-applicant",
Table1[[#This Row],[Others_Parties]] = "guarantor", "Guarantor")</f>
        <v>None</v>
      </c>
      <c r="AD240" s="13" t="s">
        <v>145</v>
      </c>
      <c r="AE240" s="2" t="s">
        <v>141</v>
      </c>
      <c r="AF240" s="28" t="str" cm="1">
        <f t="array" ref="AF24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40" s="21">
        <v>30</v>
      </c>
      <c r="AH240" s="2" t="s">
        <v>153</v>
      </c>
      <c r="AI240"/>
      <c r="AZ240"/>
      <c r="BC240"/>
      <c r="BE240"/>
      <c r="BL240"/>
      <c r="BZ240"/>
      <c r="CA240"/>
      <c r="CF240"/>
      <c r="CG240"/>
      <c r="CH240"/>
      <c r="CI240"/>
      <c r="CK240"/>
      <c r="CN240"/>
    </row>
    <row r="241" spans="1:92" x14ac:dyDescent="0.3">
      <c r="A241" s="4">
        <v>239</v>
      </c>
      <c r="B241" s="11">
        <v>25</v>
      </c>
      <c r="C241" s="2" t="str">
        <f>_xlfn.XLOOKUP(Table1[[#This Row],[Age]],Table7[Start_Age],Table7[Age_Range],,-1)</f>
        <v>19-29</v>
      </c>
      <c r="D241" t="s">
        <v>136</v>
      </c>
      <c r="E241" s="2" t="s">
        <v>131</v>
      </c>
      <c r="F241" s="2" t="s">
        <v>137</v>
      </c>
      <c r="G241" s="3">
        <v>1</v>
      </c>
      <c r="H241" s="13" t="s">
        <v>152</v>
      </c>
      <c r="I241" s="2" t="str" cm="1">
        <f t="array" ref="I241">_xlfn.IFS(Table1[[#This Row],[Job_Type]] = "unskilled resident", "Resident",
Table1[[#This Row],[Job_Type]] = "unemp/unskilled non res", "Non-resident",
TRUE, "Unknown")</f>
        <v>Unknown</v>
      </c>
      <c r="J241" s="2" t="s">
        <v>148</v>
      </c>
      <c r="K241" s="3">
        <v>2</v>
      </c>
      <c r="L241" s="2" t="s">
        <v>140</v>
      </c>
      <c r="M241" s="13" t="s">
        <v>151</v>
      </c>
      <c r="N241" t="s">
        <v>17</v>
      </c>
      <c r="O241" s="2" t="str">
        <f>_xlfn.XLOOKUP(Table1[[#This Row],[Checking_Acct_Status]],Table3[Checking_Acct_Original],Table3[Category])</f>
        <v>No Account</v>
      </c>
      <c r="P241" s="10" t="s">
        <v>32</v>
      </c>
      <c r="Q241" s="13" t="str">
        <f>_xlfn.XLOOKUP(Table1[[#This Row],[Saving_Acct_Status]],Table5[Saving_Acct_Original],Table5[Category])</f>
        <v>Low Savings</v>
      </c>
      <c r="R241" t="s">
        <v>41</v>
      </c>
      <c r="S241" s="2" t="str">
        <f>IF(
      OR(Table1[[#This Row],[Job_Type]] = "high qualif/self emp/mgmt", Table1[[#This Row],[Job_Type]] = "skilled"),
      "Skilled", "Unskilled")</f>
        <v>Skilled</v>
      </c>
      <c r="T241" t="str">
        <f>IF(Table1[[#This Row],[Job_Type]] = "unemp/unskilled non res", "Unemployed", "Employed")</f>
        <v>Employed</v>
      </c>
      <c r="U241" t="s">
        <v>49</v>
      </c>
      <c r="V241" s="14" t="str" cm="1">
        <f t="array" ref="V24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41" t="s">
        <v>103</v>
      </c>
      <c r="X241" s="2" t="str">
        <f>_xlfn.XLOOKUP(Table1[[#This Row],[Loan_Credit_History]],Table4[Credit History],Table4[[ Category]])</f>
        <v>Critical Credit History</v>
      </c>
      <c r="Y241" s="3">
        <v>4</v>
      </c>
      <c r="Z241" s="3">
        <v>2</v>
      </c>
      <c r="AA241" s="5">
        <v>5771</v>
      </c>
      <c r="AB241" t="s">
        <v>151</v>
      </c>
      <c r="AC241" s="2" t="str" cm="1">
        <f t="array" ref="AC241">_xlfn.IFS(Table1[[#This Row],[Others_Parties]] = "No", "None",
Table1[[#This Row],[Others_Parties]] = "co applicant", "Co-applicant",
Table1[[#This Row],[Others_Parties]] = "guarantor", "Guarantor")</f>
        <v>None</v>
      </c>
      <c r="AD241" s="13" t="s">
        <v>145</v>
      </c>
      <c r="AE241" s="2" t="s">
        <v>111</v>
      </c>
      <c r="AF241" s="28" t="str" cm="1">
        <f t="array" ref="AF24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41" s="21">
        <v>30</v>
      </c>
      <c r="AH241" s="2" t="s">
        <v>154</v>
      </c>
      <c r="AI241"/>
      <c r="AZ241"/>
      <c r="BC241"/>
      <c r="BE241"/>
      <c r="BL241"/>
      <c r="BZ241"/>
      <c r="CA241"/>
      <c r="CF241"/>
      <c r="CG241"/>
      <c r="CH241"/>
      <c r="CI241"/>
      <c r="CK241"/>
      <c r="CN241"/>
    </row>
    <row r="242" spans="1:92" x14ac:dyDescent="0.3">
      <c r="A242" s="4">
        <v>240</v>
      </c>
      <c r="B242" s="11">
        <v>38</v>
      </c>
      <c r="C242" s="2" t="str">
        <f>_xlfn.XLOOKUP(Table1[[#This Row],[Age]],Table7[Start_Age],Table7[Age_Range],,-1)</f>
        <v>29-39</v>
      </c>
      <c r="D242" t="s">
        <v>130</v>
      </c>
      <c r="E242" s="2" t="s">
        <v>129</v>
      </c>
      <c r="F242" s="2" t="s">
        <v>133</v>
      </c>
      <c r="G242" s="3">
        <v>1</v>
      </c>
      <c r="H242" s="13" t="s">
        <v>152</v>
      </c>
      <c r="I242" s="2" t="str" cm="1">
        <f t="array" ref="I242">_xlfn.IFS(Table1[[#This Row],[Job_Type]] = "unskilled resident", "Resident",
Table1[[#This Row],[Job_Type]] = "unemp/unskilled non res", "Non-resident",
TRUE, "Unknown")</f>
        <v>Unknown</v>
      </c>
      <c r="J242" s="2" t="s">
        <v>148</v>
      </c>
      <c r="K242" s="3">
        <v>2</v>
      </c>
      <c r="L242" s="2" t="s">
        <v>140</v>
      </c>
      <c r="M242" s="13" t="s">
        <v>151</v>
      </c>
      <c r="N242" t="s">
        <v>17</v>
      </c>
      <c r="O242" s="2" t="str">
        <f>_xlfn.XLOOKUP(Table1[[#This Row],[Checking_Acct_Status]],Table3[Checking_Acct_Original],Table3[Category])</f>
        <v>No Account</v>
      </c>
      <c r="P242" s="10" t="s">
        <v>32</v>
      </c>
      <c r="Q242" s="13" t="str">
        <f>_xlfn.XLOOKUP(Table1[[#This Row],[Saving_Acct_Status]],Table5[Saving_Acct_Original],Table5[Category])</f>
        <v>Low Savings</v>
      </c>
      <c r="R242" t="s">
        <v>41</v>
      </c>
      <c r="S242" s="2" t="str">
        <f>IF(
      OR(Table1[[#This Row],[Job_Type]] = "high qualif/self emp/mgmt", Table1[[#This Row],[Job_Type]] = "skilled"),
      "Skilled", "Unskilled")</f>
        <v>Skilled</v>
      </c>
      <c r="T242" t="str">
        <f>IF(Table1[[#This Row],[Job_Type]] = "unemp/unskilled non res", "Unemployed", "Employed")</f>
        <v>Employed</v>
      </c>
      <c r="U242" t="s">
        <v>49</v>
      </c>
      <c r="V242" s="14" t="str" cm="1">
        <f t="array" ref="V24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42" t="s">
        <v>103</v>
      </c>
      <c r="X242" s="2" t="str">
        <f>_xlfn.XLOOKUP(Table1[[#This Row],[Loan_Credit_History]],Table4[Credit History],Table4[[ Category]])</f>
        <v>Critical Credit History</v>
      </c>
      <c r="Y242" s="3">
        <v>3</v>
      </c>
      <c r="Z242" s="3">
        <v>1</v>
      </c>
      <c r="AA242" s="5">
        <v>5954</v>
      </c>
      <c r="AB242" t="s">
        <v>55</v>
      </c>
      <c r="AC242" s="2" t="str" cm="1">
        <f t="array" ref="AC242">_xlfn.IFS(Table1[[#This Row],[Others_Parties]] = "No", "None",
Table1[[#This Row],[Others_Parties]] = "co applicant", "Co-applicant",
Table1[[#This Row],[Others_Parties]] = "guarantor", "Guarantor")</f>
        <v>Co-applicant</v>
      </c>
      <c r="AD242" s="13" t="s">
        <v>145</v>
      </c>
      <c r="AE242" s="2" t="s">
        <v>111</v>
      </c>
      <c r="AF242" s="28" t="str" cm="1">
        <f t="array" ref="AF24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42" s="21">
        <v>30</v>
      </c>
      <c r="AH242" s="2" t="s">
        <v>154</v>
      </c>
      <c r="AI242"/>
      <c r="AZ242"/>
      <c r="BC242"/>
      <c r="BE242"/>
      <c r="BL242"/>
      <c r="BZ242"/>
      <c r="CA242"/>
      <c r="CF242"/>
      <c r="CG242"/>
      <c r="CH242"/>
      <c r="CI242"/>
      <c r="CK242"/>
      <c r="CN242"/>
    </row>
    <row r="243" spans="1:92" x14ac:dyDescent="0.3">
      <c r="A243" s="4">
        <v>241</v>
      </c>
      <c r="B243" s="11">
        <v>24</v>
      </c>
      <c r="C243" s="2" t="str">
        <f>_xlfn.XLOOKUP(Table1[[#This Row],[Age]],Table7[Start_Age],Table7[Age_Range],,-1)</f>
        <v>19-29</v>
      </c>
      <c r="D243" t="s">
        <v>134</v>
      </c>
      <c r="E243" s="2" t="s">
        <v>129</v>
      </c>
      <c r="F243" s="2" t="s">
        <v>135</v>
      </c>
      <c r="G243" s="3">
        <v>1</v>
      </c>
      <c r="H243" s="13" t="s">
        <v>152</v>
      </c>
      <c r="I243" s="2" t="str" cm="1">
        <f t="array" ref="I243">_xlfn.IFS(Table1[[#This Row],[Job_Type]] = "unskilled resident", "Resident",
Table1[[#This Row],[Job_Type]] = "unemp/unskilled non res", "Non-resident",
TRUE, "Unknown")</f>
        <v>Unknown</v>
      </c>
      <c r="J243" s="2" t="s">
        <v>149</v>
      </c>
      <c r="K243" s="3">
        <v>4</v>
      </c>
      <c r="L243" s="2" t="s">
        <v>140</v>
      </c>
      <c r="M243" s="13" t="s">
        <v>151</v>
      </c>
      <c r="N243" t="s">
        <v>35</v>
      </c>
      <c r="O243" s="2" t="str">
        <f>_xlfn.XLOOKUP(Table1[[#This Row],[Checking_Acct_Status]],Table3[Checking_Acct_Original],Table3[Category])</f>
        <v>Negative Balance</v>
      </c>
      <c r="P243" s="10" t="s">
        <v>46</v>
      </c>
      <c r="Q243" s="13" t="str">
        <f>_xlfn.XLOOKUP(Table1[[#This Row],[Saving_Acct_Status]],Table5[Saving_Acct_Original],Table5[Category])</f>
        <v>Medium Savings</v>
      </c>
      <c r="R243" t="s">
        <v>41</v>
      </c>
      <c r="S243" s="2" t="str">
        <f>IF(
      OR(Table1[[#This Row],[Job_Type]] = "high qualif/self emp/mgmt", Table1[[#This Row],[Job_Type]] = "skilled"),
      "Skilled", "Unskilled")</f>
        <v>Skilled</v>
      </c>
      <c r="T243" t="str">
        <f>IF(Table1[[#This Row],[Job_Type]] = "unemp/unskilled non res", "Unemployed", "Employed")</f>
        <v>Employed</v>
      </c>
      <c r="U243" t="s">
        <v>49</v>
      </c>
      <c r="V243" s="14" t="str" cm="1">
        <f t="array" ref="V24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43" t="s">
        <v>103</v>
      </c>
      <c r="X243" s="2" t="str">
        <f>_xlfn.XLOOKUP(Table1[[#This Row],[Loan_Credit_History]],Table4[Credit History],Table4[[ Category]])</f>
        <v>Critical Credit History</v>
      </c>
      <c r="Y243" s="3">
        <v>1</v>
      </c>
      <c r="Z243" s="3">
        <v>2</v>
      </c>
      <c r="AA243" s="5">
        <v>6187</v>
      </c>
      <c r="AB243" t="s">
        <v>151</v>
      </c>
      <c r="AC243" s="2" t="str" cm="1">
        <f t="array" ref="AC243">_xlfn.IFS(Table1[[#This Row],[Others_Parties]] = "No", "None",
Table1[[#This Row],[Others_Parties]] = "co applicant", "Co-applicant",
Table1[[#This Row],[Others_Parties]] = "guarantor", "Guarantor")</f>
        <v>None</v>
      </c>
      <c r="AD243" s="13" t="s">
        <v>145</v>
      </c>
      <c r="AE243" s="2" t="s">
        <v>107</v>
      </c>
      <c r="AF243" s="28" t="str" cm="1">
        <f t="array" ref="AF24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43" s="21">
        <v>30</v>
      </c>
      <c r="AH243" s="2" t="s">
        <v>154</v>
      </c>
      <c r="AI243"/>
      <c r="AZ243"/>
      <c r="BC243"/>
      <c r="BE243"/>
      <c r="BL243"/>
      <c r="BZ243"/>
      <c r="CA243"/>
      <c r="CF243"/>
      <c r="CG243"/>
      <c r="CH243"/>
      <c r="CI243"/>
      <c r="CK243"/>
      <c r="CN243"/>
    </row>
    <row r="244" spans="1:92" x14ac:dyDescent="0.3">
      <c r="A244" s="4">
        <v>242</v>
      </c>
      <c r="B244" s="11">
        <v>31</v>
      </c>
      <c r="C244" s="2" t="str">
        <f>_xlfn.XLOOKUP(Table1[[#This Row],[Age]],Table7[Start_Age],Table7[Age_Range],,-1)</f>
        <v>29-39</v>
      </c>
      <c r="D244" t="s">
        <v>130</v>
      </c>
      <c r="E244" s="2" t="s">
        <v>129</v>
      </c>
      <c r="F244" s="2" t="s">
        <v>133</v>
      </c>
      <c r="G244" s="3">
        <v>1</v>
      </c>
      <c r="H244" s="13" t="s">
        <v>152</v>
      </c>
      <c r="I244" s="2" t="str" cm="1">
        <f t="array" ref="I244">_xlfn.IFS(Table1[[#This Row],[Job_Type]] = "unskilled resident", "Resident",
Table1[[#This Row],[Job_Type]] = "unemp/unskilled non res", "Non-resident",
TRUE, "Unknown")</f>
        <v>Unknown</v>
      </c>
      <c r="J244" s="2" t="s">
        <v>148</v>
      </c>
      <c r="K244" s="3">
        <v>4</v>
      </c>
      <c r="L244" s="2" t="s">
        <v>143</v>
      </c>
      <c r="M244" s="13" t="s">
        <v>151</v>
      </c>
      <c r="N244" t="s">
        <v>35</v>
      </c>
      <c r="O244" s="2" t="str">
        <f>_xlfn.XLOOKUP(Table1[[#This Row],[Checking_Acct_Status]],Table3[Checking_Acct_Original],Table3[Category])</f>
        <v>Negative Balance</v>
      </c>
      <c r="P244" s="10" t="s">
        <v>47</v>
      </c>
      <c r="Q244" s="13" t="str">
        <f>_xlfn.XLOOKUP(Table1[[#This Row],[Saving_Acct_Status]],Table5[Saving_Acct_Original],Table5[Category])</f>
        <v>No Savings</v>
      </c>
      <c r="R244" t="s">
        <v>41</v>
      </c>
      <c r="S244" s="2" t="str">
        <f>IF(
      OR(Table1[[#This Row],[Job_Type]] = "high qualif/self emp/mgmt", Table1[[#This Row],[Job_Type]] = "skilled"),
      "Skilled", "Unskilled")</f>
        <v>Skilled</v>
      </c>
      <c r="T244" t="str">
        <f>IF(Table1[[#This Row],[Job_Type]] = "unemp/unskilled non res", "Unemployed", "Employed")</f>
        <v>Employed</v>
      </c>
      <c r="U244" t="s">
        <v>38</v>
      </c>
      <c r="V244" s="14" t="str" cm="1">
        <f t="array" ref="V24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44" t="s">
        <v>31</v>
      </c>
      <c r="X244" s="2" t="str">
        <f>_xlfn.XLOOKUP(Table1[[#This Row],[Loan_Credit_History]],Table4[Credit History],Table4[[ Category]])</f>
        <v>Existing Credits Paid</v>
      </c>
      <c r="Y244" s="3">
        <v>4</v>
      </c>
      <c r="Z244" s="3">
        <v>1</v>
      </c>
      <c r="AA244" s="5">
        <v>6350</v>
      </c>
      <c r="AB244" t="s">
        <v>151</v>
      </c>
      <c r="AC244" s="2" t="str" cm="1">
        <f t="array" ref="AC244">_xlfn.IFS(Table1[[#This Row],[Others_Parties]] = "No", "None",
Table1[[#This Row],[Others_Parties]] = "co applicant", "Co-applicant",
Table1[[#This Row],[Others_Parties]] = "guarantor", "Guarantor")</f>
        <v>None</v>
      </c>
      <c r="AD244" s="13" t="s">
        <v>145</v>
      </c>
      <c r="AE244" s="2" t="s">
        <v>108</v>
      </c>
      <c r="AF244" s="28" t="str" cm="1">
        <f t="array" ref="AF24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44" s="21">
        <v>30</v>
      </c>
      <c r="AH244" s="2" t="s">
        <v>153</v>
      </c>
      <c r="AI244"/>
      <c r="AZ244"/>
      <c r="BC244"/>
      <c r="BE244"/>
      <c r="BL244"/>
      <c r="BZ244"/>
      <c r="CA244"/>
      <c r="CF244"/>
      <c r="CG244"/>
      <c r="CH244"/>
      <c r="CI244"/>
      <c r="CK244"/>
      <c r="CN244"/>
    </row>
    <row r="245" spans="1:92" x14ac:dyDescent="0.3">
      <c r="A245" s="4">
        <v>243</v>
      </c>
      <c r="B245" s="11">
        <v>36</v>
      </c>
      <c r="C245" s="2" t="str">
        <f>_xlfn.XLOOKUP(Table1[[#This Row],[Age]],Table7[Start_Age],Table7[Age_Range],,-1)</f>
        <v>29-39</v>
      </c>
      <c r="D245" t="s">
        <v>130</v>
      </c>
      <c r="E245" s="2" t="s">
        <v>129</v>
      </c>
      <c r="F245" s="2" t="s">
        <v>133</v>
      </c>
      <c r="G245" s="3">
        <v>1</v>
      </c>
      <c r="H245" s="13" t="s">
        <v>152</v>
      </c>
      <c r="I245" s="2" t="str" cm="1">
        <f t="array" ref="I245">_xlfn.IFS(Table1[[#This Row],[Job_Type]] = "unskilled resident", "Resident",
Table1[[#This Row],[Job_Type]] = "unemp/unskilled non res", "Non-resident",
TRUE, "Unknown")</f>
        <v>Unknown</v>
      </c>
      <c r="J245" s="2" t="s">
        <v>148</v>
      </c>
      <c r="K245" s="3">
        <v>3</v>
      </c>
      <c r="L245" s="2" t="s">
        <v>143</v>
      </c>
      <c r="M245" s="13" t="s">
        <v>151</v>
      </c>
      <c r="N245" t="s">
        <v>17</v>
      </c>
      <c r="O245" s="2" t="str">
        <f>_xlfn.XLOOKUP(Table1[[#This Row],[Checking_Acct_Status]],Table3[Checking_Acct_Original],Table3[Category])</f>
        <v>No Account</v>
      </c>
      <c r="P245" s="10" t="s">
        <v>47</v>
      </c>
      <c r="Q245" s="13" t="str">
        <f>_xlfn.XLOOKUP(Table1[[#This Row],[Saving_Acct_Status]],Table5[Saving_Acct_Original],Table5[Category])</f>
        <v>No Savings</v>
      </c>
      <c r="R245" t="s">
        <v>41</v>
      </c>
      <c r="S245" s="2" t="str">
        <f>IF(
      OR(Table1[[#This Row],[Job_Type]] = "high qualif/self emp/mgmt", Table1[[#This Row],[Job_Type]] = "skilled"),
      "Skilled", "Unskilled")</f>
        <v>Skilled</v>
      </c>
      <c r="T245" t="str">
        <f>IF(Table1[[#This Row],[Job_Type]] = "unemp/unskilled non res", "Unemployed", "Employed")</f>
        <v>Employed</v>
      </c>
      <c r="U245" t="s">
        <v>49</v>
      </c>
      <c r="V245" s="14" t="str" cm="1">
        <f t="array" ref="V24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45" t="s">
        <v>103</v>
      </c>
      <c r="X245" s="2" t="str">
        <f>_xlfn.XLOOKUP(Table1[[#This Row],[Loan_Credit_History]],Table4[Credit History],Table4[[ Category]])</f>
        <v>Critical Credit History</v>
      </c>
      <c r="Y245" s="3">
        <v>2</v>
      </c>
      <c r="Z245" s="3">
        <v>2</v>
      </c>
      <c r="AA245" s="5">
        <v>6742</v>
      </c>
      <c r="AB245" t="s">
        <v>151</v>
      </c>
      <c r="AC245" s="2" t="str" cm="1">
        <f t="array" ref="AC245">_xlfn.IFS(Table1[[#This Row],[Others_Parties]] = "No", "None",
Table1[[#This Row],[Others_Parties]] = "co applicant", "Co-applicant",
Table1[[#This Row],[Others_Parties]] = "guarantor", "Guarantor")</f>
        <v>None</v>
      </c>
      <c r="AD245" s="13" t="s">
        <v>145</v>
      </c>
      <c r="AE245" s="2" t="s">
        <v>111</v>
      </c>
      <c r="AF245" s="28" t="str" cm="1">
        <f t="array" ref="AF24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45" s="21">
        <v>30</v>
      </c>
      <c r="AH245" s="2" t="s">
        <v>154</v>
      </c>
      <c r="AI245"/>
      <c r="AZ245"/>
      <c r="BC245"/>
      <c r="BE245"/>
      <c r="BL245"/>
      <c r="BZ245"/>
      <c r="CA245"/>
      <c r="CF245"/>
      <c r="CG245"/>
      <c r="CH245"/>
      <c r="CI245"/>
      <c r="CK245"/>
      <c r="CN245"/>
    </row>
    <row r="246" spans="1:92" x14ac:dyDescent="0.3">
      <c r="A246" s="4">
        <v>244</v>
      </c>
      <c r="B246" s="11">
        <v>53</v>
      </c>
      <c r="C246" s="2" t="str">
        <f>_xlfn.XLOOKUP(Table1[[#This Row],[Age]],Table7[Start_Age],Table7[Age_Range],,-1)</f>
        <v>49-59</v>
      </c>
      <c r="D246" t="s">
        <v>136</v>
      </c>
      <c r="E246" s="2" t="s">
        <v>131</v>
      </c>
      <c r="F246" s="2" t="s">
        <v>137</v>
      </c>
      <c r="G246" s="3">
        <v>1</v>
      </c>
      <c r="H246" s="13" t="s">
        <v>152</v>
      </c>
      <c r="I246" s="2" t="str" cm="1">
        <f t="array" ref="I246">_xlfn.IFS(Table1[[#This Row],[Job_Type]] = "unskilled resident", "Resident",
Table1[[#This Row],[Job_Type]] = "unemp/unskilled non res", "Non-resident",
TRUE, "Unknown")</f>
        <v>Unknown</v>
      </c>
      <c r="J246" s="2" t="s">
        <v>148</v>
      </c>
      <c r="K246" s="3">
        <v>1</v>
      </c>
      <c r="L246" s="2" t="s">
        <v>144</v>
      </c>
      <c r="M246" s="13" t="s">
        <v>152</v>
      </c>
      <c r="N246" t="s">
        <v>17</v>
      </c>
      <c r="O246" s="2" t="str">
        <f>_xlfn.XLOOKUP(Table1[[#This Row],[Checking_Acct_Status]],Table3[Checking_Acct_Original],Table3[Category])</f>
        <v>No Account</v>
      </c>
      <c r="P246" s="10" t="s">
        <v>47</v>
      </c>
      <c r="Q246" s="13" t="str">
        <f>_xlfn.XLOOKUP(Table1[[#This Row],[Saving_Acct_Status]],Table5[Saving_Acct_Original],Table5[Category])</f>
        <v>No Savings</v>
      </c>
      <c r="R246" t="s">
        <v>63</v>
      </c>
      <c r="S246" s="2" t="str">
        <f>IF(
      OR(Table1[[#This Row],[Job_Type]] = "high qualif/self emp/mgmt", Table1[[#This Row],[Job_Type]] = "skilled"),
      "Skilled", "Unskilled")</f>
        <v>Skilled</v>
      </c>
      <c r="T246" t="str">
        <f>IF(Table1[[#This Row],[Job_Type]] = "unemp/unskilled non res", "Unemployed", "Employed")</f>
        <v>Employed</v>
      </c>
      <c r="U246" t="s">
        <v>54</v>
      </c>
      <c r="V246" s="14" t="str" cm="1">
        <f t="array" ref="V246">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246" t="s">
        <v>42</v>
      </c>
      <c r="X246" s="2" t="str">
        <f>_xlfn.XLOOKUP(Table1[[#This Row],[Loan_Credit_History]],Table4[Credit History],Table4[[ Category]])</f>
        <v>All Paid</v>
      </c>
      <c r="Y246" s="3">
        <v>4</v>
      </c>
      <c r="Z246" s="3">
        <v>1</v>
      </c>
      <c r="AA246" s="5">
        <v>7485</v>
      </c>
      <c r="AB246" t="s">
        <v>151</v>
      </c>
      <c r="AC246" s="2" t="str" cm="1">
        <f t="array" ref="AC246">_xlfn.IFS(Table1[[#This Row],[Others_Parties]] = "No", "None",
Table1[[#This Row],[Others_Parties]] = "co applicant", "Co-applicant",
Table1[[#This Row],[Others_Parties]] = "guarantor", "Guarantor")</f>
        <v>None</v>
      </c>
      <c r="AD246" s="13" t="s">
        <v>146</v>
      </c>
      <c r="AE246" s="2" t="s">
        <v>107</v>
      </c>
      <c r="AF246" s="28" t="str" cm="1">
        <f t="array" ref="AF24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46" s="21">
        <v>30</v>
      </c>
      <c r="AH246" s="2" t="s">
        <v>153</v>
      </c>
      <c r="AI246"/>
      <c r="AZ246"/>
      <c r="BC246"/>
      <c r="BE246"/>
      <c r="BL246"/>
      <c r="BZ246"/>
      <c r="CA246"/>
      <c r="CF246"/>
      <c r="CG246"/>
      <c r="CH246"/>
      <c r="CI246"/>
      <c r="CK246"/>
      <c r="CN246"/>
    </row>
    <row r="247" spans="1:92" x14ac:dyDescent="0.3">
      <c r="A247" s="4">
        <v>245</v>
      </c>
      <c r="B247" s="11">
        <v>63</v>
      </c>
      <c r="C247" s="2" t="str">
        <f>_xlfn.XLOOKUP(Table1[[#This Row],[Age]],Table7[Start_Age],Table7[Age_Range],,-1)</f>
        <v>59-69</v>
      </c>
      <c r="D247" t="s">
        <v>130</v>
      </c>
      <c r="E247" s="2" t="s">
        <v>129</v>
      </c>
      <c r="F247" s="2" t="s">
        <v>133</v>
      </c>
      <c r="G247" s="3">
        <v>1</v>
      </c>
      <c r="H247" s="13" t="s">
        <v>152</v>
      </c>
      <c r="I247" s="2" t="str" cm="1">
        <f t="array" ref="I247">_xlfn.IFS(Table1[[#This Row],[Job_Type]] = "unskilled resident", "Resident",
Table1[[#This Row],[Job_Type]] = "unemp/unskilled non res", "Non-resident",
TRUE, "Unknown")</f>
        <v>Unknown</v>
      </c>
      <c r="J247" s="2" t="s">
        <v>148</v>
      </c>
      <c r="K247" s="3">
        <v>4</v>
      </c>
      <c r="L247" s="2" t="s">
        <v>140</v>
      </c>
      <c r="M247" s="13" t="s">
        <v>151</v>
      </c>
      <c r="N247" t="s">
        <v>17</v>
      </c>
      <c r="O247" s="2" t="str">
        <f>_xlfn.XLOOKUP(Table1[[#This Row],[Checking_Acct_Status]],Table3[Checking_Acct_Original],Table3[Category])</f>
        <v>No Account</v>
      </c>
      <c r="P247" s="10" t="s">
        <v>47</v>
      </c>
      <c r="Q247" s="13" t="str">
        <f>_xlfn.XLOOKUP(Table1[[#This Row],[Saving_Acct_Status]],Table5[Saving_Acct_Original],Table5[Category])</f>
        <v>No Savings</v>
      </c>
      <c r="R247" t="s">
        <v>41</v>
      </c>
      <c r="S247" s="2" t="str">
        <f>IF(
      OR(Table1[[#This Row],[Job_Type]] = "high qualif/self emp/mgmt", Table1[[#This Row],[Job_Type]] = "skilled"),
      "Skilled", "Unskilled")</f>
        <v>Skilled</v>
      </c>
      <c r="T247" t="str">
        <f>IF(Table1[[#This Row],[Job_Type]] = "unemp/unskilled non res", "Unemployed", "Employed")</f>
        <v>Employed</v>
      </c>
      <c r="U247" t="s">
        <v>38</v>
      </c>
      <c r="V247" s="14" t="str" cm="1">
        <f t="array" ref="V24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47" t="s">
        <v>103</v>
      </c>
      <c r="X247" s="2" t="str">
        <f>_xlfn.XLOOKUP(Table1[[#This Row],[Loan_Credit_History]],Table4[Credit History],Table4[[ Category]])</f>
        <v>Critical Credit History</v>
      </c>
      <c r="Y247" s="3">
        <v>1</v>
      </c>
      <c r="Z247" s="3">
        <v>2</v>
      </c>
      <c r="AA247" s="5">
        <v>7596</v>
      </c>
      <c r="AB247" t="s">
        <v>151</v>
      </c>
      <c r="AC247" s="2" t="str" cm="1">
        <f t="array" ref="AC247">_xlfn.IFS(Table1[[#This Row],[Others_Parties]] = "No", "None",
Table1[[#This Row],[Others_Parties]] = "co applicant", "Co-applicant",
Table1[[#This Row],[Others_Parties]] = "guarantor", "Guarantor")</f>
        <v>None</v>
      </c>
      <c r="AD247" s="13" t="s">
        <v>145</v>
      </c>
      <c r="AE247" s="2" t="s">
        <v>107</v>
      </c>
      <c r="AF247" s="28" t="str" cm="1">
        <f t="array" ref="AF24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47" s="21">
        <v>30</v>
      </c>
      <c r="AH247" s="2" t="s">
        <v>154</v>
      </c>
      <c r="AI247"/>
      <c r="AZ247"/>
      <c r="BC247"/>
      <c r="BE247"/>
      <c r="BL247"/>
      <c r="BZ247"/>
      <c r="CA247"/>
      <c r="CF247"/>
      <c r="CG247"/>
      <c r="CH247"/>
      <c r="CI247"/>
      <c r="CK247"/>
      <c r="CN247"/>
    </row>
    <row r="248" spans="1:92" x14ac:dyDescent="0.3">
      <c r="A248" s="4">
        <v>246</v>
      </c>
      <c r="B248" s="11">
        <v>25</v>
      </c>
      <c r="C248" s="2" t="str">
        <f>_xlfn.XLOOKUP(Table1[[#This Row],[Age]],Table7[Start_Age],Table7[Age_Range],,-1)</f>
        <v>19-29</v>
      </c>
      <c r="D248" t="s">
        <v>130</v>
      </c>
      <c r="E248" s="2" t="s">
        <v>129</v>
      </c>
      <c r="F248" s="2" t="s">
        <v>133</v>
      </c>
      <c r="G248" s="3">
        <v>1</v>
      </c>
      <c r="H248" s="13" t="s">
        <v>152</v>
      </c>
      <c r="I248" s="2" t="str" cm="1">
        <f t="array" ref="I248">_xlfn.IFS(Table1[[#This Row],[Job_Type]] = "unskilled resident", "Resident",
Table1[[#This Row],[Job_Type]] = "unemp/unskilled non res", "Non-resident",
TRUE, "Unknown")</f>
        <v>Unknown</v>
      </c>
      <c r="J248" s="2" t="s">
        <v>148</v>
      </c>
      <c r="K248" s="3">
        <v>3</v>
      </c>
      <c r="L248" s="2" t="s">
        <v>140</v>
      </c>
      <c r="M248" s="13" t="s">
        <v>151</v>
      </c>
      <c r="N248" t="s">
        <v>35</v>
      </c>
      <c r="O248" s="2" t="str">
        <f>_xlfn.XLOOKUP(Table1[[#This Row],[Checking_Acct_Status]],Table3[Checking_Acct_Original],Table3[Category])</f>
        <v>Negative Balance</v>
      </c>
      <c r="P248" s="10" t="s">
        <v>47</v>
      </c>
      <c r="Q248" s="13" t="str">
        <f>_xlfn.XLOOKUP(Table1[[#This Row],[Saving_Acct_Status]],Table5[Saving_Acct_Original],Table5[Category])</f>
        <v>No Savings</v>
      </c>
      <c r="R248" t="s">
        <v>41</v>
      </c>
      <c r="S248" s="2" t="str">
        <f>IF(
      OR(Table1[[#This Row],[Job_Type]] = "high qualif/self emp/mgmt", Table1[[#This Row],[Job_Type]] = "skilled"),
      "Skilled", "Unskilled")</f>
        <v>Skilled</v>
      </c>
      <c r="T248" t="str">
        <f>IF(Table1[[#This Row],[Job_Type]] = "unemp/unskilled non res", "Unemployed", "Employed")</f>
        <v>Employed</v>
      </c>
      <c r="U248" t="s">
        <v>45</v>
      </c>
      <c r="V248" s="14" t="str" cm="1">
        <f t="array" ref="V24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48" t="s">
        <v>52</v>
      </c>
      <c r="X248" s="2" t="str">
        <f>_xlfn.XLOOKUP(Table1[[#This Row],[Loan_Credit_History]],Table4[Credit History],Table4[[ Category]])</f>
        <v>No Credit History</v>
      </c>
      <c r="Y248" s="3">
        <v>2</v>
      </c>
      <c r="Z248" s="3">
        <v>3</v>
      </c>
      <c r="AA248" s="5">
        <v>8072</v>
      </c>
      <c r="AB248" t="s">
        <v>151</v>
      </c>
      <c r="AC248" s="2" t="str" cm="1">
        <f t="array" ref="AC248">_xlfn.IFS(Table1[[#This Row],[Others_Parties]] = "No", "None",
Table1[[#This Row],[Others_Parties]] = "co applicant", "Co-applicant",
Table1[[#This Row],[Others_Parties]] = "guarantor", "Guarantor")</f>
        <v>None</v>
      </c>
      <c r="AD248" s="13" t="s">
        <v>146</v>
      </c>
      <c r="AE248" s="2" t="s">
        <v>105</v>
      </c>
      <c r="AF248" s="28" t="str" cm="1">
        <f t="array" ref="AF24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48" s="21">
        <v>30</v>
      </c>
      <c r="AH248" s="2" t="s">
        <v>154</v>
      </c>
      <c r="AI248"/>
      <c r="AZ248"/>
      <c r="BC248"/>
      <c r="BE248"/>
      <c r="BL248"/>
      <c r="BZ248"/>
      <c r="CA248"/>
      <c r="CF248"/>
      <c r="CG248"/>
      <c r="CH248"/>
      <c r="CI248"/>
      <c r="CK248"/>
      <c r="CN248"/>
    </row>
    <row r="249" spans="1:92" x14ac:dyDescent="0.3">
      <c r="A249" s="4">
        <v>247</v>
      </c>
      <c r="B249" s="11">
        <v>49</v>
      </c>
      <c r="C249" s="2" t="str">
        <f>_xlfn.XLOOKUP(Table1[[#This Row],[Age]],Table7[Start_Age],Table7[Age_Range],,-1)</f>
        <v>49-59</v>
      </c>
      <c r="D249" t="s">
        <v>130</v>
      </c>
      <c r="E249" s="2" t="s">
        <v>129</v>
      </c>
      <c r="F249" s="2" t="s">
        <v>133</v>
      </c>
      <c r="G249" s="3">
        <v>1</v>
      </c>
      <c r="H249" s="13" t="s">
        <v>152</v>
      </c>
      <c r="I249" s="2" t="str" cm="1">
        <f t="array" ref="I249">_xlfn.IFS(Table1[[#This Row],[Job_Type]] = "unskilled resident", "Resident",
Table1[[#This Row],[Job_Type]] = "unemp/unskilled non res", "Non-resident",
TRUE, "Unknown")</f>
        <v>Unknown</v>
      </c>
      <c r="J249" s="2" t="s">
        <v>148</v>
      </c>
      <c r="K249" s="3">
        <v>2</v>
      </c>
      <c r="L249" s="2" t="s">
        <v>143</v>
      </c>
      <c r="M249" s="13" t="s">
        <v>151</v>
      </c>
      <c r="N249" t="s">
        <v>30</v>
      </c>
      <c r="O249" s="2" t="str">
        <f>_xlfn.XLOOKUP(Table1[[#This Row],[Checking_Acct_Status]],Table3[Checking_Acct_Original],Table3[Category])</f>
        <v>Low Balance</v>
      </c>
      <c r="P249" s="10" t="s">
        <v>32</v>
      </c>
      <c r="Q249" s="13" t="str">
        <f>_xlfn.XLOOKUP(Table1[[#This Row],[Saving_Acct_Status]],Table5[Saving_Acct_Original],Table5[Category])</f>
        <v>Low Savings</v>
      </c>
      <c r="R249" t="s">
        <v>41</v>
      </c>
      <c r="S249" s="2" t="str">
        <f>IF(
      OR(Table1[[#This Row],[Job_Type]] = "high qualif/self emp/mgmt", Table1[[#This Row],[Job_Type]] = "skilled"),
      "Skilled", "Unskilled")</f>
        <v>Skilled</v>
      </c>
      <c r="T249" t="str">
        <f>IF(Table1[[#This Row],[Job_Type]] = "unemp/unskilled non res", "Unemployed", "Employed")</f>
        <v>Employed</v>
      </c>
      <c r="U249" t="s">
        <v>49</v>
      </c>
      <c r="V249" s="14" t="str" cm="1">
        <f t="array" ref="V24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49" t="s">
        <v>103</v>
      </c>
      <c r="X249" s="2" t="str">
        <f>_xlfn.XLOOKUP(Table1[[#This Row],[Loan_Credit_History]],Table4[Credit History],Table4[[ Category]])</f>
        <v>Critical Credit History</v>
      </c>
      <c r="Y249" s="3">
        <v>2</v>
      </c>
      <c r="Z249" s="3">
        <v>1</v>
      </c>
      <c r="AA249" s="5">
        <v>8386</v>
      </c>
      <c r="AB249" t="s">
        <v>151</v>
      </c>
      <c r="AC249" s="2" t="str" cm="1">
        <f t="array" ref="AC249">_xlfn.IFS(Table1[[#This Row],[Others_Parties]] = "No", "None",
Table1[[#This Row],[Others_Parties]] = "co applicant", "Co-applicant",
Table1[[#This Row],[Others_Parties]] = "guarantor", "Guarantor")</f>
        <v>None</v>
      </c>
      <c r="AD249" s="13" t="s">
        <v>145</v>
      </c>
      <c r="AE249" s="2" t="s">
        <v>108</v>
      </c>
      <c r="AF249" s="28" t="str" cm="1">
        <f t="array" ref="AF24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49" s="21">
        <v>30</v>
      </c>
      <c r="AH249" s="2" t="s">
        <v>153</v>
      </c>
      <c r="AI249"/>
      <c r="AZ249"/>
      <c r="BC249"/>
      <c r="BE249"/>
      <c r="BL249"/>
      <c r="BZ249"/>
      <c r="CA249"/>
      <c r="CF249"/>
      <c r="CG249"/>
      <c r="CH249"/>
      <c r="CI249"/>
      <c r="CK249"/>
      <c r="CN249"/>
    </row>
    <row r="250" spans="1:92" x14ac:dyDescent="0.3">
      <c r="A250" s="4">
        <v>248</v>
      </c>
      <c r="B250" s="11">
        <v>38</v>
      </c>
      <c r="C250" s="2" t="str">
        <f>_xlfn.XLOOKUP(Table1[[#This Row],[Age]],Table7[Start_Age],Table7[Age_Range],,-1)</f>
        <v>29-39</v>
      </c>
      <c r="D250" t="s">
        <v>130</v>
      </c>
      <c r="E250" s="2" t="s">
        <v>129</v>
      </c>
      <c r="F250" s="2" t="s">
        <v>133</v>
      </c>
      <c r="G250" s="3">
        <v>2</v>
      </c>
      <c r="H250" s="13" t="s">
        <v>152</v>
      </c>
      <c r="I250" s="2" t="str" cm="1">
        <f t="array" ref="I250">_xlfn.IFS(Table1[[#This Row],[Job_Type]] = "unskilled resident", "Resident",
Table1[[#This Row],[Job_Type]] = "unemp/unskilled non res", "Non-resident",
TRUE, "Unknown")</f>
        <v>Unknown</v>
      </c>
      <c r="J250" s="2" t="s">
        <v>150</v>
      </c>
      <c r="K250" s="3">
        <v>4</v>
      </c>
      <c r="L250" s="2" t="s">
        <v>142</v>
      </c>
      <c r="M250" s="13" t="s">
        <v>152</v>
      </c>
      <c r="N250" t="s">
        <v>35</v>
      </c>
      <c r="O250" s="2" t="str">
        <f>_xlfn.XLOOKUP(Table1[[#This Row],[Checking_Acct_Status]],Table3[Checking_Acct_Original],Table3[Category])</f>
        <v>Negative Balance</v>
      </c>
      <c r="P250" s="10" t="s">
        <v>32</v>
      </c>
      <c r="Q250" s="13" t="str">
        <f>_xlfn.XLOOKUP(Table1[[#This Row],[Saving_Acct_Status]],Table5[Saving_Acct_Original],Table5[Category])</f>
        <v>Low Savings</v>
      </c>
      <c r="R250" t="s">
        <v>63</v>
      </c>
      <c r="S250" s="2" t="str">
        <f>IF(
      OR(Table1[[#This Row],[Job_Type]] = "high qualif/self emp/mgmt", Table1[[#This Row],[Job_Type]] = "skilled"),
      "Skilled", "Unskilled")</f>
        <v>Skilled</v>
      </c>
      <c r="T250" t="str">
        <f>IF(Table1[[#This Row],[Job_Type]] = "unemp/unskilled non res", "Unemployed", "Employed")</f>
        <v>Employed</v>
      </c>
      <c r="U250" t="s">
        <v>38</v>
      </c>
      <c r="V250" s="14" t="str" cm="1">
        <f t="array" ref="V25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50" t="s">
        <v>103</v>
      </c>
      <c r="X250" s="2" t="str">
        <f>_xlfn.XLOOKUP(Table1[[#This Row],[Loan_Credit_History]],Table4[Credit History],Table4[[ Category]])</f>
        <v>Critical Credit History</v>
      </c>
      <c r="Y250" s="3">
        <v>3</v>
      </c>
      <c r="Z250" s="3">
        <v>3</v>
      </c>
      <c r="AA250" s="5">
        <v>10623</v>
      </c>
      <c r="AB250" t="s">
        <v>151</v>
      </c>
      <c r="AC250" s="2" t="str" cm="1">
        <f t="array" ref="AC250">_xlfn.IFS(Table1[[#This Row],[Others_Parties]] = "No", "None",
Table1[[#This Row],[Others_Parties]] = "co applicant", "Co-applicant",
Table1[[#This Row],[Others_Parties]] = "guarantor", "Guarantor")</f>
        <v>None</v>
      </c>
      <c r="AD250" s="13" t="s">
        <v>145</v>
      </c>
      <c r="AE250" s="2" t="s">
        <v>107</v>
      </c>
      <c r="AF250" s="28" t="str" cm="1">
        <f t="array" ref="AF25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50" s="21">
        <v>30</v>
      </c>
      <c r="AH250" s="2" t="s">
        <v>154</v>
      </c>
      <c r="AI250"/>
      <c r="AZ250"/>
      <c r="BC250"/>
      <c r="BE250"/>
      <c r="BL250"/>
      <c r="BZ250"/>
      <c r="CA250"/>
      <c r="CF250"/>
      <c r="CG250"/>
      <c r="CH250"/>
      <c r="CI250"/>
      <c r="CK250"/>
      <c r="CN250"/>
    </row>
    <row r="251" spans="1:92" x14ac:dyDescent="0.3">
      <c r="A251" s="4">
        <v>249</v>
      </c>
      <c r="B251" s="11">
        <v>34</v>
      </c>
      <c r="C251" s="2" t="str">
        <f>_xlfn.XLOOKUP(Table1[[#This Row],[Age]],Table7[Start_Age],Table7[Age_Range],,-1)</f>
        <v>29-39</v>
      </c>
      <c r="D251" t="s">
        <v>138</v>
      </c>
      <c r="E251" s="2" t="s">
        <v>129</v>
      </c>
      <c r="F251" s="2" t="s">
        <v>178</v>
      </c>
      <c r="G251" s="3">
        <v>1</v>
      </c>
      <c r="H251" s="13" t="s">
        <v>152</v>
      </c>
      <c r="I251" s="2" t="str" cm="1">
        <f t="array" ref="I251">_xlfn.IFS(Table1[[#This Row],[Job_Type]] = "unskilled resident", "Resident",
Table1[[#This Row],[Job_Type]] = "unemp/unskilled non res", "Non-resident",
TRUE, "Unknown")</f>
        <v>Resident</v>
      </c>
      <c r="J251" s="2" t="s">
        <v>148</v>
      </c>
      <c r="K251" s="3">
        <v>1</v>
      </c>
      <c r="L251" s="2" t="s">
        <v>142</v>
      </c>
      <c r="M251" s="13" t="s">
        <v>152</v>
      </c>
      <c r="N251" t="s">
        <v>35</v>
      </c>
      <c r="O251" s="2" t="str">
        <f>_xlfn.XLOOKUP(Table1[[#This Row],[Checking_Acct_Status]],Table3[Checking_Acct_Original],Table3[Category])</f>
        <v>Negative Balance</v>
      </c>
      <c r="P251" s="10" t="s">
        <v>32</v>
      </c>
      <c r="Q251" s="13" t="str">
        <f>_xlfn.XLOOKUP(Table1[[#This Row],[Saving_Acct_Status]],Table5[Saving_Acct_Original],Table5[Category])</f>
        <v>Low Savings</v>
      </c>
      <c r="R251" t="s">
        <v>27</v>
      </c>
      <c r="S251" s="2" t="str">
        <f>IF(
      OR(Table1[[#This Row],[Job_Type]] = "high qualif/self emp/mgmt", Table1[[#This Row],[Job_Type]] = "skilled"),
      "Skilled", "Unskilled")</f>
        <v>Unskilled</v>
      </c>
      <c r="T251" t="str">
        <f>IF(Table1[[#This Row],[Job_Type]] = "unemp/unskilled non res", "Unemployed", "Employed")</f>
        <v>Employed</v>
      </c>
      <c r="U251" t="s">
        <v>45</v>
      </c>
      <c r="V251" s="14" t="str" cm="1">
        <f t="array" ref="V25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51" t="s">
        <v>31</v>
      </c>
      <c r="X251" s="2" t="str">
        <f>_xlfn.XLOOKUP(Table1[[#This Row],[Loan_Credit_History]],Table4[Credit History],Table4[[ Category]])</f>
        <v>Existing Credits Paid</v>
      </c>
      <c r="Y251" s="3">
        <v>1</v>
      </c>
      <c r="Z251" s="3">
        <v>1</v>
      </c>
      <c r="AA251" s="5">
        <v>11998</v>
      </c>
      <c r="AB251" t="s">
        <v>151</v>
      </c>
      <c r="AC251" s="2" t="str" cm="1">
        <f t="array" ref="AC251">_xlfn.IFS(Table1[[#This Row],[Others_Parties]] = "No", "None",
Table1[[#This Row],[Others_Parties]] = "co applicant", "Co-applicant",
Table1[[#This Row],[Others_Parties]] = "guarantor", "Guarantor")</f>
        <v>None</v>
      </c>
      <c r="AD251" s="13" t="s">
        <v>145</v>
      </c>
      <c r="AE251" s="2" t="s">
        <v>109</v>
      </c>
      <c r="AF251" s="28" t="str" cm="1">
        <f t="array" ref="AF25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51" s="21">
        <v>30</v>
      </c>
      <c r="AH251" s="2" t="s">
        <v>153</v>
      </c>
      <c r="AI251"/>
      <c r="AZ251"/>
      <c r="BC251"/>
      <c r="BE251"/>
      <c r="BL251"/>
      <c r="BZ251"/>
      <c r="CA251"/>
      <c r="CF251"/>
      <c r="CG251"/>
      <c r="CH251"/>
      <c r="CI251"/>
      <c r="CK251"/>
      <c r="CN251"/>
    </row>
    <row r="252" spans="1:92" x14ac:dyDescent="0.3">
      <c r="A252" s="4">
        <v>250</v>
      </c>
      <c r="B252" s="11">
        <v>29</v>
      </c>
      <c r="C252" s="2" t="str">
        <f>_xlfn.XLOOKUP(Table1[[#This Row],[Age]],Table7[Start_Age],Table7[Age_Range],,-1)</f>
        <v>29-39</v>
      </c>
      <c r="D252" t="s">
        <v>130</v>
      </c>
      <c r="E252" s="2" t="s">
        <v>129</v>
      </c>
      <c r="F252" s="2" t="s">
        <v>133</v>
      </c>
      <c r="G252" s="3">
        <v>1</v>
      </c>
      <c r="H252" s="13" t="s">
        <v>152</v>
      </c>
      <c r="I252" s="2" t="str" cm="1">
        <f t="array" ref="I252">_xlfn.IFS(Table1[[#This Row],[Job_Type]] = "unskilled resident", "Resident",
Table1[[#This Row],[Job_Type]] = "unemp/unskilled non res", "Non-resident",
TRUE, "Unknown")</f>
        <v>Unknown</v>
      </c>
      <c r="J252" s="2" t="s">
        <v>148</v>
      </c>
      <c r="K252" s="3">
        <v>2</v>
      </c>
      <c r="L252" s="2" t="s">
        <v>140</v>
      </c>
      <c r="M252" s="13" t="s">
        <v>151</v>
      </c>
      <c r="N252" t="s">
        <v>17</v>
      </c>
      <c r="O252" s="2" t="str">
        <f>_xlfn.XLOOKUP(Table1[[#This Row],[Checking_Acct_Status]],Table3[Checking_Acct_Original],Table3[Category])</f>
        <v>No Account</v>
      </c>
      <c r="P252" s="10" t="s">
        <v>32</v>
      </c>
      <c r="Q252" s="13" t="str">
        <f>_xlfn.XLOOKUP(Table1[[#This Row],[Saving_Acct_Status]],Table5[Saving_Acct_Original],Table5[Category])</f>
        <v>Low Savings</v>
      </c>
      <c r="R252" t="s">
        <v>41</v>
      </c>
      <c r="S252" s="2" t="str">
        <f>IF(
      OR(Table1[[#This Row],[Job_Type]] = "high qualif/self emp/mgmt", Table1[[#This Row],[Job_Type]] = "skilled"),
      "Skilled", "Unskilled")</f>
        <v>Skilled</v>
      </c>
      <c r="T252" t="str">
        <f>IF(Table1[[#This Row],[Job_Type]] = "unemp/unskilled non res", "Unemployed", "Employed")</f>
        <v>Employed</v>
      </c>
      <c r="U252" t="s">
        <v>38</v>
      </c>
      <c r="V252" s="14" t="str" cm="1">
        <f t="array" ref="V25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52" t="s">
        <v>103</v>
      </c>
      <c r="X252" s="2" t="str">
        <f>_xlfn.XLOOKUP(Table1[[#This Row],[Loan_Credit_History]],Table4[Credit History],Table4[[ Category]])</f>
        <v>Critical Credit History</v>
      </c>
      <c r="Y252" s="3">
        <v>4</v>
      </c>
      <c r="Z252" s="3">
        <v>2</v>
      </c>
      <c r="AA252" s="5">
        <v>2743</v>
      </c>
      <c r="AB252" t="s">
        <v>151</v>
      </c>
      <c r="AC252" s="2" t="str" cm="1">
        <f t="array" ref="AC252">_xlfn.IFS(Table1[[#This Row],[Others_Parties]] = "No", "None",
Table1[[#This Row],[Others_Parties]] = "co applicant", "Co-applicant",
Table1[[#This Row],[Others_Parties]] = "guarantor", "Guarantor")</f>
        <v>None</v>
      </c>
      <c r="AD252" s="13" t="s">
        <v>145</v>
      </c>
      <c r="AE252" s="2" t="s">
        <v>111</v>
      </c>
      <c r="AF252" s="28" t="str" cm="1">
        <f t="array" ref="AF25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52" s="21">
        <v>28</v>
      </c>
      <c r="AH252" s="2" t="s">
        <v>154</v>
      </c>
      <c r="AI252"/>
      <c r="AZ252"/>
      <c r="BC252"/>
      <c r="BE252"/>
      <c r="BL252"/>
      <c r="BZ252"/>
      <c r="CA252"/>
      <c r="CF252"/>
      <c r="CG252"/>
      <c r="CH252"/>
      <c r="CI252"/>
      <c r="CK252"/>
      <c r="CN252"/>
    </row>
    <row r="253" spans="1:92" x14ac:dyDescent="0.3">
      <c r="A253" s="4">
        <v>251</v>
      </c>
      <c r="B253" s="11">
        <v>45</v>
      </c>
      <c r="C253" s="2" t="str">
        <f>_xlfn.XLOOKUP(Table1[[#This Row],[Age]],Table7[Start_Age],Table7[Age_Range],,-1)</f>
        <v>39-49</v>
      </c>
      <c r="D253" t="s">
        <v>130</v>
      </c>
      <c r="E253" s="2" t="s">
        <v>129</v>
      </c>
      <c r="F253" s="2" t="s">
        <v>133</v>
      </c>
      <c r="G253" s="3">
        <v>1</v>
      </c>
      <c r="H253" s="13" t="s">
        <v>152</v>
      </c>
      <c r="I253" s="2" t="str" cm="1">
        <f t="array" ref="I253">_xlfn.IFS(Table1[[#This Row],[Job_Type]] = "unskilled resident", "Resident",
Table1[[#This Row],[Job_Type]] = "unemp/unskilled non res", "Non-resident",
TRUE, "Unknown")</f>
        <v>Resident</v>
      </c>
      <c r="J253" s="2" t="s">
        <v>148</v>
      </c>
      <c r="K253" s="3">
        <v>2</v>
      </c>
      <c r="L253" s="2" t="s">
        <v>140</v>
      </c>
      <c r="M253" s="13" t="s">
        <v>151</v>
      </c>
      <c r="N253" t="s">
        <v>35</v>
      </c>
      <c r="O253" s="2" t="str">
        <f>_xlfn.XLOOKUP(Table1[[#This Row],[Checking_Acct_Status]],Table3[Checking_Acct_Original],Table3[Category])</f>
        <v>Negative Balance</v>
      </c>
      <c r="P253" s="10" t="s">
        <v>32</v>
      </c>
      <c r="Q253" s="13" t="str">
        <f>_xlfn.XLOOKUP(Table1[[#This Row],[Saving_Acct_Status]],Table5[Saving_Acct_Original],Table5[Category])</f>
        <v>Low Savings</v>
      </c>
      <c r="R253" t="s">
        <v>27</v>
      </c>
      <c r="S253" s="2" t="str">
        <f>IF(
      OR(Table1[[#This Row],[Job_Type]] = "high qualif/self emp/mgmt", Table1[[#This Row],[Job_Type]] = "skilled"),
      "Skilled", "Unskilled")</f>
        <v>Unskilled</v>
      </c>
      <c r="T253" t="str">
        <f>IF(Table1[[#This Row],[Job_Type]] = "unemp/unskilled non res", "Unemployed", "Employed")</f>
        <v>Employed</v>
      </c>
      <c r="U253" t="s">
        <v>21</v>
      </c>
      <c r="V253" s="14" t="str" cm="1">
        <f t="array" ref="V25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53" t="s">
        <v>31</v>
      </c>
      <c r="X253" s="2" t="str">
        <f>_xlfn.XLOOKUP(Table1[[#This Row],[Loan_Credit_History]],Table4[Credit History],Table4[[ Category]])</f>
        <v>Existing Credits Paid</v>
      </c>
      <c r="Y253" s="3">
        <v>3</v>
      </c>
      <c r="Z253" s="3">
        <v>1</v>
      </c>
      <c r="AA253" s="5">
        <v>4006</v>
      </c>
      <c r="AB253" t="s">
        <v>151</v>
      </c>
      <c r="AC253" s="2" t="str" cm="1">
        <f t="array" ref="AC253">_xlfn.IFS(Table1[[#This Row],[Others_Parties]] = "No", "None",
Table1[[#This Row],[Others_Parties]] = "co applicant", "Co-applicant",
Table1[[#This Row],[Others_Parties]] = "guarantor", "Guarantor")</f>
        <v>None</v>
      </c>
      <c r="AD253" s="13" t="s">
        <v>145</v>
      </c>
      <c r="AE253" s="2" t="s">
        <v>141</v>
      </c>
      <c r="AF253" s="28" t="str" cm="1">
        <f t="array" ref="AF25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53" s="21">
        <v>28</v>
      </c>
      <c r="AH253" s="2" t="s">
        <v>153</v>
      </c>
      <c r="AI253"/>
      <c r="AZ253"/>
      <c r="BC253"/>
      <c r="BE253"/>
      <c r="BL253"/>
      <c r="BZ253"/>
      <c r="CA253"/>
      <c r="CF253"/>
      <c r="CG253"/>
      <c r="CH253"/>
      <c r="CI253"/>
      <c r="CK253"/>
      <c r="CN253"/>
    </row>
    <row r="254" spans="1:92" x14ac:dyDescent="0.3">
      <c r="A254" s="4">
        <v>252</v>
      </c>
      <c r="B254" s="11">
        <v>40</v>
      </c>
      <c r="C254" s="2" t="str">
        <f>_xlfn.XLOOKUP(Table1[[#This Row],[Age]],Table7[Start_Age],Table7[Age_Range],,-1)</f>
        <v>39-49</v>
      </c>
      <c r="D254" t="s">
        <v>130</v>
      </c>
      <c r="E254" s="2" t="s">
        <v>129</v>
      </c>
      <c r="F254" s="2" t="s">
        <v>133</v>
      </c>
      <c r="G254" s="3">
        <v>2</v>
      </c>
      <c r="H254" s="13" t="s">
        <v>152</v>
      </c>
      <c r="I254" s="2" t="str" cm="1">
        <f t="array" ref="I254">_xlfn.IFS(Table1[[#This Row],[Job_Type]] = "unskilled resident", "Resident",
Table1[[#This Row],[Job_Type]] = "unemp/unskilled non res", "Non-resident",
TRUE, "Unknown")</f>
        <v>Unknown</v>
      </c>
      <c r="J254" s="2" t="s">
        <v>149</v>
      </c>
      <c r="K254" s="3">
        <v>4</v>
      </c>
      <c r="L254" s="2" t="s">
        <v>144</v>
      </c>
      <c r="M254" s="13" t="s">
        <v>152</v>
      </c>
      <c r="N254" t="s">
        <v>17</v>
      </c>
      <c r="O254" s="2" t="str">
        <f>_xlfn.XLOOKUP(Table1[[#This Row],[Checking_Acct_Status]],Table3[Checking_Acct_Original],Table3[Category])</f>
        <v>No Account</v>
      </c>
      <c r="P254" s="10" t="s">
        <v>47</v>
      </c>
      <c r="Q254" s="13" t="str">
        <f>_xlfn.XLOOKUP(Table1[[#This Row],[Saving_Acct_Status]],Table5[Saving_Acct_Original],Table5[Category])</f>
        <v>No Savings</v>
      </c>
      <c r="R254" t="s">
        <v>41</v>
      </c>
      <c r="S254" s="2" t="str">
        <f>IF(
      OR(Table1[[#This Row],[Job_Type]] = "high qualif/self emp/mgmt", Table1[[#This Row],[Job_Type]] = "skilled"),
      "Skilled", "Unskilled")</f>
        <v>Skilled</v>
      </c>
      <c r="T254" t="str">
        <f>IF(Table1[[#This Row],[Job_Type]] = "unemp/unskilled non res", "Unemployed", "Employed")</f>
        <v>Employed</v>
      </c>
      <c r="U254" t="s">
        <v>45</v>
      </c>
      <c r="V254" s="14" t="str" cm="1">
        <f t="array" ref="V25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54" t="s">
        <v>42</v>
      </c>
      <c r="X254" s="2" t="str">
        <f>_xlfn.XLOOKUP(Table1[[#This Row],[Loan_Credit_History]],Table4[Credit History],Table4[[ Category]])</f>
        <v>All Paid</v>
      </c>
      <c r="Y254" s="3">
        <v>3</v>
      </c>
      <c r="Z254" s="3">
        <v>2</v>
      </c>
      <c r="AA254" s="5">
        <v>7824</v>
      </c>
      <c r="AB254" t="s">
        <v>58</v>
      </c>
      <c r="AC254" s="2" t="str" cm="1">
        <f t="array" ref="AC254">_xlfn.IFS(Table1[[#This Row],[Others_Parties]] = "No", "None",
Table1[[#This Row],[Others_Parties]] = "co applicant", "Co-applicant",
Table1[[#This Row],[Others_Parties]] = "guarantor", "Guarantor")</f>
        <v>Guarantor</v>
      </c>
      <c r="AD254" s="13" t="s">
        <v>146</v>
      </c>
      <c r="AE254" s="2" t="s">
        <v>107</v>
      </c>
      <c r="AF254" s="28" t="str" cm="1">
        <f t="array" ref="AF25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54" s="21">
        <v>28</v>
      </c>
      <c r="AH254" s="2" t="s">
        <v>154</v>
      </c>
      <c r="AI254"/>
      <c r="AZ254"/>
      <c r="BC254"/>
      <c r="BE254"/>
      <c r="BL254"/>
      <c r="BZ254"/>
      <c r="CA254"/>
      <c r="CF254"/>
      <c r="CG254"/>
      <c r="CH254"/>
      <c r="CI254"/>
      <c r="CK254"/>
      <c r="CN254"/>
    </row>
    <row r="255" spans="1:92" x14ac:dyDescent="0.3">
      <c r="A255" s="4">
        <v>253</v>
      </c>
      <c r="B255" s="11">
        <v>43</v>
      </c>
      <c r="C255" s="2" t="str">
        <f>_xlfn.XLOOKUP(Table1[[#This Row],[Age]],Table7[Start_Age],Table7[Age_Range],,-1)</f>
        <v>39-49</v>
      </c>
      <c r="D255" t="s">
        <v>130</v>
      </c>
      <c r="E255" s="2" t="s">
        <v>129</v>
      </c>
      <c r="F255" s="2" t="s">
        <v>133</v>
      </c>
      <c r="G255" s="3">
        <v>2</v>
      </c>
      <c r="H255" s="13" t="s">
        <v>152</v>
      </c>
      <c r="I255" s="2" t="str" cm="1">
        <f t="array" ref="I255">_xlfn.IFS(Table1[[#This Row],[Job_Type]] = "unskilled resident", "Resident",
Table1[[#This Row],[Job_Type]] = "unemp/unskilled non res", "Non-resident",
TRUE, "Unknown")</f>
        <v>Unknown</v>
      </c>
      <c r="J255" s="2" t="s">
        <v>148</v>
      </c>
      <c r="K255" s="3">
        <v>4</v>
      </c>
      <c r="L255" s="2" t="s">
        <v>140</v>
      </c>
      <c r="M255" s="13" t="s">
        <v>152</v>
      </c>
      <c r="N255" t="s">
        <v>35</v>
      </c>
      <c r="O255" s="2" t="str">
        <f>_xlfn.XLOOKUP(Table1[[#This Row],[Checking_Acct_Status]],Table3[Checking_Acct_Original],Table3[Category])</f>
        <v>Negative Balance</v>
      </c>
      <c r="P255" s="10" t="s">
        <v>32</v>
      </c>
      <c r="Q255" s="13" t="str">
        <f>_xlfn.XLOOKUP(Table1[[#This Row],[Saving_Acct_Status]],Table5[Saving_Acct_Original],Table5[Category])</f>
        <v>Low Savings</v>
      </c>
      <c r="R255" t="s">
        <v>63</v>
      </c>
      <c r="S255" s="2" t="str">
        <f>IF(
      OR(Table1[[#This Row],[Job_Type]] = "high qualif/self emp/mgmt", Table1[[#This Row],[Job_Type]] = "skilled"),
      "Skilled", "Unskilled")</f>
        <v>Skilled</v>
      </c>
      <c r="T255" t="str">
        <f>IF(Table1[[#This Row],[Job_Type]] = "unemp/unskilled non res", "Unemployed", "Employed")</f>
        <v>Employed</v>
      </c>
      <c r="U255" t="s">
        <v>38</v>
      </c>
      <c r="V255" s="14" t="str" cm="1">
        <f t="array" ref="V25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55" t="s">
        <v>103</v>
      </c>
      <c r="X255" s="2" t="str">
        <f>_xlfn.XLOOKUP(Table1[[#This Row],[Loan_Credit_History]],Table4[Credit History],Table4[[ Category]])</f>
        <v>Critical Credit History</v>
      </c>
      <c r="Y255" s="3">
        <v>4</v>
      </c>
      <c r="Z255" s="3">
        <v>4</v>
      </c>
      <c r="AA255" s="5">
        <v>2442</v>
      </c>
      <c r="AB255" t="s">
        <v>151</v>
      </c>
      <c r="AC255" s="2" t="str" cm="1">
        <f t="array" ref="AC255">_xlfn.IFS(Table1[[#This Row],[Others_Parties]] = "No", "None",
Table1[[#This Row],[Others_Parties]] = "co applicant", "Co-applicant",
Table1[[#This Row],[Others_Parties]] = "guarantor", "Guarantor")</f>
        <v>None</v>
      </c>
      <c r="AD255" s="13" t="s">
        <v>147</v>
      </c>
      <c r="AE255" s="2" t="s">
        <v>105</v>
      </c>
      <c r="AF255" s="28" t="str" cm="1">
        <f t="array" ref="AF25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55" s="21">
        <v>27</v>
      </c>
      <c r="AH255" s="2" t="s">
        <v>154</v>
      </c>
      <c r="AI255"/>
      <c r="AZ255"/>
      <c r="BC255"/>
      <c r="BE255"/>
      <c r="BL255"/>
      <c r="BZ255"/>
      <c r="CA255"/>
      <c r="CF255"/>
      <c r="CG255"/>
      <c r="CH255"/>
      <c r="CI255"/>
      <c r="CK255"/>
      <c r="CN255"/>
    </row>
    <row r="256" spans="1:92" x14ac:dyDescent="0.3">
      <c r="A256" s="4">
        <v>254</v>
      </c>
      <c r="B256" s="11">
        <v>23</v>
      </c>
      <c r="C256" s="2" t="str">
        <f>_xlfn.XLOOKUP(Table1[[#This Row],[Age]],Table7[Start_Age],Table7[Age_Range],,-1)</f>
        <v>19-29</v>
      </c>
      <c r="D256" t="s">
        <v>130</v>
      </c>
      <c r="E256" s="2" t="s">
        <v>129</v>
      </c>
      <c r="F256" s="2" t="s">
        <v>133</v>
      </c>
      <c r="G256" s="3">
        <v>1</v>
      </c>
      <c r="H256" s="13" t="s">
        <v>152</v>
      </c>
      <c r="I256" s="2" t="str" cm="1">
        <f t="array" ref="I256">_xlfn.IFS(Table1[[#This Row],[Job_Type]] = "unskilled resident", "Resident",
Table1[[#This Row],[Job_Type]] = "unemp/unskilled non res", "Non-resident",
TRUE, "Unknown")</f>
        <v>Resident</v>
      </c>
      <c r="J256" s="2" t="s">
        <v>148</v>
      </c>
      <c r="K256" s="3">
        <v>2</v>
      </c>
      <c r="L256" s="2" t="s">
        <v>143</v>
      </c>
      <c r="M256" s="13" t="s">
        <v>151</v>
      </c>
      <c r="N256" t="s">
        <v>30</v>
      </c>
      <c r="O256" s="2" t="str">
        <f>_xlfn.XLOOKUP(Table1[[#This Row],[Checking_Acct_Status]],Table3[Checking_Acct_Original],Table3[Category])</f>
        <v>Low Balance</v>
      </c>
      <c r="P256" s="10" t="s">
        <v>37</v>
      </c>
      <c r="Q256" s="13" t="str">
        <f>_xlfn.XLOOKUP(Table1[[#This Row],[Saving_Acct_Status]],Table5[Saving_Acct_Original],Table5[Category])</f>
        <v>High Savings</v>
      </c>
      <c r="R256" t="s">
        <v>27</v>
      </c>
      <c r="S256" s="2" t="str">
        <f>IF(
      OR(Table1[[#This Row],[Job_Type]] = "high qualif/self emp/mgmt", Table1[[#This Row],[Job_Type]] = "skilled"),
      "Skilled", "Unskilled")</f>
        <v>Unskilled</v>
      </c>
      <c r="T256" t="str">
        <f>IF(Table1[[#This Row],[Job_Type]] = "unemp/unskilled non res", "Unemployed", "Employed")</f>
        <v>Employed</v>
      </c>
      <c r="U256" t="s">
        <v>21</v>
      </c>
      <c r="V256" s="14" t="str" cm="1">
        <f t="array" ref="V25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56" t="s">
        <v>103</v>
      </c>
      <c r="X256" s="2" t="str">
        <f>_xlfn.XLOOKUP(Table1[[#This Row],[Loan_Credit_History]],Table4[Credit History],Table4[[ Category]])</f>
        <v>Critical Credit History</v>
      </c>
      <c r="Y256" s="3">
        <v>4</v>
      </c>
      <c r="Z256" s="3">
        <v>2</v>
      </c>
      <c r="AA256" s="5">
        <v>2520</v>
      </c>
      <c r="AB256" t="s">
        <v>151</v>
      </c>
      <c r="AC256" s="2" t="str" cm="1">
        <f t="array" ref="AC256">_xlfn.IFS(Table1[[#This Row],[Others_Parties]] = "No", "None",
Table1[[#This Row],[Others_Parties]] = "co applicant", "Co-applicant",
Table1[[#This Row],[Others_Parties]] = "guarantor", "Guarantor")</f>
        <v>None</v>
      </c>
      <c r="AD256" s="13" t="s">
        <v>145</v>
      </c>
      <c r="AE256" s="2" t="s">
        <v>111</v>
      </c>
      <c r="AF256" s="28" t="str" cm="1">
        <f t="array" ref="AF25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56" s="21">
        <v>27</v>
      </c>
      <c r="AH256" s="2" t="s">
        <v>153</v>
      </c>
      <c r="AI256"/>
      <c r="AZ256"/>
      <c r="BC256"/>
      <c r="BE256"/>
      <c r="BL256"/>
      <c r="BZ256"/>
      <c r="CA256"/>
      <c r="CF256"/>
      <c r="CG256"/>
      <c r="CH256"/>
      <c r="CI256"/>
      <c r="CK256"/>
      <c r="CN256"/>
    </row>
    <row r="257" spans="1:92" x14ac:dyDescent="0.3">
      <c r="A257" s="4">
        <v>255</v>
      </c>
      <c r="B257" s="11">
        <v>32</v>
      </c>
      <c r="C257" s="2" t="str">
        <f>_xlfn.XLOOKUP(Table1[[#This Row],[Age]],Table7[Start_Age],Table7[Age_Range],,-1)</f>
        <v>29-39</v>
      </c>
      <c r="D257" t="s">
        <v>136</v>
      </c>
      <c r="E257" s="2" t="s">
        <v>131</v>
      </c>
      <c r="F257" s="2" t="s">
        <v>137</v>
      </c>
      <c r="G257" s="3">
        <v>2</v>
      </c>
      <c r="H257" s="13" t="s">
        <v>152</v>
      </c>
      <c r="I257" s="2" t="str" cm="1">
        <f t="array" ref="I257">_xlfn.IFS(Table1[[#This Row],[Job_Type]] = "unskilled resident", "Resident",
Table1[[#This Row],[Job_Type]] = "unemp/unskilled non res", "Non-resident",
TRUE, "Unknown")</f>
        <v>Unknown</v>
      </c>
      <c r="J257" s="2" t="s">
        <v>148</v>
      </c>
      <c r="K257" s="3">
        <v>1</v>
      </c>
      <c r="L257" s="2" t="s">
        <v>143</v>
      </c>
      <c r="M257" s="13" t="s">
        <v>152</v>
      </c>
      <c r="N257" t="s">
        <v>30</v>
      </c>
      <c r="O257" s="2" t="str">
        <f>_xlfn.XLOOKUP(Table1[[#This Row],[Checking_Acct_Status]],Table3[Checking_Acct_Original],Table3[Category])</f>
        <v>Low Balance</v>
      </c>
      <c r="P257" s="10" t="s">
        <v>32</v>
      </c>
      <c r="Q257" s="13" t="str">
        <f>_xlfn.XLOOKUP(Table1[[#This Row],[Saving_Acct_Status]],Table5[Saving_Acct_Original],Table5[Category])</f>
        <v>Low Savings</v>
      </c>
      <c r="R257" t="s">
        <v>41</v>
      </c>
      <c r="S257" s="2" t="str">
        <f>IF(
      OR(Table1[[#This Row],[Job_Type]] = "high qualif/self emp/mgmt", Table1[[#This Row],[Job_Type]] = "skilled"),
      "Skilled", "Unskilled")</f>
        <v>Skilled</v>
      </c>
      <c r="T257" t="str">
        <f>IF(Table1[[#This Row],[Job_Type]] = "unemp/unskilled non res", "Unemployed", "Employed")</f>
        <v>Employed</v>
      </c>
      <c r="U257" t="s">
        <v>45</v>
      </c>
      <c r="V257" s="14" t="str" cm="1">
        <f t="array" ref="V25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57" t="s">
        <v>31</v>
      </c>
      <c r="X257" s="2" t="str">
        <f>_xlfn.XLOOKUP(Table1[[#This Row],[Loan_Credit_History]],Table4[Credit History],Table4[[ Category]])</f>
        <v>Existing Credits Paid</v>
      </c>
      <c r="Y257" s="3">
        <v>4</v>
      </c>
      <c r="Z257" s="3">
        <v>1</v>
      </c>
      <c r="AA257" s="5">
        <v>2528</v>
      </c>
      <c r="AB257" t="s">
        <v>151</v>
      </c>
      <c r="AC257" s="2" t="str" cm="1">
        <f t="array" ref="AC257">_xlfn.IFS(Table1[[#This Row],[Others_Parties]] = "No", "None",
Table1[[#This Row],[Others_Parties]] = "co applicant", "Co-applicant",
Table1[[#This Row],[Others_Parties]] = "guarantor", "Guarantor")</f>
        <v>None</v>
      </c>
      <c r="AD257" s="13" t="s">
        <v>145</v>
      </c>
      <c r="AE257" s="2" t="s">
        <v>105</v>
      </c>
      <c r="AF257" s="28" t="str" cm="1">
        <f t="array" ref="AF25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57" s="21">
        <v>27</v>
      </c>
      <c r="AH257" s="2" t="s">
        <v>154</v>
      </c>
      <c r="AI257"/>
      <c r="AZ257"/>
      <c r="BC257"/>
      <c r="BE257"/>
      <c r="BL257"/>
      <c r="BZ257"/>
      <c r="CA257"/>
      <c r="CF257"/>
      <c r="CG257"/>
      <c r="CH257"/>
      <c r="CI257"/>
      <c r="CK257"/>
      <c r="CN257"/>
    </row>
    <row r="258" spans="1:92" x14ac:dyDescent="0.3">
      <c r="A258" s="4">
        <v>256</v>
      </c>
      <c r="B258" s="11">
        <v>21</v>
      </c>
      <c r="C258" s="2" t="str">
        <f>_xlfn.XLOOKUP(Table1[[#This Row],[Age]],Table7[Start_Age],Table7[Age_Range],,-1)</f>
        <v>19-29</v>
      </c>
      <c r="D258" t="s">
        <v>136</v>
      </c>
      <c r="E258" s="2" t="s">
        <v>131</v>
      </c>
      <c r="F258" s="2" t="s">
        <v>137</v>
      </c>
      <c r="G258" s="3">
        <v>1</v>
      </c>
      <c r="H258" s="13" t="s">
        <v>152</v>
      </c>
      <c r="I258" s="2" t="str" cm="1">
        <f t="array" ref="I258">_xlfn.IFS(Table1[[#This Row],[Job_Type]] = "unskilled resident", "Resident",
Table1[[#This Row],[Job_Type]] = "unemp/unskilled non res", "Non-resident",
TRUE, "Unknown")</f>
        <v>Unknown</v>
      </c>
      <c r="J258" s="2" t="s">
        <v>149</v>
      </c>
      <c r="K258" s="3">
        <v>3</v>
      </c>
      <c r="L258" s="2" t="s">
        <v>144</v>
      </c>
      <c r="M258" s="13" t="s">
        <v>151</v>
      </c>
      <c r="N258" t="s">
        <v>17</v>
      </c>
      <c r="O258" s="2" t="str">
        <f>_xlfn.XLOOKUP(Table1[[#This Row],[Checking_Acct_Status]],Table3[Checking_Acct_Original],Table3[Category])</f>
        <v>No Account</v>
      </c>
      <c r="P258" s="10" t="s">
        <v>32</v>
      </c>
      <c r="Q258" s="13" t="str">
        <f>_xlfn.XLOOKUP(Table1[[#This Row],[Saving_Acct_Status]],Table5[Saving_Acct_Original],Table5[Category])</f>
        <v>Low Savings</v>
      </c>
      <c r="R258" t="s">
        <v>41</v>
      </c>
      <c r="S258" s="2" t="str">
        <f>IF(
      OR(Table1[[#This Row],[Job_Type]] = "high qualif/self emp/mgmt", Table1[[#This Row],[Job_Type]] = "skilled"),
      "Skilled", "Unskilled")</f>
        <v>Skilled</v>
      </c>
      <c r="T258" t="str">
        <f>IF(Table1[[#This Row],[Job_Type]] = "unemp/unskilled non res", "Unemployed", "Employed")</f>
        <v>Employed</v>
      </c>
      <c r="U258" t="s">
        <v>21</v>
      </c>
      <c r="V258" s="14" t="str" cm="1">
        <f t="array" ref="V25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58" t="s">
        <v>31</v>
      </c>
      <c r="X258" s="2" t="str">
        <f>_xlfn.XLOOKUP(Table1[[#This Row],[Loan_Credit_History]],Table4[Credit History],Table4[[ Category]])</f>
        <v>Existing Credits Paid</v>
      </c>
      <c r="Y258" s="3">
        <v>3</v>
      </c>
      <c r="Z258" s="3">
        <v>1</v>
      </c>
      <c r="AA258" s="5">
        <v>2570</v>
      </c>
      <c r="AB258" t="s">
        <v>151</v>
      </c>
      <c r="AC258" s="2" t="str" cm="1">
        <f t="array" ref="AC258">_xlfn.IFS(Table1[[#This Row],[Others_Parties]] = "No", "None",
Table1[[#This Row],[Others_Parties]] = "co applicant", "Co-applicant",
Table1[[#This Row],[Others_Parties]] = "guarantor", "Guarantor")</f>
        <v>None</v>
      </c>
      <c r="AD258" s="13" t="s">
        <v>145</v>
      </c>
      <c r="AE258" s="2" t="s">
        <v>141</v>
      </c>
      <c r="AF258" s="28" t="str" cm="1">
        <f t="array" ref="AF25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58" s="21">
        <v>27</v>
      </c>
      <c r="AH258" s="2" t="s">
        <v>153</v>
      </c>
      <c r="AI258"/>
      <c r="AZ258"/>
      <c r="BC258"/>
      <c r="BE258"/>
      <c r="BL258"/>
      <c r="BZ258"/>
      <c r="CA258"/>
      <c r="CF258"/>
      <c r="CG258"/>
      <c r="CH258"/>
      <c r="CI258"/>
      <c r="CK258"/>
      <c r="CN258"/>
    </row>
    <row r="259" spans="1:92" x14ac:dyDescent="0.3">
      <c r="A259" s="4">
        <v>257</v>
      </c>
      <c r="B259" s="11">
        <v>27</v>
      </c>
      <c r="C259" s="2" t="str">
        <f>_xlfn.XLOOKUP(Table1[[#This Row],[Age]],Table7[Start_Age],Table7[Age_Range],,-1)</f>
        <v>19-29</v>
      </c>
      <c r="D259" t="s">
        <v>130</v>
      </c>
      <c r="E259" s="2" t="s">
        <v>129</v>
      </c>
      <c r="F259" s="2" t="s">
        <v>133</v>
      </c>
      <c r="G259" s="3">
        <v>1</v>
      </c>
      <c r="H259" s="13" t="s">
        <v>152</v>
      </c>
      <c r="I259" s="2" t="str" cm="1">
        <f t="array" ref="I259">_xlfn.IFS(Table1[[#This Row],[Job_Type]] = "unskilled resident", "Resident",
Table1[[#This Row],[Job_Type]] = "unemp/unskilled non res", "Non-resident",
TRUE, "Unknown")</f>
        <v>Unknown</v>
      </c>
      <c r="J259" s="2" t="s">
        <v>148</v>
      </c>
      <c r="K259" s="3">
        <v>2</v>
      </c>
      <c r="L259" s="2" t="s">
        <v>140</v>
      </c>
      <c r="M259" s="13" t="s">
        <v>151</v>
      </c>
      <c r="N259" t="s">
        <v>35</v>
      </c>
      <c r="O259" s="2" t="str">
        <f>_xlfn.XLOOKUP(Table1[[#This Row],[Checking_Acct_Status]],Table3[Checking_Acct_Original],Table3[Category])</f>
        <v>Negative Balance</v>
      </c>
      <c r="P259" s="10" t="s">
        <v>32</v>
      </c>
      <c r="Q259" s="13" t="str">
        <f>_xlfn.XLOOKUP(Table1[[#This Row],[Saving_Acct_Status]],Table5[Saving_Acct_Original],Table5[Category])</f>
        <v>Low Savings</v>
      </c>
      <c r="R259" t="s">
        <v>63</v>
      </c>
      <c r="S259" s="2" t="str">
        <f>IF(
      OR(Table1[[#This Row],[Job_Type]] = "high qualif/self emp/mgmt", Table1[[#This Row],[Job_Type]] = "skilled"),
      "Skilled", "Unskilled")</f>
        <v>Skilled</v>
      </c>
      <c r="T259" t="str">
        <f>IF(Table1[[#This Row],[Job_Type]] = "unemp/unskilled non res", "Unemployed", "Employed")</f>
        <v>Employed</v>
      </c>
      <c r="U259" t="s">
        <v>21</v>
      </c>
      <c r="V259" s="14" t="str" cm="1">
        <f t="array" ref="V25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59" t="s">
        <v>31</v>
      </c>
      <c r="X259" s="2" t="str">
        <f>_xlfn.XLOOKUP(Table1[[#This Row],[Loan_Credit_History]],Table4[Credit History],Table4[[ Category]])</f>
        <v>Existing Credits Paid</v>
      </c>
      <c r="Y259" s="3">
        <v>3</v>
      </c>
      <c r="Z259" s="3">
        <v>1</v>
      </c>
      <c r="AA259" s="5">
        <v>3416</v>
      </c>
      <c r="AB259" t="s">
        <v>151</v>
      </c>
      <c r="AC259" s="2" t="str" cm="1">
        <f t="array" ref="AC259">_xlfn.IFS(Table1[[#This Row],[Others_Parties]] = "No", "None",
Table1[[#This Row],[Others_Parties]] = "co applicant", "Co-applicant",
Table1[[#This Row],[Others_Parties]] = "guarantor", "Guarantor")</f>
        <v>None</v>
      </c>
      <c r="AD259" s="13" t="s">
        <v>145</v>
      </c>
      <c r="AE259" s="2" t="s">
        <v>111</v>
      </c>
      <c r="AF259" s="28" t="str" cm="1">
        <f t="array" ref="AF25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59" s="21">
        <v>27</v>
      </c>
      <c r="AH259" s="2" t="s">
        <v>154</v>
      </c>
      <c r="AI259"/>
      <c r="AZ259"/>
      <c r="BC259"/>
      <c r="BE259"/>
      <c r="BL259"/>
      <c r="BZ259"/>
      <c r="CA259"/>
      <c r="CF259"/>
      <c r="CG259"/>
      <c r="CH259"/>
      <c r="CI259"/>
      <c r="CK259"/>
      <c r="CN259"/>
    </row>
    <row r="260" spans="1:92" x14ac:dyDescent="0.3">
      <c r="A260" s="4">
        <v>258</v>
      </c>
      <c r="B260" s="11">
        <v>36</v>
      </c>
      <c r="C260" s="2" t="str">
        <f>_xlfn.XLOOKUP(Table1[[#This Row],[Age]],Table7[Start_Age],Table7[Age_Range],,-1)</f>
        <v>29-39</v>
      </c>
      <c r="D260" t="s">
        <v>130</v>
      </c>
      <c r="E260" s="2" t="s">
        <v>129</v>
      </c>
      <c r="F260" s="2" t="s">
        <v>133</v>
      </c>
      <c r="G260" s="3">
        <v>2</v>
      </c>
      <c r="H260" s="13" t="s">
        <v>152</v>
      </c>
      <c r="I260" s="2" t="str" cm="1">
        <f t="array" ref="I260">_xlfn.IFS(Table1[[#This Row],[Job_Type]] = "unskilled resident", "Resident",
Table1[[#This Row],[Job_Type]] = "unemp/unskilled non res", "Non-resident",
TRUE, "Unknown")</f>
        <v>Unknown</v>
      </c>
      <c r="J260" s="2" t="s">
        <v>148</v>
      </c>
      <c r="K260" s="3">
        <v>2</v>
      </c>
      <c r="L260" s="2" t="s">
        <v>140</v>
      </c>
      <c r="M260" s="13" t="s">
        <v>152</v>
      </c>
      <c r="N260" t="s">
        <v>30</v>
      </c>
      <c r="O260" s="2" t="str">
        <f>_xlfn.XLOOKUP(Table1[[#This Row],[Checking_Acct_Status]],Table3[Checking_Acct_Original],Table3[Category])</f>
        <v>Low Balance</v>
      </c>
      <c r="P260" s="10" t="s">
        <v>32</v>
      </c>
      <c r="Q260" s="13" t="str">
        <f>_xlfn.XLOOKUP(Table1[[#This Row],[Saving_Acct_Status]],Table5[Saving_Acct_Original],Table5[Category])</f>
        <v>Low Savings</v>
      </c>
      <c r="R260" t="s">
        <v>41</v>
      </c>
      <c r="S260" s="2" t="str">
        <f>IF(
      OR(Table1[[#This Row],[Job_Type]] = "high qualif/self emp/mgmt", Table1[[#This Row],[Job_Type]] = "skilled"),
      "Skilled", "Unskilled")</f>
        <v>Skilled</v>
      </c>
      <c r="T260" t="str">
        <f>IF(Table1[[#This Row],[Job_Type]] = "unemp/unskilled non res", "Unemployed", "Employed")</f>
        <v>Employed</v>
      </c>
      <c r="U260" t="s">
        <v>21</v>
      </c>
      <c r="V260" s="14" t="str" cm="1">
        <f t="array" ref="V26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60" t="s">
        <v>31</v>
      </c>
      <c r="X260" s="2" t="str">
        <f>_xlfn.XLOOKUP(Table1[[#This Row],[Loan_Credit_History]],Table4[Credit History],Table4[[ Category]])</f>
        <v>Existing Credits Paid</v>
      </c>
      <c r="Y260" s="3">
        <v>4</v>
      </c>
      <c r="Z260" s="3">
        <v>1</v>
      </c>
      <c r="AA260" s="5">
        <v>3915</v>
      </c>
      <c r="AB260" t="s">
        <v>151</v>
      </c>
      <c r="AC260" s="2" t="str" cm="1">
        <f t="array" ref="AC260">_xlfn.IFS(Table1[[#This Row],[Others_Parties]] = "No", "None",
Table1[[#This Row],[Others_Parties]] = "co applicant", "Co-applicant",
Table1[[#This Row],[Others_Parties]] = "guarantor", "Guarantor")</f>
        <v>None</v>
      </c>
      <c r="AD260" s="13" t="s">
        <v>145</v>
      </c>
      <c r="AE260" s="2" t="s">
        <v>105</v>
      </c>
      <c r="AF260" s="28" t="str" cm="1">
        <f t="array" ref="AF26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60" s="21">
        <v>27</v>
      </c>
      <c r="AH260" s="2" t="s">
        <v>153</v>
      </c>
      <c r="AI260"/>
      <c r="AZ260"/>
      <c r="BC260"/>
      <c r="BE260"/>
      <c r="BL260"/>
      <c r="BZ260"/>
      <c r="CA260"/>
      <c r="CF260"/>
      <c r="CG260"/>
      <c r="CH260"/>
      <c r="CI260"/>
      <c r="CK260"/>
      <c r="CN260"/>
    </row>
    <row r="261" spans="1:92" x14ac:dyDescent="0.3">
      <c r="A261" s="4">
        <v>259</v>
      </c>
      <c r="B261" s="11">
        <v>32</v>
      </c>
      <c r="C261" s="2" t="str">
        <f>_xlfn.XLOOKUP(Table1[[#This Row],[Age]],Table7[Start_Age],Table7[Age_Range],,-1)</f>
        <v>29-39</v>
      </c>
      <c r="D261" t="s">
        <v>130</v>
      </c>
      <c r="E261" s="2" t="s">
        <v>129</v>
      </c>
      <c r="F261" s="2" t="s">
        <v>133</v>
      </c>
      <c r="G261" s="3">
        <v>2</v>
      </c>
      <c r="H261" s="13" t="s">
        <v>152</v>
      </c>
      <c r="I261" s="2" t="str" cm="1">
        <f t="array" ref="I261">_xlfn.IFS(Table1[[#This Row],[Job_Type]] = "unskilled resident", "Resident",
Table1[[#This Row],[Job_Type]] = "unemp/unskilled non res", "Non-resident",
TRUE, "Unknown")</f>
        <v>Resident</v>
      </c>
      <c r="J261" s="2" t="s">
        <v>148</v>
      </c>
      <c r="K261" s="3">
        <v>2</v>
      </c>
      <c r="L261" s="2" t="s">
        <v>144</v>
      </c>
      <c r="M261" s="13" t="s">
        <v>152</v>
      </c>
      <c r="N261" t="s">
        <v>17</v>
      </c>
      <c r="O261" s="2" t="str">
        <f>_xlfn.XLOOKUP(Table1[[#This Row],[Checking_Acct_Status]],Table3[Checking_Acct_Original],Table3[Category])</f>
        <v>No Account</v>
      </c>
      <c r="P261" s="10" t="s">
        <v>20</v>
      </c>
      <c r="Q261" s="13" t="str">
        <f>_xlfn.XLOOKUP(Table1[[#This Row],[Saving_Acct_Status]],Table5[Saving_Acct_Original],Table5[Category])</f>
        <v>Very High Savings</v>
      </c>
      <c r="R261" t="s">
        <v>27</v>
      </c>
      <c r="S261" s="2" t="str">
        <f>IF(
      OR(Table1[[#This Row],[Job_Type]] = "high qualif/self emp/mgmt", Table1[[#This Row],[Job_Type]] = "skilled"),
      "Skilled", "Unskilled")</f>
        <v>Unskilled</v>
      </c>
      <c r="T261" t="str">
        <f>IF(Table1[[#This Row],[Job_Type]] = "unemp/unskilled non res", "Unemployed", "Employed")</f>
        <v>Employed</v>
      </c>
      <c r="U261" t="s">
        <v>45</v>
      </c>
      <c r="V261" s="14" t="str" cm="1">
        <f t="array" ref="V26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61" t="s">
        <v>103</v>
      </c>
      <c r="X261" s="2" t="str">
        <f>_xlfn.XLOOKUP(Table1[[#This Row],[Loan_Credit_History]],Table4[Credit History],Table4[[ Category]])</f>
        <v>Critical Credit History</v>
      </c>
      <c r="Y261" s="3">
        <v>4</v>
      </c>
      <c r="Z261" s="3">
        <v>2</v>
      </c>
      <c r="AA261" s="5">
        <v>4526</v>
      </c>
      <c r="AB261" t="s">
        <v>151</v>
      </c>
      <c r="AC261" s="2" t="str" cm="1">
        <f t="array" ref="AC261">_xlfn.IFS(Table1[[#This Row],[Others_Parties]] = "No", "None",
Table1[[#This Row],[Others_Parties]] = "co applicant", "Co-applicant",
Table1[[#This Row],[Others_Parties]] = "guarantor", "Guarantor")</f>
        <v>None</v>
      </c>
      <c r="AD261" s="13" t="s">
        <v>147</v>
      </c>
      <c r="AE261" s="2" t="s">
        <v>108</v>
      </c>
      <c r="AF261" s="28" t="str" cm="1">
        <f t="array" ref="AF26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61" s="21">
        <v>27</v>
      </c>
      <c r="AH261" s="2" t="s">
        <v>154</v>
      </c>
      <c r="AI261"/>
      <c r="AZ261"/>
      <c r="BC261"/>
      <c r="BE261"/>
      <c r="BL261"/>
      <c r="BZ261"/>
      <c r="CA261"/>
      <c r="CF261"/>
      <c r="CG261"/>
      <c r="CH261"/>
      <c r="CI261"/>
      <c r="CK261"/>
      <c r="CN261"/>
    </row>
    <row r="262" spans="1:92" x14ac:dyDescent="0.3">
      <c r="A262" s="4">
        <v>260</v>
      </c>
      <c r="B262" s="11">
        <v>26</v>
      </c>
      <c r="C262" s="2" t="str">
        <f>_xlfn.XLOOKUP(Table1[[#This Row],[Age]],Table7[Start_Age],Table7[Age_Range],,-1)</f>
        <v>19-29</v>
      </c>
      <c r="D262" t="s">
        <v>130</v>
      </c>
      <c r="E262" s="2" t="s">
        <v>129</v>
      </c>
      <c r="F262" s="2" t="s">
        <v>133</v>
      </c>
      <c r="G262" s="3">
        <v>1</v>
      </c>
      <c r="H262" s="13" t="s">
        <v>152</v>
      </c>
      <c r="I262" s="2" t="str" cm="1">
        <f t="array" ref="I262">_xlfn.IFS(Table1[[#This Row],[Job_Type]] = "unskilled resident", "Resident",
Table1[[#This Row],[Job_Type]] = "unemp/unskilled non res", "Non-resident",
TRUE, "Unknown")</f>
        <v>Unknown</v>
      </c>
      <c r="J262" s="2" t="s">
        <v>148</v>
      </c>
      <c r="K262" s="3">
        <v>4</v>
      </c>
      <c r="L262" s="2" t="s">
        <v>140</v>
      </c>
      <c r="M262" s="13" t="s">
        <v>151</v>
      </c>
      <c r="N262" t="s">
        <v>17</v>
      </c>
      <c r="O262" s="2" t="str">
        <f>_xlfn.XLOOKUP(Table1[[#This Row],[Checking_Acct_Status]],Table3[Checking_Acct_Original],Table3[Category])</f>
        <v>No Account</v>
      </c>
      <c r="P262" s="10" t="s">
        <v>32</v>
      </c>
      <c r="Q262" s="13" t="str">
        <f>_xlfn.XLOOKUP(Table1[[#This Row],[Saving_Acct_Status]],Table5[Saving_Acct_Original],Table5[Category])</f>
        <v>Low Savings</v>
      </c>
      <c r="R262" t="s">
        <v>41</v>
      </c>
      <c r="S262" s="2" t="str">
        <f>IF(
      OR(Table1[[#This Row],[Job_Type]] = "high qualif/self emp/mgmt", Table1[[#This Row],[Job_Type]] = "skilled"),
      "Skilled", "Unskilled")</f>
        <v>Skilled</v>
      </c>
      <c r="T262" t="str">
        <f>IF(Table1[[#This Row],[Job_Type]] = "unemp/unskilled non res", "Unemployed", "Employed")</f>
        <v>Employed</v>
      </c>
      <c r="U262" t="s">
        <v>49</v>
      </c>
      <c r="V262" s="14" t="str" cm="1">
        <f t="array" ref="V26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62" t="s">
        <v>59</v>
      </c>
      <c r="X262" s="2" t="str">
        <f>_xlfn.XLOOKUP(Table1[[#This Row],[Loan_Credit_History]],Table4[Credit History],Table4[[ Category]])</f>
        <v>Previously Delayed</v>
      </c>
      <c r="Y262" s="3">
        <v>3</v>
      </c>
      <c r="Z262" s="3">
        <v>2</v>
      </c>
      <c r="AA262" s="5">
        <v>5117</v>
      </c>
      <c r="AB262" t="s">
        <v>151</v>
      </c>
      <c r="AC262" s="2" t="str" cm="1">
        <f t="array" ref="AC262">_xlfn.IFS(Table1[[#This Row],[Others_Parties]] = "No", "None",
Table1[[#This Row],[Others_Parties]] = "co applicant", "Co-applicant",
Table1[[#This Row],[Others_Parties]] = "guarantor", "Guarantor")</f>
        <v>None</v>
      </c>
      <c r="AD262" s="13" t="s">
        <v>145</v>
      </c>
      <c r="AE262" s="2" t="s">
        <v>105</v>
      </c>
      <c r="AF262" s="28" t="str" cm="1">
        <f t="array" ref="AF26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62" s="21">
        <v>27</v>
      </c>
      <c r="AH262" s="2" t="s">
        <v>154</v>
      </c>
      <c r="AI262"/>
      <c r="AZ262"/>
      <c r="BC262"/>
      <c r="BE262"/>
      <c r="BL262"/>
      <c r="BZ262"/>
      <c r="CA262"/>
      <c r="CF262"/>
      <c r="CG262"/>
      <c r="CH262"/>
      <c r="CI262"/>
      <c r="CK262"/>
      <c r="CN262"/>
    </row>
    <row r="263" spans="1:92" x14ac:dyDescent="0.3">
      <c r="A263" s="4">
        <v>261</v>
      </c>
      <c r="B263" s="11">
        <v>48</v>
      </c>
      <c r="C263" s="2" t="str">
        <f>_xlfn.XLOOKUP(Table1[[#This Row],[Age]],Table7[Start_Age],Table7[Age_Range],,-1)</f>
        <v>39-49</v>
      </c>
      <c r="D263" t="s">
        <v>130</v>
      </c>
      <c r="E263" s="2" t="s">
        <v>129</v>
      </c>
      <c r="F263" s="2" t="s">
        <v>133</v>
      </c>
      <c r="G263" s="3">
        <v>2</v>
      </c>
      <c r="H263" s="13" t="s">
        <v>152</v>
      </c>
      <c r="I263" s="2" t="str" cm="1">
        <f t="array" ref="I263">_xlfn.IFS(Table1[[#This Row],[Job_Type]] = "unskilled resident", "Resident",
Table1[[#This Row],[Job_Type]] = "unemp/unskilled non res", "Non-resident",
TRUE, "Unknown")</f>
        <v>Unknown</v>
      </c>
      <c r="J263" s="2" t="s">
        <v>148</v>
      </c>
      <c r="K263" s="3">
        <v>4</v>
      </c>
      <c r="L263" s="2" t="s">
        <v>143</v>
      </c>
      <c r="M263" s="13" t="s">
        <v>152</v>
      </c>
      <c r="N263" t="s">
        <v>17</v>
      </c>
      <c r="O263" s="2" t="str">
        <f>_xlfn.XLOOKUP(Table1[[#This Row],[Checking_Acct_Status]],Table3[Checking_Acct_Original],Table3[Category])</f>
        <v>No Account</v>
      </c>
      <c r="P263" s="10" t="s">
        <v>47</v>
      </c>
      <c r="Q263" s="13" t="str">
        <f>_xlfn.XLOOKUP(Table1[[#This Row],[Saving_Acct_Status]],Table5[Saving_Acct_Original],Table5[Category])</f>
        <v>No Savings</v>
      </c>
      <c r="R263" t="s">
        <v>41</v>
      </c>
      <c r="S263" s="2" t="str">
        <f>IF(
      OR(Table1[[#This Row],[Job_Type]] = "high qualif/self emp/mgmt", Table1[[#This Row],[Job_Type]] = "skilled"),
      "Skilled", "Unskilled")</f>
        <v>Skilled</v>
      </c>
      <c r="T263" t="str">
        <f>IF(Table1[[#This Row],[Job_Type]] = "unemp/unskilled non res", "Unemployed", "Employed")</f>
        <v>Employed</v>
      </c>
      <c r="U263" t="s">
        <v>38</v>
      </c>
      <c r="V263" s="14" t="str" cm="1">
        <f t="array" ref="V26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63" t="s">
        <v>31</v>
      </c>
      <c r="X263" s="2" t="str">
        <f>_xlfn.XLOOKUP(Table1[[#This Row],[Loan_Credit_History]],Table4[Credit History],Table4[[ Category]])</f>
        <v>Existing Credits Paid</v>
      </c>
      <c r="Y263" s="3">
        <v>4</v>
      </c>
      <c r="Z263" s="3">
        <v>4</v>
      </c>
      <c r="AA263" s="5">
        <v>5190</v>
      </c>
      <c r="AB263" t="s">
        <v>151</v>
      </c>
      <c r="AC263" s="2" t="str" cm="1">
        <f t="array" ref="AC263">_xlfn.IFS(Table1[[#This Row],[Others_Parties]] = "No", "None",
Table1[[#This Row],[Others_Parties]] = "co applicant", "Co-applicant",
Table1[[#This Row],[Others_Parties]] = "guarantor", "Guarantor")</f>
        <v>None</v>
      </c>
      <c r="AD263" s="13" t="s">
        <v>145</v>
      </c>
      <c r="AE263" s="2" t="s">
        <v>109</v>
      </c>
      <c r="AF263" s="28" t="str" cm="1">
        <f t="array" ref="AF26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63" s="21">
        <v>27</v>
      </c>
      <c r="AH263" s="2" t="s">
        <v>154</v>
      </c>
      <c r="AI263"/>
      <c r="AZ263"/>
      <c r="BC263"/>
      <c r="BE263"/>
      <c r="BL263"/>
      <c r="BZ263"/>
      <c r="CA263"/>
      <c r="CF263"/>
      <c r="CG263"/>
      <c r="CH263"/>
      <c r="CI263"/>
      <c r="CK263"/>
      <c r="CN263"/>
    </row>
    <row r="264" spans="1:92" x14ac:dyDescent="0.3">
      <c r="A264" s="4">
        <v>262</v>
      </c>
      <c r="B264" s="11">
        <v>50</v>
      </c>
      <c r="C264" s="2" t="str">
        <f>_xlfn.XLOOKUP(Table1[[#This Row],[Age]],Table7[Start_Age],Table7[Age_Range],,-1)</f>
        <v>49-59</v>
      </c>
      <c r="D264" t="s">
        <v>130</v>
      </c>
      <c r="E264" s="2" t="s">
        <v>129</v>
      </c>
      <c r="F264" s="2" t="s">
        <v>133</v>
      </c>
      <c r="G264" s="3">
        <v>1</v>
      </c>
      <c r="H264" s="13" t="s">
        <v>152</v>
      </c>
      <c r="I264" s="2" t="str" cm="1">
        <f t="array" ref="I264">_xlfn.IFS(Table1[[#This Row],[Job_Type]] = "unskilled resident", "Resident",
Table1[[#This Row],[Job_Type]] = "unemp/unskilled non res", "Non-resident",
TRUE, "Unknown")</f>
        <v>Unknown</v>
      </c>
      <c r="J264" s="2" t="s">
        <v>148</v>
      </c>
      <c r="K264" s="3">
        <v>4</v>
      </c>
      <c r="L264" s="2" t="s">
        <v>143</v>
      </c>
      <c r="M264" s="13" t="s">
        <v>152</v>
      </c>
      <c r="N264" t="s">
        <v>35</v>
      </c>
      <c r="O264" s="2" t="str">
        <f>_xlfn.XLOOKUP(Table1[[#This Row],[Checking_Acct_Status]],Table3[Checking_Acct_Original],Table3[Category])</f>
        <v>Negative Balance</v>
      </c>
      <c r="P264" s="10" t="s">
        <v>32</v>
      </c>
      <c r="Q264" s="13" t="str">
        <f>_xlfn.XLOOKUP(Table1[[#This Row],[Saving_Acct_Status]],Table5[Saving_Acct_Original],Table5[Category])</f>
        <v>Low Savings</v>
      </c>
      <c r="R264" t="s">
        <v>41</v>
      </c>
      <c r="S264" s="2" t="str">
        <f>IF(
      OR(Table1[[#This Row],[Job_Type]] = "high qualif/self emp/mgmt", Table1[[#This Row],[Job_Type]] = "skilled"),
      "Skilled", "Unskilled")</f>
        <v>Skilled</v>
      </c>
      <c r="T264" t="str">
        <f>IF(Table1[[#This Row],[Job_Type]] = "unemp/unskilled non res", "Unemployed", "Employed")</f>
        <v>Employed</v>
      </c>
      <c r="U264" t="s">
        <v>54</v>
      </c>
      <c r="V264" s="14" t="str" cm="1">
        <f t="array" ref="V264">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264" t="s">
        <v>52</v>
      </c>
      <c r="X264" s="2" t="str">
        <f>_xlfn.XLOOKUP(Table1[[#This Row],[Loan_Credit_History]],Table4[Credit History],Table4[[ Category]])</f>
        <v>No Credit History</v>
      </c>
      <c r="Y264" s="3">
        <v>2</v>
      </c>
      <c r="Z264" s="3">
        <v>2</v>
      </c>
      <c r="AA264" s="5">
        <v>5293</v>
      </c>
      <c r="AB264" t="s">
        <v>151</v>
      </c>
      <c r="AC264" s="2" t="str" cm="1">
        <f t="array" ref="AC264">_xlfn.IFS(Table1[[#This Row],[Others_Parties]] = "No", "None",
Table1[[#This Row],[Others_Parties]] = "co applicant", "Co-applicant",
Table1[[#This Row],[Others_Parties]] = "guarantor", "Guarantor")</f>
        <v>None</v>
      </c>
      <c r="AD264" s="13" t="s">
        <v>147</v>
      </c>
      <c r="AE264" s="2" t="s">
        <v>105</v>
      </c>
      <c r="AF264" s="28" t="str" cm="1">
        <f t="array" ref="AF26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64" s="21">
        <v>27</v>
      </c>
      <c r="AH264" s="2" t="s">
        <v>153</v>
      </c>
      <c r="AI264"/>
      <c r="AZ264"/>
      <c r="BC264"/>
      <c r="BE264"/>
      <c r="BL264"/>
      <c r="BZ264"/>
      <c r="CA264"/>
      <c r="CF264"/>
      <c r="CG264"/>
      <c r="CH264"/>
      <c r="CI264"/>
      <c r="CK264"/>
      <c r="CN264"/>
    </row>
    <row r="265" spans="1:92" x14ac:dyDescent="0.3">
      <c r="A265" s="4">
        <v>263</v>
      </c>
      <c r="B265" s="11">
        <v>30</v>
      </c>
      <c r="C265" s="2" t="str">
        <f>_xlfn.XLOOKUP(Table1[[#This Row],[Age]],Table7[Start_Age],Table7[Age_Range],,-1)</f>
        <v>29-39</v>
      </c>
      <c r="D265" t="s">
        <v>130</v>
      </c>
      <c r="E265" s="2" t="s">
        <v>129</v>
      </c>
      <c r="F265" s="2" t="s">
        <v>133</v>
      </c>
      <c r="G265" s="3">
        <v>1</v>
      </c>
      <c r="H265" s="13" t="s">
        <v>152</v>
      </c>
      <c r="I265" s="2" t="str" cm="1">
        <f t="array" ref="I265">_xlfn.IFS(Table1[[#This Row],[Job_Type]] = "unskilled resident", "Resident",
Table1[[#This Row],[Job_Type]] = "unemp/unskilled non res", "Non-resident",
TRUE, "Unknown")</f>
        <v>Unknown</v>
      </c>
      <c r="J265" s="2" t="s">
        <v>148</v>
      </c>
      <c r="K265" s="3">
        <v>2</v>
      </c>
      <c r="L265" s="2" t="s">
        <v>140</v>
      </c>
      <c r="M265" s="13" t="s">
        <v>152</v>
      </c>
      <c r="N265" t="s">
        <v>30</v>
      </c>
      <c r="O265" s="2" t="str">
        <f>_xlfn.XLOOKUP(Table1[[#This Row],[Checking_Acct_Status]],Table3[Checking_Acct_Original],Table3[Category])</f>
        <v>Low Balance</v>
      </c>
      <c r="P265" s="10" t="s">
        <v>32</v>
      </c>
      <c r="Q265" s="13" t="str">
        <f>_xlfn.XLOOKUP(Table1[[#This Row],[Saving_Acct_Status]],Table5[Saving_Acct_Original],Table5[Category])</f>
        <v>Low Savings</v>
      </c>
      <c r="R265" t="s">
        <v>63</v>
      </c>
      <c r="S265" s="2" t="str">
        <f>IF(
      OR(Table1[[#This Row],[Job_Type]] = "high qualif/self emp/mgmt", Table1[[#This Row],[Job_Type]] = "skilled"),
      "Skilled", "Unskilled")</f>
        <v>Skilled</v>
      </c>
      <c r="T265" t="str">
        <f>IF(Table1[[#This Row],[Job_Type]] = "unemp/unskilled non res", "Unemployed", "Employed")</f>
        <v>Employed</v>
      </c>
      <c r="U265" t="s">
        <v>38</v>
      </c>
      <c r="V265" s="14" t="str" cm="1">
        <f t="array" ref="V26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65" t="s">
        <v>59</v>
      </c>
      <c r="X265" s="2" t="str">
        <f>_xlfn.XLOOKUP(Table1[[#This Row],[Loan_Credit_History]],Table4[Credit History],Table4[[ Category]])</f>
        <v>Previously Delayed</v>
      </c>
      <c r="Y265" s="3">
        <v>1</v>
      </c>
      <c r="Z265" s="3">
        <v>2</v>
      </c>
      <c r="AA265" s="5">
        <v>5965</v>
      </c>
      <c r="AB265" t="s">
        <v>151</v>
      </c>
      <c r="AC265" s="2" t="str" cm="1">
        <f t="array" ref="AC265">_xlfn.IFS(Table1[[#This Row],[Others_Parties]] = "No", "None",
Table1[[#This Row],[Others_Parties]] = "co applicant", "Co-applicant",
Table1[[#This Row],[Others_Parties]] = "guarantor", "Guarantor")</f>
        <v>None</v>
      </c>
      <c r="AD265" s="13" t="s">
        <v>145</v>
      </c>
      <c r="AE265" s="2" t="s">
        <v>107</v>
      </c>
      <c r="AF265" s="28" t="str" cm="1">
        <f t="array" ref="AF26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65" s="21">
        <v>27</v>
      </c>
      <c r="AH265" s="2" t="s">
        <v>154</v>
      </c>
      <c r="AI265"/>
      <c r="AZ265"/>
      <c r="BC265"/>
      <c r="BE265"/>
      <c r="BL265"/>
      <c r="BZ265"/>
      <c r="CA265"/>
      <c r="CF265"/>
      <c r="CG265"/>
      <c r="CH265"/>
      <c r="CI265"/>
      <c r="CK265"/>
      <c r="CN265"/>
    </row>
    <row r="266" spans="1:92" x14ac:dyDescent="0.3">
      <c r="A266" s="4">
        <v>264</v>
      </c>
      <c r="B266" s="11">
        <v>42</v>
      </c>
      <c r="C266" s="2" t="str">
        <f>_xlfn.XLOOKUP(Table1[[#This Row],[Age]],Table7[Start_Age],Table7[Age_Range],,-1)</f>
        <v>39-49</v>
      </c>
      <c r="D266" t="s">
        <v>136</v>
      </c>
      <c r="E266" s="2" t="s">
        <v>131</v>
      </c>
      <c r="F266" s="2" t="s">
        <v>137</v>
      </c>
      <c r="G266" s="3">
        <v>1</v>
      </c>
      <c r="H266" s="13" t="s">
        <v>152</v>
      </c>
      <c r="I266" s="2" t="str" cm="1">
        <f t="array" ref="I266">_xlfn.IFS(Table1[[#This Row],[Job_Type]] = "unskilled resident", "Resident",
Table1[[#This Row],[Job_Type]] = "unemp/unskilled non res", "Non-resident",
TRUE, "Unknown")</f>
        <v>Unknown</v>
      </c>
      <c r="J266" s="2" t="s">
        <v>150</v>
      </c>
      <c r="K266" s="3">
        <v>4</v>
      </c>
      <c r="L266" s="2" t="s">
        <v>142</v>
      </c>
      <c r="M266" s="13" t="s">
        <v>152</v>
      </c>
      <c r="N266" t="s">
        <v>30</v>
      </c>
      <c r="O266" s="2" t="str">
        <f>_xlfn.XLOOKUP(Table1[[#This Row],[Checking_Acct_Status]],Table3[Checking_Acct_Original],Table3[Category])</f>
        <v>Low Balance</v>
      </c>
      <c r="P266" s="10" t="s">
        <v>32</v>
      </c>
      <c r="Q266" s="13" t="str">
        <f>_xlfn.XLOOKUP(Table1[[#This Row],[Saving_Acct_Status]],Table5[Saving_Acct_Original],Table5[Category])</f>
        <v>Low Savings</v>
      </c>
      <c r="R266" t="s">
        <v>63</v>
      </c>
      <c r="S266" s="2" t="str">
        <f>IF(
      OR(Table1[[#This Row],[Job_Type]] = "high qualif/self emp/mgmt", Table1[[#This Row],[Job_Type]] = "skilled"),
      "Skilled", "Unskilled")</f>
        <v>Skilled</v>
      </c>
      <c r="T266" t="str">
        <f>IF(Table1[[#This Row],[Job_Type]] = "unemp/unskilled non res", "Unemployed", "Employed")</f>
        <v>Employed</v>
      </c>
      <c r="U266" t="s">
        <v>38</v>
      </c>
      <c r="V266" s="14" t="str" cm="1">
        <f t="array" ref="V26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66" t="s">
        <v>52</v>
      </c>
      <c r="X266" s="2" t="str">
        <f>_xlfn.XLOOKUP(Table1[[#This Row],[Loan_Credit_History]],Table4[Credit History],Table4[[ Category]])</f>
        <v>No Credit History</v>
      </c>
      <c r="Y266" s="3">
        <v>2</v>
      </c>
      <c r="Z266" s="3">
        <v>2</v>
      </c>
      <c r="AA266" s="5">
        <v>8318</v>
      </c>
      <c r="AB266" t="s">
        <v>151</v>
      </c>
      <c r="AC266" s="2" t="str" cm="1">
        <f t="array" ref="AC266">_xlfn.IFS(Table1[[#This Row],[Others_Parties]] = "No", "None",
Table1[[#This Row],[Others_Parties]] = "co applicant", "Co-applicant",
Table1[[#This Row],[Others_Parties]] = "guarantor", "Guarantor")</f>
        <v>None</v>
      </c>
      <c r="AD266" s="13" t="s">
        <v>145</v>
      </c>
      <c r="AE266" s="2" t="s">
        <v>105</v>
      </c>
      <c r="AF266" s="28" t="str" cm="1">
        <f t="array" ref="AF26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66" s="21">
        <v>27</v>
      </c>
      <c r="AH266" s="2" t="s">
        <v>153</v>
      </c>
      <c r="AI266"/>
      <c r="AZ266"/>
      <c r="BC266"/>
      <c r="BE266"/>
      <c r="BL266"/>
      <c r="BZ266"/>
      <c r="CA266"/>
      <c r="CF266"/>
      <c r="CG266"/>
      <c r="CH266"/>
      <c r="CI266"/>
      <c r="CK266"/>
      <c r="CN266"/>
    </row>
    <row r="267" spans="1:92" x14ac:dyDescent="0.3">
      <c r="A267" s="4">
        <v>265</v>
      </c>
      <c r="B267" s="11">
        <v>27</v>
      </c>
      <c r="C267" s="2" t="str">
        <f>_xlfn.XLOOKUP(Table1[[#This Row],[Age]],Table7[Start_Age],Table7[Age_Range],,-1)</f>
        <v>19-29</v>
      </c>
      <c r="D267" t="s">
        <v>130</v>
      </c>
      <c r="E267" s="2" t="s">
        <v>129</v>
      </c>
      <c r="F267" s="2" t="s">
        <v>133</v>
      </c>
      <c r="G267" s="3">
        <v>1</v>
      </c>
      <c r="H267" s="13" t="s">
        <v>152</v>
      </c>
      <c r="I267" s="2" t="str" cm="1">
        <f t="array" ref="I267">_xlfn.IFS(Table1[[#This Row],[Job_Type]] = "unskilled resident", "Resident",
Table1[[#This Row],[Job_Type]] = "unemp/unskilled non res", "Non-resident",
TRUE, "Unknown")</f>
        <v>Unknown</v>
      </c>
      <c r="J267" s="2" t="s">
        <v>148</v>
      </c>
      <c r="K267" s="3">
        <v>2</v>
      </c>
      <c r="L267" s="2" t="s">
        <v>140</v>
      </c>
      <c r="M267" s="13" t="s">
        <v>151</v>
      </c>
      <c r="N267" t="s">
        <v>17</v>
      </c>
      <c r="O267" s="2" t="str">
        <f>_xlfn.XLOOKUP(Table1[[#This Row],[Checking_Acct_Status]],Table3[Checking_Acct_Original],Table3[Category])</f>
        <v>No Account</v>
      </c>
      <c r="P267" s="10" t="s">
        <v>20</v>
      </c>
      <c r="Q267" s="13" t="str">
        <f>_xlfn.XLOOKUP(Table1[[#This Row],[Saving_Acct_Status]],Table5[Saving_Acct_Original],Table5[Category])</f>
        <v>Very High Savings</v>
      </c>
      <c r="R267" t="s">
        <v>41</v>
      </c>
      <c r="S267" s="2" t="str">
        <f>IF(
      OR(Table1[[#This Row],[Job_Type]] = "high qualif/self emp/mgmt", Table1[[#This Row],[Job_Type]] = "skilled"),
      "Skilled", "Unskilled")</f>
        <v>Skilled</v>
      </c>
      <c r="T267" t="str">
        <f>IF(Table1[[#This Row],[Job_Type]] = "unemp/unskilled non res", "Unemployed", "Employed")</f>
        <v>Employed</v>
      </c>
      <c r="U267" t="s">
        <v>21</v>
      </c>
      <c r="V267" s="14" t="str" cm="1">
        <f t="array" ref="V26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67" t="s">
        <v>59</v>
      </c>
      <c r="X267" s="2" t="str">
        <f>_xlfn.XLOOKUP(Table1[[#This Row],[Loan_Credit_History]],Table4[Credit History],Table4[[ Category]])</f>
        <v>Previously Delayed</v>
      </c>
      <c r="Y267" s="3">
        <v>2</v>
      </c>
      <c r="Z267" s="3">
        <v>2</v>
      </c>
      <c r="AA267" s="5">
        <v>8613</v>
      </c>
      <c r="AB267" t="s">
        <v>151</v>
      </c>
      <c r="AC267" s="2" t="str" cm="1">
        <f t="array" ref="AC267">_xlfn.IFS(Table1[[#This Row],[Others_Parties]] = "No", "None",
Table1[[#This Row],[Others_Parties]] = "co applicant", "Co-applicant",
Table1[[#This Row],[Others_Parties]] = "guarantor", "Guarantor")</f>
        <v>None</v>
      </c>
      <c r="AD267" s="13" t="s">
        <v>145</v>
      </c>
      <c r="AE267" s="2" t="s">
        <v>107</v>
      </c>
      <c r="AF267" s="28" t="str" cm="1">
        <f t="array" ref="AF26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67" s="21">
        <v>27</v>
      </c>
      <c r="AH267" s="2" t="s">
        <v>154</v>
      </c>
      <c r="AI267"/>
      <c r="AZ267"/>
      <c r="BC267"/>
      <c r="BE267"/>
      <c r="BL267"/>
      <c r="BZ267"/>
      <c r="CA267"/>
      <c r="CF267"/>
      <c r="CG267"/>
      <c r="CH267"/>
      <c r="CI267"/>
      <c r="CK267"/>
      <c r="CN267"/>
    </row>
    <row r="268" spans="1:92" x14ac:dyDescent="0.3">
      <c r="A268" s="4">
        <v>266</v>
      </c>
      <c r="B268" s="11">
        <v>30</v>
      </c>
      <c r="C268" s="2" t="str">
        <f>_xlfn.XLOOKUP(Table1[[#This Row],[Age]],Table7[Start_Age],Table7[Age_Range],,-1)</f>
        <v>29-39</v>
      </c>
      <c r="D268" t="s">
        <v>130</v>
      </c>
      <c r="E268" s="2" t="s">
        <v>129</v>
      </c>
      <c r="F268" s="2" t="s">
        <v>133</v>
      </c>
      <c r="G268" s="3">
        <v>1</v>
      </c>
      <c r="H268" s="13" t="s">
        <v>152</v>
      </c>
      <c r="I268" s="2" t="str" cm="1">
        <f t="array" ref="I268">_xlfn.IFS(Table1[[#This Row],[Job_Type]] = "unskilled resident", "Resident",
Table1[[#This Row],[Job_Type]] = "unemp/unskilled non res", "Non-resident",
TRUE, "Unknown")</f>
        <v>Unknown</v>
      </c>
      <c r="J268" s="2" t="s">
        <v>148</v>
      </c>
      <c r="K268" s="3">
        <v>3</v>
      </c>
      <c r="L268" s="2" t="s">
        <v>140</v>
      </c>
      <c r="M268" s="13" t="s">
        <v>151</v>
      </c>
      <c r="N268" t="s">
        <v>30</v>
      </c>
      <c r="O268" s="2" t="str">
        <f>_xlfn.XLOOKUP(Table1[[#This Row],[Checking_Acct_Status]],Table3[Checking_Acct_Original],Table3[Category])</f>
        <v>Low Balance</v>
      </c>
      <c r="P268" s="10" t="s">
        <v>32</v>
      </c>
      <c r="Q268" s="13" t="str">
        <f>_xlfn.XLOOKUP(Table1[[#This Row],[Saving_Acct_Status]],Table5[Saving_Acct_Original],Table5[Category])</f>
        <v>Low Savings</v>
      </c>
      <c r="R268" t="s">
        <v>41</v>
      </c>
      <c r="S268" s="2" t="str">
        <f>IF(
      OR(Table1[[#This Row],[Job_Type]] = "high qualif/self emp/mgmt", Table1[[#This Row],[Job_Type]] = "skilled"),
      "Skilled", "Unskilled")</f>
        <v>Skilled</v>
      </c>
      <c r="T268" t="str">
        <f>IF(Table1[[#This Row],[Job_Type]] = "unemp/unskilled non res", "Unemployed", "Employed")</f>
        <v>Employed</v>
      </c>
      <c r="U268" t="s">
        <v>45</v>
      </c>
      <c r="V268" s="14" t="str" cm="1">
        <f t="array" ref="V26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68" t="s">
        <v>31</v>
      </c>
      <c r="X268" s="2" t="str">
        <f>_xlfn.XLOOKUP(Table1[[#This Row],[Loan_Credit_History]],Table4[Credit History],Table4[[ Category]])</f>
        <v>Existing Credits Paid</v>
      </c>
      <c r="Y268" s="3">
        <v>2</v>
      </c>
      <c r="Z268" s="3">
        <v>2</v>
      </c>
      <c r="AA268" s="5">
        <v>7966</v>
      </c>
      <c r="AB268" t="s">
        <v>151</v>
      </c>
      <c r="AC268" s="2" t="str" cm="1">
        <f t="array" ref="AC268">_xlfn.IFS(Table1[[#This Row],[Others_Parties]] = "No", "None",
Table1[[#This Row],[Others_Parties]] = "co applicant", "Co-applicant",
Table1[[#This Row],[Others_Parties]] = "guarantor", "Guarantor")</f>
        <v>None</v>
      </c>
      <c r="AD268" s="13" t="s">
        <v>145</v>
      </c>
      <c r="AE268" s="2" t="s">
        <v>107</v>
      </c>
      <c r="AF268" s="28" t="str" cm="1">
        <f t="array" ref="AF26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25-36</v>
      </c>
      <c r="AG268" s="21">
        <v>26</v>
      </c>
      <c r="AH268" s="2" t="s">
        <v>154</v>
      </c>
      <c r="AI268"/>
      <c r="AZ268"/>
      <c r="BC268"/>
      <c r="BE268"/>
      <c r="BL268"/>
      <c r="BZ268"/>
      <c r="CA268"/>
      <c r="CF268"/>
      <c r="CG268"/>
      <c r="CH268"/>
      <c r="CI268"/>
      <c r="CK268"/>
      <c r="CN268"/>
    </row>
    <row r="269" spans="1:92" x14ac:dyDescent="0.3">
      <c r="A269" s="4">
        <v>267</v>
      </c>
      <c r="B269" s="11">
        <v>54</v>
      </c>
      <c r="C269" s="2" t="str">
        <f>_xlfn.XLOOKUP(Table1[[#This Row],[Age]],Table7[Start_Age],Table7[Age_Range],,-1)</f>
        <v>49-59</v>
      </c>
      <c r="D269" t="s">
        <v>134</v>
      </c>
      <c r="E269" s="2" t="s">
        <v>129</v>
      </c>
      <c r="F269" s="2" t="s">
        <v>135</v>
      </c>
      <c r="G269" s="3">
        <v>1</v>
      </c>
      <c r="H269" s="13" t="s">
        <v>152</v>
      </c>
      <c r="I269" s="2" t="str" cm="1">
        <f t="array" ref="I269">_xlfn.IFS(Table1[[#This Row],[Job_Type]] = "unskilled resident", "Resident",
Table1[[#This Row],[Job_Type]] = "unemp/unskilled non res", "Non-resident",
TRUE, "Unknown")</f>
        <v>Unknown</v>
      </c>
      <c r="J269" s="2" t="s">
        <v>148</v>
      </c>
      <c r="K269" s="3">
        <v>4</v>
      </c>
      <c r="L269" s="2" t="s">
        <v>140</v>
      </c>
      <c r="M269" s="13" t="s">
        <v>152</v>
      </c>
      <c r="N269" t="s">
        <v>17</v>
      </c>
      <c r="O269" s="2" t="str">
        <f>_xlfn.XLOOKUP(Table1[[#This Row],[Checking_Acct_Status]],Table3[Checking_Acct_Original],Table3[Category])</f>
        <v>No Account</v>
      </c>
      <c r="P269" s="10" t="s">
        <v>47</v>
      </c>
      <c r="Q269" s="13" t="str">
        <f>_xlfn.XLOOKUP(Table1[[#This Row],[Saving_Acct_Status]],Table5[Saving_Acct_Original],Table5[Category])</f>
        <v>No Savings</v>
      </c>
      <c r="R269" t="s">
        <v>41</v>
      </c>
      <c r="S269" s="2" t="str">
        <f>IF(
      OR(Table1[[#This Row],[Job_Type]] = "high qualif/self emp/mgmt", Table1[[#This Row],[Job_Type]] = "skilled"),
      "Skilled", "Unskilled")</f>
        <v>Skilled</v>
      </c>
      <c r="T269" t="str">
        <f>IF(Table1[[#This Row],[Job_Type]] = "unemp/unskilled non res", "Unemployed", "Employed")</f>
        <v>Employed</v>
      </c>
      <c r="U269" t="s">
        <v>38</v>
      </c>
      <c r="V269" s="14" t="str" cm="1">
        <f t="array" ref="V26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69" t="s">
        <v>59</v>
      </c>
      <c r="X269" s="2" t="str">
        <f>_xlfn.XLOOKUP(Table1[[#This Row],[Loan_Credit_History]],Table4[Credit History],Table4[[ Category]])</f>
        <v>Previously Delayed</v>
      </c>
      <c r="Y269" s="3">
        <v>4</v>
      </c>
      <c r="Z269" s="3">
        <v>2</v>
      </c>
      <c r="AA269" s="5">
        <v>717</v>
      </c>
      <c r="AB269" t="s">
        <v>151</v>
      </c>
      <c r="AC269" s="2" t="str" cm="1">
        <f t="array" ref="AC269">_xlfn.IFS(Table1[[#This Row],[Others_Parties]] = "No", "None",
Table1[[#This Row],[Others_Parties]] = "co applicant", "Co-applicant",
Table1[[#This Row],[Others_Parties]] = "guarantor", "Guarantor")</f>
        <v>None</v>
      </c>
      <c r="AD269" s="13" t="s">
        <v>145</v>
      </c>
      <c r="AE269" s="2" t="s">
        <v>141</v>
      </c>
      <c r="AF269" s="28" t="str" cm="1">
        <f t="array" ref="AF26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69" s="21">
        <v>24</v>
      </c>
      <c r="AH269" s="2" t="s">
        <v>154</v>
      </c>
      <c r="AI269"/>
      <c r="AZ269"/>
      <c r="BC269"/>
      <c r="BE269"/>
      <c r="BL269"/>
      <c r="BZ269"/>
      <c r="CA269"/>
      <c r="CF269"/>
      <c r="CG269"/>
      <c r="CH269"/>
      <c r="CI269"/>
      <c r="CK269"/>
      <c r="CN269"/>
    </row>
    <row r="270" spans="1:92" x14ac:dyDescent="0.3">
      <c r="A270" s="4">
        <v>268</v>
      </c>
      <c r="B270" s="11">
        <v>29</v>
      </c>
      <c r="C270" s="2" t="str">
        <f>_xlfn.XLOOKUP(Table1[[#This Row],[Age]],Table7[Start_Age],Table7[Age_Range],,-1)</f>
        <v>29-39</v>
      </c>
      <c r="D270" t="s">
        <v>136</v>
      </c>
      <c r="E270" s="2" t="s">
        <v>131</v>
      </c>
      <c r="F270" s="2" t="s">
        <v>137</v>
      </c>
      <c r="G270" s="3">
        <v>1</v>
      </c>
      <c r="H270" s="13" t="s">
        <v>152</v>
      </c>
      <c r="I270" s="2" t="str" cm="1">
        <f t="array" ref="I270">_xlfn.IFS(Table1[[#This Row],[Job_Type]] = "unskilled resident", "Resident",
Table1[[#This Row],[Job_Type]] = "unemp/unskilled non res", "Non-resident",
TRUE, "Unknown")</f>
        <v>Unknown</v>
      </c>
      <c r="J270" s="2" t="s">
        <v>148</v>
      </c>
      <c r="K270" s="3">
        <v>2</v>
      </c>
      <c r="L270" s="2" t="s">
        <v>140</v>
      </c>
      <c r="M270" s="13" t="s">
        <v>151</v>
      </c>
      <c r="N270" t="s">
        <v>35</v>
      </c>
      <c r="O270" s="2" t="str">
        <f>_xlfn.XLOOKUP(Table1[[#This Row],[Checking_Acct_Status]],Table3[Checking_Acct_Original],Table3[Category])</f>
        <v>Negative Balance</v>
      </c>
      <c r="P270" s="10" t="s">
        <v>47</v>
      </c>
      <c r="Q270" s="13" t="str">
        <f>_xlfn.XLOOKUP(Table1[[#This Row],[Saving_Acct_Status]],Table5[Saving_Acct_Original],Table5[Category])</f>
        <v>No Savings</v>
      </c>
      <c r="R270" t="s">
        <v>41</v>
      </c>
      <c r="S270" s="2" t="str">
        <f>IF(
      OR(Table1[[#This Row],[Job_Type]] = "high qualif/self emp/mgmt", Table1[[#This Row],[Job_Type]] = "skilled"),
      "Skilled", "Unskilled")</f>
        <v>Skilled</v>
      </c>
      <c r="T270" t="str">
        <f>IF(Table1[[#This Row],[Job_Type]] = "unemp/unskilled non res", "Unemployed", "Employed")</f>
        <v>Employed</v>
      </c>
      <c r="U270" t="s">
        <v>38</v>
      </c>
      <c r="V270" s="14" t="str" cm="1">
        <f t="array" ref="V27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70" t="s">
        <v>31</v>
      </c>
      <c r="X270" s="2" t="str">
        <f>_xlfn.XLOOKUP(Table1[[#This Row],[Loan_Credit_History]],Table4[Credit History],Table4[[ Category]])</f>
        <v>Existing Credits Paid</v>
      </c>
      <c r="Y270" s="3">
        <v>4</v>
      </c>
      <c r="Z270" s="3">
        <v>1</v>
      </c>
      <c r="AA270" s="5">
        <v>915</v>
      </c>
      <c r="AB270" t="s">
        <v>151</v>
      </c>
      <c r="AC270" s="2" t="str" cm="1">
        <f t="array" ref="AC270">_xlfn.IFS(Table1[[#This Row],[Others_Parties]] = "No", "None",
Table1[[#This Row],[Others_Parties]] = "co applicant", "Co-applicant",
Table1[[#This Row],[Others_Parties]] = "guarantor", "Guarantor")</f>
        <v>None</v>
      </c>
      <c r="AD270" s="13" t="s">
        <v>146</v>
      </c>
      <c r="AE270" s="2" t="s">
        <v>141</v>
      </c>
      <c r="AF270" s="28" t="str" cm="1">
        <f t="array" ref="AF27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70" s="21">
        <v>24</v>
      </c>
      <c r="AH270" s="2" t="s">
        <v>153</v>
      </c>
      <c r="AI270"/>
      <c r="AZ270"/>
      <c r="BC270"/>
      <c r="BE270"/>
      <c r="BL270"/>
      <c r="BZ270"/>
      <c r="CA270"/>
      <c r="CF270"/>
      <c r="CG270"/>
      <c r="CH270"/>
      <c r="CI270"/>
      <c r="CK270"/>
      <c r="CN270"/>
    </row>
    <row r="271" spans="1:92" x14ac:dyDescent="0.3">
      <c r="A271" s="4">
        <v>269</v>
      </c>
      <c r="B271" s="11">
        <v>31</v>
      </c>
      <c r="C271" s="2" t="str">
        <f>_xlfn.XLOOKUP(Table1[[#This Row],[Age]],Table7[Start_Age],Table7[Age_Range],,-1)</f>
        <v>29-39</v>
      </c>
      <c r="D271" t="s">
        <v>130</v>
      </c>
      <c r="E271" s="2" t="s">
        <v>129</v>
      </c>
      <c r="F271" s="2" t="s">
        <v>133</v>
      </c>
      <c r="G271" s="3">
        <v>1</v>
      </c>
      <c r="H271" s="13" t="s">
        <v>152</v>
      </c>
      <c r="I271" s="2" t="str" cm="1">
        <f t="array" ref="I271">_xlfn.IFS(Table1[[#This Row],[Job_Type]] = "unskilled resident", "Resident",
Table1[[#This Row],[Job_Type]] = "unemp/unskilled non res", "Non-resident",
TRUE, "Unknown")</f>
        <v>Unknown</v>
      </c>
      <c r="J271" s="2" t="s">
        <v>148</v>
      </c>
      <c r="K271" s="3">
        <v>2</v>
      </c>
      <c r="L271" s="2" t="s">
        <v>140</v>
      </c>
      <c r="M271" s="13" t="s">
        <v>152</v>
      </c>
      <c r="N271" t="s">
        <v>17</v>
      </c>
      <c r="O271" s="2" t="str">
        <f>_xlfn.XLOOKUP(Table1[[#This Row],[Checking_Acct_Status]],Table3[Checking_Acct_Original],Table3[Category])</f>
        <v>No Account</v>
      </c>
      <c r="P271" s="10" t="s">
        <v>47</v>
      </c>
      <c r="Q271" s="13" t="str">
        <f>_xlfn.XLOOKUP(Table1[[#This Row],[Saving_Acct_Status]],Table5[Saving_Acct_Original],Table5[Category])</f>
        <v>No Savings</v>
      </c>
      <c r="R271" t="s">
        <v>41</v>
      </c>
      <c r="S271" s="2" t="str">
        <f>IF(
      OR(Table1[[#This Row],[Job_Type]] = "high qualif/self emp/mgmt", Table1[[#This Row],[Job_Type]] = "skilled"),
      "Skilled", "Unskilled")</f>
        <v>Skilled</v>
      </c>
      <c r="T271" t="str">
        <f>IF(Table1[[#This Row],[Job_Type]] = "unemp/unskilled non res", "Unemployed", "Employed")</f>
        <v>Employed</v>
      </c>
      <c r="U271" t="s">
        <v>49</v>
      </c>
      <c r="V271" s="14" t="str" cm="1">
        <f t="array" ref="V27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71" t="s">
        <v>31</v>
      </c>
      <c r="X271" s="2" t="str">
        <f>_xlfn.XLOOKUP(Table1[[#This Row],[Loan_Credit_History]],Table4[Credit History],Table4[[ Category]])</f>
        <v>Existing Credits Paid</v>
      </c>
      <c r="Y271" s="3">
        <v>4</v>
      </c>
      <c r="Z271" s="3">
        <v>1</v>
      </c>
      <c r="AA271" s="5">
        <v>929</v>
      </c>
      <c r="AB271" t="s">
        <v>151</v>
      </c>
      <c r="AC271" s="2" t="str" cm="1">
        <f t="array" ref="AC271">_xlfn.IFS(Table1[[#This Row],[Others_Parties]] = "No", "None",
Table1[[#This Row],[Others_Parties]] = "co applicant", "Co-applicant",
Table1[[#This Row],[Others_Parties]] = "guarantor", "Guarantor")</f>
        <v>None</v>
      </c>
      <c r="AD271" s="13" t="s">
        <v>147</v>
      </c>
      <c r="AE271" s="2" t="s">
        <v>108</v>
      </c>
      <c r="AF271" s="28" t="str" cm="1">
        <f t="array" ref="AF27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71" s="21">
        <v>24</v>
      </c>
      <c r="AH271" s="2" t="s">
        <v>154</v>
      </c>
      <c r="AI271"/>
      <c r="AZ271"/>
      <c r="BC271"/>
      <c r="BE271"/>
      <c r="BL271"/>
      <c r="BZ271"/>
      <c r="CA271"/>
      <c r="CF271"/>
      <c r="CG271"/>
      <c r="CH271"/>
      <c r="CI271"/>
      <c r="CK271"/>
      <c r="CN271"/>
    </row>
    <row r="272" spans="1:92" x14ac:dyDescent="0.3">
      <c r="A272" s="4">
        <v>270</v>
      </c>
      <c r="B272" s="11">
        <v>27</v>
      </c>
      <c r="C272" s="2" t="str">
        <f>_xlfn.XLOOKUP(Table1[[#This Row],[Age]],Table7[Start_Age],Table7[Age_Range],,-1)</f>
        <v>19-29</v>
      </c>
      <c r="D272" t="s">
        <v>134</v>
      </c>
      <c r="E272" s="2" t="s">
        <v>129</v>
      </c>
      <c r="F272" s="2" t="s">
        <v>135</v>
      </c>
      <c r="G272" s="3">
        <v>1</v>
      </c>
      <c r="H272" s="13" t="s">
        <v>152</v>
      </c>
      <c r="I272" s="2" t="str" cm="1">
        <f t="array" ref="I272">_xlfn.IFS(Table1[[#This Row],[Job_Type]] = "unskilled resident", "Resident",
Table1[[#This Row],[Job_Type]] = "unemp/unskilled non res", "Non-resident",
TRUE, "Unknown")</f>
        <v>Resident</v>
      </c>
      <c r="J272" s="2" t="s">
        <v>148</v>
      </c>
      <c r="K272" s="3">
        <v>3</v>
      </c>
      <c r="L272" s="2" t="s">
        <v>140</v>
      </c>
      <c r="M272" s="13" t="s">
        <v>151</v>
      </c>
      <c r="N272" t="s">
        <v>17</v>
      </c>
      <c r="O272" s="2" t="str">
        <f>_xlfn.XLOOKUP(Table1[[#This Row],[Checking_Acct_Status]],Table3[Checking_Acct_Original],Table3[Category])</f>
        <v>No Account</v>
      </c>
      <c r="P272" s="10" t="s">
        <v>32</v>
      </c>
      <c r="Q272" s="13" t="str">
        <f>_xlfn.XLOOKUP(Table1[[#This Row],[Saving_Acct_Status]],Table5[Saving_Acct_Original],Table5[Category])</f>
        <v>Low Savings</v>
      </c>
      <c r="R272" t="s">
        <v>27</v>
      </c>
      <c r="S272" s="2" t="str">
        <f>IF(
      OR(Table1[[#This Row],[Job_Type]] = "high qualif/self emp/mgmt", Table1[[#This Row],[Job_Type]] = "skilled"),
      "Skilled", "Unskilled")</f>
        <v>Unskilled</v>
      </c>
      <c r="T272" t="str">
        <f>IF(Table1[[#This Row],[Job_Type]] = "unemp/unskilled non res", "Unemployed", "Employed")</f>
        <v>Employed</v>
      </c>
      <c r="U272" t="s">
        <v>45</v>
      </c>
      <c r="V272" s="14" t="str" cm="1">
        <f t="array" ref="V27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72" t="s">
        <v>31</v>
      </c>
      <c r="X272" s="2" t="str">
        <f>_xlfn.XLOOKUP(Table1[[#This Row],[Loan_Credit_History]],Table4[Credit History],Table4[[ Category]])</f>
        <v>Existing Credits Paid</v>
      </c>
      <c r="Y272" s="3">
        <v>4</v>
      </c>
      <c r="Z272" s="3">
        <v>2</v>
      </c>
      <c r="AA272" s="5">
        <v>937</v>
      </c>
      <c r="AB272" t="s">
        <v>151</v>
      </c>
      <c r="AC272" s="2" t="str" cm="1">
        <f t="array" ref="AC272">_xlfn.IFS(Table1[[#This Row],[Others_Parties]] = "No", "None",
Table1[[#This Row],[Others_Parties]] = "co applicant", "Co-applicant",
Table1[[#This Row],[Others_Parties]] = "guarantor", "Guarantor")</f>
        <v>None</v>
      </c>
      <c r="AD272" s="13" t="s">
        <v>145</v>
      </c>
      <c r="AE272" s="2" t="s">
        <v>110</v>
      </c>
      <c r="AF272" s="28" t="str" cm="1">
        <f t="array" ref="AF27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72" s="21">
        <v>24</v>
      </c>
      <c r="AH272" s="2" t="s">
        <v>154</v>
      </c>
      <c r="AI272"/>
      <c r="AZ272"/>
      <c r="BC272"/>
      <c r="BE272"/>
      <c r="BL272"/>
      <c r="BZ272"/>
      <c r="CA272"/>
      <c r="CF272"/>
      <c r="CG272"/>
      <c r="CH272"/>
      <c r="CI272"/>
      <c r="CK272"/>
      <c r="CN272"/>
    </row>
    <row r="273" spans="1:92" x14ac:dyDescent="0.3">
      <c r="A273" s="4">
        <v>271</v>
      </c>
      <c r="B273" s="11">
        <v>38</v>
      </c>
      <c r="C273" s="2" t="str">
        <f>_xlfn.XLOOKUP(Table1[[#This Row],[Age]],Table7[Start_Age],Table7[Age_Range],,-1)</f>
        <v>29-39</v>
      </c>
      <c r="D273" t="s">
        <v>130</v>
      </c>
      <c r="E273" s="2" t="s">
        <v>129</v>
      </c>
      <c r="F273" s="2" t="s">
        <v>133</v>
      </c>
      <c r="G273" s="3">
        <v>2</v>
      </c>
      <c r="H273" s="13" t="s">
        <v>152</v>
      </c>
      <c r="I273" s="2" t="str" cm="1">
        <f t="array" ref="I273">_xlfn.IFS(Table1[[#This Row],[Job_Type]] = "unskilled resident", "Resident",
Table1[[#This Row],[Job_Type]] = "unemp/unskilled non res", "Non-resident",
TRUE, "Unknown")</f>
        <v>Unknown</v>
      </c>
      <c r="J273" s="2" t="s">
        <v>150</v>
      </c>
      <c r="K273" s="3">
        <v>3</v>
      </c>
      <c r="L273" s="2" t="s">
        <v>142</v>
      </c>
      <c r="M273" s="13" t="s">
        <v>151</v>
      </c>
      <c r="N273" t="s">
        <v>50</v>
      </c>
      <c r="O273" s="2" t="str">
        <f>_xlfn.XLOOKUP(Table1[[#This Row],[Checking_Acct_Status]],Table3[Checking_Acct_Original],Table3[Category])</f>
        <v>High Balance</v>
      </c>
      <c r="P273" s="10" t="s">
        <v>32</v>
      </c>
      <c r="Q273" s="13" t="str">
        <f>_xlfn.XLOOKUP(Table1[[#This Row],[Saving_Acct_Status]],Table5[Saving_Acct_Original],Table5[Category])</f>
        <v>Low Savings</v>
      </c>
      <c r="R273" t="s">
        <v>41</v>
      </c>
      <c r="S273" s="2" t="str">
        <f>IF(
      OR(Table1[[#This Row],[Job_Type]] = "high qualif/self emp/mgmt", Table1[[#This Row],[Job_Type]] = "skilled"),
      "Skilled", "Unskilled")</f>
        <v>Skilled</v>
      </c>
      <c r="T273" t="str">
        <f>IF(Table1[[#This Row],[Job_Type]] = "unemp/unskilled non res", "Unemployed", "Employed")</f>
        <v>Employed</v>
      </c>
      <c r="U273" t="s">
        <v>49</v>
      </c>
      <c r="V273" s="14" t="str" cm="1">
        <f t="array" ref="V27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73" t="s">
        <v>31</v>
      </c>
      <c r="X273" s="2" t="str">
        <f>_xlfn.XLOOKUP(Table1[[#This Row],[Loan_Credit_History]],Table4[Credit History],Table4[[ Category]])</f>
        <v>Existing Credits Paid</v>
      </c>
      <c r="Y273" s="3">
        <v>4</v>
      </c>
      <c r="Z273" s="3">
        <v>1</v>
      </c>
      <c r="AA273" s="5">
        <v>947</v>
      </c>
      <c r="AB273" t="s">
        <v>151</v>
      </c>
      <c r="AC273" s="2" t="str" cm="1">
        <f t="array" ref="AC273">_xlfn.IFS(Table1[[#This Row],[Others_Parties]] = "No", "None",
Table1[[#This Row],[Others_Parties]] = "co applicant", "Co-applicant",
Table1[[#This Row],[Others_Parties]] = "guarantor", "Guarantor")</f>
        <v>None</v>
      </c>
      <c r="AD273" s="13" t="s">
        <v>146</v>
      </c>
      <c r="AE273" s="2" t="s">
        <v>141</v>
      </c>
      <c r="AF273" s="28" t="str" cm="1">
        <f t="array" ref="AF27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73" s="21">
        <v>24</v>
      </c>
      <c r="AH273" s="2" t="s">
        <v>153</v>
      </c>
      <c r="AI273"/>
      <c r="AZ273"/>
      <c r="BC273"/>
      <c r="BE273"/>
      <c r="BL273"/>
      <c r="BZ273"/>
      <c r="CA273"/>
      <c r="CF273"/>
      <c r="CG273"/>
      <c r="CH273"/>
      <c r="CI273"/>
      <c r="CK273"/>
      <c r="CN273"/>
    </row>
    <row r="274" spans="1:92" x14ac:dyDescent="0.3">
      <c r="A274" s="4">
        <v>272</v>
      </c>
      <c r="B274" s="11">
        <v>25</v>
      </c>
      <c r="C274" s="2" t="str">
        <f>_xlfn.XLOOKUP(Table1[[#This Row],[Age]],Table7[Start_Age],Table7[Age_Range],,-1)</f>
        <v>19-29</v>
      </c>
      <c r="D274" t="s">
        <v>130</v>
      </c>
      <c r="E274" s="2" t="s">
        <v>129</v>
      </c>
      <c r="F274" s="2" t="s">
        <v>133</v>
      </c>
      <c r="G274" s="3">
        <v>1</v>
      </c>
      <c r="H274" s="13" t="s">
        <v>152</v>
      </c>
      <c r="I274" s="2" t="str" cm="1">
        <f t="array" ref="I274">_xlfn.IFS(Table1[[#This Row],[Job_Type]] = "unskilled resident", "Resident",
Table1[[#This Row],[Job_Type]] = "unemp/unskilled non res", "Non-resident",
TRUE, "Unknown")</f>
        <v>Unknown</v>
      </c>
      <c r="J274" s="2" t="s">
        <v>148</v>
      </c>
      <c r="K274" s="3">
        <v>2</v>
      </c>
      <c r="L274" s="2" t="s">
        <v>140</v>
      </c>
      <c r="M274" s="13" t="s">
        <v>151</v>
      </c>
      <c r="N274" t="s">
        <v>17</v>
      </c>
      <c r="O274" s="2" t="str">
        <f>_xlfn.XLOOKUP(Table1[[#This Row],[Checking_Acct_Status]],Table3[Checking_Acct_Original],Table3[Category])</f>
        <v>No Account</v>
      </c>
      <c r="P274" s="10" t="s">
        <v>47</v>
      </c>
      <c r="Q274" s="13" t="str">
        <f>_xlfn.XLOOKUP(Table1[[#This Row],[Saving_Acct_Status]],Table5[Saving_Acct_Original],Table5[Category])</f>
        <v>No Savings</v>
      </c>
      <c r="R274" t="s">
        <v>41</v>
      </c>
      <c r="S274" s="2" t="str">
        <f>IF(
      OR(Table1[[#This Row],[Job_Type]] = "high qualif/self emp/mgmt", Table1[[#This Row],[Job_Type]] = "skilled"),
      "Skilled", "Unskilled")</f>
        <v>Skilled</v>
      </c>
      <c r="T274" t="str">
        <f>IF(Table1[[#This Row],[Job_Type]] = "unemp/unskilled non res", "Unemployed", "Employed")</f>
        <v>Employed</v>
      </c>
      <c r="U274" t="s">
        <v>38</v>
      </c>
      <c r="V274" s="14" t="str" cm="1">
        <f t="array" ref="V27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74" t="s">
        <v>31</v>
      </c>
      <c r="X274" s="2" t="str">
        <f>_xlfn.XLOOKUP(Table1[[#This Row],[Loan_Credit_History]],Table4[Credit History],Table4[[ Category]])</f>
        <v>Existing Credits Paid</v>
      </c>
      <c r="Y274" s="3">
        <v>4</v>
      </c>
      <c r="Z274" s="3">
        <v>2</v>
      </c>
      <c r="AA274" s="5">
        <v>999</v>
      </c>
      <c r="AB274" t="s">
        <v>151</v>
      </c>
      <c r="AC274" s="2" t="str" cm="1">
        <f t="array" ref="AC274">_xlfn.IFS(Table1[[#This Row],[Others_Parties]] = "No", "None",
Table1[[#This Row],[Others_Parties]] = "co applicant", "Co-applicant",
Table1[[#This Row],[Others_Parties]] = "guarantor", "Guarantor")</f>
        <v>None</v>
      </c>
      <c r="AD274" s="13" t="s">
        <v>145</v>
      </c>
      <c r="AE274" s="2" t="s">
        <v>111</v>
      </c>
      <c r="AF274" s="28" t="str" cm="1">
        <f t="array" ref="AF27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74" s="21">
        <v>24</v>
      </c>
      <c r="AH274" s="2" t="s">
        <v>154</v>
      </c>
      <c r="AI274"/>
      <c r="AZ274"/>
      <c r="BC274"/>
      <c r="BE274"/>
      <c r="BL274"/>
      <c r="BZ274"/>
      <c r="CA274"/>
      <c r="CF274"/>
      <c r="CG274"/>
      <c r="CH274"/>
      <c r="CI274"/>
      <c r="CK274"/>
      <c r="CN274"/>
    </row>
    <row r="275" spans="1:92" x14ac:dyDescent="0.3">
      <c r="A275" s="4">
        <v>273</v>
      </c>
      <c r="B275" s="11">
        <v>48</v>
      </c>
      <c r="C275" s="2" t="str">
        <f>_xlfn.XLOOKUP(Table1[[#This Row],[Age]],Table7[Start_Age],Table7[Age_Range],,-1)</f>
        <v>39-49</v>
      </c>
      <c r="D275" t="s">
        <v>134</v>
      </c>
      <c r="E275" s="2" t="s">
        <v>129</v>
      </c>
      <c r="F275" s="2" t="s">
        <v>135</v>
      </c>
      <c r="G275" s="3">
        <v>1</v>
      </c>
      <c r="H275" s="13" t="s">
        <v>152</v>
      </c>
      <c r="I275" s="2" t="str" cm="1">
        <f t="array" ref="I275">_xlfn.IFS(Table1[[#This Row],[Job_Type]] = "unskilled resident", "Resident",
Table1[[#This Row],[Job_Type]] = "unemp/unskilled non res", "Non-resident",
TRUE, "Unknown")</f>
        <v>Unknown</v>
      </c>
      <c r="J275" s="2" t="s">
        <v>148</v>
      </c>
      <c r="K275" s="3">
        <v>4</v>
      </c>
      <c r="L275" s="2" t="s">
        <v>144</v>
      </c>
      <c r="M275" s="13" t="s">
        <v>151</v>
      </c>
      <c r="N275" t="s">
        <v>35</v>
      </c>
      <c r="O275" s="2" t="str">
        <f>_xlfn.XLOOKUP(Table1[[#This Row],[Checking_Acct_Status]],Table3[Checking_Acct_Original],Table3[Category])</f>
        <v>Negative Balance</v>
      </c>
      <c r="P275" s="10" t="s">
        <v>32</v>
      </c>
      <c r="Q275" s="13" t="str">
        <f>_xlfn.XLOOKUP(Table1[[#This Row],[Saving_Acct_Status]],Table5[Saving_Acct_Original],Table5[Category])</f>
        <v>Low Savings</v>
      </c>
      <c r="R275" t="s">
        <v>41</v>
      </c>
      <c r="S275" s="2" t="str">
        <f>IF(
      OR(Table1[[#This Row],[Job_Type]] = "high qualif/self emp/mgmt", Table1[[#This Row],[Job_Type]] = "skilled"),
      "Skilled", "Unskilled")</f>
        <v>Skilled</v>
      </c>
      <c r="T275" t="str">
        <f>IF(Table1[[#This Row],[Job_Type]] = "unemp/unskilled non res", "Unemployed", "Employed")</f>
        <v>Employed</v>
      </c>
      <c r="U275" t="s">
        <v>45</v>
      </c>
      <c r="V275" s="14" t="str" cm="1">
        <f t="array" ref="V27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75" t="s">
        <v>59</v>
      </c>
      <c r="X275" s="2" t="str">
        <f>_xlfn.XLOOKUP(Table1[[#This Row],[Loan_Credit_History]],Table4[Credit History],Table4[[ Category]])</f>
        <v>Previously Delayed</v>
      </c>
      <c r="Y275" s="3">
        <v>4</v>
      </c>
      <c r="Z275" s="3">
        <v>1</v>
      </c>
      <c r="AA275" s="5">
        <v>1024</v>
      </c>
      <c r="AB275" t="s">
        <v>151</v>
      </c>
      <c r="AC275" s="2" t="str" cm="1">
        <f t="array" ref="AC275">_xlfn.IFS(Table1[[#This Row],[Others_Parties]] = "No", "None",
Table1[[#This Row],[Others_Parties]] = "co applicant", "Co-applicant",
Table1[[#This Row],[Others_Parties]] = "guarantor", "Guarantor")</f>
        <v>None</v>
      </c>
      <c r="AD275" s="13" t="s">
        <v>147</v>
      </c>
      <c r="AE275" s="2" t="s">
        <v>111</v>
      </c>
      <c r="AF275" s="28" t="str" cm="1">
        <f t="array" ref="AF27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75" s="21">
        <v>24</v>
      </c>
      <c r="AH275" s="2" t="s">
        <v>153</v>
      </c>
      <c r="AI275"/>
      <c r="AZ275"/>
      <c r="BC275"/>
      <c r="BE275"/>
      <c r="BL275"/>
      <c r="BZ275"/>
      <c r="CA275"/>
      <c r="CF275"/>
      <c r="CG275"/>
      <c r="CH275"/>
      <c r="CI275"/>
      <c r="CK275"/>
      <c r="CN275"/>
    </row>
    <row r="276" spans="1:92" x14ac:dyDescent="0.3">
      <c r="A276" s="4">
        <v>274</v>
      </c>
      <c r="B276" s="11">
        <v>29</v>
      </c>
      <c r="C276" s="2" t="str">
        <f>_xlfn.XLOOKUP(Table1[[#This Row],[Age]],Table7[Start_Age],Table7[Age_Range],,-1)</f>
        <v>29-39</v>
      </c>
      <c r="D276" t="s">
        <v>136</v>
      </c>
      <c r="E276" s="2" t="s">
        <v>131</v>
      </c>
      <c r="F276" s="2" t="s">
        <v>137</v>
      </c>
      <c r="G276" s="3">
        <v>1</v>
      </c>
      <c r="H276" s="13" t="s">
        <v>152</v>
      </c>
      <c r="I276" s="2" t="str" cm="1">
        <f t="array" ref="I276">_xlfn.IFS(Table1[[#This Row],[Job_Type]] = "unskilled resident", "Resident",
Table1[[#This Row],[Job_Type]] = "unemp/unskilled non res", "Non-resident",
TRUE, "Unknown")</f>
        <v>Non-resident</v>
      </c>
      <c r="J276" s="2" t="s">
        <v>149</v>
      </c>
      <c r="K276" s="3">
        <v>4</v>
      </c>
      <c r="L276" s="2" t="s">
        <v>142</v>
      </c>
      <c r="M276" s="13" t="s">
        <v>151</v>
      </c>
      <c r="N276" t="s">
        <v>35</v>
      </c>
      <c r="O276" s="2" t="str">
        <f>_xlfn.XLOOKUP(Table1[[#This Row],[Checking_Acct_Status]],Table3[Checking_Acct_Original],Table3[Category])</f>
        <v>Negative Balance</v>
      </c>
      <c r="P276" s="10" t="s">
        <v>32</v>
      </c>
      <c r="Q276" s="13" t="str">
        <f>_xlfn.XLOOKUP(Table1[[#This Row],[Saving_Acct_Status]],Table5[Saving_Acct_Original],Table5[Category])</f>
        <v>Low Savings</v>
      </c>
      <c r="R276" t="s">
        <v>62</v>
      </c>
      <c r="S276" s="2" t="str">
        <f>IF(
      OR(Table1[[#This Row],[Job_Type]] = "high qualif/self emp/mgmt", Table1[[#This Row],[Job_Type]] = "skilled"),
      "Skilled", "Unskilled")</f>
        <v>Unskilled</v>
      </c>
      <c r="T276" t="str">
        <f>IF(Table1[[#This Row],[Job_Type]] = "unemp/unskilled non res", "Unemployed", "Employed")</f>
        <v>Unemployed</v>
      </c>
      <c r="U276" t="s">
        <v>54</v>
      </c>
      <c r="V276" s="14" t="str" cm="1">
        <f t="array" ref="V276">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276" t="s">
        <v>42</v>
      </c>
      <c r="X276" s="2" t="str">
        <f>_xlfn.XLOOKUP(Table1[[#This Row],[Loan_Credit_History]],Table4[Credit History],Table4[[ Category]])</f>
        <v>All Paid</v>
      </c>
      <c r="Y276" s="3">
        <v>1</v>
      </c>
      <c r="Z276" s="3">
        <v>2</v>
      </c>
      <c r="AA276" s="5">
        <v>1193</v>
      </c>
      <c r="AB276" t="s">
        <v>55</v>
      </c>
      <c r="AC276" s="2" t="str" cm="1">
        <f t="array" ref="AC276">_xlfn.IFS(Table1[[#This Row],[Others_Parties]] = "No", "None",
Table1[[#This Row],[Others_Parties]] = "co applicant", "Co-applicant",
Table1[[#This Row],[Others_Parties]] = "guarantor", "Guarantor")</f>
        <v>Co-applicant</v>
      </c>
      <c r="AD276" s="13" t="s">
        <v>145</v>
      </c>
      <c r="AE276" s="2" t="s">
        <v>141</v>
      </c>
      <c r="AF276" s="28" t="str" cm="1">
        <f t="array" ref="AF27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76" s="21">
        <v>24</v>
      </c>
      <c r="AH276" s="2" t="s">
        <v>153</v>
      </c>
      <c r="AI276"/>
      <c r="AZ276"/>
      <c r="BC276"/>
      <c r="BE276"/>
      <c r="BL276"/>
      <c r="BZ276"/>
      <c r="CA276"/>
      <c r="CF276"/>
      <c r="CG276"/>
      <c r="CH276"/>
      <c r="CI276"/>
      <c r="CK276"/>
      <c r="CN276"/>
    </row>
    <row r="277" spans="1:92" x14ac:dyDescent="0.3">
      <c r="A277" s="4">
        <v>275</v>
      </c>
      <c r="B277" s="11">
        <v>60</v>
      </c>
      <c r="C277" s="2" t="str">
        <f>_xlfn.XLOOKUP(Table1[[#This Row],[Age]],Table7[Start_Age],Table7[Age_Range],,-1)</f>
        <v>59-69</v>
      </c>
      <c r="D277" t="s">
        <v>130</v>
      </c>
      <c r="E277" s="2" t="s">
        <v>129</v>
      </c>
      <c r="F277" s="2" t="s">
        <v>133</v>
      </c>
      <c r="G277" s="3">
        <v>1</v>
      </c>
      <c r="H277" s="13" t="s">
        <v>152</v>
      </c>
      <c r="I277" s="2" t="str" cm="1">
        <f t="array" ref="I277">_xlfn.IFS(Table1[[#This Row],[Job_Type]] = "unskilled resident", "Resident",
Table1[[#This Row],[Job_Type]] = "unemp/unskilled non res", "Non-resident",
TRUE, "Unknown")</f>
        <v>Resident</v>
      </c>
      <c r="J277" s="2" t="s">
        <v>148</v>
      </c>
      <c r="K277" s="3">
        <v>4</v>
      </c>
      <c r="L277" s="2" t="s">
        <v>140</v>
      </c>
      <c r="M277" s="13" t="s">
        <v>151</v>
      </c>
      <c r="N277" t="s">
        <v>35</v>
      </c>
      <c r="O277" s="2" t="str">
        <f>_xlfn.XLOOKUP(Table1[[#This Row],[Checking_Acct_Status]],Table3[Checking_Acct_Original],Table3[Category])</f>
        <v>Negative Balance</v>
      </c>
      <c r="P277" s="10" t="s">
        <v>32</v>
      </c>
      <c r="Q277" s="13" t="str">
        <f>_xlfn.XLOOKUP(Table1[[#This Row],[Saving_Acct_Status]],Table5[Saving_Acct_Original],Table5[Category])</f>
        <v>Low Savings</v>
      </c>
      <c r="R277" t="s">
        <v>27</v>
      </c>
      <c r="S277" s="2" t="str">
        <f>IF(
      OR(Table1[[#This Row],[Job_Type]] = "high qualif/self emp/mgmt", Table1[[#This Row],[Job_Type]] = "skilled"),
      "Skilled", "Unskilled")</f>
        <v>Unskilled</v>
      </c>
      <c r="T277" t="str">
        <f>IF(Table1[[#This Row],[Job_Type]] = "unemp/unskilled non res", "Unemployed", "Employed")</f>
        <v>Employed</v>
      </c>
      <c r="U277" t="s">
        <v>38</v>
      </c>
      <c r="V277" s="14" t="str" cm="1">
        <f t="array" ref="V27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77" t="s">
        <v>103</v>
      </c>
      <c r="X277" s="2" t="str">
        <f>_xlfn.XLOOKUP(Table1[[#This Row],[Loan_Credit_History]],Table4[Credit History],Table4[[ Category]])</f>
        <v>Critical Credit History</v>
      </c>
      <c r="Y277" s="3">
        <v>4</v>
      </c>
      <c r="Z277" s="3">
        <v>2</v>
      </c>
      <c r="AA277" s="5">
        <v>1199</v>
      </c>
      <c r="AB277" t="s">
        <v>151</v>
      </c>
      <c r="AC277" s="2" t="str" cm="1">
        <f t="array" ref="AC277">_xlfn.IFS(Table1[[#This Row],[Others_Parties]] = "No", "None",
Table1[[#This Row],[Others_Parties]] = "co applicant", "Co-applicant",
Table1[[#This Row],[Others_Parties]] = "guarantor", "Guarantor")</f>
        <v>None</v>
      </c>
      <c r="AD277" s="13" t="s">
        <v>145</v>
      </c>
      <c r="AE277" s="2" t="s">
        <v>141</v>
      </c>
      <c r="AF277" s="28" t="str" cm="1">
        <f t="array" ref="AF27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77" s="21">
        <v>24</v>
      </c>
      <c r="AH277" s="2" t="s">
        <v>153</v>
      </c>
      <c r="AI277"/>
      <c r="AZ277"/>
      <c r="BC277"/>
      <c r="BE277"/>
      <c r="BL277"/>
      <c r="BZ277"/>
      <c r="CA277"/>
      <c r="CF277"/>
      <c r="CG277"/>
      <c r="CH277"/>
      <c r="CI277"/>
      <c r="CK277"/>
      <c r="CN277"/>
    </row>
    <row r="278" spans="1:92" x14ac:dyDescent="0.3">
      <c r="A278" s="4">
        <v>276</v>
      </c>
      <c r="B278" s="11">
        <v>26</v>
      </c>
      <c r="C278" s="2" t="str">
        <f>_xlfn.XLOOKUP(Table1[[#This Row],[Age]],Table7[Start_Age],Table7[Age_Range],,-1)</f>
        <v>19-29</v>
      </c>
      <c r="D278" t="s">
        <v>130</v>
      </c>
      <c r="E278" s="2" t="s">
        <v>129</v>
      </c>
      <c r="F278" s="2" t="s">
        <v>133</v>
      </c>
      <c r="G278" s="3">
        <v>1</v>
      </c>
      <c r="H278" s="13" t="s">
        <v>152</v>
      </c>
      <c r="I278" s="2" t="str" cm="1">
        <f t="array" ref="I278">_xlfn.IFS(Table1[[#This Row],[Job_Type]] = "unskilled resident", "Resident",
Table1[[#This Row],[Job_Type]] = "unemp/unskilled non res", "Non-resident",
TRUE, "Unknown")</f>
        <v>Unknown</v>
      </c>
      <c r="J278" s="2" t="s">
        <v>148</v>
      </c>
      <c r="K278" s="3">
        <v>1</v>
      </c>
      <c r="L278" s="2" t="s">
        <v>143</v>
      </c>
      <c r="M278" s="13" t="s">
        <v>151</v>
      </c>
      <c r="N278" t="s">
        <v>30</v>
      </c>
      <c r="O278" s="2" t="str">
        <f>_xlfn.XLOOKUP(Table1[[#This Row],[Checking_Acct_Status]],Table3[Checking_Acct_Original],Table3[Category])</f>
        <v>Low Balance</v>
      </c>
      <c r="P278" s="10" t="s">
        <v>32</v>
      </c>
      <c r="Q278" s="13" t="str">
        <f>_xlfn.XLOOKUP(Table1[[#This Row],[Saving_Acct_Status]],Table5[Saving_Acct_Original],Table5[Category])</f>
        <v>Low Savings</v>
      </c>
      <c r="R278" t="s">
        <v>41</v>
      </c>
      <c r="S278" s="2" t="str">
        <f>IF(
      OR(Table1[[#This Row],[Job_Type]] = "high qualif/self emp/mgmt", Table1[[#This Row],[Job_Type]] = "skilled"),
      "Skilled", "Unskilled")</f>
        <v>Skilled</v>
      </c>
      <c r="T278" t="str">
        <f>IF(Table1[[#This Row],[Job_Type]] = "unemp/unskilled non res", "Unemployed", "Employed")</f>
        <v>Employed</v>
      </c>
      <c r="U278" t="s">
        <v>45</v>
      </c>
      <c r="V278" s="14" t="str" cm="1">
        <f t="array" ref="V27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78" t="s">
        <v>31</v>
      </c>
      <c r="X278" s="2" t="str">
        <f>_xlfn.XLOOKUP(Table1[[#This Row],[Loan_Credit_History]],Table4[Credit History],Table4[[ Category]])</f>
        <v>Existing Credits Paid</v>
      </c>
      <c r="Y278" s="3">
        <v>4</v>
      </c>
      <c r="Z278" s="3">
        <v>1</v>
      </c>
      <c r="AA278" s="5">
        <v>1201</v>
      </c>
      <c r="AB278" t="s">
        <v>151</v>
      </c>
      <c r="AC278" s="2" t="str" cm="1">
        <f t="array" ref="AC278">_xlfn.IFS(Table1[[#This Row],[Others_Parties]] = "No", "None",
Table1[[#This Row],[Others_Parties]] = "co applicant", "Co-applicant",
Table1[[#This Row],[Others_Parties]] = "guarantor", "Guarantor")</f>
        <v>None</v>
      </c>
      <c r="AD278" s="13" t="s">
        <v>145</v>
      </c>
      <c r="AE278" s="2" t="s">
        <v>141</v>
      </c>
      <c r="AF278" s="28" t="str" cm="1">
        <f t="array" ref="AF27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78" s="21">
        <v>24</v>
      </c>
      <c r="AH278" s="2" t="s">
        <v>154</v>
      </c>
      <c r="AI278"/>
      <c r="AZ278"/>
      <c r="BC278"/>
      <c r="BE278"/>
      <c r="BL278"/>
      <c r="BZ278"/>
      <c r="CA278"/>
      <c r="CF278"/>
      <c r="CG278"/>
      <c r="CH278"/>
      <c r="CI278"/>
      <c r="CK278"/>
      <c r="CN278"/>
    </row>
    <row r="279" spans="1:92" x14ac:dyDescent="0.3">
      <c r="A279" s="4">
        <v>277</v>
      </c>
      <c r="B279" s="11">
        <v>24</v>
      </c>
      <c r="C279" s="2" t="str">
        <f>_xlfn.XLOOKUP(Table1[[#This Row],[Age]],Table7[Start_Age],Table7[Age_Range],,-1)</f>
        <v>19-29</v>
      </c>
      <c r="D279" t="s">
        <v>136</v>
      </c>
      <c r="E279" s="2" t="s">
        <v>131</v>
      </c>
      <c r="F279" s="2" t="s">
        <v>137</v>
      </c>
      <c r="G279" s="3">
        <v>1</v>
      </c>
      <c r="H279" s="13" t="s">
        <v>152</v>
      </c>
      <c r="I279" s="2" t="str" cm="1">
        <f t="array" ref="I279">_xlfn.IFS(Table1[[#This Row],[Job_Type]] = "unskilled resident", "Resident",
Table1[[#This Row],[Job_Type]] = "unemp/unskilled non res", "Non-resident",
TRUE, "Unknown")</f>
        <v>Unknown</v>
      </c>
      <c r="J279" s="2" t="s">
        <v>149</v>
      </c>
      <c r="K279" s="3">
        <v>4</v>
      </c>
      <c r="L279" s="2" t="s">
        <v>143</v>
      </c>
      <c r="M279" s="13" t="s">
        <v>151</v>
      </c>
      <c r="N279" t="s">
        <v>35</v>
      </c>
      <c r="O279" s="2" t="str">
        <f>_xlfn.XLOOKUP(Table1[[#This Row],[Checking_Acct_Status]],Table3[Checking_Acct_Original],Table3[Category])</f>
        <v>Negative Balance</v>
      </c>
      <c r="P279" s="10" t="s">
        <v>32</v>
      </c>
      <c r="Q279" s="13" t="str">
        <f>_xlfn.XLOOKUP(Table1[[#This Row],[Saving_Acct_Status]],Table5[Saving_Acct_Original],Table5[Category])</f>
        <v>Low Savings</v>
      </c>
      <c r="R279" t="s">
        <v>41</v>
      </c>
      <c r="S279" s="2" t="str">
        <f>IF(
      OR(Table1[[#This Row],[Job_Type]] = "high qualif/self emp/mgmt", Table1[[#This Row],[Job_Type]] = "skilled"),
      "Skilled", "Unskilled")</f>
        <v>Skilled</v>
      </c>
      <c r="T279" t="str">
        <f>IF(Table1[[#This Row],[Job_Type]] = "unemp/unskilled non res", "Unemployed", "Employed")</f>
        <v>Employed</v>
      </c>
      <c r="U279" t="s">
        <v>45</v>
      </c>
      <c r="V279" s="14" t="str" cm="1">
        <f t="array" ref="V27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79" t="s">
        <v>31</v>
      </c>
      <c r="X279" s="2" t="str">
        <f>_xlfn.XLOOKUP(Table1[[#This Row],[Loan_Credit_History]],Table4[Credit History],Table4[[ Category]])</f>
        <v>Existing Credits Paid</v>
      </c>
      <c r="Y279" s="3">
        <v>4</v>
      </c>
      <c r="Z279" s="3">
        <v>1</v>
      </c>
      <c r="AA279" s="5">
        <v>1207</v>
      </c>
      <c r="AB279" t="s">
        <v>151</v>
      </c>
      <c r="AC279" s="2" t="str" cm="1">
        <f t="array" ref="AC279">_xlfn.IFS(Table1[[#This Row],[Others_Parties]] = "No", "None",
Table1[[#This Row],[Others_Parties]] = "co applicant", "Co-applicant",
Table1[[#This Row],[Others_Parties]] = "guarantor", "Guarantor")</f>
        <v>None</v>
      </c>
      <c r="AD279" s="13" t="s">
        <v>145</v>
      </c>
      <c r="AE279" s="2" t="s">
        <v>141</v>
      </c>
      <c r="AF279" s="28" t="str" cm="1">
        <f t="array" ref="AF27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79" s="21">
        <v>24</v>
      </c>
      <c r="AH279" s="2" t="s">
        <v>153</v>
      </c>
      <c r="AI279"/>
      <c r="AZ279"/>
      <c r="BC279"/>
      <c r="BE279"/>
      <c r="BL279"/>
      <c r="BZ279"/>
      <c r="CA279"/>
      <c r="CF279"/>
      <c r="CG279"/>
      <c r="CH279"/>
      <c r="CI279"/>
      <c r="CK279"/>
      <c r="CN279"/>
    </row>
    <row r="280" spans="1:92" x14ac:dyDescent="0.3">
      <c r="A280" s="4">
        <v>278</v>
      </c>
      <c r="B280" s="11">
        <v>38</v>
      </c>
      <c r="C280" s="2" t="str">
        <f>_xlfn.XLOOKUP(Table1[[#This Row],[Age]],Table7[Start_Age],Table7[Age_Range],,-1)</f>
        <v>29-39</v>
      </c>
      <c r="D280" t="s">
        <v>130</v>
      </c>
      <c r="E280" s="2" t="s">
        <v>129</v>
      </c>
      <c r="F280" s="2" t="s">
        <v>133</v>
      </c>
      <c r="G280" s="3">
        <v>2</v>
      </c>
      <c r="H280" s="13" t="s">
        <v>152</v>
      </c>
      <c r="I280" s="2" t="str" cm="1">
        <f t="array" ref="I280">_xlfn.IFS(Table1[[#This Row],[Job_Type]] = "unskilled resident", "Resident",
Table1[[#This Row],[Job_Type]] = "unemp/unskilled non res", "Non-resident",
TRUE, "Unknown")</f>
        <v>Unknown</v>
      </c>
      <c r="J280" s="2" t="s">
        <v>148</v>
      </c>
      <c r="K280" s="3">
        <v>4</v>
      </c>
      <c r="L280" s="2" t="s">
        <v>142</v>
      </c>
      <c r="M280" s="13" t="s">
        <v>151</v>
      </c>
      <c r="N280" t="s">
        <v>30</v>
      </c>
      <c r="O280" s="2" t="str">
        <f>_xlfn.XLOOKUP(Table1[[#This Row],[Checking_Acct_Status]],Table3[Checking_Acct_Original],Table3[Category])</f>
        <v>Low Balance</v>
      </c>
      <c r="P280" s="10" t="s">
        <v>46</v>
      </c>
      <c r="Q280" s="13" t="str">
        <f>_xlfn.XLOOKUP(Table1[[#This Row],[Saving_Acct_Status]],Table5[Saving_Acct_Original],Table5[Category])</f>
        <v>Medium Savings</v>
      </c>
      <c r="R280" t="s">
        <v>41</v>
      </c>
      <c r="S280" s="2" t="str">
        <f>IF(
      OR(Table1[[#This Row],[Job_Type]] = "high qualif/self emp/mgmt", Table1[[#This Row],[Job_Type]] = "skilled"),
      "Skilled", "Unskilled")</f>
        <v>Skilled</v>
      </c>
      <c r="T280" t="str">
        <f>IF(Table1[[#This Row],[Job_Type]] = "unemp/unskilled non res", "Unemployed", "Employed")</f>
        <v>Employed</v>
      </c>
      <c r="U280" t="s">
        <v>45</v>
      </c>
      <c r="V280" s="14" t="str" cm="1">
        <f t="array" ref="V28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80" t="s">
        <v>103</v>
      </c>
      <c r="X280" s="2" t="str">
        <f>_xlfn.XLOOKUP(Table1[[#This Row],[Loan_Credit_History]],Table4[Credit History],Table4[[ Category]])</f>
        <v>Critical Credit History</v>
      </c>
      <c r="Y280" s="3">
        <v>4</v>
      </c>
      <c r="Z280" s="3">
        <v>2</v>
      </c>
      <c r="AA280" s="5">
        <v>1216</v>
      </c>
      <c r="AB280" t="s">
        <v>151</v>
      </c>
      <c r="AC280" s="2" t="str" cm="1">
        <f t="array" ref="AC280">_xlfn.IFS(Table1[[#This Row],[Others_Parties]] = "No", "None",
Table1[[#This Row],[Others_Parties]] = "co applicant", "Co-applicant",
Table1[[#This Row],[Others_Parties]] = "guarantor", "Guarantor")</f>
        <v>None</v>
      </c>
      <c r="AD280" s="13" t="s">
        <v>146</v>
      </c>
      <c r="AE280" s="2" t="s">
        <v>111</v>
      </c>
      <c r="AF280" s="28" t="str" cm="1">
        <f t="array" ref="AF28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80" s="21">
        <v>24</v>
      </c>
      <c r="AH280" s="2" t="s">
        <v>153</v>
      </c>
      <c r="AI280"/>
      <c r="AZ280"/>
      <c r="BC280"/>
      <c r="BE280"/>
      <c r="BL280"/>
      <c r="BZ280"/>
      <c r="CA280"/>
      <c r="CF280"/>
      <c r="CG280"/>
      <c r="CH280"/>
      <c r="CI280"/>
      <c r="CK280"/>
      <c r="CN280"/>
    </row>
    <row r="281" spans="1:92" x14ac:dyDescent="0.3">
      <c r="A281" s="4">
        <v>279</v>
      </c>
      <c r="B281" s="11">
        <v>57</v>
      </c>
      <c r="C281" s="2" t="str">
        <f>_xlfn.XLOOKUP(Table1[[#This Row],[Age]],Table7[Start_Age],Table7[Age_Range],,-1)</f>
        <v>49-59</v>
      </c>
      <c r="D281" t="s">
        <v>136</v>
      </c>
      <c r="E281" s="2" t="s">
        <v>131</v>
      </c>
      <c r="F281" s="2" t="s">
        <v>137</v>
      </c>
      <c r="G281" s="3">
        <v>1</v>
      </c>
      <c r="H281" s="13" t="s">
        <v>152</v>
      </c>
      <c r="I281" s="2" t="str" cm="1">
        <f t="array" ref="I281">_xlfn.IFS(Table1[[#This Row],[Job_Type]] = "unskilled resident", "Resident",
Table1[[#This Row],[Job_Type]] = "unemp/unskilled non res", "Non-resident",
TRUE, "Unknown")</f>
        <v>Unknown</v>
      </c>
      <c r="J281" s="2" t="s">
        <v>149</v>
      </c>
      <c r="K281" s="3">
        <v>4</v>
      </c>
      <c r="L281" s="2" t="s">
        <v>143</v>
      </c>
      <c r="M281" s="13" t="s">
        <v>152</v>
      </c>
      <c r="N281" t="s">
        <v>35</v>
      </c>
      <c r="O281" s="2" t="str">
        <f>_xlfn.XLOOKUP(Table1[[#This Row],[Checking_Acct_Status]],Table3[Checking_Acct_Original],Table3[Category])</f>
        <v>Negative Balance</v>
      </c>
      <c r="P281" s="10" t="s">
        <v>20</v>
      </c>
      <c r="Q281" s="13" t="str">
        <f>_xlfn.XLOOKUP(Table1[[#This Row],[Saving_Acct_Status]],Table5[Saving_Acct_Original],Table5[Category])</f>
        <v>Very High Savings</v>
      </c>
      <c r="R281" t="s">
        <v>63</v>
      </c>
      <c r="S281" s="2" t="str">
        <f>IF(
      OR(Table1[[#This Row],[Job_Type]] = "high qualif/self emp/mgmt", Table1[[#This Row],[Job_Type]] = "skilled"),
      "Skilled", "Unskilled")</f>
        <v>Skilled</v>
      </c>
      <c r="T281" t="str">
        <f>IF(Table1[[#This Row],[Job_Type]] = "unemp/unskilled non res", "Unemployed", "Employed")</f>
        <v>Employed</v>
      </c>
      <c r="U281" t="s">
        <v>38</v>
      </c>
      <c r="V281" s="14" t="str" cm="1">
        <f t="array" ref="V28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81" t="s">
        <v>103</v>
      </c>
      <c r="X281" s="2" t="str">
        <f>_xlfn.XLOOKUP(Table1[[#This Row],[Loan_Credit_History]],Table4[Credit History],Table4[[ Category]])</f>
        <v>Critical Credit History</v>
      </c>
      <c r="Y281" s="3">
        <v>4</v>
      </c>
      <c r="Z281" s="3">
        <v>2</v>
      </c>
      <c r="AA281" s="5">
        <v>1231</v>
      </c>
      <c r="AB281" t="s">
        <v>151</v>
      </c>
      <c r="AC281" s="2" t="str" cm="1">
        <f t="array" ref="AC281">_xlfn.IFS(Table1[[#This Row],[Others_Parties]] = "No", "None",
Table1[[#This Row],[Others_Parties]] = "co applicant", "Co-applicant",
Table1[[#This Row],[Others_Parties]] = "guarantor", "Guarantor")</f>
        <v>None</v>
      </c>
      <c r="AD281" s="13" t="s">
        <v>145</v>
      </c>
      <c r="AE281" s="2" t="s">
        <v>111</v>
      </c>
      <c r="AF281" s="28" t="str" cm="1">
        <f t="array" ref="AF28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81" s="21">
        <v>24</v>
      </c>
      <c r="AH281" s="2" t="s">
        <v>154</v>
      </c>
      <c r="AI281"/>
      <c r="AZ281"/>
      <c r="BC281"/>
      <c r="BE281"/>
      <c r="BL281"/>
      <c r="BZ281"/>
      <c r="CA281"/>
      <c r="CF281"/>
      <c r="CG281"/>
      <c r="CH281"/>
      <c r="CI281"/>
      <c r="CK281"/>
      <c r="CN281"/>
    </row>
    <row r="282" spans="1:92" x14ac:dyDescent="0.3">
      <c r="A282" s="4">
        <v>280</v>
      </c>
      <c r="B282" s="11">
        <v>23</v>
      </c>
      <c r="C282" s="2" t="str">
        <f>_xlfn.XLOOKUP(Table1[[#This Row],[Age]],Table7[Start_Age],Table7[Age_Range],,-1)</f>
        <v>19-29</v>
      </c>
      <c r="D282" t="s">
        <v>130</v>
      </c>
      <c r="E282" s="2" t="s">
        <v>129</v>
      </c>
      <c r="F282" s="2" t="s">
        <v>133</v>
      </c>
      <c r="G282" s="3">
        <v>1</v>
      </c>
      <c r="H282" s="13" t="s">
        <v>152</v>
      </c>
      <c r="I282" s="2" t="str" cm="1">
        <f t="array" ref="I282">_xlfn.IFS(Table1[[#This Row],[Job_Type]] = "unskilled resident", "Resident",
Table1[[#This Row],[Job_Type]] = "unemp/unskilled non res", "Non-resident",
TRUE, "Unknown")</f>
        <v>Resident</v>
      </c>
      <c r="J282" s="2" t="s">
        <v>148</v>
      </c>
      <c r="K282" s="3">
        <v>2</v>
      </c>
      <c r="L282" s="2" t="s">
        <v>144</v>
      </c>
      <c r="M282" s="13" t="s">
        <v>151</v>
      </c>
      <c r="N282" t="s">
        <v>30</v>
      </c>
      <c r="O282" s="2" t="str">
        <f>_xlfn.XLOOKUP(Table1[[#This Row],[Checking_Acct_Status]],Table3[Checking_Acct_Original],Table3[Category])</f>
        <v>Low Balance</v>
      </c>
      <c r="P282" s="10" t="s">
        <v>32</v>
      </c>
      <c r="Q282" s="13" t="str">
        <f>_xlfn.XLOOKUP(Table1[[#This Row],[Saving_Acct_Status]],Table5[Saving_Acct_Original],Table5[Category])</f>
        <v>Low Savings</v>
      </c>
      <c r="R282" t="s">
        <v>27</v>
      </c>
      <c r="S282" s="2" t="str">
        <f>IF(
      OR(Table1[[#This Row],[Job_Type]] = "high qualif/self emp/mgmt", Table1[[#This Row],[Job_Type]] = "skilled"),
      "Skilled", "Unskilled")</f>
        <v>Unskilled</v>
      </c>
      <c r="T282" t="str">
        <f>IF(Table1[[#This Row],[Job_Type]] = "unemp/unskilled non res", "Unemployed", "Employed")</f>
        <v>Employed</v>
      </c>
      <c r="U282" t="s">
        <v>45</v>
      </c>
      <c r="V282" s="14" t="str" cm="1">
        <f t="array" ref="V28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82" t="s">
        <v>31</v>
      </c>
      <c r="X282" s="2" t="str">
        <f>_xlfn.XLOOKUP(Table1[[#This Row],[Loan_Credit_History]],Table4[Credit History],Table4[[ Category]])</f>
        <v>Existing Credits Paid</v>
      </c>
      <c r="Y282" s="3">
        <v>4</v>
      </c>
      <c r="Z282" s="3">
        <v>1</v>
      </c>
      <c r="AA282" s="5">
        <v>1246</v>
      </c>
      <c r="AB282" t="s">
        <v>151</v>
      </c>
      <c r="AC282" s="2" t="str" cm="1">
        <f t="array" ref="AC282">_xlfn.IFS(Table1[[#This Row],[Others_Parties]] = "No", "None",
Table1[[#This Row],[Others_Parties]] = "co applicant", "Co-applicant",
Table1[[#This Row],[Others_Parties]] = "guarantor", "Guarantor")</f>
        <v>None</v>
      </c>
      <c r="AD282" s="13" t="s">
        <v>147</v>
      </c>
      <c r="AE282" s="2" t="s">
        <v>141</v>
      </c>
      <c r="AF282" s="28" t="str" cm="1">
        <f t="array" ref="AF28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82" s="21">
        <v>24</v>
      </c>
      <c r="AH282" s="2" t="s">
        <v>153</v>
      </c>
      <c r="AI282"/>
      <c r="AZ282"/>
      <c r="BC282"/>
      <c r="BE282"/>
      <c r="BL282"/>
      <c r="BZ282"/>
      <c r="CA282"/>
      <c r="CF282"/>
      <c r="CG282"/>
      <c r="CH282"/>
      <c r="CI282"/>
      <c r="CK282"/>
      <c r="CN282"/>
    </row>
    <row r="283" spans="1:92" x14ac:dyDescent="0.3">
      <c r="A283" s="4">
        <v>281</v>
      </c>
      <c r="B283" s="11">
        <v>28</v>
      </c>
      <c r="C283" s="2" t="str">
        <f>_xlfn.XLOOKUP(Table1[[#This Row],[Age]],Table7[Start_Age],Table7[Age_Range],,-1)</f>
        <v>19-29</v>
      </c>
      <c r="D283" t="s">
        <v>134</v>
      </c>
      <c r="E283" s="2" t="s">
        <v>129</v>
      </c>
      <c r="F283" s="2" t="s">
        <v>135</v>
      </c>
      <c r="G283" s="3">
        <v>1</v>
      </c>
      <c r="H283" s="13" t="s">
        <v>152</v>
      </c>
      <c r="I283" s="2" t="str" cm="1">
        <f t="array" ref="I283">_xlfn.IFS(Table1[[#This Row],[Job_Type]] = "unskilled resident", "Resident",
Table1[[#This Row],[Job_Type]] = "unemp/unskilled non res", "Non-resident",
TRUE, "Unknown")</f>
        <v>Unknown</v>
      </c>
      <c r="J283" s="2" t="s">
        <v>148</v>
      </c>
      <c r="K283" s="3">
        <v>2</v>
      </c>
      <c r="L283" s="2" t="s">
        <v>144</v>
      </c>
      <c r="M283" s="13" t="s">
        <v>151</v>
      </c>
      <c r="N283" t="s">
        <v>17</v>
      </c>
      <c r="O283" s="2" t="str">
        <f>_xlfn.XLOOKUP(Table1[[#This Row],[Checking_Acct_Status]],Table3[Checking_Acct_Original],Table3[Category])</f>
        <v>No Account</v>
      </c>
      <c r="P283" s="10" t="s">
        <v>32</v>
      </c>
      <c r="Q283" s="13" t="str">
        <f>_xlfn.XLOOKUP(Table1[[#This Row],[Saving_Acct_Status]],Table5[Saving_Acct_Original],Table5[Category])</f>
        <v>Low Savings</v>
      </c>
      <c r="R283" t="s">
        <v>41</v>
      </c>
      <c r="S283" s="2" t="str">
        <f>IF(
      OR(Table1[[#This Row],[Job_Type]] = "high qualif/self emp/mgmt", Table1[[#This Row],[Job_Type]] = "skilled"),
      "Skilled", "Unskilled")</f>
        <v>Skilled</v>
      </c>
      <c r="T283" t="str">
        <f>IF(Table1[[#This Row],[Job_Type]] = "unemp/unskilled non res", "Unemployed", "Employed")</f>
        <v>Employed</v>
      </c>
      <c r="U283" t="s">
        <v>45</v>
      </c>
      <c r="V283" s="14" t="str" cm="1">
        <f t="array" ref="V28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83" t="s">
        <v>31</v>
      </c>
      <c r="X283" s="2" t="str">
        <f>_xlfn.XLOOKUP(Table1[[#This Row],[Loan_Credit_History]],Table4[Credit History],Table4[[ Category]])</f>
        <v>Existing Credits Paid</v>
      </c>
      <c r="Y283" s="3">
        <v>4</v>
      </c>
      <c r="Z283" s="3">
        <v>1</v>
      </c>
      <c r="AA283" s="5">
        <v>1249</v>
      </c>
      <c r="AB283" t="s">
        <v>151</v>
      </c>
      <c r="AC283" s="2" t="str" cm="1">
        <f t="array" ref="AC283">_xlfn.IFS(Table1[[#This Row],[Others_Parties]] = "No", "None",
Table1[[#This Row],[Others_Parties]] = "co applicant", "Co-applicant",
Table1[[#This Row],[Others_Parties]] = "guarantor", "Guarantor")</f>
        <v>None</v>
      </c>
      <c r="AD283" s="13" t="s">
        <v>145</v>
      </c>
      <c r="AE283" s="2" t="s">
        <v>141</v>
      </c>
      <c r="AF283" s="28" t="str" cm="1">
        <f t="array" ref="AF28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83" s="21">
        <v>24</v>
      </c>
      <c r="AH283" s="2" t="s">
        <v>154</v>
      </c>
      <c r="AI283"/>
      <c r="AZ283"/>
      <c r="BC283"/>
      <c r="BE283"/>
      <c r="BL283"/>
      <c r="BZ283"/>
      <c r="CA283"/>
      <c r="CF283"/>
      <c r="CG283"/>
      <c r="CH283"/>
      <c r="CI283"/>
      <c r="CK283"/>
      <c r="CN283"/>
    </row>
    <row r="284" spans="1:92" x14ac:dyDescent="0.3">
      <c r="A284" s="4">
        <v>282</v>
      </c>
      <c r="B284" s="11">
        <v>25</v>
      </c>
      <c r="C284" s="2" t="str">
        <f>_xlfn.XLOOKUP(Table1[[#This Row],[Age]],Table7[Start_Age],Table7[Age_Range],,-1)</f>
        <v>19-29</v>
      </c>
      <c r="D284" t="s">
        <v>130</v>
      </c>
      <c r="E284" s="2" t="s">
        <v>129</v>
      </c>
      <c r="F284" s="2" t="s">
        <v>133</v>
      </c>
      <c r="G284" s="3">
        <v>1</v>
      </c>
      <c r="H284" s="13" t="s">
        <v>152</v>
      </c>
      <c r="I284" s="2" t="str" cm="1">
        <f t="array" ref="I284">_xlfn.IFS(Table1[[#This Row],[Job_Type]] = "unskilled resident", "Resident",
Table1[[#This Row],[Job_Type]] = "unemp/unskilled non res", "Non-resident",
TRUE, "Unknown")</f>
        <v>Unknown</v>
      </c>
      <c r="J284" s="2" t="s">
        <v>148</v>
      </c>
      <c r="K284" s="3">
        <v>1</v>
      </c>
      <c r="L284" s="2" t="s">
        <v>144</v>
      </c>
      <c r="M284" s="13" t="s">
        <v>152</v>
      </c>
      <c r="N284" t="s">
        <v>17</v>
      </c>
      <c r="O284" s="2" t="str">
        <f>_xlfn.XLOOKUP(Table1[[#This Row],[Checking_Acct_Status]],Table3[Checking_Acct_Original],Table3[Category])</f>
        <v>No Account</v>
      </c>
      <c r="P284" s="10" t="s">
        <v>32</v>
      </c>
      <c r="Q284" s="13" t="str">
        <f>_xlfn.XLOOKUP(Table1[[#This Row],[Saving_Acct_Status]],Table5[Saving_Acct_Original],Table5[Category])</f>
        <v>Low Savings</v>
      </c>
      <c r="R284" t="s">
        <v>41</v>
      </c>
      <c r="S284" s="2" t="str">
        <f>IF(
      OR(Table1[[#This Row],[Job_Type]] = "high qualif/self emp/mgmt", Table1[[#This Row],[Job_Type]] = "skilled"),
      "Skilled", "Unskilled")</f>
        <v>Skilled</v>
      </c>
      <c r="T284" t="str">
        <f>IF(Table1[[#This Row],[Job_Type]] = "unemp/unskilled non res", "Unemployed", "Employed")</f>
        <v>Employed</v>
      </c>
      <c r="U284" t="s">
        <v>49</v>
      </c>
      <c r="V284" s="14" t="str" cm="1">
        <f t="array" ref="V28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84" t="s">
        <v>31</v>
      </c>
      <c r="X284" s="2" t="str">
        <f>_xlfn.XLOOKUP(Table1[[#This Row],[Loan_Credit_History]],Table4[Credit History],Table4[[ Category]])</f>
        <v>Existing Credits Paid</v>
      </c>
      <c r="Y284" s="3">
        <v>4</v>
      </c>
      <c r="Z284" s="3">
        <v>1</v>
      </c>
      <c r="AA284" s="5">
        <v>1258</v>
      </c>
      <c r="AB284" t="s">
        <v>151</v>
      </c>
      <c r="AC284" s="2" t="str" cm="1">
        <f t="array" ref="AC284">_xlfn.IFS(Table1[[#This Row],[Others_Parties]] = "No", "None",
Table1[[#This Row],[Others_Parties]] = "co applicant", "Co-applicant",
Table1[[#This Row],[Others_Parties]] = "guarantor", "Guarantor")</f>
        <v>None</v>
      </c>
      <c r="AD284" s="13" t="s">
        <v>145</v>
      </c>
      <c r="AE284" s="2" t="s">
        <v>105</v>
      </c>
      <c r="AF284" s="28" t="str" cm="1">
        <f t="array" ref="AF28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84" s="21">
        <v>24</v>
      </c>
      <c r="AH284" s="2" t="s">
        <v>154</v>
      </c>
      <c r="AI284"/>
      <c r="AZ284"/>
      <c r="BC284"/>
      <c r="BE284"/>
      <c r="BL284"/>
      <c r="BZ284"/>
      <c r="CA284"/>
      <c r="CF284"/>
      <c r="CG284"/>
      <c r="CH284"/>
      <c r="CI284"/>
      <c r="CK284"/>
      <c r="CN284"/>
    </row>
    <row r="285" spans="1:92" x14ac:dyDescent="0.3">
      <c r="A285" s="4">
        <v>283</v>
      </c>
      <c r="B285" s="11">
        <v>57</v>
      </c>
      <c r="C285" s="2" t="str">
        <f>_xlfn.XLOOKUP(Table1[[#This Row],[Age]],Table7[Start_Age],Table7[Age_Range],,-1)</f>
        <v>49-59</v>
      </c>
      <c r="D285" t="s">
        <v>136</v>
      </c>
      <c r="E285" s="2" t="s">
        <v>131</v>
      </c>
      <c r="F285" s="2" t="s">
        <v>137</v>
      </c>
      <c r="G285" s="3">
        <v>1</v>
      </c>
      <c r="H285" s="13" t="s">
        <v>152</v>
      </c>
      <c r="I285" s="2" t="str" cm="1">
        <f t="array" ref="I285">_xlfn.IFS(Table1[[#This Row],[Job_Type]] = "unskilled resident", "Resident",
Table1[[#This Row],[Job_Type]] = "unemp/unskilled non res", "Non-resident",
TRUE, "Unknown")</f>
        <v>Resident</v>
      </c>
      <c r="J285" s="2" t="s">
        <v>148</v>
      </c>
      <c r="K285" s="3">
        <v>3</v>
      </c>
      <c r="L285" s="2" t="s">
        <v>140</v>
      </c>
      <c r="M285" s="13" t="s">
        <v>151</v>
      </c>
      <c r="N285" t="s">
        <v>50</v>
      </c>
      <c r="O285" s="2" t="str">
        <f>_xlfn.XLOOKUP(Table1[[#This Row],[Checking_Acct_Status]],Table3[Checking_Acct_Original],Table3[Category])</f>
        <v>High Balance</v>
      </c>
      <c r="P285" s="10" t="s">
        <v>37</v>
      </c>
      <c r="Q285" s="13" t="str">
        <f>_xlfn.XLOOKUP(Table1[[#This Row],[Saving_Acct_Status]],Table5[Saving_Acct_Original],Table5[Category])</f>
        <v>High Savings</v>
      </c>
      <c r="R285" t="s">
        <v>27</v>
      </c>
      <c r="S285" s="2" t="str">
        <f>IF(
      OR(Table1[[#This Row],[Job_Type]] = "high qualif/self emp/mgmt", Table1[[#This Row],[Job_Type]] = "skilled"),
      "Skilled", "Unskilled")</f>
        <v>Unskilled</v>
      </c>
      <c r="T285" t="str">
        <f>IF(Table1[[#This Row],[Job_Type]] = "unemp/unskilled non res", "Unemployed", "Employed")</f>
        <v>Employed</v>
      </c>
      <c r="U285" t="s">
        <v>21</v>
      </c>
      <c r="V285" s="14" t="str" cm="1">
        <f t="array" ref="V28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85" t="s">
        <v>31</v>
      </c>
      <c r="X285" s="2" t="str">
        <f>_xlfn.XLOOKUP(Table1[[#This Row],[Loan_Credit_History]],Table4[Credit History],Table4[[ Category]])</f>
        <v>Existing Credits Paid</v>
      </c>
      <c r="Y285" s="3">
        <v>3</v>
      </c>
      <c r="Z285" s="3">
        <v>1</v>
      </c>
      <c r="AA285" s="5">
        <v>1258</v>
      </c>
      <c r="AB285" t="s">
        <v>151</v>
      </c>
      <c r="AC285" s="2" t="str" cm="1">
        <f t="array" ref="AC285">_xlfn.IFS(Table1[[#This Row],[Others_Parties]] = "No", "None",
Table1[[#This Row],[Others_Parties]] = "co applicant", "Co-applicant",
Table1[[#This Row],[Others_Parties]] = "guarantor", "Guarantor")</f>
        <v>None</v>
      </c>
      <c r="AD285" s="13" t="s">
        <v>145</v>
      </c>
      <c r="AE285" s="2" t="s">
        <v>111</v>
      </c>
      <c r="AF285" s="28" t="str" cm="1">
        <f t="array" ref="AF28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85" s="21">
        <v>24</v>
      </c>
      <c r="AH285" s="2" t="s">
        <v>154</v>
      </c>
      <c r="AI285"/>
      <c r="AZ285"/>
      <c r="BC285"/>
      <c r="BE285"/>
      <c r="BL285"/>
      <c r="BZ285"/>
      <c r="CA285"/>
      <c r="CF285"/>
      <c r="CG285"/>
      <c r="CH285"/>
      <c r="CI285"/>
      <c r="CK285"/>
      <c r="CN285"/>
    </row>
    <row r="286" spans="1:92" x14ac:dyDescent="0.3">
      <c r="A286" s="4">
        <v>284</v>
      </c>
      <c r="B286" s="11">
        <v>36</v>
      </c>
      <c r="C286" s="2" t="str">
        <f>_xlfn.XLOOKUP(Table1[[#This Row],[Age]],Table7[Start_Age],Table7[Age_Range],,-1)</f>
        <v>29-39</v>
      </c>
      <c r="D286" t="s">
        <v>138</v>
      </c>
      <c r="E286" s="2" t="s">
        <v>129</v>
      </c>
      <c r="F286" s="2" t="s">
        <v>178</v>
      </c>
      <c r="G286" s="3">
        <v>1</v>
      </c>
      <c r="H286" s="13" t="s">
        <v>152</v>
      </c>
      <c r="I286" s="2" t="str" cm="1">
        <f t="array" ref="I286">_xlfn.IFS(Table1[[#This Row],[Job_Type]] = "unskilled resident", "Resident",
Table1[[#This Row],[Job_Type]] = "unemp/unskilled non res", "Non-resident",
TRUE, "Unknown")</f>
        <v>Unknown</v>
      </c>
      <c r="J286" s="2" t="s">
        <v>148</v>
      </c>
      <c r="K286" s="3">
        <v>4</v>
      </c>
      <c r="L286" s="2" t="s">
        <v>144</v>
      </c>
      <c r="M286" s="13" t="s">
        <v>152</v>
      </c>
      <c r="N286" t="s">
        <v>50</v>
      </c>
      <c r="O286" s="2" t="str">
        <f>_xlfn.XLOOKUP(Table1[[#This Row],[Checking_Acct_Status]],Table3[Checking_Acct_Original],Table3[Category])</f>
        <v>High Balance</v>
      </c>
      <c r="P286" s="10" t="s">
        <v>20</v>
      </c>
      <c r="Q286" s="13" t="str">
        <f>_xlfn.XLOOKUP(Table1[[#This Row],[Saving_Acct_Status]],Table5[Saving_Acct_Original],Table5[Category])</f>
        <v>Very High Savings</v>
      </c>
      <c r="R286" t="s">
        <v>41</v>
      </c>
      <c r="S286" s="2" t="str">
        <f>IF(
      OR(Table1[[#This Row],[Job_Type]] = "high qualif/self emp/mgmt", Table1[[#This Row],[Job_Type]] = "skilled"),
      "Skilled", "Unskilled")</f>
        <v>Skilled</v>
      </c>
      <c r="T286" t="str">
        <f>IF(Table1[[#This Row],[Job_Type]] = "unemp/unskilled non res", "Unemployed", "Employed")</f>
        <v>Employed</v>
      </c>
      <c r="U286" t="s">
        <v>21</v>
      </c>
      <c r="V286" s="14" t="str" cm="1">
        <f t="array" ref="V28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86" t="s">
        <v>103</v>
      </c>
      <c r="X286" s="2" t="str">
        <f>_xlfn.XLOOKUP(Table1[[#This Row],[Loan_Credit_History]],Table4[Credit History],Table4[[ Category]])</f>
        <v>Critical Credit History</v>
      </c>
      <c r="Y286" s="3">
        <v>2</v>
      </c>
      <c r="Z286" s="3">
        <v>2</v>
      </c>
      <c r="AA286" s="5">
        <v>1275</v>
      </c>
      <c r="AB286" t="s">
        <v>151</v>
      </c>
      <c r="AC286" s="2" t="str" cm="1">
        <f t="array" ref="AC286">_xlfn.IFS(Table1[[#This Row],[Others_Parties]] = "No", "None",
Table1[[#This Row],[Others_Parties]] = "co applicant", "Co-applicant",
Table1[[#This Row],[Others_Parties]] = "guarantor", "Guarantor")</f>
        <v>None</v>
      </c>
      <c r="AD286" s="13" t="s">
        <v>145</v>
      </c>
      <c r="AE286" s="2" t="s">
        <v>105</v>
      </c>
      <c r="AF286" s="28" t="str" cm="1">
        <f t="array" ref="AF28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86" s="21">
        <v>24</v>
      </c>
      <c r="AH286" s="2" t="s">
        <v>154</v>
      </c>
      <c r="AI286"/>
      <c r="AZ286"/>
      <c r="BC286"/>
      <c r="BE286"/>
      <c r="BL286"/>
      <c r="BZ286"/>
      <c r="CA286"/>
      <c r="CF286"/>
      <c r="CG286"/>
      <c r="CH286"/>
      <c r="CI286"/>
      <c r="CK286"/>
      <c r="CN286"/>
    </row>
    <row r="287" spans="1:92" x14ac:dyDescent="0.3">
      <c r="A287" s="4">
        <v>285</v>
      </c>
      <c r="B287" s="11">
        <v>36</v>
      </c>
      <c r="C287" s="2" t="str">
        <f>_xlfn.XLOOKUP(Table1[[#This Row],[Age]],Table7[Start_Age],Table7[Age_Range],,-1)</f>
        <v>29-39</v>
      </c>
      <c r="D287" t="s">
        <v>130</v>
      </c>
      <c r="E287" s="2" t="s">
        <v>129</v>
      </c>
      <c r="F287" s="2" t="s">
        <v>133</v>
      </c>
      <c r="G287" s="3">
        <v>1</v>
      </c>
      <c r="H287" s="13" t="s">
        <v>152</v>
      </c>
      <c r="I287" s="2" t="str" cm="1">
        <f t="array" ref="I287">_xlfn.IFS(Table1[[#This Row],[Job_Type]] = "unskilled resident", "Resident",
Table1[[#This Row],[Job_Type]] = "unemp/unskilled non res", "Non-resident",
TRUE, "Unknown")</f>
        <v>Unknown</v>
      </c>
      <c r="J287" s="2" t="s">
        <v>148</v>
      </c>
      <c r="K287" s="3">
        <v>1</v>
      </c>
      <c r="L287" s="2" t="s">
        <v>144</v>
      </c>
      <c r="M287" s="13" t="s">
        <v>152</v>
      </c>
      <c r="N287" t="s">
        <v>17</v>
      </c>
      <c r="O287" s="2" t="str">
        <f>_xlfn.XLOOKUP(Table1[[#This Row],[Checking_Acct_Status]],Table3[Checking_Acct_Original],Table3[Category])</f>
        <v>No Account</v>
      </c>
      <c r="P287" s="10" t="s">
        <v>32</v>
      </c>
      <c r="Q287" s="13" t="str">
        <f>_xlfn.XLOOKUP(Table1[[#This Row],[Saving_Acct_Status]],Table5[Saving_Acct_Original],Table5[Category])</f>
        <v>Low Savings</v>
      </c>
      <c r="R287" t="s">
        <v>63</v>
      </c>
      <c r="S287" s="2" t="str">
        <f>IF(
      OR(Table1[[#This Row],[Job_Type]] = "high qualif/self emp/mgmt", Table1[[#This Row],[Job_Type]] = "skilled"),
      "Skilled", "Unskilled")</f>
        <v>Skilled</v>
      </c>
      <c r="T287" t="str">
        <f>IF(Table1[[#This Row],[Job_Type]] = "unemp/unskilled non res", "Unemployed", "Employed")</f>
        <v>Employed</v>
      </c>
      <c r="U287" t="s">
        <v>38</v>
      </c>
      <c r="V287" s="14" t="str" cm="1">
        <f t="array" ref="V28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87" t="s">
        <v>31</v>
      </c>
      <c r="X287" s="2" t="str">
        <f>_xlfn.XLOOKUP(Table1[[#This Row],[Loan_Credit_History]],Table4[Credit History],Table4[[ Category]])</f>
        <v>Existing Credits Paid</v>
      </c>
      <c r="Y287" s="3">
        <v>4</v>
      </c>
      <c r="Z287" s="3">
        <v>1</v>
      </c>
      <c r="AA287" s="5">
        <v>1278</v>
      </c>
      <c r="AB287" t="s">
        <v>151</v>
      </c>
      <c r="AC287" s="2" t="str" cm="1">
        <f t="array" ref="AC287">_xlfn.IFS(Table1[[#This Row],[Others_Parties]] = "No", "None",
Table1[[#This Row],[Others_Parties]] = "co applicant", "Co-applicant",
Table1[[#This Row],[Others_Parties]] = "guarantor", "Guarantor")</f>
        <v>None</v>
      </c>
      <c r="AD287" s="13" t="s">
        <v>145</v>
      </c>
      <c r="AE287" s="2" t="s">
        <v>111</v>
      </c>
      <c r="AF287" s="28" t="str" cm="1">
        <f t="array" ref="AF28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87" s="21">
        <v>24</v>
      </c>
      <c r="AH287" s="2" t="s">
        <v>154</v>
      </c>
      <c r="AI287"/>
      <c r="AZ287"/>
      <c r="BC287"/>
      <c r="BE287"/>
      <c r="BL287"/>
      <c r="BZ287"/>
      <c r="CA287"/>
      <c r="CF287"/>
      <c r="CG287"/>
      <c r="CH287"/>
      <c r="CI287"/>
      <c r="CK287"/>
      <c r="CN287"/>
    </row>
    <row r="288" spans="1:92" x14ac:dyDescent="0.3">
      <c r="A288" s="4">
        <v>286</v>
      </c>
      <c r="B288" s="11">
        <v>32</v>
      </c>
      <c r="C288" s="2" t="str">
        <f>_xlfn.XLOOKUP(Table1[[#This Row],[Age]],Table7[Start_Age],Table7[Age_Range],,-1)</f>
        <v>29-39</v>
      </c>
      <c r="D288" t="s">
        <v>136</v>
      </c>
      <c r="E288" s="2" t="s">
        <v>131</v>
      </c>
      <c r="F288" s="2" t="s">
        <v>137</v>
      </c>
      <c r="G288" s="3">
        <v>1</v>
      </c>
      <c r="H288" s="13" t="s">
        <v>152</v>
      </c>
      <c r="I288" s="2" t="str" cm="1">
        <f t="array" ref="I288">_xlfn.IFS(Table1[[#This Row],[Job_Type]] = "unskilled resident", "Resident",
Table1[[#This Row],[Job_Type]] = "unemp/unskilled non res", "Non-resident",
TRUE, "Unknown")</f>
        <v>Resident</v>
      </c>
      <c r="J288" s="2" t="s">
        <v>148</v>
      </c>
      <c r="K288" s="3">
        <v>2</v>
      </c>
      <c r="L288" s="2" t="s">
        <v>140</v>
      </c>
      <c r="M288" s="13" t="s">
        <v>151</v>
      </c>
      <c r="N288" t="s">
        <v>35</v>
      </c>
      <c r="O288" s="2" t="str">
        <f>_xlfn.XLOOKUP(Table1[[#This Row],[Checking_Acct_Status]],Table3[Checking_Acct_Original],Table3[Category])</f>
        <v>Negative Balance</v>
      </c>
      <c r="P288" s="10" t="s">
        <v>46</v>
      </c>
      <c r="Q288" s="13" t="str">
        <f>_xlfn.XLOOKUP(Table1[[#This Row],[Saving_Acct_Status]],Table5[Saving_Acct_Original],Table5[Category])</f>
        <v>Medium Savings</v>
      </c>
      <c r="R288" t="s">
        <v>27</v>
      </c>
      <c r="S288" s="2" t="str">
        <f>IF(
      OR(Table1[[#This Row],[Job_Type]] = "high qualif/self emp/mgmt", Table1[[#This Row],[Job_Type]] = "skilled"),
      "Skilled", "Unskilled")</f>
        <v>Unskilled</v>
      </c>
      <c r="T288" t="str">
        <f>IF(Table1[[#This Row],[Job_Type]] = "unemp/unskilled non res", "Unemployed", "Employed")</f>
        <v>Employed</v>
      </c>
      <c r="U288" t="s">
        <v>21</v>
      </c>
      <c r="V288" s="14" t="str" cm="1">
        <f t="array" ref="V28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88" t="s">
        <v>31</v>
      </c>
      <c r="X288" s="2" t="str">
        <f>_xlfn.XLOOKUP(Table1[[#This Row],[Loan_Credit_History]],Table4[Credit History],Table4[[ Category]])</f>
        <v>Existing Credits Paid</v>
      </c>
      <c r="Y288" s="3">
        <v>4</v>
      </c>
      <c r="Z288" s="3">
        <v>1</v>
      </c>
      <c r="AA288" s="5">
        <v>1282</v>
      </c>
      <c r="AB288" t="s">
        <v>151</v>
      </c>
      <c r="AC288" s="2" t="str" cm="1">
        <f t="array" ref="AC288">_xlfn.IFS(Table1[[#This Row],[Others_Parties]] = "No", "None",
Table1[[#This Row],[Others_Parties]] = "co applicant", "Co-applicant",
Table1[[#This Row],[Others_Parties]] = "guarantor", "Guarantor")</f>
        <v>None</v>
      </c>
      <c r="AD288" s="13" t="s">
        <v>145</v>
      </c>
      <c r="AE288" s="2" t="s">
        <v>111</v>
      </c>
      <c r="AF288" s="28" t="str" cm="1">
        <f t="array" ref="AF28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88" s="21">
        <v>24</v>
      </c>
      <c r="AH288" s="2" t="s">
        <v>153</v>
      </c>
      <c r="AI288"/>
      <c r="AZ288"/>
      <c r="BC288"/>
      <c r="BE288"/>
      <c r="BL288"/>
      <c r="BZ288"/>
      <c r="CA288"/>
      <c r="CF288"/>
      <c r="CG288"/>
      <c r="CH288"/>
      <c r="CI288"/>
      <c r="CK288"/>
      <c r="CN288"/>
    </row>
    <row r="289" spans="1:92" x14ac:dyDescent="0.3">
      <c r="A289" s="4">
        <v>287</v>
      </c>
      <c r="B289" s="11">
        <v>32</v>
      </c>
      <c r="C289" s="2" t="str">
        <f>_xlfn.XLOOKUP(Table1[[#This Row],[Age]],Table7[Start_Age],Table7[Age_Range],,-1)</f>
        <v>29-39</v>
      </c>
      <c r="D289" t="s">
        <v>136</v>
      </c>
      <c r="E289" s="2" t="s">
        <v>131</v>
      </c>
      <c r="F289" s="2" t="s">
        <v>137</v>
      </c>
      <c r="G289" s="3">
        <v>1</v>
      </c>
      <c r="H289" s="13" t="s">
        <v>152</v>
      </c>
      <c r="I289" s="2" t="str" cm="1">
        <f t="array" ref="I289">_xlfn.IFS(Table1[[#This Row],[Job_Type]] = "unskilled resident", "Resident",
Table1[[#This Row],[Job_Type]] = "unemp/unskilled non res", "Non-resident",
TRUE, "Unknown")</f>
        <v>Unknown</v>
      </c>
      <c r="J289" s="2" t="s">
        <v>149</v>
      </c>
      <c r="K289" s="3">
        <v>4</v>
      </c>
      <c r="L289" s="2" t="s">
        <v>142</v>
      </c>
      <c r="M289" s="13" t="s">
        <v>151</v>
      </c>
      <c r="N289" t="s">
        <v>35</v>
      </c>
      <c r="O289" s="2" t="str">
        <f>_xlfn.XLOOKUP(Table1[[#This Row],[Checking_Acct_Status]],Table3[Checking_Acct_Original],Table3[Category])</f>
        <v>Negative Balance</v>
      </c>
      <c r="P289" s="10" t="s">
        <v>47</v>
      </c>
      <c r="Q289" s="13" t="str">
        <f>_xlfn.XLOOKUP(Table1[[#This Row],[Saving_Acct_Status]],Table5[Saving_Acct_Original],Table5[Category])</f>
        <v>No Savings</v>
      </c>
      <c r="R289" t="s">
        <v>41</v>
      </c>
      <c r="S289" s="2" t="str">
        <f>IF(
      OR(Table1[[#This Row],[Job_Type]] = "high qualif/self emp/mgmt", Table1[[#This Row],[Job_Type]] = "skilled"),
      "Skilled", "Unskilled")</f>
        <v>Skilled</v>
      </c>
      <c r="T289" t="str">
        <f>IF(Table1[[#This Row],[Job_Type]] = "unemp/unskilled non res", "Unemployed", "Employed")</f>
        <v>Employed</v>
      </c>
      <c r="U289" t="s">
        <v>49</v>
      </c>
      <c r="V289" s="14" t="str" cm="1">
        <f t="array" ref="V28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89" t="s">
        <v>31</v>
      </c>
      <c r="X289" s="2" t="str">
        <f>_xlfn.XLOOKUP(Table1[[#This Row],[Loan_Credit_History]],Table4[Credit History],Table4[[ Category]])</f>
        <v>Existing Credits Paid</v>
      </c>
      <c r="Y289" s="3">
        <v>4</v>
      </c>
      <c r="Z289" s="3">
        <v>1</v>
      </c>
      <c r="AA289" s="5">
        <v>1285</v>
      </c>
      <c r="AB289" t="s">
        <v>151</v>
      </c>
      <c r="AC289" s="2" t="str" cm="1">
        <f t="array" ref="AC289">_xlfn.IFS(Table1[[#This Row],[Others_Parties]] = "No", "None",
Table1[[#This Row],[Others_Parties]] = "co applicant", "Co-applicant",
Table1[[#This Row],[Others_Parties]] = "guarantor", "Guarantor")</f>
        <v>None</v>
      </c>
      <c r="AD289" s="13" t="s">
        <v>145</v>
      </c>
      <c r="AE289" s="2" t="s">
        <v>141</v>
      </c>
      <c r="AF289" s="28" t="str" cm="1">
        <f t="array" ref="AF28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89" s="21">
        <v>24</v>
      </c>
      <c r="AH289" s="2" t="s">
        <v>153</v>
      </c>
      <c r="AI289"/>
      <c r="AZ289"/>
      <c r="BC289"/>
      <c r="BE289"/>
      <c r="BL289"/>
      <c r="BZ289"/>
      <c r="CA289"/>
      <c r="CF289"/>
      <c r="CG289"/>
      <c r="CH289"/>
      <c r="CI289"/>
      <c r="CK289"/>
      <c r="CN289"/>
    </row>
    <row r="290" spans="1:92" x14ac:dyDescent="0.3">
      <c r="A290" s="4">
        <v>288</v>
      </c>
      <c r="B290" s="11">
        <v>37</v>
      </c>
      <c r="C290" s="2" t="str">
        <f>_xlfn.XLOOKUP(Table1[[#This Row],[Age]],Table7[Start_Age],Table7[Age_Range],,-1)</f>
        <v>29-39</v>
      </c>
      <c r="D290" t="s">
        <v>136</v>
      </c>
      <c r="E290" s="2" t="s">
        <v>131</v>
      </c>
      <c r="F290" s="2" t="s">
        <v>137</v>
      </c>
      <c r="G290" s="3">
        <v>1</v>
      </c>
      <c r="H290" s="13" t="s">
        <v>152</v>
      </c>
      <c r="I290" s="2" t="str" cm="1">
        <f t="array" ref="I290">_xlfn.IFS(Table1[[#This Row],[Job_Type]] = "unskilled resident", "Resident",
Table1[[#This Row],[Job_Type]] = "unemp/unskilled non res", "Non-resident",
TRUE, "Unknown")</f>
        <v>Unknown</v>
      </c>
      <c r="J290" s="2" t="s">
        <v>148</v>
      </c>
      <c r="K290" s="3">
        <v>4</v>
      </c>
      <c r="L290" s="2" t="s">
        <v>144</v>
      </c>
      <c r="M290" s="13" t="s">
        <v>152</v>
      </c>
      <c r="N290" t="s">
        <v>17</v>
      </c>
      <c r="O290" s="2" t="str">
        <f>_xlfn.XLOOKUP(Table1[[#This Row],[Checking_Acct_Status]],Table3[Checking_Acct_Original],Table3[Category])</f>
        <v>No Account</v>
      </c>
      <c r="P290" s="10" t="s">
        <v>20</v>
      </c>
      <c r="Q290" s="13" t="str">
        <f>_xlfn.XLOOKUP(Table1[[#This Row],[Saving_Acct_Status]],Table5[Saving_Acct_Original],Table5[Category])</f>
        <v>Very High Savings</v>
      </c>
      <c r="R290" t="s">
        <v>41</v>
      </c>
      <c r="S290" s="2" t="str">
        <f>IF(
      OR(Table1[[#This Row],[Job_Type]] = "high qualif/self emp/mgmt", Table1[[#This Row],[Job_Type]] = "skilled"),
      "Skilled", "Unskilled")</f>
        <v>Skilled</v>
      </c>
      <c r="T290" t="str">
        <f>IF(Table1[[#This Row],[Job_Type]] = "unemp/unskilled non res", "Unemployed", "Employed")</f>
        <v>Employed</v>
      </c>
      <c r="U290" t="s">
        <v>38</v>
      </c>
      <c r="V290" s="14" t="str" cm="1">
        <f t="array" ref="V29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90" t="s">
        <v>103</v>
      </c>
      <c r="X290" s="2" t="str">
        <f>_xlfn.XLOOKUP(Table1[[#This Row],[Loan_Credit_History]],Table4[Credit History],Table4[[ Category]])</f>
        <v>Critical Credit History</v>
      </c>
      <c r="Y290" s="3">
        <v>4</v>
      </c>
      <c r="Z290" s="3">
        <v>2</v>
      </c>
      <c r="AA290" s="5">
        <v>1287</v>
      </c>
      <c r="AB290" t="s">
        <v>151</v>
      </c>
      <c r="AC290" s="2" t="str" cm="1">
        <f t="array" ref="AC290">_xlfn.IFS(Table1[[#This Row],[Others_Parties]] = "No", "None",
Table1[[#This Row],[Others_Parties]] = "co applicant", "Co-applicant",
Table1[[#This Row],[Others_Parties]] = "guarantor", "Guarantor")</f>
        <v>None</v>
      </c>
      <c r="AD290" s="13" t="s">
        <v>145</v>
      </c>
      <c r="AE290" s="2" t="s">
        <v>141</v>
      </c>
      <c r="AF290" s="28" t="str" cm="1">
        <f t="array" ref="AF29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90" s="21">
        <v>24</v>
      </c>
      <c r="AH290" s="2" t="s">
        <v>154</v>
      </c>
      <c r="AI290"/>
      <c r="AZ290"/>
      <c r="BC290"/>
      <c r="BE290"/>
      <c r="BL290"/>
      <c r="BZ290"/>
      <c r="CA290"/>
      <c r="CF290"/>
      <c r="CG290"/>
      <c r="CH290"/>
      <c r="CI290"/>
      <c r="CK290"/>
      <c r="CN290"/>
    </row>
    <row r="291" spans="1:92" x14ac:dyDescent="0.3">
      <c r="A291" s="4">
        <v>289</v>
      </c>
      <c r="B291" s="11">
        <v>26</v>
      </c>
      <c r="C291" s="2" t="str">
        <f>_xlfn.XLOOKUP(Table1[[#This Row],[Age]],Table7[Start_Age],Table7[Age_Range],,-1)</f>
        <v>19-29</v>
      </c>
      <c r="D291" t="s">
        <v>134</v>
      </c>
      <c r="E291" s="2" t="s">
        <v>129</v>
      </c>
      <c r="F291" s="2" t="s">
        <v>135</v>
      </c>
      <c r="G291" s="3">
        <v>1</v>
      </c>
      <c r="H291" s="13" t="s">
        <v>152</v>
      </c>
      <c r="I291" s="2" t="str" cm="1">
        <f t="array" ref="I291">_xlfn.IFS(Table1[[#This Row],[Job_Type]] = "unskilled resident", "Resident",
Table1[[#This Row],[Job_Type]] = "unemp/unskilled non res", "Non-resident",
TRUE, "Unknown")</f>
        <v>Unknown</v>
      </c>
      <c r="J291" s="2" t="s">
        <v>148</v>
      </c>
      <c r="K291" s="3">
        <v>3</v>
      </c>
      <c r="L291" s="2" t="s">
        <v>143</v>
      </c>
      <c r="M291" s="13" t="s">
        <v>152</v>
      </c>
      <c r="N291" t="s">
        <v>17</v>
      </c>
      <c r="O291" s="2" t="str">
        <f>_xlfn.XLOOKUP(Table1[[#This Row],[Checking_Acct_Status]],Table3[Checking_Acct_Original],Table3[Category])</f>
        <v>No Account</v>
      </c>
      <c r="P291" s="10" t="s">
        <v>46</v>
      </c>
      <c r="Q291" s="13" t="str">
        <f>_xlfn.XLOOKUP(Table1[[#This Row],[Saving_Acct_Status]],Table5[Saving_Acct_Original],Table5[Category])</f>
        <v>Medium Savings</v>
      </c>
      <c r="R291" t="s">
        <v>41</v>
      </c>
      <c r="S291" s="2" t="str">
        <f>IF(
      OR(Table1[[#This Row],[Job_Type]] = "high qualif/self emp/mgmt", Table1[[#This Row],[Job_Type]] = "skilled"),
      "Skilled", "Unskilled")</f>
        <v>Skilled</v>
      </c>
      <c r="T291" t="str">
        <f>IF(Table1[[#This Row],[Job_Type]] = "unemp/unskilled non res", "Unemployed", "Employed")</f>
        <v>Employed</v>
      </c>
      <c r="U291" t="s">
        <v>49</v>
      </c>
      <c r="V291" s="14" t="str" cm="1">
        <f t="array" ref="V29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91" t="s">
        <v>31</v>
      </c>
      <c r="X291" s="2" t="str">
        <f>_xlfn.XLOOKUP(Table1[[#This Row],[Loan_Credit_History]],Table4[Credit History],Table4[[ Category]])</f>
        <v>Existing Credits Paid</v>
      </c>
      <c r="Y291" s="3">
        <v>4</v>
      </c>
      <c r="Z291" s="3">
        <v>1</v>
      </c>
      <c r="AA291" s="5">
        <v>1311</v>
      </c>
      <c r="AB291" t="s">
        <v>151</v>
      </c>
      <c r="AC291" s="2" t="str" cm="1">
        <f t="array" ref="AC291">_xlfn.IFS(Table1[[#This Row],[Others_Parties]] = "No", "None",
Table1[[#This Row],[Others_Parties]] = "co applicant", "Co-applicant",
Table1[[#This Row],[Others_Parties]] = "guarantor", "Guarantor")</f>
        <v>None</v>
      </c>
      <c r="AD291" s="13" t="s">
        <v>145</v>
      </c>
      <c r="AE291" s="2" t="s">
        <v>111</v>
      </c>
      <c r="AF291" s="28" t="str" cm="1">
        <f t="array" ref="AF29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91" s="21">
        <v>24</v>
      </c>
      <c r="AH291" s="2" t="s">
        <v>154</v>
      </c>
      <c r="AI291"/>
      <c r="AZ291"/>
      <c r="BC291"/>
      <c r="BE291"/>
      <c r="BL291"/>
      <c r="BZ291"/>
      <c r="CA291"/>
      <c r="CF291"/>
      <c r="CG291"/>
      <c r="CH291"/>
      <c r="CI291"/>
      <c r="CK291"/>
      <c r="CN291"/>
    </row>
    <row r="292" spans="1:92" x14ac:dyDescent="0.3">
      <c r="A292" s="4">
        <v>290</v>
      </c>
      <c r="B292" s="11">
        <v>43</v>
      </c>
      <c r="C292" s="2" t="str">
        <f>_xlfn.XLOOKUP(Table1[[#This Row],[Age]],Table7[Start_Age],Table7[Age_Range],,-1)</f>
        <v>39-49</v>
      </c>
      <c r="D292" t="s">
        <v>130</v>
      </c>
      <c r="E292" s="2" t="s">
        <v>129</v>
      </c>
      <c r="F292" s="2" t="s">
        <v>133</v>
      </c>
      <c r="G292" s="3">
        <v>2</v>
      </c>
      <c r="H292" s="13" t="s">
        <v>152</v>
      </c>
      <c r="I292" s="2" t="str" cm="1">
        <f t="array" ref="I292">_xlfn.IFS(Table1[[#This Row],[Job_Type]] = "unskilled resident", "Resident",
Table1[[#This Row],[Job_Type]] = "unemp/unskilled non res", "Non-resident",
TRUE, "Unknown")</f>
        <v>Unknown</v>
      </c>
      <c r="J292" s="2" t="s">
        <v>150</v>
      </c>
      <c r="K292" s="3">
        <v>2</v>
      </c>
      <c r="L292" s="2" t="s">
        <v>144</v>
      </c>
      <c r="M292" s="13" t="s">
        <v>151</v>
      </c>
      <c r="N292" t="s">
        <v>35</v>
      </c>
      <c r="O292" s="2" t="str">
        <f>_xlfn.XLOOKUP(Table1[[#This Row],[Checking_Acct_Status]],Table3[Checking_Acct_Original],Table3[Category])</f>
        <v>Negative Balance</v>
      </c>
      <c r="P292" s="10" t="s">
        <v>32</v>
      </c>
      <c r="Q292" s="13" t="str">
        <f>_xlfn.XLOOKUP(Table1[[#This Row],[Saving_Acct_Status]],Table5[Saving_Acct_Original],Table5[Category])</f>
        <v>Low Savings</v>
      </c>
      <c r="R292" t="s">
        <v>41</v>
      </c>
      <c r="S292" s="2" t="str">
        <f>IF(
      OR(Table1[[#This Row],[Job_Type]] = "high qualif/self emp/mgmt", Table1[[#This Row],[Job_Type]] = "skilled"),
      "Skilled", "Unskilled")</f>
        <v>Skilled</v>
      </c>
      <c r="T292" t="str">
        <f>IF(Table1[[#This Row],[Job_Type]] = "unemp/unskilled non res", "Unemployed", "Employed")</f>
        <v>Employed</v>
      </c>
      <c r="U292" t="s">
        <v>54</v>
      </c>
      <c r="V292" s="14" t="str" cm="1">
        <f t="array" ref="V292">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292" t="s">
        <v>59</v>
      </c>
      <c r="X292" s="2" t="str">
        <f>_xlfn.XLOOKUP(Table1[[#This Row],[Loan_Credit_History]],Table4[Credit History],Table4[[ Category]])</f>
        <v>Previously Delayed</v>
      </c>
      <c r="Y292" s="3">
        <v>4</v>
      </c>
      <c r="Z292" s="3">
        <v>2</v>
      </c>
      <c r="AA292" s="5">
        <v>1333</v>
      </c>
      <c r="AB292" t="s">
        <v>151</v>
      </c>
      <c r="AC292" s="2" t="str" cm="1">
        <f t="array" ref="AC292">_xlfn.IFS(Table1[[#This Row],[Others_Parties]] = "No", "None",
Table1[[#This Row],[Others_Parties]] = "co applicant", "Co-applicant",
Table1[[#This Row],[Others_Parties]] = "guarantor", "Guarantor")</f>
        <v>None</v>
      </c>
      <c r="AD292" s="13" t="s">
        <v>145</v>
      </c>
      <c r="AE292" s="2" t="s">
        <v>141</v>
      </c>
      <c r="AF292" s="28" t="str" cm="1">
        <f t="array" ref="AF29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92" s="21">
        <v>24</v>
      </c>
      <c r="AH292" s="2" t="s">
        <v>153</v>
      </c>
      <c r="AI292"/>
      <c r="AZ292"/>
      <c r="BC292"/>
      <c r="BE292"/>
      <c r="BL292"/>
      <c r="BZ292"/>
      <c r="CA292"/>
      <c r="CF292"/>
      <c r="CG292"/>
      <c r="CH292"/>
      <c r="CI292"/>
      <c r="CK292"/>
      <c r="CN292"/>
    </row>
    <row r="293" spans="1:92" x14ac:dyDescent="0.3">
      <c r="A293" s="4">
        <v>291</v>
      </c>
      <c r="B293" s="11">
        <v>37</v>
      </c>
      <c r="C293" s="2" t="str">
        <f>_xlfn.XLOOKUP(Table1[[#This Row],[Age]],Table7[Start_Age],Table7[Age_Range],,-1)</f>
        <v>29-39</v>
      </c>
      <c r="D293" t="s">
        <v>130</v>
      </c>
      <c r="E293" s="2" t="s">
        <v>129</v>
      </c>
      <c r="F293" s="2" t="s">
        <v>133</v>
      </c>
      <c r="G293" s="3">
        <v>2</v>
      </c>
      <c r="H293" s="13" t="s">
        <v>152</v>
      </c>
      <c r="I293" s="2" t="str" cm="1">
        <f t="array" ref="I293">_xlfn.IFS(Table1[[#This Row],[Job_Type]] = "unskilled resident", "Resident",
Table1[[#This Row],[Job_Type]] = "unemp/unskilled non res", "Non-resident",
TRUE, "Unknown")</f>
        <v>Resident</v>
      </c>
      <c r="J293" s="2" t="s">
        <v>148</v>
      </c>
      <c r="K293" s="3">
        <v>2</v>
      </c>
      <c r="L293" s="2" t="s">
        <v>144</v>
      </c>
      <c r="M293" s="13" t="s">
        <v>151</v>
      </c>
      <c r="N293" t="s">
        <v>50</v>
      </c>
      <c r="O293" s="2" t="str">
        <f>_xlfn.XLOOKUP(Table1[[#This Row],[Checking_Acct_Status]],Table3[Checking_Acct_Original],Table3[Category])</f>
        <v>High Balance</v>
      </c>
      <c r="P293" s="10" t="s">
        <v>47</v>
      </c>
      <c r="Q293" s="13" t="str">
        <f>_xlfn.XLOOKUP(Table1[[#This Row],[Saving_Acct_Status]],Table5[Saving_Acct_Original],Table5[Category])</f>
        <v>No Savings</v>
      </c>
      <c r="R293" t="s">
        <v>27</v>
      </c>
      <c r="S293" s="2" t="str">
        <f>IF(
      OR(Table1[[#This Row],[Job_Type]] = "high qualif/self emp/mgmt", Table1[[#This Row],[Job_Type]] = "skilled"),
      "Skilled", "Unskilled")</f>
        <v>Unskilled</v>
      </c>
      <c r="T293" t="str">
        <f>IF(Table1[[#This Row],[Job_Type]] = "unemp/unskilled non res", "Unemployed", "Employed")</f>
        <v>Employed</v>
      </c>
      <c r="U293" t="s">
        <v>49</v>
      </c>
      <c r="V293" s="14" t="str" cm="1">
        <f t="array" ref="V29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93" t="s">
        <v>103</v>
      </c>
      <c r="X293" s="2" t="str">
        <f>_xlfn.XLOOKUP(Table1[[#This Row],[Loan_Credit_History]],Table4[Credit History],Table4[[ Category]])</f>
        <v>Critical Credit History</v>
      </c>
      <c r="Y293" s="3">
        <v>4</v>
      </c>
      <c r="Z293" s="3">
        <v>2</v>
      </c>
      <c r="AA293" s="5">
        <v>1344</v>
      </c>
      <c r="AB293" t="s">
        <v>151</v>
      </c>
      <c r="AC293" s="2" t="str" cm="1">
        <f t="array" ref="AC293">_xlfn.IFS(Table1[[#This Row],[Others_Parties]] = "No", "None",
Table1[[#This Row],[Others_Parties]] = "co applicant", "Co-applicant",
Table1[[#This Row],[Others_Parties]] = "guarantor", "Guarantor")</f>
        <v>None</v>
      </c>
      <c r="AD293" s="13" t="s">
        <v>146</v>
      </c>
      <c r="AE293" s="2" t="s">
        <v>141</v>
      </c>
      <c r="AF293" s="28" t="str" cm="1">
        <f t="array" ref="AF29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93" s="21">
        <v>24</v>
      </c>
      <c r="AH293" s="2" t="s">
        <v>153</v>
      </c>
      <c r="AI293"/>
      <c r="AZ293"/>
      <c r="BC293"/>
      <c r="BE293"/>
      <c r="BL293"/>
      <c r="BZ293"/>
      <c r="CA293"/>
      <c r="CF293"/>
      <c r="CG293"/>
      <c r="CH293"/>
      <c r="CI293"/>
      <c r="CK293"/>
      <c r="CN293"/>
    </row>
    <row r="294" spans="1:92" x14ac:dyDescent="0.3">
      <c r="A294" s="4">
        <v>292</v>
      </c>
      <c r="B294" s="11">
        <v>25</v>
      </c>
      <c r="C294" s="2" t="str">
        <f>_xlfn.XLOOKUP(Table1[[#This Row],[Age]],Table7[Start_Age],Table7[Age_Range],,-1)</f>
        <v>19-29</v>
      </c>
      <c r="D294" t="s">
        <v>136</v>
      </c>
      <c r="E294" s="2" t="s">
        <v>131</v>
      </c>
      <c r="F294" s="2" t="s">
        <v>137</v>
      </c>
      <c r="G294" s="3">
        <v>1</v>
      </c>
      <c r="H294" s="13" t="s">
        <v>152</v>
      </c>
      <c r="I294" s="2" t="str" cm="1">
        <f t="array" ref="I294">_xlfn.IFS(Table1[[#This Row],[Job_Type]] = "unskilled resident", "Resident",
Table1[[#This Row],[Job_Type]] = "unemp/unskilled non res", "Non-resident",
TRUE, "Unknown")</f>
        <v>Resident</v>
      </c>
      <c r="J294" s="2" t="s">
        <v>148</v>
      </c>
      <c r="K294" s="3">
        <v>4</v>
      </c>
      <c r="L294" s="2" t="s">
        <v>140</v>
      </c>
      <c r="M294" s="13" t="s">
        <v>152</v>
      </c>
      <c r="N294" t="s">
        <v>30</v>
      </c>
      <c r="O294" s="2" t="str">
        <f>_xlfn.XLOOKUP(Table1[[#This Row],[Checking_Acct_Status]],Table3[Checking_Acct_Original],Table3[Category])</f>
        <v>Low Balance</v>
      </c>
      <c r="P294" s="10" t="s">
        <v>32</v>
      </c>
      <c r="Q294" s="13" t="str">
        <f>_xlfn.XLOOKUP(Table1[[#This Row],[Saving_Acct_Status]],Table5[Saving_Acct_Original],Table5[Category])</f>
        <v>Low Savings</v>
      </c>
      <c r="R294" t="s">
        <v>27</v>
      </c>
      <c r="S294" s="2" t="str">
        <f>IF(
      OR(Table1[[#This Row],[Job_Type]] = "high qualif/self emp/mgmt", Table1[[#This Row],[Job_Type]] = "skilled"),
      "Skilled", "Unskilled")</f>
        <v>Unskilled</v>
      </c>
      <c r="T294" t="str">
        <f>IF(Table1[[#This Row],[Job_Type]] = "unemp/unskilled non res", "Unemployed", "Employed")</f>
        <v>Employed</v>
      </c>
      <c r="U294" t="s">
        <v>45</v>
      </c>
      <c r="V294" s="14" t="str" cm="1">
        <f t="array" ref="V29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294" t="s">
        <v>31</v>
      </c>
      <c r="X294" s="2" t="str">
        <f>_xlfn.XLOOKUP(Table1[[#This Row],[Loan_Credit_History]],Table4[Credit History],Table4[[ Category]])</f>
        <v>Existing Credits Paid</v>
      </c>
      <c r="Y294" s="3">
        <v>3</v>
      </c>
      <c r="Z294" s="3">
        <v>1</v>
      </c>
      <c r="AA294" s="5">
        <v>1355</v>
      </c>
      <c r="AB294" t="s">
        <v>151</v>
      </c>
      <c r="AC294" s="2" t="str" cm="1">
        <f t="array" ref="AC294">_xlfn.IFS(Table1[[#This Row],[Others_Parties]] = "No", "None",
Table1[[#This Row],[Others_Parties]] = "co applicant", "Co-applicant",
Table1[[#This Row],[Others_Parties]] = "guarantor", "Guarantor")</f>
        <v>None</v>
      </c>
      <c r="AD294" s="13" t="s">
        <v>145</v>
      </c>
      <c r="AE294" s="2" t="s">
        <v>141</v>
      </c>
      <c r="AF294" s="28" t="str" cm="1">
        <f t="array" ref="AF29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94" s="21">
        <v>24</v>
      </c>
      <c r="AH294" s="2" t="s">
        <v>153</v>
      </c>
      <c r="AI294"/>
      <c r="AZ294"/>
      <c r="BC294"/>
      <c r="BE294"/>
      <c r="BL294"/>
      <c r="BZ294"/>
      <c r="CA294"/>
      <c r="CF294"/>
      <c r="CG294"/>
      <c r="CH294"/>
      <c r="CI294"/>
      <c r="CK294"/>
      <c r="CN294"/>
    </row>
    <row r="295" spans="1:92" x14ac:dyDescent="0.3">
      <c r="A295" s="4">
        <v>293</v>
      </c>
      <c r="B295" s="11">
        <v>40</v>
      </c>
      <c r="C295" s="2" t="str">
        <f>_xlfn.XLOOKUP(Table1[[#This Row],[Age]],Table7[Start_Age],Table7[Age_Range],,-1)</f>
        <v>39-49</v>
      </c>
      <c r="D295" t="s">
        <v>130</v>
      </c>
      <c r="E295" s="2" t="s">
        <v>129</v>
      </c>
      <c r="F295" s="2" t="s">
        <v>133</v>
      </c>
      <c r="G295" s="3">
        <v>1</v>
      </c>
      <c r="H295" s="13" t="s">
        <v>152</v>
      </c>
      <c r="I295" s="2" t="str" cm="1">
        <f t="array" ref="I295">_xlfn.IFS(Table1[[#This Row],[Job_Type]] = "unskilled resident", "Resident",
Table1[[#This Row],[Job_Type]] = "unemp/unskilled non res", "Non-resident",
TRUE, "Unknown")</f>
        <v>Unknown</v>
      </c>
      <c r="J295" s="2" t="s">
        <v>148</v>
      </c>
      <c r="K295" s="3">
        <v>3</v>
      </c>
      <c r="L295" s="2" t="s">
        <v>140</v>
      </c>
      <c r="M295" s="13" t="s">
        <v>152</v>
      </c>
      <c r="N295" t="s">
        <v>35</v>
      </c>
      <c r="O295" s="2" t="str">
        <f>_xlfn.XLOOKUP(Table1[[#This Row],[Checking_Acct_Status]],Table3[Checking_Acct_Original],Table3[Category])</f>
        <v>Negative Balance</v>
      </c>
      <c r="P295" s="10" t="s">
        <v>47</v>
      </c>
      <c r="Q295" s="13" t="str">
        <f>_xlfn.XLOOKUP(Table1[[#This Row],[Saving_Acct_Status]],Table5[Saving_Acct_Original],Table5[Category])</f>
        <v>No Savings</v>
      </c>
      <c r="R295" t="s">
        <v>63</v>
      </c>
      <c r="S295" s="2" t="str">
        <f>IF(
      OR(Table1[[#This Row],[Job_Type]] = "high qualif/self emp/mgmt", Table1[[#This Row],[Job_Type]] = "skilled"),
      "Skilled", "Unskilled")</f>
        <v>Skilled</v>
      </c>
      <c r="T295" t="str">
        <f>IF(Table1[[#This Row],[Job_Type]] = "unemp/unskilled non res", "Unemployed", "Employed")</f>
        <v>Employed</v>
      </c>
      <c r="U295" t="s">
        <v>38</v>
      </c>
      <c r="V295" s="14" t="str" cm="1">
        <f t="array" ref="V29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95" t="s">
        <v>42</v>
      </c>
      <c r="X295" s="2" t="str">
        <f>_xlfn.XLOOKUP(Table1[[#This Row],[Loan_Credit_History]],Table4[Credit History],Table4[[ Category]])</f>
        <v>All Paid</v>
      </c>
      <c r="Y295" s="3">
        <v>4</v>
      </c>
      <c r="Z295" s="3">
        <v>1</v>
      </c>
      <c r="AA295" s="5">
        <v>1358</v>
      </c>
      <c r="AB295" t="s">
        <v>151</v>
      </c>
      <c r="AC295" s="2" t="str" cm="1">
        <f t="array" ref="AC295">_xlfn.IFS(Table1[[#This Row],[Others_Parties]] = "No", "None",
Table1[[#This Row],[Others_Parties]] = "co applicant", "Co-applicant",
Table1[[#This Row],[Others_Parties]] = "guarantor", "Guarantor")</f>
        <v>None</v>
      </c>
      <c r="AD295" s="13" t="s">
        <v>147</v>
      </c>
      <c r="AE295" s="2" t="s">
        <v>104</v>
      </c>
      <c r="AF295" s="28" t="str" cm="1">
        <f t="array" ref="AF29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95" s="21">
        <v>24</v>
      </c>
      <c r="AH295" s="2" t="s">
        <v>153</v>
      </c>
      <c r="AI295"/>
      <c r="AZ295"/>
      <c r="BC295"/>
      <c r="BE295"/>
      <c r="BL295"/>
      <c r="BZ295"/>
      <c r="CA295"/>
      <c r="CF295"/>
      <c r="CG295"/>
      <c r="CH295"/>
      <c r="CI295"/>
      <c r="CK295"/>
      <c r="CN295"/>
    </row>
    <row r="296" spans="1:92" x14ac:dyDescent="0.3">
      <c r="A296" s="4">
        <v>294</v>
      </c>
      <c r="B296" s="11">
        <v>25</v>
      </c>
      <c r="C296" s="2" t="str">
        <f>_xlfn.XLOOKUP(Table1[[#This Row],[Age]],Table7[Start_Age],Table7[Age_Range],,-1)</f>
        <v>19-29</v>
      </c>
      <c r="D296" t="s">
        <v>136</v>
      </c>
      <c r="E296" s="2" t="s">
        <v>131</v>
      </c>
      <c r="F296" s="2" t="s">
        <v>137</v>
      </c>
      <c r="G296" s="3">
        <v>1</v>
      </c>
      <c r="H296" s="13" t="s">
        <v>152</v>
      </c>
      <c r="I296" s="2" t="str" cm="1">
        <f t="array" ref="I296">_xlfn.IFS(Table1[[#This Row],[Job_Type]] = "unskilled resident", "Resident",
Table1[[#This Row],[Job_Type]] = "unemp/unskilled non res", "Non-resident",
TRUE, "Unknown")</f>
        <v>Unknown</v>
      </c>
      <c r="J296" s="2" t="s">
        <v>149</v>
      </c>
      <c r="K296" s="3">
        <v>4</v>
      </c>
      <c r="L296" s="2" t="s">
        <v>144</v>
      </c>
      <c r="M296" s="13" t="s">
        <v>151</v>
      </c>
      <c r="N296" t="s">
        <v>35</v>
      </c>
      <c r="O296" s="2" t="str">
        <f>_xlfn.XLOOKUP(Table1[[#This Row],[Checking_Acct_Status]],Table3[Checking_Acct_Original],Table3[Category])</f>
        <v>Negative Balance</v>
      </c>
      <c r="P296" s="10" t="s">
        <v>47</v>
      </c>
      <c r="Q296" s="13" t="str">
        <f>_xlfn.XLOOKUP(Table1[[#This Row],[Saving_Acct_Status]],Table5[Saving_Acct_Original],Table5[Category])</f>
        <v>No Savings</v>
      </c>
      <c r="R296" t="s">
        <v>41</v>
      </c>
      <c r="S296" s="2" t="str">
        <f>IF(
      OR(Table1[[#This Row],[Job_Type]] = "high qualif/self emp/mgmt", Table1[[#This Row],[Job_Type]] = "skilled"),
      "Skilled", "Unskilled")</f>
        <v>Skilled</v>
      </c>
      <c r="T296" t="str">
        <f>IF(Table1[[#This Row],[Job_Type]] = "unemp/unskilled non res", "Unemployed", "Employed")</f>
        <v>Employed</v>
      </c>
      <c r="U296" t="s">
        <v>21</v>
      </c>
      <c r="V296" s="14" t="str" cm="1">
        <f t="array" ref="V29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96" t="s">
        <v>31</v>
      </c>
      <c r="X296" s="2" t="str">
        <f>_xlfn.XLOOKUP(Table1[[#This Row],[Loan_Credit_History]],Table4[Credit History],Table4[[ Category]])</f>
        <v>Existing Credits Paid</v>
      </c>
      <c r="Y296" s="3">
        <v>4</v>
      </c>
      <c r="Z296" s="3">
        <v>1</v>
      </c>
      <c r="AA296" s="5">
        <v>1371</v>
      </c>
      <c r="AB296" t="s">
        <v>151</v>
      </c>
      <c r="AC296" s="2" t="str" cm="1">
        <f t="array" ref="AC296">_xlfn.IFS(Table1[[#This Row],[Others_Parties]] = "No", "None",
Table1[[#This Row],[Others_Parties]] = "co applicant", "Co-applicant",
Table1[[#This Row],[Others_Parties]] = "guarantor", "Guarantor")</f>
        <v>None</v>
      </c>
      <c r="AD296" s="13" t="s">
        <v>145</v>
      </c>
      <c r="AE296" s="2" t="s">
        <v>141</v>
      </c>
      <c r="AF296" s="28" t="str" cm="1">
        <f t="array" ref="AF29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96" s="21">
        <v>24</v>
      </c>
      <c r="AH296" s="2" t="s">
        <v>153</v>
      </c>
      <c r="AI296"/>
      <c r="AZ296"/>
      <c r="BC296"/>
      <c r="BE296"/>
      <c r="BL296"/>
      <c r="BZ296"/>
      <c r="CA296"/>
      <c r="CF296"/>
      <c r="CG296"/>
      <c r="CH296"/>
      <c r="CI296"/>
      <c r="CK296"/>
      <c r="CN296"/>
    </row>
    <row r="297" spans="1:92" x14ac:dyDescent="0.3">
      <c r="A297" s="4">
        <v>295</v>
      </c>
      <c r="B297" s="11">
        <v>28</v>
      </c>
      <c r="C297" s="2" t="str">
        <f>_xlfn.XLOOKUP(Table1[[#This Row],[Age]],Table7[Start_Age],Table7[Age_Range],,-1)</f>
        <v>19-29</v>
      </c>
      <c r="D297" t="s">
        <v>136</v>
      </c>
      <c r="E297" s="2" t="s">
        <v>131</v>
      </c>
      <c r="F297" s="2" t="s">
        <v>137</v>
      </c>
      <c r="G297" s="3">
        <v>1</v>
      </c>
      <c r="H297" s="13" t="s">
        <v>152</v>
      </c>
      <c r="I297" s="2" t="str" cm="1">
        <f t="array" ref="I297">_xlfn.IFS(Table1[[#This Row],[Job_Type]] = "unskilled resident", "Resident",
Table1[[#This Row],[Job_Type]] = "unemp/unskilled non res", "Non-resident",
TRUE, "Unknown")</f>
        <v>Unknown</v>
      </c>
      <c r="J297" s="2" t="s">
        <v>148</v>
      </c>
      <c r="K297" s="3">
        <v>1</v>
      </c>
      <c r="L297" s="2" t="s">
        <v>140</v>
      </c>
      <c r="M297" s="13" t="s">
        <v>151</v>
      </c>
      <c r="N297" t="s">
        <v>17</v>
      </c>
      <c r="O297" s="2" t="str">
        <f>_xlfn.XLOOKUP(Table1[[#This Row],[Checking_Acct_Status]],Table3[Checking_Acct_Original],Table3[Category])</f>
        <v>No Account</v>
      </c>
      <c r="P297" s="10" t="s">
        <v>37</v>
      </c>
      <c r="Q297" s="13" t="str">
        <f>_xlfn.XLOOKUP(Table1[[#This Row],[Saving_Acct_Status]],Table5[Saving_Acct_Original],Table5[Category])</f>
        <v>High Savings</v>
      </c>
      <c r="R297" t="s">
        <v>41</v>
      </c>
      <c r="S297" s="2" t="str">
        <f>IF(
      OR(Table1[[#This Row],[Job_Type]] = "high qualif/self emp/mgmt", Table1[[#This Row],[Job_Type]] = "skilled"),
      "Skilled", "Unskilled")</f>
        <v>Skilled</v>
      </c>
      <c r="T297" t="str">
        <f>IF(Table1[[#This Row],[Job_Type]] = "unemp/unskilled non res", "Unemployed", "Employed")</f>
        <v>Employed</v>
      </c>
      <c r="U297" t="s">
        <v>49</v>
      </c>
      <c r="V297" s="14" t="str" cm="1">
        <f t="array" ref="V29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297" t="s">
        <v>31</v>
      </c>
      <c r="X297" s="2" t="str">
        <f>_xlfn.XLOOKUP(Table1[[#This Row],[Loan_Credit_History]],Table4[Credit History],Table4[[ Category]])</f>
        <v>Existing Credits Paid</v>
      </c>
      <c r="Y297" s="3">
        <v>4</v>
      </c>
      <c r="Z297" s="3">
        <v>1</v>
      </c>
      <c r="AA297" s="5">
        <v>1376</v>
      </c>
      <c r="AB297" t="s">
        <v>151</v>
      </c>
      <c r="AC297" s="2" t="str" cm="1">
        <f t="array" ref="AC297">_xlfn.IFS(Table1[[#This Row],[Others_Parties]] = "No", "None",
Table1[[#This Row],[Others_Parties]] = "co applicant", "Co-applicant",
Table1[[#This Row],[Others_Parties]] = "guarantor", "Guarantor")</f>
        <v>None</v>
      </c>
      <c r="AD297" s="13" t="s">
        <v>145</v>
      </c>
      <c r="AE297" s="2" t="s">
        <v>111</v>
      </c>
      <c r="AF297" s="28" t="str" cm="1">
        <f t="array" ref="AF29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97" s="21">
        <v>24</v>
      </c>
      <c r="AH297" s="2" t="s">
        <v>154</v>
      </c>
      <c r="AI297"/>
      <c r="AZ297"/>
      <c r="BC297"/>
      <c r="BE297"/>
      <c r="BL297"/>
      <c r="BZ297"/>
      <c r="CA297"/>
      <c r="CF297"/>
      <c r="CG297"/>
      <c r="CH297"/>
      <c r="CI297"/>
      <c r="CK297"/>
      <c r="CN297"/>
    </row>
    <row r="298" spans="1:92" x14ac:dyDescent="0.3">
      <c r="A298" s="4">
        <v>296</v>
      </c>
      <c r="B298" s="11">
        <v>47</v>
      </c>
      <c r="C298" s="2" t="str">
        <f>_xlfn.XLOOKUP(Table1[[#This Row],[Age]],Table7[Start_Age],Table7[Age_Range],,-1)</f>
        <v>39-49</v>
      </c>
      <c r="D298" t="s">
        <v>136</v>
      </c>
      <c r="E298" s="2" t="s">
        <v>131</v>
      </c>
      <c r="F298" s="2" t="s">
        <v>137</v>
      </c>
      <c r="G298" s="3">
        <v>1</v>
      </c>
      <c r="H298" s="13" t="s">
        <v>152</v>
      </c>
      <c r="I298" s="2" t="str" cm="1">
        <f t="array" ref="I298">_xlfn.IFS(Table1[[#This Row],[Job_Type]] = "unskilled resident", "Resident",
Table1[[#This Row],[Job_Type]] = "unemp/unskilled non res", "Non-resident",
TRUE, "Unknown")</f>
        <v>Unknown</v>
      </c>
      <c r="J298" s="2" t="s">
        <v>150</v>
      </c>
      <c r="K298" s="3">
        <v>2</v>
      </c>
      <c r="L298" s="2" t="s">
        <v>142</v>
      </c>
      <c r="M298" s="13" t="s">
        <v>152</v>
      </c>
      <c r="N298" t="s">
        <v>50</v>
      </c>
      <c r="O298" s="2" t="str">
        <f>_xlfn.XLOOKUP(Table1[[#This Row],[Checking_Acct_Status]],Table3[Checking_Acct_Original],Table3[Category])</f>
        <v>High Balance</v>
      </c>
      <c r="P298" s="10" t="s">
        <v>46</v>
      </c>
      <c r="Q298" s="13" t="str">
        <f>_xlfn.XLOOKUP(Table1[[#This Row],[Saving_Acct_Status]],Table5[Saving_Acct_Original],Table5[Category])</f>
        <v>Medium Savings</v>
      </c>
      <c r="R298" t="s">
        <v>41</v>
      </c>
      <c r="S298" s="2" t="str">
        <f>IF(
      OR(Table1[[#This Row],[Job_Type]] = "high qualif/self emp/mgmt", Table1[[#This Row],[Job_Type]] = "skilled"),
      "Skilled", "Unskilled")</f>
        <v>Skilled</v>
      </c>
      <c r="T298" t="str">
        <f>IF(Table1[[#This Row],[Job_Type]] = "unemp/unskilled non res", "Unemployed", "Employed")</f>
        <v>Employed</v>
      </c>
      <c r="U298" t="s">
        <v>38</v>
      </c>
      <c r="V298" s="14" t="str" cm="1">
        <f t="array" ref="V29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298" t="s">
        <v>31</v>
      </c>
      <c r="X298" s="2" t="str">
        <f>_xlfn.XLOOKUP(Table1[[#This Row],[Loan_Credit_History]],Table4[Credit History],Table4[[ Category]])</f>
        <v>Existing Credits Paid</v>
      </c>
      <c r="Y298" s="3">
        <v>4</v>
      </c>
      <c r="Z298" s="3">
        <v>1</v>
      </c>
      <c r="AA298" s="5">
        <v>1377</v>
      </c>
      <c r="AB298" t="s">
        <v>151</v>
      </c>
      <c r="AC298" s="2" t="str" cm="1">
        <f t="array" ref="AC298">_xlfn.IFS(Table1[[#This Row],[Others_Parties]] = "No", "None",
Table1[[#This Row],[Others_Parties]] = "co applicant", "Co-applicant",
Table1[[#This Row],[Others_Parties]] = "guarantor", "Guarantor")</f>
        <v>None</v>
      </c>
      <c r="AD298" s="13" t="s">
        <v>145</v>
      </c>
      <c r="AE298" s="2" t="s">
        <v>111</v>
      </c>
      <c r="AF298" s="28" t="str" cm="1">
        <f t="array" ref="AF29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98" s="21">
        <v>24</v>
      </c>
      <c r="AH298" s="2" t="s">
        <v>154</v>
      </c>
      <c r="AI298"/>
      <c r="AZ298"/>
      <c r="BC298"/>
      <c r="BE298"/>
      <c r="BL298"/>
      <c r="BZ298"/>
      <c r="CA298"/>
      <c r="CF298"/>
      <c r="CG298"/>
      <c r="CH298"/>
      <c r="CI298"/>
      <c r="CK298"/>
      <c r="CN298"/>
    </row>
    <row r="299" spans="1:92" x14ac:dyDescent="0.3">
      <c r="A299" s="4">
        <v>297</v>
      </c>
      <c r="B299" s="11">
        <v>35</v>
      </c>
      <c r="C299" s="2" t="str">
        <f>_xlfn.XLOOKUP(Table1[[#This Row],[Age]],Table7[Start_Age],Table7[Age_Range],,-1)</f>
        <v>29-39</v>
      </c>
      <c r="D299" t="s">
        <v>136</v>
      </c>
      <c r="E299" s="2" t="s">
        <v>131</v>
      </c>
      <c r="F299" s="2" t="s">
        <v>137</v>
      </c>
      <c r="G299" s="3">
        <v>1</v>
      </c>
      <c r="H299" s="13" t="s">
        <v>152</v>
      </c>
      <c r="I299" s="2" t="str" cm="1">
        <f t="array" ref="I299">_xlfn.IFS(Table1[[#This Row],[Job_Type]] = "unskilled resident", "Resident",
Table1[[#This Row],[Job_Type]] = "unemp/unskilled non res", "Non-resident",
TRUE, "Unknown")</f>
        <v>Unknown</v>
      </c>
      <c r="J299" s="2" t="s">
        <v>148</v>
      </c>
      <c r="K299" s="3">
        <v>2</v>
      </c>
      <c r="L299" s="2" t="s">
        <v>143</v>
      </c>
      <c r="M299" s="13" t="s">
        <v>151</v>
      </c>
      <c r="N299" t="s">
        <v>35</v>
      </c>
      <c r="O299" s="2" t="str">
        <f>_xlfn.XLOOKUP(Table1[[#This Row],[Checking_Acct_Status]],Table3[Checking_Acct_Original],Table3[Category])</f>
        <v>Negative Balance</v>
      </c>
      <c r="P299" s="10" t="s">
        <v>47</v>
      </c>
      <c r="Q299" s="13" t="str">
        <f>_xlfn.XLOOKUP(Table1[[#This Row],[Saving_Acct_Status]],Table5[Saving_Acct_Original],Table5[Category])</f>
        <v>No Savings</v>
      </c>
      <c r="R299" t="s">
        <v>41</v>
      </c>
      <c r="S299" s="2" t="str">
        <f>IF(
      OR(Table1[[#This Row],[Job_Type]] = "high qualif/self emp/mgmt", Table1[[#This Row],[Job_Type]] = "skilled"),
      "Skilled", "Unskilled")</f>
        <v>Skilled</v>
      </c>
      <c r="T299" t="str">
        <f>IF(Table1[[#This Row],[Job_Type]] = "unemp/unskilled non res", "Unemployed", "Employed")</f>
        <v>Employed</v>
      </c>
      <c r="U299" t="s">
        <v>21</v>
      </c>
      <c r="V299" s="14" t="str" cm="1">
        <f t="array" ref="V29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299" t="s">
        <v>31</v>
      </c>
      <c r="X299" s="2" t="str">
        <f>_xlfn.XLOOKUP(Table1[[#This Row],[Loan_Credit_History]],Table4[Credit History],Table4[[ Category]])</f>
        <v>Existing Credits Paid</v>
      </c>
      <c r="Y299" s="3">
        <v>4</v>
      </c>
      <c r="Z299" s="3">
        <v>1</v>
      </c>
      <c r="AA299" s="5">
        <v>1381</v>
      </c>
      <c r="AB299" t="s">
        <v>151</v>
      </c>
      <c r="AC299" s="2" t="str" cm="1">
        <f t="array" ref="AC299">_xlfn.IFS(Table1[[#This Row],[Others_Parties]] = "No", "None",
Table1[[#This Row],[Others_Parties]] = "co applicant", "Co-applicant",
Table1[[#This Row],[Others_Parties]] = "guarantor", "Guarantor")</f>
        <v>None</v>
      </c>
      <c r="AD299" s="13" t="s">
        <v>145</v>
      </c>
      <c r="AE299" s="2" t="s">
        <v>141</v>
      </c>
      <c r="AF299" s="28" t="str" cm="1">
        <f t="array" ref="AF29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299" s="21">
        <v>24</v>
      </c>
      <c r="AH299" s="2" t="s">
        <v>153</v>
      </c>
      <c r="AI299"/>
      <c r="AZ299"/>
      <c r="BC299"/>
      <c r="BE299"/>
      <c r="BL299"/>
      <c r="BZ299"/>
      <c r="CA299"/>
      <c r="CF299"/>
      <c r="CG299"/>
      <c r="CH299"/>
      <c r="CI299"/>
      <c r="CK299"/>
      <c r="CN299"/>
    </row>
    <row r="300" spans="1:92" x14ac:dyDescent="0.3">
      <c r="A300" s="4">
        <v>298</v>
      </c>
      <c r="B300" s="11">
        <v>26</v>
      </c>
      <c r="C300" s="2" t="str">
        <f>_xlfn.XLOOKUP(Table1[[#This Row],[Age]],Table7[Start_Age],Table7[Age_Range],,-1)</f>
        <v>19-29</v>
      </c>
      <c r="D300" t="s">
        <v>130</v>
      </c>
      <c r="E300" s="2" t="s">
        <v>129</v>
      </c>
      <c r="F300" s="2" t="s">
        <v>133</v>
      </c>
      <c r="G300" s="3">
        <v>1</v>
      </c>
      <c r="H300" s="13" t="s">
        <v>152</v>
      </c>
      <c r="I300" s="2" t="str" cm="1">
        <f t="array" ref="I300">_xlfn.IFS(Table1[[#This Row],[Job_Type]] = "unskilled resident", "Resident",
Table1[[#This Row],[Job_Type]] = "unemp/unskilled non res", "Non-resident",
TRUE, "Unknown")</f>
        <v>Unknown</v>
      </c>
      <c r="J300" s="2" t="s">
        <v>148</v>
      </c>
      <c r="K300" s="3">
        <v>1</v>
      </c>
      <c r="L300" s="2" t="s">
        <v>144</v>
      </c>
      <c r="M300" s="13" t="s">
        <v>152</v>
      </c>
      <c r="N300" t="s">
        <v>35</v>
      </c>
      <c r="O300" s="2" t="str">
        <f>_xlfn.XLOOKUP(Table1[[#This Row],[Checking_Acct_Status]],Table3[Checking_Acct_Original],Table3[Category])</f>
        <v>Negative Balance</v>
      </c>
      <c r="P300" s="10" t="s">
        <v>46</v>
      </c>
      <c r="Q300" s="13" t="str">
        <f>_xlfn.XLOOKUP(Table1[[#This Row],[Saving_Acct_Status]],Table5[Saving_Acct_Original],Table5[Category])</f>
        <v>Medium Savings</v>
      </c>
      <c r="R300" t="s">
        <v>41</v>
      </c>
      <c r="S300" s="2" t="str">
        <f>IF(
      OR(Table1[[#This Row],[Job_Type]] = "high qualif/self emp/mgmt", Table1[[#This Row],[Job_Type]] = "skilled"),
      "Skilled", "Unskilled")</f>
        <v>Skilled</v>
      </c>
      <c r="T300" t="str">
        <f>IF(Table1[[#This Row],[Job_Type]] = "unemp/unskilled non res", "Unemployed", "Employed")</f>
        <v>Employed</v>
      </c>
      <c r="U300" t="s">
        <v>49</v>
      </c>
      <c r="V300" s="14" t="str" cm="1">
        <f t="array" ref="V30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00" t="s">
        <v>103</v>
      </c>
      <c r="X300" s="2" t="str">
        <f>_xlfn.XLOOKUP(Table1[[#This Row],[Loan_Credit_History]],Table4[Credit History],Table4[[ Category]])</f>
        <v>Critical Credit History</v>
      </c>
      <c r="Y300" s="3">
        <v>4</v>
      </c>
      <c r="Z300" s="3">
        <v>2</v>
      </c>
      <c r="AA300" s="5">
        <v>1382</v>
      </c>
      <c r="AB300" t="s">
        <v>151</v>
      </c>
      <c r="AC300" s="2" t="str" cm="1">
        <f t="array" ref="AC300">_xlfn.IFS(Table1[[#This Row],[Others_Parties]] = "No", "None",
Table1[[#This Row],[Others_Parties]] = "co applicant", "Co-applicant",
Table1[[#This Row],[Others_Parties]] = "guarantor", "Guarantor")</f>
        <v>None</v>
      </c>
      <c r="AD300" s="13" t="s">
        <v>145</v>
      </c>
      <c r="AE300" s="2" t="s">
        <v>105</v>
      </c>
      <c r="AF300" s="28" t="str" cm="1">
        <f t="array" ref="AF30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00" s="21">
        <v>24</v>
      </c>
      <c r="AH300" s="2" t="s">
        <v>154</v>
      </c>
      <c r="AI300"/>
      <c r="AZ300"/>
      <c r="BC300"/>
      <c r="BE300"/>
      <c r="BL300"/>
      <c r="BZ300"/>
      <c r="CA300"/>
      <c r="CF300"/>
      <c r="CG300"/>
      <c r="CH300"/>
      <c r="CI300"/>
      <c r="CK300"/>
      <c r="CN300"/>
    </row>
    <row r="301" spans="1:92" x14ac:dyDescent="0.3">
      <c r="A301" s="4">
        <v>299</v>
      </c>
      <c r="B301" s="11">
        <v>31</v>
      </c>
      <c r="C301" s="2" t="str">
        <f>_xlfn.XLOOKUP(Table1[[#This Row],[Age]],Table7[Start_Age],Table7[Age_Range],,-1)</f>
        <v>29-39</v>
      </c>
      <c r="D301" t="s">
        <v>130</v>
      </c>
      <c r="E301" s="2" t="s">
        <v>129</v>
      </c>
      <c r="F301" s="2" t="s">
        <v>133</v>
      </c>
      <c r="G301" s="3">
        <v>1</v>
      </c>
      <c r="H301" s="13" t="s">
        <v>152</v>
      </c>
      <c r="I301" s="2" t="str" cm="1">
        <f t="array" ref="I301">_xlfn.IFS(Table1[[#This Row],[Job_Type]] = "unskilled resident", "Resident",
Table1[[#This Row],[Job_Type]] = "unemp/unskilled non res", "Non-resident",
TRUE, "Unknown")</f>
        <v>Unknown</v>
      </c>
      <c r="J301" s="2" t="s">
        <v>148</v>
      </c>
      <c r="K301" s="3">
        <v>2</v>
      </c>
      <c r="L301" s="2" t="s">
        <v>144</v>
      </c>
      <c r="M301" s="13" t="s">
        <v>152</v>
      </c>
      <c r="N301" t="s">
        <v>17</v>
      </c>
      <c r="O301" s="2" t="str">
        <f>_xlfn.XLOOKUP(Table1[[#This Row],[Checking_Acct_Status]],Table3[Checking_Acct_Original],Table3[Category])</f>
        <v>No Account</v>
      </c>
      <c r="P301" s="10" t="s">
        <v>32</v>
      </c>
      <c r="Q301" s="13" t="str">
        <f>_xlfn.XLOOKUP(Table1[[#This Row],[Saving_Acct_Status]],Table5[Saving_Acct_Original],Table5[Category])</f>
        <v>Low Savings</v>
      </c>
      <c r="R301" t="s">
        <v>41</v>
      </c>
      <c r="S301" s="2" t="str">
        <f>IF(
      OR(Table1[[#This Row],[Job_Type]] = "high qualif/self emp/mgmt", Table1[[#This Row],[Job_Type]] = "skilled"),
      "Skilled", "Unskilled")</f>
        <v>Skilled</v>
      </c>
      <c r="T301" t="str">
        <f>IF(Table1[[#This Row],[Job_Type]] = "unemp/unskilled non res", "Unemployed", "Employed")</f>
        <v>Employed</v>
      </c>
      <c r="U301" t="s">
        <v>21</v>
      </c>
      <c r="V301" s="14" t="str" cm="1">
        <f t="array" ref="V30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01" t="s">
        <v>31</v>
      </c>
      <c r="X301" s="2" t="str">
        <f>_xlfn.XLOOKUP(Table1[[#This Row],[Loan_Credit_History]],Table4[Credit History],Table4[[ Category]])</f>
        <v>Existing Credits Paid</v>
      </c>
      <c r="Y301" s="3">
        <v>2</v>
      </c>
      <c r="Z301" s="3">
        <v>1</v>
      </c>
      <c r="AA301" s="5">
        <v>1393</v>
      </c>
      <c r="AB301" t="s">
        <v>58</v>
      </c>
      <c r="AC301" s="2" t="str" cm="1">
        <f t="array" ref="AC301">_xlfn.IFS(Table1[[#This Row],[Others_Parties]] = "No", "None",
Table1[[#This Row],[Others_Parties]] = "co applicant", "Co-applicant",
Table1[[#This Row],[Others_Parties]] = "guarantor", "Guarantor")</f>
        <v>Guarantor</v>
      </c>
      <c r="AD301" s="13" t="s">
        <v>145</v>
      </c>
      <c r="AE301" s="2" t="s">
        <v>141</v>
      </c>
      <c r="AF301" s="28" t="str" cm="1">
        <f t="array" ref="AF30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01" s="21">
        <v>24</v>
      </c>
      <c r="AH301" s="2" t="s">
        <v>154</v>
      </c>
      <c r="AI301"/>
      <c r="AZ301"/>
      <c r="BC301"/>
      <c r="BE301"/>
      <c r="BL301"/>
      <c r="BZ301"/>
      <c r="CA301"/>
      <c r="CF301"/>
      <c r="CG301"/>
      <c r="CH301"/>
      <c r="CI301"/>
      <c r="CK301"/>
      <c r="CN301"/>
    </row>
    <row r="302" spans="1:92" x14ac:dyDescent="0.3">
      <c r="A302" s="4">
        <v>300</v>
      </c>
      <c r="B302" s="11">
        <v>28</v>
      </c>
      <c r="C302" s="2" t="str">
        <f>_xlfn.XLOOKUP(Table1[[#This Row],[Age]],Table7[Start_Age],Table7[Age_Range],,-1)</f>
        <v>19-29</v>
      </c>
      <c r="D302" t="s">
        <v>134</v>
      </c>
      <c r="E302" s="2" t="s">
        <v>129</v>
      </c>
      <c r="F302" s="2" t="s">
        <v>135</v>
      </c>
      <c r="G302" s="3">
        <v>1</v>
      </c>
      <c r="H302" s="13" t="s">
        <v>152</v>
      </c>
      <c r="I302" s="2" t="str" cm="1">
        <f t="array" ref="I302">_xlfn.IFS(Table1[[#This Row],[Job_Type]] = "unskilled resident", "Resident",
Table1[[#This Row],[Job_Type]] = "unemp/unskilled non res", "Non-resident",
TRUE, "Unknown")</f>
        <v>Unknown</v>
      </c>
      <c r="J302" s="2" t="s">
        <v>148</v>
      </c>
      <c r="K302" s="3">
        <v>2</v>
      </c>
      <c r="L302" s="2" t="s">
        <v>143</v>
      </c>
      <c r="M302" s="13" t="s">
        <v>151</v>
      </c>
      <c r="N302" t="s">
        <v>17</v>
      </c>
      <c r="O302" s="2" t="str">
        <f>_xlfn.XLOOKUP(Table1[[#This Row],[Checking_Acct_Status]],Table3[Checking_Acct_Original],Table3[Category])</f>
        <v>No Account</v>
      </c>
      <c r="P302" s="10" t="s">
        <v>32</v>
      </c>
      <c r="Q302" s="13" t="str">
        <f>_xlfn.XLOOKUP(Table1[[#This Row],[Saving_Acct_Status]],Table5[Saving_Acct_Original],Table5[Category])</f>
        <v>Low Savings</v>
      </c>
      <c r="R302" t="s">
        <v>41</v>
      </c>
      <c r="S302" s="2" t="str">
        <f>IF(
      OR(Table1[[#This Row],[Job_Type]] = "high qualif/self emp/mgmt", Table1[[#This Row],[Job_Type]] = "skilled"),
      "Skilled", "Unskilled")</f>
        <v>Skilled</v>
      </c>
      <c r="T302" t="str">
        <f>IF(Table1[[#This Row],[Job_Type]] = "unemp/unskilled non res", "Unemployed", "Employed")</f>
        <v>Employed</v>
      </c>
      <c r="U302" t="s">
        <v>21</v>
      </c>
      <c r="V302" s="14" t="str" cm="1">
        <f t="array" ref="V30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02" t="s">
        <v>31</v>
      </c>
      <c r="X302" s="2" t="str">
        <f>_xlfn.XLOOKUP(Table1[[#This Row],[Loan_Credit_History]],Table4[Credit History],Table4[[ Category]])</f>
        <v>Existing Credits Paid</v>
      </c>
      <c r="Y302" s="3">
        <v>4</v>
      </c>
      <c r="Z302" s="3">
        <v>1</v>
      </c>
      <c r="AA302" s="5">
        <v>1413</v>
      </c>
      <c r="AB302" t="s">
        <v>151</v>
      </c>
      <c r="AC302" s="2" t="str" cm="1">
        <f t="array" ref="AC302">_xlfn.IFS(Table1[[#This Row],[Others_Parties]] = "No", "None",
Table1[[#This Row],[Others_Parties]] = "co applicant", "Co-applicant",
Table1[[#This Row],[Others_Parties]] = "guarantor", "Guarantor")</f>
        <v>None</v>
      </c>
      <c r="AD302" s="13" t="s">
        <v>145</v>
      </c>
      <c r="AE302" s="2" t="s">
        <v>111</v>
      </c>
      <c r="AF302" s="28" t="str" cm="1">
        <f t="array" ref="AF30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02" s="21">
        <v>24</v>
      </c>
      <c r="AH302" s="2" t="s">
        <v>154</v>
      </c>
      <c r="AI302"/>
      <c r="AZ302"/>
      <c r="BC302"/>
      <c r="BE302"/>
      <c r="BL302"/>
      <c r="BZ302"/>
      <c r="CA302"/>
      <c r="CF302"/>
      <c r="CG302"/>
      <c r="CH302"/>
      <c r="CI302"/>
      <c r="CK302"/>
      <c r="CN302"/>
    </row>
    <row r="303" spans="1:92" x14ac:dyDescent="0.3">
      <c r="A303" s="4">
        <v>301</v>
      </c>
      <c r="B303" s="11">
        <v>23</v>
      </c>
      <c r="C303" s="2" t="str">
        <f>_xlfn.XLOOKUP(Table1[[#This Row],[Age]],Table7[Start_Age],Table7[Age_Range],,-1)</f>
        <v>19-29</v>
      </c>
      <c r="D303" t="s">
        <v>136</v>
      </c>
      <c r="E303" s="2" t="s">
        <v>131</v>
      </c>
      <c r="F303" s="2" t="s">
        <v>137</v>
      </c>
      <c r="G303" s="3">
        <v>1</v>
      </c>
      <c r="H303" s="13" t="s">
        <v>152</v>
      </c>
      <c r="I303" s="2" t="str" cm="1">
        <f t="array" ref="I303">_xlfn.IFS(Table1[[#This Row],[Job_Type]] = "unskilled resident", "Resident",
Table1[[#This Row],[Job_Type]] = "unemp/unskilled non res", "Non-resident",
TRUE, "Unknown")</f>
        <v>Unknown</v>
      </c>
      <c r="J303" s="2" t="s">
        <v>149</v>
      </c>
      <c r="K303" s="3">
        <v>4</v>
      </c>
      <c r="L303" s="2" t="s">
        <v>140</v>
      </c>
      <c r="M303" s="13" t="s">
        <v>151</v>
      </c>
      <c r="N303" t="s">
        <v>35</v>
      </c>
      <c r="O303" s="2" t="str">
        <f>_xlfn.XLOOKUP(Table1[[#This Row],[Checking_Acct_Status]],Table3[Checking_Acct_Original],Table3[Category])</f>
        <v>Negative Balance</v>
      </c>
      <c r="P303" s="10" t="s">
        <v>32</v>
      </c>
      <c r="Q303" s="13" t="str">
        <f>_xlfn.XLOOKUP(Table1[[#This Row],[Saving_Acct_Status]],Table5[Saving_Acct_Original],Table5[Category])</f>
        <v>Low Savings</v>
      </c>
      <c r="R303" t="s">
        <v>41</v>
      </c>
      <c r="S303" s="2" t="str">
        <f>IF(
      OR(Table1[[#This Row],[Job_Type]] = "high qualif/self emp/mgmt", Table1[[#This Row],[Job_Type]] = "skilled"),
      "Skilled", "Unskilled")</f>
        <v>Skilled</v>
      </c>
      <c r="T303" t="str">
        <f>IF(Table1[[#This Row],[Job_Type]] = "unemp/unskilled non res", "Unemployed", "Employed")</f>
        <v>Employed</v>
      </c>
      <c r="U303" t="s">
        <v>49</v>
      </c>
      <c r="V303" s="14" t="str" cm="1">
        <f t="array" ref="V30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03" t="s">
        <v>31</v>
      </c>
      <c r="X303" s="2" t="str">
        <f>_xlfn.XLOOKUP(Table1[[#This Row],[Loan_Credit_History]],Table4[Credit History],Table4[[ Category]])</f>
        <v>Existing Credits Paid</v>
      </c>
      <c r="Y303" s="3">
        <v>4</v>
      </c>
      <c r="Z303" s="3">
        <v>2</v>
      </c>
      <c r="AA303" s="5">
        <v>1442</v>
      </c>
      <c r="AB303" t="s">
        <v>151</v>
      </c>
      <c r="AC303" s="2" t="str" cm="1">
        <f t="array" ref="AC303">_xlfn.IFS(Table1[[#This Row],[Others_Parties]] = "No", "None",
Table1[[#This Row],[Others_Parties]] = "co applicant", "Co-applicant",
Table1[[#This Row],[Others_Parties]] = "guarantor", "Guarantor")</f>
        <v>None</v>
      </c>
      <c r="AD303" s="13" t="s">
        <v>145</v>
      </c>
      <c r="AE303" s="2" t="s">
        <v>141</v>
      </c>
      <c r="AF303" s="28" t="str" cm="1">
        <f t="array" ref="AF30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03" s="21">
        <v>24</v>
      </c>
      <c r="AH303" s="2" t="s">
        <v>153</v>
      </c>
      <c r="AI303"/>
      <c r="AZ303"/>
      <c r="BC303"/>
      <c r="BE303"/>
      <c r="BL303"/>
      <c r="BZ303"/>
      <c r="CA303"/>
      <c r="CF303"/>
      <c r="CG303"/>
      <c r="CH303"/>
      <c r="CI303"/>
      <c r="CK303"/>
      <c r="CN303"/>
    </row>
    <row r="304" spans="1:92" x14ac:dyDescent="0.3">
      <c r="A304" s="4">
        <v>302</v>
      </c>
      <c r="B304" s="11">
        <v>41</v>
      </c>
      <c r="C304" s="2" t="str">
        <f>_xlfn.XLOOKUP(Table1[[#This Row],[Age]],Table7[Start_Age],Table7[Age_Range],,-1)</f>
        <v>39-49</v>
      </c>
      <c r="D304" t="s">
        <v>134</v>
      </c>
      <c r="E304" s="2" t="s">
        <v>129</v>
      </c>
      <c r="F304" s="2" t="s">
        <v>135</v>
      </c>
      <c r="G304" s="3">
        <v>1</v>
      </c>
      <c r="H304" s="13" t="s">
        <v>152</v>
      </c>
      <c r="I304" s="2" t="str" cm="1">
        <f t="array" ref="I304">_xlfn.IFS(Table1[[#This Row],[Job_Type]] = "unskilled resident", "Resident",
Table1[[#This Row],[Job_Type]] = "unemp/unskilled non res", "Non-resident",
TRUE, "Unknown")</f>
        <v>Resident</v>
      </c>
      <c r="J304" s="2" t="s">
        <v>149</v>
      </c>
      <c r="K304" s="3">
        <v>4</v>
      </c>
      <c r="L304" s="2" t="s">
        <v>144</v>
      </c>
      <c r="M304" s="13" t="s">
        <v>151</v>
      </c>
      <c r="N304" t="s">
        <v>17</v>
      </c>
      <c r="O304" s="2" t="str">
        <f>_xlfn.XLOOKUP(Table1[[#This Row],[Checking_Acct_Status]],Table3[Checking_Acct_Original],Table3[Category])</f>
        <v>No Account</v>
      </c>
      <c r="P304" s="10" t="s">
        <v>46</v>
      </c>
      <c r="Q304" s="13" t="str">
        <f>_xlfn.XLOOKUP(Table1[[#This Row],[Saving_Acct_Status]],Table5[Saving_Acct_Original],Table5[Category])</f>
        <v>Medium Savings</v>
      </c>
      <c r="R304" t="s">
        <v>27</v>
      </c>
      <c r="S304" s="2" t="str">
        <f>IF(
      OR(Table1[[#This Row],[Job_Type]] = "high qualif/self emp/mgmt", Table1[[#This Row],[Job_Type]] = "skilled"),
      "Skilled", "Unskilled")</f>
        <v>Unskilled</v>
      </c>
      <c r="T304" t="str">
        <f>IF(Table1[[#This Row],[Job_Type]] = "unemp/unskilled non res", "Unemployed", "Employed")</f>
        <v>Employed</v>
      </c>
      <c r="U304" t="s">
        <v>38</v>
      </c>
      <c r="V304" s="14" t="str" cm="1">
        <f t="array" ref="V30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04" t="s">
        <v>31</v>
      </c>
      <c r="X304" s="2" t="str">
        <f>_xlfn.XLOOKUP(Table1[[#This Row],[Loan_Credit_History]],Table4[Credit History],Table4[[ Category]])</f>
        <v>Existing Credits Paid</v>
      </c>
      <c r="Y304" s="3">
        <v>4</v>
      </c>
      <c r="Z304" s="3">
        <v>1</v>
      </c>
      <c r="AA304" s="5">
        <v>1469</v>
      </c>
      <c r="AB304" t="s">
        <v>151</v>
      </c>
      <c r="AC304" s="2" t="str" cm="1">
        <f t="array" ref="AC304">_xlfn.IFS(Table1[[#This Row],[Others_Parties]] = "No", "None",
Table1[[#This Row],[Others_Parties]] = "co applicant", "Co-applicant",
Table1[[#This Row],[Others_Parties]] = "guarantor", "Guarantor")</f>
        <v>None</v>
      </c>
      <c r="AD304" s="13" t="s">
        <v>145</v>
      </c>
      <c r="AE304" s="2" t="s">
        <v>141</v>
      </c>
      <c r="AF304" s="28" t="str" cm="1">
        <f t="array" ref="AF30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04" s="21">
        <v>24</v>
      </c>
      <c r="AH304" s="2" t="s">
        <v>154</v>
      </c>
      <c r="AI304"/>
      <c r="AZ304"/>
      <c r="BC304"/>
      <c r="BE304"/>
      <c r="BL304"/>
      <c r="BZ304"/>
      <c r="CA304"/>
      <c r="CF304"/>
      <c r="CG304"/>
      <c r="CH304"/>
      <c r="CI304"/>
      <c r="CK304"/>
      <c r="CN304"/>
    </row>
    <row r="305" spans="1:92" x14ac:dyDescent="0.3">
      <c r="A305" s="4">
        <v>303</v>
      </c>
      <c r="B305" s="11">
        <v>33</v>
      </c>
      <c r="C305" s="2" t="str">
        <f>_xlfn.XLOOKUP(Table1[[#This Row],[Age]],Table7[Start_Age],Table7[Age_Range],,-1)</f>
        <v>29-39</v>
      </c>
      <c r="D305" t="s">
        <v>134</v>
      </c>
      <c r="E305" s="2" t="s">
        <v>129</v>
      </c>
      <c r="F305" s="2" t="s">
        <v>135</v>
      </c>
      <c r="G305" s="3">
        <v>1</v>
      </c>
      <c r="H305" s="13" t="s">
        <v>152</v>
      </c>
      <c r="I305" s="2" t="str" cm="1">
        <f t="array" ref="I305">_xlfn.IFS(Table1[[#This Row],[Job_Type]] = "unskilled resident", "Resident",
Table1[[#This Row],[Job_Type]] = "unemp/unskilled non res", "Non-resident",
TRUE, "Unknown")</f>
        <v>Unknown</v>
      </c>
      <c r="J305" s="2" t="s">
        <v>148</v>
      </c>
      <c r="K305" s="3">
        <v>3</v>
      </c>
      <c r="L305" s="2" t="s">
        <v>144</v>
      </c>
      <c r="M305" s="13" t="s">
        <v>152</v>
      </c>
      <c r="N305" t="s">
        <v>17</v>
      </c>
      <c r="O305" s="2" t="str">
        <f>_xlfn.XLOOKUP(Table1[[#This Row],[Checking_Acct_Status]],Table3[Checking_Acct_Original],Table3[Category])</f>
        <v>No Account</v>
      </c>
      <c r="P305" s="10" t="s">
        <v>46</v>
      </c>
      <c r="Q305" s="13" t="str">
        <f>_xlfn.XLOOKUP(Table1[[#This Row],[Saving_Acct_Status]],Table5[Saving_Acct_Original],Table5[Category])</f>
        <v>Medium Savings</v>
      </c>
      <c r="R305" t="s">
        <v>41</v>
      </c>
      <c r="S305" s="2" t="str">
        <f>IF(
      OR(Table1[[#This Row],[Job_Type]] = "high qualif/self emp/mgmt", Table1[[#This Row],[Job_Type]] = "skilled"),
      "Skilled", "Unskilled")</f>
        <v>Skilled</v>
      </c>
      <c r="T305" t="str">
        <f>IF(Table1[[#This Row],[Job_Type]] = "unemp/unskilled non res", "Unemployed", "Employed")</f>
        <v>Employed</v>
      </c>
      <c r="U305" t="s">
        <v>45</v>
      </c>
      <c r="V305" s="14" t="str" cm="1">
        <f t="array" ref="V30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05" t="s">
        <v>31</v>
      </c>
      <c r="X305" s="2" t="str">
        <f>_xlfn.XLOOKUP(Table1[[#This Row],[Loan_Credit_History]],Table4[Credit History],Table4[[ Category]])</f>
        <v>Existing Credits Paid</v>
      </c>
      <c r="Y305" s="3">
        <v>4</v>
      </c>
      <c r="Z305" s="3">
        <v>1</v>
      </c>
      <c r="AA305" s="5">
        <v>1474</v>
      </c>
      <c r="AB305" t="s">
        <v>151</v>
      </c>
      <c r="AC305" s="2" t="str" cm="1">
        <f t="array" ref="AC305">_xlfn.IFS(Table1[[#This Row],[Others_Parties]] = "No", "None",
Table1[[#This Row],[Others_Parties]] = "co applicant", "Co-applicant",
Table1[[#This Row],[Others_Parties]] = "guarantor", "Guarantor")</f>
        <v>None</v>
      </c>
      <c r="AD305" s="13" t="s">
        <v>145</v>
      </c>
      <c r="AE305" s="2" t="s">
        <v>141</v>
      </c>
      <c r="AF305" s="28" t="str" cm="1">
        <f t="array" ref="AF30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05" s="21">
        <v>24</v>
      </c>
      <c r="AH305" s="2" t="s">
        <v>154</v>
      </c>
      <c r="AI305"/>
      <c r="AZ305"/>
      <c r="BC305"/>
      <c r="BE305"/>
      <c r="BL305"/>
      <c r="BZ305"/>
      <c r="CA305"/>
      <c r="CF305"/>
      <c r="CG305"/>
      <c r="CH305"/>
      <c r="CI305"/>
      <c r="CK305"/>
      <c r="CN305"/>
    </row>
    <row r="306" spans="1:92" x14ac:dyDescent="0.3">
      <c r="A306" s="4">
        <v>304</v>
      </c>
      <c r="B306" s="11">
        <v>43</v>
      </c>
      <c r="C306" s="2" t="str">
        <f>_xlfn.XLOOKUP(Table1[[#This Row],[Age]],Table7[Start_Age],Table7[Age_Range],,-1)</f>
        <v>39-49</v>
      </c>
      <c r="D306" t="s">
        <v>136</v>
      </c>
      <c r="E306" s="2" t="s">
        <v>131</v>
      </c>
      <c r="F306" s="2" t="s">
        <v>137</v>
      </c>
      <c r="G306" s="3">
        <v>1</v>
      </c>
      <c r="H306" s="13" t="s">
        <v>152</v>
      </c>
      <c r="I306" s="2" t="str" cm="1">
        <f t="array" ref="I306">_xlfn.IFS(Table1[[#This Row],[Job_Type]] = "unskilled resident", "Resident",
Table1[[#This Row],[Job_Type]] = "unemp/unskilled non res", "Non-resident",
TRUE, "Unknown")</f>
        <v>Resident</v>
      </c>
      <c r="J306" s="2" t="s">
        <v>148</v>
      </c>
      <c r="K306" s="3">
        <v>1</v>
      </c>
      <c r="L306" s="2" t="s">
        <v>144</v>
      </c>
      <c r="M306" s="13" t="s">
        <v>151</v>
      </c>
      <c r="N306" t="s">
        <v>17</v>
      </c>
      <c r="O306" s="2" t="str">
        <f>_xlfn.XLOOKUP(Table1[[#This Row],[Checking_Acct_Status]],Table3[Checking_Acct_Original],Table3[Category])</f>
        <v>No Account</v>
      </c>
      <c r="P306" s="10" t="s">
        <v>20</v>
      </c>
      <c r="Q306" s="13" t="str">
        <f>_xlfn.XLOOKUP(Table1[[#This Row],[Saving_Acct_Status]],Table5[Saving_Acct_Original],Table5[Category])</f>
        <v>Very High Savings</v>
      </c>
      <c r="R306" t="s">
        <v>27</v>
      </c>
      <c r="S306" s="2" t="str">
        <f>IF(
      OR(Table1[[#This Row],[Job_Type]] = "high qualif/self emp/mgmt", Table1[[#This Row],[Job_Type]] = "skilled"),
      "Skilled", "Unskilled")</f>
        <v>Unskilled</v>
      </c>
      <c r="T306" t="str">
        <f>IF(Table1[[#This Row],[Job_Type]] = "unemp/unskilled non res", "Unemployed", "Employed")</f>
        <v>Employed</v>
      </c>
      <c r="U306" t="s">
        <v>21</v>
      </c>
      <c r="V306" s="14" t="str" cm="1">
        <f t="array" ref="V30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06" t="s">
        <v>103</v>
      </c>
      <c r="X306" s="2" t="str">
        <f>_xlfn.XLOOKUP(Table1[[#This Row],[Loan_Credit_History]],Table4[Credit History],Table4[[ Category]])</f>
        <v>Critical Credit History</v>
      </c>
      <c r="Y306" s="3">
        <v>4</v>
      </c>
      <c r="Z306" s="3">
        <v>2</v>
      </c>
      <c r="AA306" s="5">
        <v>1516</v>
      </c>
      <c r="AB306" t="s">
        <v>151</v>
      </c>
      <c r="AC306" s="2" t="str" cm="1">
        <f t="array" ref="AC306">_xlfn.IFS(Table1[[#This Row],[Others_Parties]] = "No", "None",
Table1[[#This Row],[Others_Parties]] = "co applicant", "Co-applicant",
Table1[[#This Row],[Others_Parties]] = "guarantor", "Guarantor")</f>
        <v>None</v>
      </c>
      <c r="AD306" s="13" t="s">
        <v>145</v>
      </c>
      <c r="AE306" s="2" t="s">
        <v>111</v>
      </c>
      <c r="AF306" s="28" t="str" cm="1">
        <f t="array" ref="AF30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06" s="21">
        <v>24</v>
      </c>
      <c r="AH306" s="2" t="s">
        <v>154</v>
      </c>
      <c r="AI306"/>
      <c r="AZ306"/>
      <c r="BC306"/>
      <c r="BE306"/>
      <c r="BL306"/>
      <c r="BZ306"/>
      <c r="CA306"/>
      <c r="CF306"/>
      <c r="CG306"/>
      <c r="CH306"/>
      <c r="CI306"/>
      <c r="CK306"/>
      <c r="CN306"/>
    </row>
    <row r="307" spans="1:92" x14ac:dyDescent="0.3">
      <c r="A307" s="4">
        <v>305</v>
      </c>
      <c r="B307" s="11">
        <v>34</v>
      </c>
      <c r="C307" s="2" t="str">
        <f>_xlfn.XLOOKUP(Table1[[#This Row],[Age]],Table7[Start_Age],Table7[Age_Range],,-1)</f>
        <v>29-39</v>
      </c>
      <c r="D307" t="s">
        <v>136</v>
      </c>
      <c r="E307" s="2" t="s">
        <v>131</v>
      </c>
      <c r="F307" s="2" t="s">
        <v>137</v>
      </c>
      <c r="G307" s="3">
        <v>2</v>
      </c>
      <c r="H307" s="13" t="s">
        <v>152</v>
      </c>
      <c r="I307" s="2" t="str" cm="1">
        <f t="array" ref="I307">_xlfn.IFS(Table1[[#This Row],[Job_Type]] = "unskilled resident", "Resident",
Table1[[#This Row],[Job_Type]] = "unemp/unskilled non res", "Non-resident",
TRUE, "Unknown")</f>
        <v>Unknown</v>
      </c>
      <c r="J307" s="2" t="s">
        <v>148</v>
      </c>
      <c r="K307" s="3">
        <v>3</v>
      </c>
      <c r="L307" s="2" t="s">
        <v>140</v>
      </c>
      <c r="M307" s="13" t="s">
        <v>152</v>
      </c>
      <c r="N307" t="s">
        <v>17</v>
      </c>
      <c r="O307" s="2" t="str">
        <f>_xlfn.XLOOKUP(Table1[[#This Row],[Checking_Acct_Status]],Table3[Checking_Acct_Original],Table3[Category])</f>
        <v>No Account</v>
      </c>
      <c r="P307" s="10" t="s">
        <v>20</v>
      </c>
      <c r="Q307" s="13" t="str">
        <f>_xlfn.XLOOKUP(Table1[[#This Row],[Saving_Acct_Status]],Table5[Saving_Acct_Original],Table5[Category])</f>
        <v>Very High Savings</v>
      </c>
      <c r="R307" t="s">
        <v>41</v>
      </c>
      <c r="S307" s="2" t="str">
        <f>IF(
      OR(Table1[[#This Row],[Job_Type]] = "high qualif/self emp/mgmt", Table1[[#This Row],[Job_Type]] = "skilled"),
      "Skilled", "Unskilled")</f>
        <v>Skilled</v>
      </c>
      <c r="T307" t="str">
        <f>IF(Table1[[#This Row],[Job_Type]] = "unemp/unskilled non res", "Unemployed", "Employed")</f>
        <v>Employed</v>
      </c>
      <c r="U307" t="s">
        <v>49</v>
      </c>
      <c r="V307" s="14" t="str" cm="1">
        <f t="array" ref="V30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07" t="s">
        <v>31</v>
      </c>
      <c r="X307" s="2" t="str">
        <f>_xlfn.XLOOKUP(Table1[[#This Row],[Loan_Credit_History]],Table4[Credit History],Table4[[ Category]])</f>
        <v>Existing Credits Paid</v>
      </c>
      <c r="Y307" s="3">
        <v>4</v>
      </c>
      <c r="Z307" s="3">
        <v>1</v>
      </c>
      <c r="AA307" s="5">
        <v>1525</v>
      </c>
      <c r="AB307" t="s">
        <v>151</v>
      </c>
      <c r="AC307" s="2" t="str" cm="1">
        <f t="array" ref="AC307">_xlfn.IFS(Table1[[#This Row],[Others_Parties]] = "No", "None",
Table1[[#This Row],[Others_Parties]] = "co applicant", "Co-applicant",
Table1[[#This Row],[Others_Parties]] = "guarantor", "Guarantor")</f>
        <v>None</v>
      </c>
      <c r="AD307" s="13" t="s">
        <v>145</v>
      </c>
      <c r="AE307" s="2" t="s">
        <v>141</v>
      </c>
      <c r="AF307" s="28" t="str" cm="1">
        <f t="array" ref="AF30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07" s="21">
        <v>24</v>
      </c>
      <c r="AH307" s="2" t="s">
        <v>154</v>
      </c>
      <c r="AI307"/>
      <c r="AZ307"/>
      <c r="BC307"/>
      <c r="BE307"/>
      <c r="BL307"/>
      <c r="BZ307"/>
      <c r="CA307"/>
      <c r="CF307"/>
      <c r="CG307"/>
      <c r="CH307"/>
      <c r="CI307"/>
      <c r="CK307"/>
      <c r="CN307"/>
    </row>
    <row r="308" spans="1:92" x14ac:dyDescent="0.3">
      <c r="A308" s="4">
        <v>306</v>
      </c>
      <c r="B308" s="11">
        <v>38</v>
      </c>
      <c r="C308" s="2" t="str">
        <f>_xlfn.XLOOKUP(Table1[[#This Row],[Age]],Table7[Start_Age],Table7[Age_Range],,-1)</f>
        <v>29-39</v>
      </c>
      <c r="D308" t="s">
        <v>136</v>
      </c>
      <c r="E308" s="2" t="s">
        <v>131</v>
      </c>
      <c r="F308" s="2" t="s">
        <v>137</v>
      </c>
      <c r="G308" s="3">
        <v>1</v>
      </c>
      <c r="H308" s="13" t="s">
        <v>152</v>
      </c>
      <c r="I308" s="2" t="str" cm="1">
        <f t="array" ref="I308">_xlfn.IFS(Table1[[#This Row],[Job_Type]] = "unskilled resident", "Resident",
Table1[[#This Row],[Job_Type]] = "unemp/unskilled non res", "Non-resident",
TRUE, "Unknown")</f>
        <v>Unknown</v>
      </c>
      <c r="J308" s="2" t="s">
        <v>148</v>
      </c>
      <c r="K308" s="3">
        <v>3</v>
      </c>
      <c r="L308" s="2" t="s">
        <v>140</v>
      </c>
      <c r="M308" s="13" t="s">
        <v>152</v>
      </c>
      <c r="N308" t="s">
        <v>17</v>
      </c>
      <c r="O308" s="2" t="str">
        <f>_xlfn.XLOOKUP(Table1[[#This Row],[Checking_Acct_Status]],Table3[Checking_Acct_Original],Table3[Category])</f>
        <v>No Account</v>
      </c>
      <c r="P308" s="10" t="s">
        <v>32</v>
      </c>
      <c r="Q308" s="13" t="str">
        <f>_xlfn.XLOOKUP(Table1[[#This Row],[Saving_Acct_Status]],Table5[Saving_Acct_Original],Table5[Category])</f>
        <v>Low Savings</v>
      </c>
      <c r="R308" t="s">
        <v>41</v>
      </c>
      <c r="S308" s="2" t="str">
        <f>IF(
      OR(Table1[[#This Row],[Job_Type]] = "high qualif/self emp/mgmt", Table1[[#This Row],[Job_Type]] = "skilled"),
      "Skilled", "Unskilled")</f>
        <v>Skilled</v>
      </c>
      <c r="T308" t="str">
        <f>IF(Table1[[#This Row],[Job_Type]] = "unemp/unskilled non res", "Unemployed", "Employed")</f>
        <v>Employed</v>
      </c>
      <c r="U308" t="s">
        <v>45</v>
      </c>
      <c r="V308" s="14" t="str" cm="1">
        <f t="array" ref="V30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08" t="s">
        <v>31</v>
      </c>
      <c r="X308" s="2" t="str">
        <f>_xlfn.XLOOKUP(Table1[[#This Row],[Loan_Credit_History]],Table4[Credit History],Table4[[ Category]])</f>
        <v>Existing Credits Paid</v>
      </c>
      <c r="Y308" s="3">
        <v>4</v>
      </c>
      <c r="Z308" s="3">
        <v>1</v>
      </c>
      <c r="AA308" s="5">
        <v>1533</v>
      </c>
      <c r="AB308" t="s">
        <v>151</v>
      </c>
      <c r="AC308" s="2" t="str" cm="1">
        <f t="array" ref="AC308">_xlfn.IFS(Table1[[#This Row],[Others_Parties]] = "No", "None",
Table1[[#This Row],[Others_Parties]] = "co applicant", "Co-applicant",
Table1[[#This Row],[Others_Parties]] = "guarantor", "Guarantor")</f>
        <v>None</v>
      </c>
      <c r="AD308" s="13" t="s">
        <v>147</v>
      </c>
      <c r="AE308" s="2" t="s">
        <v>111</v>
      </c>
      <c r="AF308" s="28" t="str" cm="1">
        <f t="array" ref="AF30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08" s="21">
        <v>24</v>
      </c>
      <c r="AH308" s="2" t="s">
        <v>154</v>
      </c>
      <c r="AI308"/>
      <c r="AZ308"/>
      <c r="BC308"/>
      <c r="BE308"/>
      <c r="BL308"/>
      <c r="BZ308"/>
      <c r="CA308"/>
      <c r="CF308"/>
      <c r="CG308"/>
      <c r="CH308"/>
      <c r="CI308"/>
      <c r="CK308"/>
      <c r="CN308"/>
    </row>
    <row r="309" spans="1:92" x14ac:dyDescent="0.3">
      <c r="A309" s="4">
        <v>307</v>
      </c>
      <c r="B309" s="11">
        <v>24</v>
      </c>
      <c r="C309" s="2" t="str">
        <f>_xlfn.XLOOKUP(Table1[[#This Row],[Age]],Table7[Start_Age],Table7[Age_Range],,-1)</f>
        <v>19-29</v>
      </c>
      <c r="D309" t="s">
        <v>130</v>
      </c>
      <c r="E309" s="2" t="s">
        <v>129</v>
      </c>
      <c r="F309" s="2" t="s">
        <v>133</v>
      </c>
      <c r="G309" s="3">
        <v>1</v>
      </c>
      <c r="H309" s="13" t="s">
        <v>152</v>
      </c>
      <c r="I309" s="2" t="str" cm="1">
        <f t="array" ref="I309">_xlfn.IFS(Table1[[#This Row],[Job_Type]] = "unskilled resident", "Resident",
Table1[[#This Row],[Job_Type]] = "unemp/unskilled non res", "Non-resident",
TRUE, "Unknown")</f>
        <v>Resident</v>
      </c>
      <c r="J309" s="2" t="s">
        <v>149</v>
      </c>
      <c r="K309" s="3">
        <v>4</v>
      </c>
      <c r="L309" s="2" t="s">
        <v>140</v>
      </c>
      <c r="M309" s="13" t="s">
        <v>151</v>
      </c>
      <c r="N309" t="s">
        <v>35</v>
      </c>
      <c r="O309" s="2" t="str">
        <f>_xlfn.XLOOKUP(Table1[[#This Row],[Checking_Acct_Status]],Table3[Checking_Acct_Original],Table3[Category])</f>
        <v>Negative Balance</v>
      </c>
      <c r="P309" s="10" t="s">
        <v>32</v>
      </c>
      <c r="Q309" s="13" t="str">
        <f>_xlfn.XLOOKUP(Table1[[#This Row],[Saving_Acct_Status]],Table5[Saving_Acct_Original],Table5[Category])</f>
        <v>Low Savings</v>
      </c>
      <c r="R309" t="s">
        <v>27</v>
      </c>
      <c r="S309" s="2" t="str">
        <f>IF(
      OR(Table1[[#This Row],[Job_Type]] = "high qualif/self emp/mgmt", Table1[[#This Row],[Job_Type]] = "skilled"),
      "Skilled", "Unskilled")</f>
        <v>Unskilled</v>
      </c>
      <c r="T309" t="str">
        <f>IF(Table1[[#This Row],[Job_Type]] = "unemp/unskilled non res", "Unemployed", "Employed")</f>
        <v>Employed</v>
      </c>
      <c r="U309" t="s">
        <v>49</v>
      </c>
      <c r="V309" s="14" t="str" cm="1">
        <f t="array" ref="V30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09" t="s">
        <v>42</v>
      </c>
      <c r="X309" s="2" t="str">
        <f>_xlfn.XLOOKUP(Table1[[#This Row],[Loan_Credit_History]],Table4[Credit History],Table4[[ Category]])</f>
        <v>All Paid</v>
      </c>
      <c r="Y309" s="3">
        <v>4</v>
      </c>
      <c r="Z309" s="3">
        <v>1</v>
      </c>
      <c r="AA309" s="5">
        <v>1546</v>
      </c>
      <c r="AB309" t="s">
        <v>58</v>
      </c>
      <c r="AC309" s="2" t="str" cm="1">
        <f t="array" ref="AC309">_xlfn.IFS(Table1[[#This Row],[Others_Parties]] = "No", "None",
Table1[[#This Row],[Others_Parties]] = "co applicant", "Co-applicant",
Table1[[#This Row],[Others_Parties]] = "guarantor", "Guarantor")</f>
        <v>Guarantor</v>
      </c>
      <c r="AD309" s="13" t="s">
        <v>146</v>
      </c>
      <c r="AE309" s="2" t="s">
        <v>111</v>
      </c>
      <c r="AF309" s="28" t="str" cm="1">
        <f t="array" ref="AF30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09" s="21">
        <v>24</v>
      </c>
      <c r="AH309" s="2" t="s">
        <v>153</v>
      </c>
      <c r="AI309"/>
      <c r="AZ309"/>
      <c r="BC309"/>
      <c r="BE309"/>
      <c r="BL309"/>
      <c r="BZ309"/>
      <c r="CA309"/>
      <c r="CF309"/>
      <c r="CG309"/>
      <c r="CH309"/>
      <c r="CI309"/>
      <c r="CK309"/>
      <c r="CN309"/>
    </row>
    <row r="310" spans="1:92" x14ac:dyDescent="0.3">
      <c r="A310" s="4">
        <v>308</v>
      </c>
      <c r="B310" s="11">
        <v>32</v>
      </c>
      <c r="C310" s="2" t="str">
        <f>_xlfn.XLOOKUP(Table1[[#This Row],[Age]],Table7[Start_Age],Table7[Age_Range],,-1)</f>
        <v>29-39</v>
      </c>
      <c r="D310" t="s">
        <v>130</v>
      </c>
      <c r="E310" s="2" t="s">
        <v>129</v>
      </c>
      <c r="F310" s="2" t="s">
        <v>133</v>
      </c>
      <c r="G310" s="3">
        <v>2</v>
      </c>
      <c r="H310" s="13" t="s">
        <v>152</v>
      </c>
      <c r="I310" s="2" t="str" cm="1">
        <f t="array" ref="I310">_xlfn.IFS(Table1[[#This Row],[Job_Type]] = "unskilled resident", "Resident",
Table1[[#This Row],[Job_Type]] = "unemp/unskilled non res", "Non-resident",
TRUE, "Unknown")</f>
        <v>Unknown</v>
      </c>
      <c r="J310" s="2" t="s">
        <v>148</v>
      </c>
      <c r="K310" s="3">
        <v>1</v>
      </c>
      <c r="L310" s="2" t="s">
        <v>140</v>
      </c>
      <c r="M310" s="13" t="s">
        <v>151</v>
      </c>
      <c r="N310" t="s">
        <v>17</v>
      </c>
      <c r="O310" s="2" t="str">
        <f>_xlfn.XLOOKUP(Table1[[#This Row],[Checking_Acct_Status]],Table3[Checking_Acct_Original],Table3[Category])</f>
        <v>No Account</v>
      </c>
      <c r="P310" s="10" t="s">
        <v>32</v>
      </c>
      <c r="Q310" s="13" t="str">
        <f>_xlfn.XLOOKUP(Table1[[#This Row],[Saving_Acct_Status]],Table5[Saving_Acct_Original],Table5[Category])</f>
        <v>Low Savings</v>
      </c>
      <c r="R310" t="s">
        <v>41</v>
      </c>
      <c r="S310" s="2" t="str">
        <f>IF(
      OR(Table1[[#This Row],[Job_Type]] = "high qualif/self emp/mgmt", Table1[[#This Row],[Job_Type]] = "skilled"),
      "Skilled", "Unskilled")</f>
        <v>Skilled</v>
      </c>
      <c r="T310" t="str">
        <f>IF(Table1[[#This Row],[Job_Type]] = "unemp/unskilled non res", "Unemployed", "Employed")</f>
        <v>Employed</v>
      </c>
      <c r="U310" t="s">
        <v>49</v>
      </c>
      <c r="V310" s="14" t="str" cm="1">
        <f t="array" ref="V31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10" t="s">
        <v>31</v>
      </c>
      <c r="X310" s="2" t="str">
        <f>_xlfn.XLOOKUP(Table1[[#This Row],[Loan_Credit_History]],Table4[Credit History],Table4[[ Category]])</f>
        <v>Existing Credits Paid</v>
      </c>
      <c r="Y310" s="3">
        <v>3</v>
      </c>
      <c r="Z310" s="3">
        <v>1</v>
      </c>
      <c r="AA310" s="5">
        <v>1552</v>
      </c>
      <c r="AB310" t="s">
        <v>151</v>
      </c>
      <c r="AC310" s="2" t="str" cm="1">
        <f t="array" ref="AC310">_xlfn.IFS(Table1[[#This Row],[Others_Parties]] = "No", "None",
Table1[[#This Row],[Others_Parties]] = "co applicant", "Co-applicant",
Table1[[#This Row],[Others_Parties]] = "guarantor", "Guarantor")</f>
        <v>None</v>
      </c>
      <c r="AD310" s="13" t="s">
        <v>146</v>
      </c>
      <c r="AE310" s="2" t="s">
        <v>111</v>
      </c>
      <c r="AF310" s="28" t="str" cm="1">
        <f t="array" ref="AF31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10" s="21">
        <v>24</v>
      </c>
      <c r="AH310" s="2" t="s">
        <v>154</v>
      </c>
      <c r="AI310"/>
      <c r="AZ310"/>
      <c r="BC310"/>
      <c r="BE310"/>
      <c r="BL310"/>
      <c r="BZ310"/>
      <c r="CA310"/>
      <c r="CF310"/>
      <c r="CG310"/>
      <c r="CH310"/>
      <c r="CI310"/>
      <c r="CK310"/>
      <c r="CN310"/>
    </row>
    <row r="311" spans="1:92" x14ac:dyDescent="0.3">
      <c r="A311" s="4">
        <v>309</v>
      </c>
      <c r="B311" s="11">
        <v>23</v>
      </c>
      <c r="C311" s="2" t="str">
        <f>_xlfn.XLOOKUP(Table1[[#This Row],[Age]],Table7[Start_Age],Table7[Age_Range],,-1)</f>
        <v>19-29</v>
      </c>
      <c r="D311" t="s">
        <v>136</v>
      </c>
      <c r="E311" s="2" t="s">
        <v>131</v>
      </c>
      <c r="F311" s="2" t="s">
        <v>137</v>
      </c>
      <c r="G311" s="3">
        <v>1</v>
      </c>
      <c r="H311" s="13" t="s">
        <v>152</v>
      </c>
      <c r="I311" s="2" t="str" cm="1">
        <f t="array" ref="I311">_xlfn.IFS(Table1[[#This Row],[Job_Type]] = "unskilled resident", "Resident",
Table1[[#This Row],[Job_Type]] = "unemp/unskilled non res", "Non-resident",
TRUE, "Unknown")</f>
        <v>Unknown</v>
      </c>
      <c r="J311" s="2" t="s">
        <v>149</v>
      </c>
      <c r="K311" s="3">
        <v>2</v>
      </c>
      <c r="L311" s="2" t="s">
        <v>143</v>
      </c>
      <c r="M311" s="13" t="s">
        <v>152</v>
      </c>
      <c r="N311" t="s">
        <v>30</v>
      </c>
      <c r="O311" s="2" t="str">
        <f>_xlfn.XLOOKUP(Table1[[#This Row],[Checking_Acct_Status]],Table3[Checking_Acct_Original],Table3[Category])</f>
        <v>Low Balance</v>
      </c>
      <c r="P311" s="10" t="s">
        <v>46</v>
      </c>
      <c r="Q311" s="13" t="str">
        <f>_xlfn.XLOOKUP(Table1[[#This Row],[Saving_Acct_Status]],Table5[Saving_Acct_Original],Table5[Category])</f>
        <v>Medium Savings</v>
      </c>
      <c r="R311" t="s">
        <v>41</v>
      </c>
      <c r="S311" s="2" t="str">
        <f>IF(
      OR(Table1[[#This Row],[Job_Type]] = "high qualif/self emp/mgmt", Table1[[#This Row],[Job_Type]] = "skilled"),
      "Skilled", "Unskilled")</f>
        <v>Skilled</v>
      </c>
      <c r="T311" t="str">
        <f>IF(Table1[[#This Row],[Job_Type]] = "unemp/unskilled non res", "Unemployed", "Employed")</f>
        <v>Employed</v>
      </c>
      <c r="U311" t="s">
        <v>49</v>
      </c>
      <c r="V311" s="14" t="str" cm="1">
        <f t="array" ref="V31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11" t="s">
        <v>59</v>
      </c>
      <c r="X311" s="2" t="str">
        <f>_xlfn.XLOOKUP(Table1[[#This Row],[Loan_Credit_History]],Table4[Credit History],Table4[[ Category]])</f>
        <v>Previously Delayed</v>
      </c>
      <c r="Y311" s="3">
        <v>3</v>
      </c>
      <c r="Z311" s="3">
        <v>2</v>
      </c>
      <c r="AA311" s="5">
        <v>1553</v>
      </c>
      <c r="AB311" t="s">
        <v>151</v>
      </c>
      <c r="AC311" s="2" t="str" cm="1">
        <f t="array" ref="AC311">_xlfn.IFS(Table1[[#This Row],[Others_Parties]] = "No", "None",
Table1[[#This Row],[Others_Parties]] = "co applicant", "Co-applicant",
Table1[[#This Row],[Others_Parties]] = "guarantor", "Guarantor")</f>
        <v>None</v>
      </c>
      <c r="AD311" s="13" t="s">
        <v>145</v>
      </c>
      <c r="AE311" s="2" t="s">
        <v>111</v>
      </c>
      <c r="AF311" s="28" t="str" cm="1">
        <f t="array" ref="AF31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11" s="21">
        <v>24</v>
      </c>
      <c r="AH311" s="2" t="s">
        <v>154</v>
      </c>
      <c r="AI311"/>
      <c r="AZ311"/>
      <c r="BC311"/>
      <c r="BE311"/>
      <c r="BL311"/>
      <c r="BZ311"/>
      <c r="CA311"/>
      <c r="CF311"/>
      <c r="CG311"/>
      <c r="CH311"/>
      <c r="CI311"/>
      <c r="CK311"/>
      <c r="CN311"/>
    </row>
    <row r="312" spans="1:92" x14ac:dyDescent="0.3">
      <c r="A312" s="4">
        <v>310</v>
      </c>
      <c r="B312" s="11">
        <v>50</v>
      </c>
      <c r="C312" s="2" t="str">
        <f>_xlfn.XLOOKUP(Table1[[#This Row],[Age]],Table7[Start_Age],Table7[Age_Range],,-1)</f>
        <v>49-59</v>
      </c>
      <c r="D312" t="s">
        <v>130</v>
      </c>
      <c r="E312" s="2" t="s">
        <v>129</v>
      </c>
      <c r="F312" s="2" t="s">
        <v>133</v>
      </c>
      <c r="G312" s="3">
        <v>1</v>
      </c>
      <c r="H312" s="13" t="s">
        <v>152</v>
      </c>
      <c r="I312" s="2" t="str" cm="1">
        <f t="array" ref="I312">_xlfn.IFS(Table1[[#This Row],[Job_Type]] = "unskilled resident", "Resident",
Table1[[#This Row],[Job_Type]] = "unemp/unskilled non res", "Non-resident",
TRUE, "Unknown")</f>
        <v>Unknown</v>
      </c>
      <c r="J312" s="2" t="s">
        <v>148</v>
      </c>
      <c r="K312" s="3">
        <v>4</v>
      </c>
      <c r="L312" s="2" t="s">
        <v>140</v>
      </c>
      <c r="M312" s="13" t="s">
        <v>152</v>
      </c>
      <c r="N312" t="s">
        <v>17</v>
      </c>
      <c r="O312" s="2" t="str">
        <f>_xlfn.XLOOKUP(Table1[[#This Row],[Checking_Acct_Status]],Table3[Checking_Acct_Original],Table3[Category])</f>
        <v>No Account</v>
      </c>
      <c r="P312" s="10" t="s">
        <v>32</v>
      </c>
      <c r="Q312" s="13" t="str">
        <f>_xlfn.XLOOKUP(Table1[[#This Row],[Saving_Acct_Status]],Table5[Saving_Acct_Original],Table5[Category])</f>
        <v>Low Savings</v>
      </c>
      <c r="R312" t="s">
        <v>41</v>
      </c>
      <c r="S312" s="2" t="str">
        <f>IF(
      OR(Table1[[#This Row],[Job_Type]] = "high qualif/self emp/mgmt", Table1[[#This Row],[Job_Type]] = "skilled"),
      "Skilled", "Unskilled")</f>
        <v>Skilled</v>
      </c>
      <c r="T312" t="str">
        <f>IF(Table1[[#This Row],[Job_Type]] = "unemp/unskilled non res", "Unemployed", "Employed")</f>
        <v>Employed</v>
      </c>
      <c r="U312" t="s">
        <v>49</v>
      </c>
      <c r="V312" s="14" t="str" cm="1">
        <f t="array" ref="V31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12" t="s">
        <v>42</v>
      </c>
      <c r="X312" s="2" t="str">
        <f>_xlfn.XLOOKUP(Table1[[#This Row],[Loan_Credit_History]],Table4[Credit History],Table4[[ Category]])</f>
        <v>All Paid</v>
      </c>
      <c r="Y312" s="3">
        <v>4</v>
      </c>
      <c r="Z312" s="3">
        <v>1</v>
      </c>
      <c r="AA312" s="5">
        <v>1559</v>
      </c>
      <c r="AB312" t="s">
        <v>151</v>
      </c>
      <c r="AC312" s="2" t="str" cm="1">
        <f t="array" ref="AC312">_xlfn.IFS(Table1[[#This Row],[Others_Parties]] = "No", "None",
Table1[[#This Row],[Others_Parties]] = "co applicant", "Co-applicant",
Table1[[#This Row],[Others_Parties]] = "guarantor", "Guarantor")</f>
        <v>None</v>
      </c>
      <c r="AD312" s="13" t="s">
        <v>146</v>
      </c>
      <c r="AE312" s="2" t="s">
        <v>105</v>
      </c>
      <c r="AF312" s="28" t="str" cm="1">
        <f t="array" ref="AF31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12" s="21">
        <v>24</v>
      </c>
      <c r="AH312" s="2" t="s">
        <v>154</v>
      </c>
      <c r="AI312"/>
      <c r="AZ312"/>
      <c r="BC312"/>
      <c r="BE312"/>
      <c r="BL312"/>
      <c r="BZ312"/>
      <c r="CA312"/>
      <c r="CF312"/>
      <c r="CG312"/>
      <c r="CH312"/>
      <c r="CI312"/>
      <c r="CK312"/>
      <c r="CN312"/>
    </row>
    <row r="313" spans="1:92" x14ac:dyDescent="0.3">
      <c r="A313" s="4">
        <v>311</v>
      </c>
      <c r="B313" s="11">
        <v>40</v>
      </c>
      <c r="C313" s="2" t="str">
        <f>_xlfn.XLOOKUP(Table1[[#This Row],[Age]],Table7[Start_Age],Table7[Age_Range],,-1)</f>
        <v>39-49</v>
      </c>
      <c r="D313" t="s">
        <v>130</v>
      </c>
      <c r="E313" s="2" t="s">
        <v>129</v>
      </c>
      <c r="F313" s="2" t="s">
        <v>133</v>
      </c>
      <c r="G313" s="3">
        <v>1</v>
      </c>
      <c r="H313" s="13" t="s">
        <v>152</v>
      </c>
      <c r="I313" s="2" t="str" cm="1">
        <f t="array" ref="I313">_xlfn.IFS(Table1[[#This Row],[Job_Type]] = "unskilled resident", "Resident",
Table1[[#This Row],[Job_Type]] = "unemp/unskilled non res", "Non-resident",
TRUE, "Unknown")</f>
        <v>Unknown</v>
      </c>
      <c r="J313" s="2" t="s">
        <v>148</v>
      </c>
      <c r="K313" s="3">
        <v>3</v>
      </c>
      <c r="L313" s="2" t="s">
        <v>143</v>
      </c>
      <c r="M313" s="13" t="s">
        <v>151</v>
      </c>
      <c r="N313" t="s">
        <v>17</v>
      </c>
      <c r="O313" s="2" t="str">
        <f>_xlfn.XLOOKUP(Table1[[#This Row],[Checking_Acct_Status]],Table3[Checking_Acct_Original],Table3[Category])</f>
        <v>No Account</v>
      </c>
      <c r="P313" s="10" t="s">
        <v>32</v>
      </c>
      <c r="Q313" s="13" t="str">
        <f>_xlfn.XLOOKUP(Table1[[#This Row],[Saving_Acct_Status]],Table5[Saving_Acct_Original],Table5[Category])</f>
        <v>Low Savings</v>
      </c>
      <c r="R313" t="s">
        <v>41</v>
      </c>
      <c r="S313" s="2" t="str">
        <f>IF(
      OR(Table1[[#This Row],[Job_Type]] = "high qualif/self emp/mgmt", Table1[[#This Row],[Job_Type]] = "skilled"),
      "Skilled", "Unskilled")</f>
        <v>Skilled</v>
      </c>
      <c r="T313" t="str">
        <f>IF(Table1[[#This Row],[Job_Type]] = "unemp/unskilled non res", "Unemployed", "Employed")</f>
        <v>Employed</v>
      </c>
      <c r="U313" t="s">
        <v>49</v>
      </c>
      <c r="V313" s="14" t="str" cm="1">
        <f t="array" ref="V31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13" t="s">
        <v>103</v>
      </c>
      <c r="X313" s="2" t="str">
        <f>_xlfn.XLOOKUP(Table1[[#This Row],[Loan_Credit_History]],Table4[Credit History],Table4[[ Category]])</f>
        <v>Critical Credit History</v>
      </c>
      <c r="Y313" s="3">
        <v>4</v>
      </c>
      <c r="Z313" s="3">
        <v>2</v>
      </c>
      <c r="AA313" s="5">
        <v>1585</v>
      </c>
      <c r="AB313" t="s">
        <v>151</v>
      </c>
      <c r="AC313" s="2" t="str" cm="1">
        <f t="array" ref="AC313">_xlfn.IFS(Table1[[#This Row],[Others_Parties]] = "No", "None",
Table1[[#This Row],[Others_Parties]] = "co applicant", "Co-applicant",
Table1[[#This Row],[Others_Parties]] = "guarantor", "Guarantor")</f>
        <v>None</v>
      </c>
      <c r="AD313" s="13" t="s">
        <v>145</v>
      </c>
      <c r="AE313" s="2" t="s">
        <v>108</v>
      </c>
      <c r="AF313" s="28" t="str" cm="1">
        <f t="array" ref="AF31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13" s="21">
        <v>24</v>
      </c>
      <c r="AH313" s="2" t="s">
        <v>154</v>
      </c>
      <c r="AI313"/>
      <c r="AZ313"/>
      <c r="BC313"/>
      <c r="BE313"/>
      <c r="BL313"/>
      <c r="BZ313"/>
      <c r="CA313"/>
      <c r="CF313"/>
      <c r="CG313"/>
      <c r="CH313"/>
      <c r="CI313"/>
      <c r="CK313"/>
      <c r="CN313"/>
    </row>
    <row r="314" spans="1:92" x14ac:dyDescent="0.3">
      <c r="A314" s="4">
        <v>312</v>
      </c>
      <c r="B314" s="11">
        <v>54</v>
      </c>
      <c r="C314" s="2" t="str">
        <f>_xlfn.XLOOKUP(Table1[[#This Row],[Age]],Table7[Start_Age],Table7[Age_Range],,-1)</f>
        <v>49-59</v>
      </c>
      <c r="D314" t="s">
        <v>130</v>
      </c>
      <c r="E314" s="2" t="s">
        <v>129</v>
      </c>
      <c r="F314" s="2" t="s">
        <v>133</v>
      </c>
      <c r="G314" s="3">
        <v>2</v>
      </c>
      <c r="H314" s="13" t="s">
        <v>152</v>
      </c>
      <c r="I314" s="2" t="str" cm="1">
        <f t="array" ref="I314">_xlfn.IFS(Table1[[#This Row],[Job_Type]] = "unskilled resident", "Resident",
Table1[[#This Row],[Job_Type]] = "unemp/unskilled non res", "Non-resident",
TRUE, "Unknown")</f>
        <v>Unknown</v>
      </c>
      <c r="J314" s="2" t="s">
        <v>150</v>
      </c>
      <c r="K314" s="3">
        <v>4</v>
      </c>
      <c r="L314" s="2" t="s">
        <v>142</v>
      </c>
      <c r="M314" s="13" t="s">
        <v>151</v>
      </c>
      <c r="N314" t="s">
        <v>17</v>
      </c>
      <c r="O314" s="2" t="str">
        <f>_xlfn.XLOOKUP(Table1[[#This Row],[Checking_Acct_Status]],Table3[Checking_Acct_Original],Table3[Category])</f>
        <v>No Account</v>
      </c>
      <c r="P314" s="10" t="s">
        <v>32</v>
      </c>
      <c r="Q314" s="13" t="str">
        <f>_xlfn.XLOOKUP(Table1[[#This Row],[Saving_Acct_Status]],Table5[Saving_Acct_Original],Table5[Category])</f>
        <v>Low Savings</v>
      </c>
      <c r="R314" t="s">
        <v>41</v>
      </c>
      <c r="S314" s="2" t="str">
        <f>IF(
      OR(Table1[[#This Row],[Job_Type]] = "high qualif/self emp/mgmt", Table1[[#This Row],[Job_Type]] = "skilled"),
      "Skilled", "Unskilled")</f>
        <v>Skilled</v>
      </c>
      <c r="T314" t="str">
        <f>IF(Table1[[#This Row],[Job_Type]] = "unemp/unskilled non res", "Unemployed", "Employed")</f>
        <v>Employed</v>
      </c>
      <c r="U314" t="s">
        <v>38</v>
      </c>
      <c r="V314" s="14" t="str" cm="1">
        <f t="array" ref="V31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14" t="s">
        <v>103</v>
      </c>
      <c r="X314" s="2" t="str">
        <f>_xlfn.XLOOKUP(Table1[[#This Row],[Loan_Credit_History]],Table4[Credit History],Table4[[ Category]])</f>
        <v>Critical Credit History</v>
      </c>
      <c r="Y314" s="3">
        <v>4</v>
      </c>
      <c r="Z314" s="3">
        <v>2</v>
      </c>
      <c r="AA314" s="5">
        <v>1597</v>
      </c>
      <c r="AB314" t="s">
        <v>151</v>
      </c>
      <c r="AC314" s="2" t="str" cm="1">
        <f t="array" ref="AC314">_xlfn.IFS(Table1[[#This Row],[Others_Parties]] = "No", "None",
Table1[[#This Row],[Others_Parties]] = "co applicant", "Co-applicant",
Table1[[#This Row],[Others_Parties]] = "guarantor", "Guarantor")</f>
        <v>None</v>
      </c>
      <c r="AD314" s="13" t="s">
        <v>145</v>
      </c>
      <c r="AE314" s="2" t="s">
        <v>100</v>
      </c>
      <c r="AF314" s="28" t="str" cm="1">
        <f t="array" ref="AF31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14" s="21">
        <v>24</v>
      </c>
      <c r="AH314" s="2" t="s">
        <v>154</v>
      </c>
      <c r="AI314"/>
      <c r="AZ314"/>
      <c r="BC314"/>
      <c r="BE314"/>
      <c r="BL314"/>
      <c r="BZ314"/>
      <c r="CA314"/>
      <c r="CF314"/>
      <c r="CG314"/>
      <c r="CH314"/>
      <c r="CI314"/>
      <c r="CK314"/>
      <c r="CN314"/>
    </row>
    <row r="315" spans="1:92" x14ac:dyDescent="0.3">
      <c r="A315" s="4">
        <v>313</v>
      </c>
      <c r="B315" s="11">
        <v>55</v>
      </c>
      <c r="C315" s="2" t="str">
        <f>_xlfn.XLOOKUP(Table1[[#This Row],[Age]],Table7[Start_Age],Table7[Age_Range],,-1)</f>
        <v>49-59</v>
      </c>
      <c r="D315" t="s">
        <v>136</v>
      </c>
      <c r="E315" s="2" t="s">
        <v>131</v>
      </c>
      <c r="F315" s="2" t="s">
        <v>137</v>
      </c>
      <c r="G315" s="3">
        <v>1</v>
      </c>
      <c r="H315" s="13" t="s">
        <v>152</v>
      </c>
      <c r="I315" s="2" t="str" cm="1">
        <f t="array" ref="I315">_xlfn.IFS(Table1[[#This Row],[Job_Type]] = "unskilled resident", "Resident",
Table1[[#This Row],[Job_Type]] = "unemp/unskilled non res", "Non-resident",
TRUE, "Unknown")</f>
        <v>Unknown</v>
      </c>
      <c r="J315" s="2" t="s">
        <v>148</v>
      </c>
      <c r="K315" s="3">
        <v>4</v>
      </c>
      <c r="L315" s="2" t="s">
        <v>140</v>
      </c>
      <c r="M315" s="13" t="s">
        <v>151</v>
      </c>
      <c r="N315" t="s">
        <v>35</v>
      </c>
      <c r="O315" s="2" t="str">
        <f>_xlfn.XLOOKUP(Table1[[#This Row],[Checking_Acct_Status]],Table3[Checking_Acct_Original],Table3[Category])</f>
        <v>Negative Balance</v>
      </c>
      <c r="P315" s="10" t="s">
        <v>32</v>
      </c>
      <c r="Q315" s="13" t="str">
        <f>_xlfn.XLOOKUP(Table1[[#This Row],[Saving_Acct_Status]],Table5[Saving_Acct_Original],Table5[Category])</f>
        <v>Low Savings</v>
      </c>
      <c r="R315" t="s">
        <v>41</v>
      </c>
      <c r="S315" s="2" t="str">
        <f>IF(
      OR(Table1[[#This Row],[Job_Type]] = "high qualif/self emp/mgmt", Table1[[#This Row],[Job_Type]] = "skilled"),
      "Skilled", "Unskilled")</f>
        <v>Skilled</v>
      </c>
      <c r="T315" t="str">
        <f>IF(Table1[[#This Row],[Job_Type]] = "unemp/unskilled non res", "Unemployed", "Employed")</f>
        <v>Employed</v>
      </c>
      <c r="U315" t="s">
        <v>38</v>
      </c>
      <c r="V315" s="14" t="str" cm="1">
        <f t="array" ref="V31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15" t="s">
        <v>31</v>
      </c>
      <c r="X315" s="2" t="str">
        <f>_xlfn.XLOOKUP(Table1[[#This Row],[Loan_Credit_History]],Table4[Credit History],Table4[[ Category]])</f>
        <v>Existing Credits Paid</v>
      </c>
      <c r="Y315" s="3">
        <v>4</v>
      </c>
      <c r="Z315" s="3">
        <v>1</v>
      </c>
      <c r="AA315" s="5">
        <v>1603</v>
      </c>
      <c r="AB315" t="s">
        <v>151</v>
      </c>
      <c r="AC315" s="2" t="str" cm="1">
        <f t="array" ref="AC315">_xlfn.IFS(Table1[[#This Row],[Others_Parties]] = "No", "None",
Table1[[#This Row],[Others_Parties]] = "co applicant", "Co-applicant",
Table1[[#This Row],[Others_Parties]] = "guarantor", "Guarantor")</f>
        <v>None</v>
      </c>
      <c r="AD315" s="13" t="s">
        <v>145</v>
      </c>
      <c r="AE315" s="2" t="s">
        <v>111</v>
      </c>
      <c r="AF315" s="28" t="str" cm="1">
        <f t="array" ref="AF31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15" s="21">
        <v>24</v>
      </c>
      <c r="AH315" s="2" t="s">
        <v>154</v>
      </c>
      <c r="AI315"/>
      <c r="AZ315"/>
      <c r="BC315"/>
      <c r="BE315"/>
      <c r="BL315"/>
      <c r="BZ315"/>
      <c r="CA315"/>
      <c r="CF315"/>
      <c r="CG315"/>
      <c r="CH315"/>
      <c r="CI315"/>
      <c r="CK315"/>
      <c r="CN315"/>
    </row>
    <row r="316" spans="1:92" x14ac:dyDescent="0.3">
      <c r="A316" s="4">
        <v>314</v>
      </c>
      <c r="B316" s="11">
        <v>29</v>
      </c>
      <c r="C316" s="2" t="str">
        <f>_xlfn.XLOOKUP(Table1[[#This Row],[Age]],Table7[Start_Age],Table7[Age_Range],,-1)</f>
        <v>29-39</v>
      </c>
      <c r="D316" t="s">
        <v>136</v>
      </c>
      <c r="E316" s="2" t="s">
        <v>131</v>
      </c>
      <c r="F316" s="2" t="s">
        <v>137</v>
      </c>
      <c r="G316" s="3">
        <v>1</v>
      </c>
      <c r="H316" s="13" t="s">
        <v>152</v>
      </c>
      <c r="I316" s="2" t="str" cm="1">
        <f t="array" ref="I316">_xlfn.IFS(Table1[[#This Row],[Job_Type]] = "unskilled resident", "Resident",
Table1[[#This Row],[Job_Type]] = "unemp/unskilled non res", "Non-resident",
TRUE, "Unknown")</f>
        <v>Resident</v>
      </c>
      <c r="J316" s="2" t="s">
        <v>149</v>
      </c>
      <c r="K316" s="3">
        <v>2</v>
      </c>
      <c r="L316" s="2" t="s">
        <v>140</v>
      </c>
      <c r="M316" s="13" t="s">
        <v>152</v>
      </c>
      <c r="N316" t="s">
        <v>35</v>
      </c>
      <c r="O316" s="2" t="str">
        <f>_xlfn.XLOOKUP(Table1[[#This Row],[Checking_Acct_Status]],Table3[Checking_Acct_Original],Table3[Category])</f>
        <v>Negative Balance</v>
      </c>
      <c r="P316" s="10" t="s">
        <v>32</v>
      </c>
      <c r="Q316" s="13" t="str">
        <f>_xlfn.XLOOKUP(Table1[[#This Row],[Saving_Acct_Status]],Table5[Saving_Acct_Original],Table5[Category])</f>
        <v>Low Savings</v>
      </c>
      <c r="R316" t="s">
        <v>27</v>
      </c>
      <c r="S316" s="2" t="str">
        <f>IF(
      OR(Table1[[#This Row],[Job_Type]] = "high qualif/self emp/mgmt", Table1[[#This Row],[Job_Type]] = "skilled"),
      "Skilled", "Unskilled")</f>
        <v>Unskilled</v>
      </c>
      <c r="T316" t="str">
        <f>IF(Table1[[#This Row],[Job_Type]] = "unemp/unskilled non res", "Unemployed", "Employed")</f>
        <v>Employed</v>
      </c>
      <c r="U316" t="s">
        <v>45</v>
      </c>
      <c r="V316" s="14" t="str" cm="1">
        <f t="array" ref="V31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16" t="s">
        <v>59</v>
      </c>
      <c r="X316" s="2" t="str">
        <f>_xlfn.XLOOKUP(Table1[[#This Row],[Loan_Credit_History]],Table4[Credit History],Table4[[ Category]])</f>
        <v>Previously Delayed</v>
      </c>
      <c r="Y316" s="3">
        <v>4</v>
      </c>
      <c r="Z316" s="3">
        <v>1</v>
      </c>
      <c r="AA316" s="5">
        <v>1659</v>
      </c>
      <c r="AB316" t="s">
        <v>151</v>
      </c>
      <c r="AC316" s="2" t="str" cm="1">
        <f t="array" ref="AC316">_xlfn.IFS(Table1[[#This Row],[Others_Parties]] = "No", "None",
Table1[[#This Row],[Others_Parties]] = "co applicant", "Co-applicant",
Table1[[#This Row],[Others_Parties]] = "guarantor", "Guarantor")</f>
        <v>None</v>
      </c>
      <c r="AD316" s="13" t="s">
        <v>145</v>
      </c>
      <c r="AE316" s="2" t="s">
        <v>111</v>
      </c>
      <c r="AF316" s="28" t="str" cm="1">
        <f t="array" ref="AF31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16" s="21">
        <v>24</v>
      </c>
      <c r="AH316" s="2" t="s">
        <v>153</v>
      </c>
      <c r="AI316"/>
      <c r="AZ316"/>
      <c r="BC316"/>
      <c r="BE316"/>
      <c r="BL316"/>
      <c r="BZ316"/>
      <c r="CA316"/>
      <c r="CF316"/>
      <c r="CG316"/>
      <c r="CH316"/>
      <c r="CI316"/>
      <c r="CK316"/>
      <c r="CN316"/>
    </row>
    <row r="317" spans="1:92" x14ac:dyDescent="0.3">
      <c r="A317" s="4">
        <v>315</v>
      </c>
      <c r="B317" s="11">
        <v>48</v>
      </c>
      <c r="C317" s="2" t="str">
        <f>_xlfn.XLOOKUP(Table1[[#This Row],[Age]],Table7[Start_Age],Table7[Age_Range],,-1)</f>
        <v>39-49</v>
      </c>
      <c r="D317" t="s">
        <v>130</v>
      </c>
      <c r="E317" s="2" t="s">
        <v>129</v>
      </c>
      <c r="F317" s="2" t="s">
        <v>133</v>
      </c>
      <c r="G317" s="3">
        <v>1</v>
      </c>
      <c r="H317" s="13" t="s">
        <v>152</v>
      </c>
      <c r="I317" s="2" t="str" cm="1">
        <f t="array" ref="I317">_xlfn.IFS(Table1[[#This Row],[Job_Type]] = "unskilled resident", "Resident",
Table1[[#This Row],[Job_Type]] = "unemp/unskilled non res", "Non-resident",
TRUE, "Unknown")</f>
        <v>Resident</v>
      </c>
      <c r="J317" s="2" t="s">
        <v>148</v>
      </c>
      <c r="K317" s="3">
        <v>2</v>
      </c>
      <c r="L317" s="2" t="s">
        <v>143</v>
      </c>
      <c r="M317" s="13" t="s">
        <v>151</v>
      </c>
      <c r="N317" t="s">
        <v>30</v>
      </c>
      <c r="O317" s="2" t="str">
        <f>_xlfn.XLOOKUP(Table1[[#This Row],[Checking_Acct_Status]],Table3[Checking_Acct_Original],Table3[Category])</f>
        <v>Low Balance</v>
      </c>
      <c r="P317" s="10" t="s">
        <v>32</v>
      </c>
      <c r="Q317" s="13" t="str">
        <f>_xlfn.XLOOKUP(Table1[[#This Row],[Saving_Acct_Status]],Table5[Saving_Acct_Original],Table5[Category])</f>
        <v>Low Savings</v>
      </c>
      <c r="R317" t="s">
        <v>27</v>
      </c>
      <c r="S317" s="2" t="str">
        <f>IF(
      OR(Table1[[#This Row],[Job_Type]] = "high qualif/self emp/mgmt", Table1[[#This Row],[Job_Type]] = "skilled"),
      "Skilled", "Unskilled")</f>
        <v>Unskilled</v>
      </c>
      <c r="T317" t="str">
        <f>IF(Table1[[#This Row],[Job_Type]] = "unemp/unskilled non res", "Unemployed", "Employed")</f>
        <v>Employed</v>
      </c>
      <c r="U317" t="s">
        <v>38</v>
      </c>
      <c r="V317" s="14" t="str" cm="1">
        <f t="array" ref="V31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17" t="s">
        <v>103</v>
      </c>
      <c r="X317" s="2" t="str">
        <f>_xlfn.XLOOKUP(Table1[[#This Row],[Loan_Credit_History]],Table4[Credit History],Table4[[ Category]])</f>
        <v>Critical Credit History</v>
      </c>
      <c r="Y317" s="3">
        <v>4</v>
      </c>
      <c r="Z317" s="3">
        <v>2</v>
      </c>
      <c r="AA317" s="5">
        <v>1743</v>
      </c>
      <c r="AB317" t="s">
        <v>151</v>
      </c>
      <c r="AC317" s="2" t="str" cm="1">
        <f t="array" ref="AC317">_xlfn.IFS(Table1[[#This Row],[Others_Parties]] = "No", "None",
Table1[[#This Row],[Others_Parties]] = "co applicant", "Co-applicant",
Table1[[#This Row],[Others_Parties]] = "guarantor", "Guarantor")</f>
        <v>None</v>
      </c>
      <c r="AD317" s="13" t="s">
        <v>145</v>
      </c>
      <c r="AE317" s="2" t="s">
        <v>111</v>
      </c>
      <c r="AF317" s="28" t="str" cm="1">
        <f t="array" ref="AF31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17" s="21">
        <v>24</v>
      </c>
      <c r="AH317" s="2" t="s">
        <v>154</v>
      </c>
      <c r="AI317"/>
      <c r="AZ317"/>
      <c r="BC317"/>
      <c r="BE317"/>
      <c r="BL317"/>
      <c r="BZ317"/>
      <c r="CA317"/>
      <c r="CF317"/>
      <c r="CG317"/>
      <c r="CH317"/>
      <c r="CI317"/>
      <c r="CK317"/>
      <c r="CN317"/>
    </row>
    <row r="318" spans="1:92" x14ac:dyDescent="0.3">
      <c r="A318" s="4">
        <v>316</v>
      </c>
      <c r="B318" s="11">
        <v>58</v>
      </c>
      <c r="C318" s="2" t="str">
        <f>_xlfn.XLOOKUP(Table1[[#This Row],[Age]],Table7[Start_Age],Table7[Age_Range],,-1)</f>
        <v>49-59</v>
      </c>
      <c r="D318" t="s">
        <v>136</v>
      </c>
      <c r="E318" s="2" t="s">
        <v>131</v>
      </c>
      <c r="F318" s="2" t="s">
        <v>137</v>
      </c>
      <c r="G318" s="3">
        <v>1</v>
      </c>
      <c r="H318" s="13" t="s">
        <v>152</v>
      </c>
      <c r="I318" s="2" t="str" cm="1">
        <f t="array" ref="I318">_xlfn.IFS(Table1[[#This Row],[Job_Type]] = "unskilled resident", "Resident",
Table1[[#This Row],[Job_Type]] = "unemp/unskilled non res", "Non-resident",
TRUE, "Unknown")</f>
        <v>Resident</v>
      </c>
      <c r="J318" s="2" t="s">
        <v>148</v>
      </c>
      <c r="K318" s="3">
        <v>4</v>
      </c>
      <c r="L318" s="2" t="s">
        <v>144</v>
      </c>
      <c r="M318" s="13" t="s">
        <v>152</v>
      </c>
      <c r="N318" t="s">
        <v>35</v>
      </c>
      <c r="O318" s="2" t="str">
        <f>_xlfn.XLOOKUP(Table1[[#This Row],[Checking_Acct_Status]],Table3[Checking_Acct_Original],Table3[Category])</f>
        <v>Negative Balance</v>
      </c>
      <c r="P318" s="10" t="s">
        <v>32</v>
      </c>
      <c r="Q318" s="13" t="str">
        <f>_xlfn.XLOOKUP(Table1[[#This Row],[Saving_Acct_Status]],Table5[Saving_Acct_Original],Table5[Category])</f>
        <v>Low Savings</v>
      </c>
      <c r="R318" t="s">
        <v>27</v>
      </c>
      <c r="S318" s="2" t="str">
        <f>IF(
      OR(Table1[[#This Row],[Job_Type]] = "high qualif/self emp/mgmt", Table1[[#This Row],[Job_Type]] = "skilled"),
      "Skilled", "Unskilled")</f>
        <v>Unskilled</v>
      </c>
      <c r="T318" t="str">
        <f>IF(Table1[[#This Row],[Job_Type]] = "unemp/unskilled non res", "Unemployed", "Employed")</f>
        <v>Employed</v>
      </c>
      <c r="U318" t="s">
        <v>38</v>
      </c>
      <c r="V318" s="14" t="str" cm="1">
        <f t="array" ref="V31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18" t="s">
        <v>31</v>
      </c>
      <c r="X318" s="2" t="str">
        <f>_xlfn.XLOOKUP(Table1[[#This Row],[Loan_Credit_History]],Table4[Credit History],Table4[[ Category]])</f>
        <v>Existing Credits Paid</v>
      </c>
      <c r="Y318" s="3">
        <v>4</v>
      </c>
      <c r="Z318" s="3">
        <v>1</v>
      </c>
      <c r="AA318" s="5">
        <v>1755</v>
      </c>
      <c r="AB318" t="s">
        <v>58</v>
      </c>
      <c r="AC318" s="2" t="str" cm="1">
        <f t="array" ref="AC318">_xlfn.IFS(Table1[[#This Row],[Others_Parties]] = "No", "None",
Table1[[#This Row],[Others_Parties]] = "co applicant", "Co-applicant",
Table1[[#This Row],[Others_Parties]] = "guarantor", "Guarantor")</f>
        <v>Guarantor</v>
      </c>
      <c r="AD318" s="13" t="s">
        <v>145</v>
      </c>
      <c r="AE318" s="2" t="s">
        <v>104</v>
      </c>
      <c r="AF318" s="28" t="str" cm="1">
        <f t="array" ref="AF31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18" s="21">
        <v>24</v>
      </c>
      <c r="AH318" s="2" t="s">
        <v>154</v>
      </c>
      <c r="AI318"/>
      <c r="AZ318"/>
      <c r="BC318"/>
      <c r="BE318"/>
      <c r="BL318"/>
      <c r="BZ318"/>
      <c r="CA318"/>
      <c r="CF318"/>
      <c r="CG318"/>
      <c r="CH318"/>
      <c r="CI318"/>
      <c r="CK318"/>
      <c r="CN318"/>
    </row>
    <row r="319" spans="1:92" x14ac:dyDescent="0.3">
      <c r="A319" s="4">
        <v>317</v>
      </c>
      <c r="B319" s="11">
        <v>30</v>
      </c>
      <c r="C319" s="2" t="str">
        <f>_xlfn.XLOOKUP(Table1[[#This Row],[Age]],Table7[Start_Age],Table7[Age_Range],,-1)</f>
        <v>29-39</v>
      </c>
      <c r="D319" t="s">
        <v>130</v>
      </c>
      <c r="E319" s="2" t="s">
        <v>129</v>
      </c>
      <c r="F319" s="2" t="s">
        <v>133</v>
      </c>
      <c r="G319" s="3">
        <v>2</v>
      </c>
      <c r="H319" s="13" t="s">
        <v>152</v>
      </c>
      <c r="I319" s="2" t="str" cm="1">
        <f t="array" ref="I319">_xlfn.IFS(Table1[[#This Row],[Job_Type]] = "unskilled resident", "Resident",
Table1[[#This Row],[Job_Type]] = "unemp/unskilled non res", "Non-resident",
TRUE, "Unknown")</f>
        <v>Unknown</v>
      </c>
      <c r="J319" s="2" t="s">
        <v>148</v>
      </c>
      <c r="K319" s="3">
        <v>2</v>
      </c>
      <c r="L319" s="2" t="s">
        <v>140</v>
      </c>
      <c r="M319" s="13" t="s">
        <v>151</v>
      </c>
      <c r="N319" t="s">
        <v>35</v>
      </c>
      <c r="O319" s="2" t="str">
        <f>_xlfn.XLOOKUP(Table1[[#This Row],[Checking_Acct_Status]],Table3[Checking_Acct_Original],Table3[Category])</f>
        <v>Negative Balance</v>
      </c>
      <c r="P319" s="10" t="s">
        <v>32</v>
      </c>
      <c r="Q319" s="13" t="str">
        <f>_xlfn.XLOOKUP(Table1[[#This Row],[Saving_Acct_Status]],Table5[Saving_Acct_Original],Table5[Category])</f>
        <v>Low Savings</v>
      </c>
      <c r="R319" t="s">
        <v>63</v>
      </c>
      <c r="S319" s="2" t="str">
        <f>IF(
      OR(Table1[[#This Row],[Job_Type]] = "high qualif/self emp/mgmt", Table1[[#This Row],[Job_Type]] = "skilled"),
      "Skilled", "Unskilled")</f>
        <v>Skilled</v>
      </c>
      <c r="T319" t="str">
        <f>IF(Table1[[#This Row],[Job_Type]] = "unemp/unskilled non res", "Unemployed", "Employed")</f>
        <v>Employed</v>
      </c>
      <c r="U319" t="s">
        <v>54</v>
      </c>
      <c r="V319" s="14" t="str" cm="1">
        <f t="array" ref="V319">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319" t="s">
        <v>31</v>
      </c>
      <c r="X319" s="2" t="str">
        <f>_xlfn.XLOOKUP(Table1[[#This Row],[Loan_Credit_History]],Table4[Credit History],Table4[[ Category]])</f>
        <v>Existing Credits Paid</v>
      </c>
      <c r="Y319" s="3">
        <v>4</v>
      </c>
      <c r="Z319" s="3">
        <v>1</v>
      </c>
      <c r="AA319" s="5">
        <v>1823</v>
      </c>
      <c r="AB319" t="s">
        <v>151</v>
      </c>
      <c r="AC319" s="2" t="str" cm="1">
        <f t="array" ref="AC319">_xlfn.IFS(Table1[[#This Row],[Others_Parties]] = "No", "None",
Table1[[#This Row],[Others_Parties]] = "co applicant", "Co-applicant",
Table1[[#This Row],[Others_Parties]] = "guarantor", "Guarantor")</f>
        <v>None</v>
      </c>
      <c r="AD319" s="13" t="s">
        <v>147</v>
      </c>
      <c r="AE319" s="2" t="s">
        <v>111</v>
      </c>
      <c r="AF319" s="28" t="str" cm="1">
        <f t="array" ref="AF31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19" s="21">
        <v>24</v>
      </c>
      <c r="AH319" s="2" t="s">
        <v>153</v>
      </c>
      <c r="AI319"/>
      <c r="AZ319"/>
      <c r="BC319"/>
      <c r="BE319"/>
      <c r="BL319"/>
      <c r="BZ319"/>
      <c r="CA319"/>
      <c r="CF319"/>
      <c r="CG319"/>
      <c r="CH319"/>
      <c r="CI319"/>
      <c r="CK319"/>
      <c r="CN319"/>
    </row>
    <row r="320" spans="1:92" x14ac:dyDescent="0.3">
      <c r="A320" s="4">
        <v>318</v>
      </c>
      <c r="B320" s="11">
        <v>34</v>
      </c>
      <c r="C320" s="2" t="str">
        <f>_xlfn.XLOOKUP(Table1[[#This Row],[Age]],Table7[Start_Age],Table7[Age_Range],,-1)</f>
        <v>29-39</v>
      </c>
      <c r="D320" t="s">
        <v>136</v>
      </c>
      <c r="E320" s="2" t="s">
        <v>131</v>
      </c>
      <c r="F320" s="2" t="s">
        <v>137</v>
      </c>
      <c r="G320" s="3">
        <v>1</v>
      </c>
      <c r="H320" s="13" t="s">
        <v>152</v>
      </c>
      <c r="I320" s="2" t="str" cm="1">
        <f t="array" ref="I320">_xlfn.IFS(Table1[[#This Row],[Job_Type]] = "unskilled resident", "Resident",
Table1[[#This Row],[Job_Type]] = "unemp/unskilled non res", "Non-resident",
TRUE, "Unknown")</f>
        <v>Resident</v>
      </c>
      <c r="J320" s="2" t="s">
        <v>150</v>
      </c>
      <c r="K320" s="3">
        <v>4</v>
      </c>
      <c r="L320" s="2" t="s">
        <v>142</v>
      </c>
      <c r="M320" s="13" t="s">
        <v>151</v>
      </c>
      <c r="N320" t="s">
        <v>30</v>
      </c>
      <c r="O320" s="2" t="str">
        <f>_xlfn.XLOOKUP(Table1[[#This Row],[Checking_Acct_Status]],Table3[Checking_Acct_Original],Table3[Category])</f>
        <v>Low Balance</v>
      </c>
      <c r="P320" s="10" t="s">
        <v>32</v>
      </c>
      <c r="Q320" s="13" t="str">
        <f>_xlfn.XLOOKUP(Table1[[#This Row],[Saving_Acct_Status]],Table5[Saving_Acct_Original],Table5[Category])</f>
        <v>Low Savings</v>
      </c>
      <c r="R320" t="s">
        <v>27</v>
      </c>
      <c r="S320" s="2" t="str">
        <f>IF(
      OR(Table1[[#This Row],[Job_Type]] = "high qualif/self emp/mgmt", Table1[[#This Row],[Job_Type]] = "skilled"),
      "Skilled", "Unskilled")</f>
        <v>Unskilled</v>
      </c>
      <c r="T320" t="str">
        <f>IF(Table1[[#This Row],[Job_Type]] = "unemp/unskilled non res", "Unemployed", "Employed")</f>
        <v>Employed</v>
      </c>
      <c r="U320" t="s">
        <v>49</v>
      </c>
      <c r="V320" s="14" t="str" cm="1">
        <f t="array" ref="V32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20" t="s">
        <v>42</v>
      </c>
      <c r="X320" s="2" t="str">
        <f>_xlfn.XLOOKUP(Table1[[#This Row],[Loan_Credit_History]],Table4[Credit History],Table4[[ Category]])</f>
        <v>All Paid</v>
      </c>
      <c r="Y320" s="3">
        <v>4</v>
      </c>
      <c r="Z320" s="3">
        <v>1</v>
      </c>
      <c r="AA320" s="5">
        <v>1837</v>
      </c>
      <c r="AB320" t="s">
        <v>151</v>
      </c>
      <c r="AC320" s="2" t="str" cm="1">
        <f t="array" ref="AC320">_xlfn.IFS(Table1[[#This Row],[Others_Parties]] = "No", "None",
Table1[[#This Row],[Others_Parties]] = "co applicant", "Co-applicant",
Table1[[#This Row],[Others_Parties]] = "guarantor", "Guarantor")</f>
        <v>None</v>
      </c>
      <c r="AD320" s="13" t="s">
        <v>146</v>
      </c>
      <c r="AE320" s="2" t="s">
        <v>100</v>
      </c>
      <c r="AF320" s="28" t="str" cm="1">
        <f t="array" ref="AF32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20" s="21">
        <v>24</v>
      </c>
      <c r="AH320" s="2" t="s">
        <v>153</v>
      </c>
      <c r="AI320"/>
      <c r="AZ320"/>
      <c r="BC320"/>
      <c r="BE320"/>
      <c r="BL320"/>
      <c r="BZ320"/>
      <c r="CA320"/>
      <c r="CF320"/>
      <c r="CG320"/>
      <c r="CH320"/>
      <c r="CI320"/>
      <c r="CK320"/>
      <c r="CN320"/>
    </row>
    <row r="321" spans="1:92" x14ac:dyDescent="0.3">
      <c r="A321" s="4">
        <v>319</v>
      </c>
      <c r="B321" s="11">
        <v>33</v>
      </c>
      <c r="C321" s="2" t="str">
        <f>_xlfn.XLOOKUP(Table1[[#This Row],[Age]],Table7[Start_Age],Table7[Age_Range],,-1)</f>
        <v>29-39</v>
      </c>
      <c r="D321" t="s">
        <v>134</v>
      </c>
      <c r="E321" s="2" t="s">
        <v>129</v>
      </c>
      <c r="F321" s="2" t="s">
        <v>135</v>
      </c>
      <c r="G321" s="3">
        <v>1</v>
      </c>
      <c r="H321" s="13" t="s">
        <v>152</v>
      </c>
      <c r="I321" s="2" t="str" cm="1">
        <f t="array" ref="I321">_xlfn.IFS(Table1[[#This Row],[Job_Type]] = "unskilled resident", "Resident",
Table1[[#This Row],[Job_Type]] = "unemp/unskilled non res", "Non-resident",
TRUE, "Unknown")</f>
        <v>Unknown</v>
      </c>
      <c r="J321" s="2" t="s">
        <v>148</v>
      </c>
      <c r="K321" s="3">
        <v>2</v>
      </c>
      <c r="L321" s="2" t="s">
        <v>140</v>
      </c>
      <c r="M321" s="13" t="s">
        <v>152</v>
      </c>
      <c r="N321" t="s">
        <v>17</v>
      </c>
      <c r="O321" s="2" t="str">
        <f>_xlfn.XLOOKUP(Table1[[#This Row],[Checking_Acct_Status]],Table3[Checking_Acct_Original],Table3[Category])</f>
        <v>No Account</v>
      </c>
      <c r="P321" s="10" t="s">
        <v>32</v>
      </c>
      <c r="Q321" s="13" t="str">
        <f>_xlfn.XLOOKUP(Table1[[#This Row],[Saving_Acct_Status]],Table5[Saving_Acct_Original],Table5[Category])</f>
        <v>Low Savings</v>
      </c>
      <c r="R321" t="s">
        <v>41</v>
      </c>
      <c r="S321" s="2" t="str">
        <f>IF(
      OR(Table1[[#This Row],[Job_Type]] = "high qualif/self emp/mgmt", Table1[[#This Row],[Job_Type]] = "skilled"),
      "Skilled", "Unskilled")</f>
        <v>Skilled</v>
      </c>
      <c r="T321" t="str">
        <f>IF(Table1[[#This Row],[Job_Type]] = "unemp/unskilled non res", "Unemployed", "Employed")</f>
        <v>Employed</v>
      </c>
      <c r="U321" t="s">
        <v>49</v>
      </c>
      <c r="V321" s="14" t="str" cm="1">
        <f t="array" ref="V32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21" t="s">
        <v>103</v>
      </c>
      <c r="X321" s="2" t="str">
        <f>_xlfn.XLOOKUP(Table1[[#This Row],[Loan_Credit_History]],Table4[Credit History],Table4[[ Category]])</f>
        <v>Critical Credit History</v>
      </c>
      <c r="Y321" s="3">
        <v>4</v>
      </c>
      <c r="Z321" s="3">
        <v>2</v>
      </c>
      <c r="AA321" s="5">
        <v>1851</v>
      </c>
      <c r="AB321" t="s">
        <v>58</v>
      </c>
      <c r="AC321" s="2" t="str" cm="1">
        <f t="array" ref="AC321">_xlfn.IFS(Table1[[#This Row],[Others_Parties]] = "No", "None",
Table1[[#This Row],[Others_Parties]] = "co applicant", "Co-applicant",
Table1[[#This Row],[Others_Parties]] = "guarantor", "Guarantor")</f>
        <v>Guarantor</v>
      </c>
      <c r="AD321" s="13" t="s">
        <v>145</v>
      </c>
      <c r="AE321" s="2" t="s">
        <v>111</v>
      </c>
      <c r="AF321" s="28" t="str" cm="1">
        <f t="array" ref="AF32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21" s="21">
        <v>24</v>
      </c>
      <c r="AH321" s="2" t="s">
        <v>154</v>
      </c>
      <c r="AI321"/>
      <c r="AZ321"/>
      <c r="BC321"/>
      <c r="BE321"/>
      <c r="BL321"/>
      <c r="BZ321"/>
      <c r="CA321"/>
      <c r="CF321"/>
      <c r="CG321"/>
      <c r="CH321"/>
      <c r="CI321"/>
      <c r="CK321"/>
      <c r="CN321"/>
    </row>
    <row r="322" spans="1:92" x14ac:dyDescent="0.3">
      <c r="A322" s="4">
        <v>320</v>
      </c>
      <c r="B322" s="11">
        <v>29</v>
      </c>
      <c r="C322" s="2" t="str">
        <f>_xlfn.XLOOKUP(Table1[[#This Row],[Age]],Table7[Start_Age],Table7[Age_Range],,-1)</f>
        <v>29-39</v>
      </c>
      <c r="D322" t="s">
        <v>130</v>
      </c>
      <c r="E322" s="2" t="s">
        <v>129</v>
      </c>
      <c r="F322" s="2" t="s">
        <v>133</v>
      </c>
      <c r="G322" s="3">
        <v>1</v>
      </c>
      <c r="H322" s="13" t="s">
        <v>152</v>
      </c>
      <c r="I322" s="2" t="str" cm="1">
        <f t="array" ref="I322">_xlfn.IFS(Table1[[#This Row],[Job_Type]] = "unskilled resident", "Resident",
Table1[[#This Row],[Job_Type]] = "unemp/unskilled non res", "Non-resident",
TRUE, "Unknown")</f>
        <v>Unknown</v>
      </c>
      <c r="J322" s="2" t="s">
        <v>149</v>
      </c>
      <c r="K322" s="3">
        <v>4</v>
      </c>
      <c r="L322" s="2" t="s">
        <v>140</v>
      </c>
      <c r="M322" s="13" t="s">
        <v>152</v>
      </c>
      <c r="N322" t="s">
        <v>17</v>
      </c>
      <c r="O322" s="2" t="str">
        <f>_xlfn.XLOOKUP(Table1[[#This Row],[Checking_Acct_Status]],Table3[Checking_Acct_Original],Table3[Category])</f>
        <v>No Account</v>
      </c>
      <c r="P322" s="10" t="s">
        <v>46</v>
      </c>
      <c r="Q322" s="13" t="str">
        <f>_xlfn.XLOOKUP(Table1[[#This Row],[Saving_Acct_Status]],Table5[Saving_Acct_Original],Table5[Category])</f>
        <v>Medium Savings</v>
      </c>
      <c r="R322" t="s">
        <v>63</v>
      </c>
      <c r="S322" s="2" t="str">
        <f>IF(
      OR(Table1[[#This Row],[Job_Type]] = "high qualif/self emp/mgmt", Table1[[#This Row],[Job_Type]] = "skilled"),
      "Skilled", "Unskilled")</f>
        <v>Skilled</v>
      </c>
      <c r="T322" t="str">
        <f>IF(Table1[[#This Row],[Job_Type]] = "unemp/unskilled non res", "Unemployed", "Employed")</f>
        <v>Employed</v>
      </c>
      <c r="U322" t="s">
        <v>21</v>
      </c>
      <c r="V322" s="14" t="str" cm="1">
        <f t="array" ref="V32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22" t="s">
        <v>31</v>
      </c>
      <c r="X322" s="2" t="str">
        <f>_xlfn.XLOOKUP(Table1[[#This Row],[Loan_Credit_History]],Table4[Credit History],Table4[[ Category]])</f>
        <v>Existing Credits Paid</v>
      </c>
      <c r="Y322" s="3">
        <v>4</v>
      </c>
      <c r="Z322" s="3">
        <v>1</v>
      </c>
      <c r="AA322" s="5">
        <v>1901</v>
      </c>
      <c r="AB322" t="s">
        <v>151</v>
      </c>
      <c r="AC322" s="2" t="str" cm="1">
        <f t="array" ref="AC322">_xlfn.IFS(Table1[[#This Row],[Others_Parties]] = "No", "None",
Table1[[#This Row],[Others_Parties]] = "co applicant", "Co-applicant",
Table1[[#This Row],[Others_Parties]] = "guarantor", "Guarantor")</f>
        <v>None</v>
      </c>
      <c r="AD322" s="13" t="s">
        <v>145</v>
      </c>
      <c r="AE322" s="2" t="s">
        <v>111</v>
      </c>
      <c r="AF322" s="28" t="str" cm="1">
        <f t="array" ref="AF32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22" s="21">
        <v>24</v>
      </c>
      <c r="AH322" s="2" t="s">
        <v>154</v>
      </c>
      <c r="AI322"/>
      <c r="AZ322"/>
      <c r="BC322"/>
      <c r="BE322"/>
      <c r="BL322"/>
      <c r="BZ322"/>
      <c r="CA322"/>
      <c r="CF322"/>
      <c r="CG322"/>
      <c r="CH322"/>
      <c r="CI322"/>
      <c r="CK322"/>
      <c r="CN322"/>
    </row>
    <row r="323" spans="1:92" x14ac:dyDescent="0.3">
      <c r="A323" s="4">
        <v>321</v>
      </c>
      <c r="B323" s="11">
        <v>26</v>
      </c>
      <c r="C323" s="2" t="str">
        <f>_xlfn.XLOOKUP(Table1[[#This Row],[Age]],Table7[Start_Age],Table7[Age_Range],,-1)</f>
        <v>19-29</v>
      </c>
      <c r="D323" t="s">
        <v>130</v>
      </c>
      <c r="E323" s="2" t="s">
        <v>129</v>
      </c>
      <c r="F323" s="2" t="s">
        <v>133</v>
      </c>
      <c r="G323" s="3">
        <v>1</v>
      </c>
      <c r="H323" s="13" t="s">
        <v>152</v>
      </c>
      <c r="I323" s="2" t="str" cm="1">
        <f t="array" ref="I323">_xlfn.IFS(Table1[[#This Row],[Job_Type]] = "unskilled resident", "Resident",
Table1[[#This Row],[Job_Type]] = "unemp/unskilled non res", "Non-resident",
TRUE, "Unknown")</f>
        <v>Unknown</v>
      </c>
      <c r="J323" s="2" t="s">
        <v>148</v>
      </c>
      <c r="K323" s="3">
        <v>2</v>
      </c>
      <c r="L323" s="2" t="s">
        <v>144</v>
      </c>
      <c r="M323" s="13" t="s">
        <v>151</v>
      </c>
      <c r="N323" t="s">
        <v>50</v>
      </c>
      <c r="O323" s="2" t="str">
        <f>_xlfn.XLOOKUP(Table1[[#This Row],[Checking_Acct_Status]],Table3[Checking_Acct_Original],Table3[Category])</f>
        <v>High Balance</v>
      </c>
      <c r="P323" s="10" t="s">
        <v>32</v>
      </c>
      <c r="Q323" s="13" t="str">
        <f>_xlfn.XLOOKUP(Table1[[#This Row],[Saving_Acct_Status]],Table5[Saving_Acct_Original],Table5[Category])</f>
        <v>Low Savings</v>
      </c>
      <c r="R323" t="s">
        <v>41</v>
      </c>
      <c r="S323" s="2" t="str">
        <f>IF(
      OR(Table1[[#This Row],[Job_Type]] = "high qualif/self emp/mgmt", Table1[[#This Row],[Job_Type]] = "skilled"),
      "Skilled", "Unskilled")</f>
        <v>Skilled</v>
      </c>
      <c r="T323" t="str">
        <f>IF(Table1[[#This Row],[Job_Type]] = "unemp/unskilled non res", "Unemployed", "Employed")</f>
        <v>Employed</v>
      </c>
      <c r="U323" t="s">
        <v>21</v>
      </c>
      <c r="V323" s="14" t="str" cm="1">
        <f t="array" ref="V32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23" t="s">
        <v>31</v>
      </c>
      <c r="X323" s="2" t="str">
        <f>_xlfn.XLOOKUP(Table1[[#This Row],[Loan_Credit_History]],Table4[Credit History],Table4[[ Category]])</f>
        <v>Existing Credits Paid</v>
      </c>
      <c r="Y323" s="3">
        <v>2</v>
      </c>
      <c r="Z323" s="3">
        <v>1</v>
      </c>
      <c r="AA323" s="5">
        <v>1925</v>
      </c>
      <c r="AB323" t="s">
        <v>151</v>
      </c>
      <c r="AC323" s="2" t="str" cm="1">
        <f t="array" ref="AC323">_xlfn.IFS(Table1[[#This Row],[Others_Parties]] = "No", "None",
Table1[[#This Row],[Others_Parties]] = "co applicant", "Co-applicant",
Table1[[#This Row],[Others_Parties]] = "guarantor", "Guarantor")</f>
        <v>None</v>
      </c>
      <c r="AD323" s="13" t="s">
        <v>145</v>
      </c>
      <c r="AE323" s="2" t="s">
        <v>108</v>
      </c>
      <c r="AF323" s="28" t="str" cm="1">
        <f t="array" ref="AF32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23" s="21">
        <v>24</v>
      </c>
      <c r="AH323" s="2" t="s">
        <v>154</v>
      </c>
      <c r="AI323"/>
      <c r="AZ323"/>
      <c r="BC323"/>
      <c r="BE323"/>
      <c r="BL323"/>
      <c r="BZ323"/>
      <c r="CA323"/>
      <c r="CF323"/>
      <c r="CG323"/>
      <c r="CH323"/>
      <c r="CI323"/>
      <c r="CK323"/>
      <c r="CN323"/>
    </row>
    <row r="324" spans="1:92" x14ac:dyDescent="0.3">
      <c r="A324" s="4">
        <v>322</v>
      </c>
      <c r="B324" s="11">
        <v>33</v>
      </c>
      <c r="C324" s="2" t="str">
        <f>_xlfn.XLOOKUP(Table1[[#This Row],[Age]],Table7[Start_Age],Table7[Age_Range],,-1)</f>
        <v>29-39</v>
      </c>
      <c r="D324" t="s">
        <v>136</v>
      </c>
      <c r="E324" s="2" t="s">
        <v>131</v>
      </c>
      <c r="F324" s="2" t="s">
        <v>137</v>
      </c>
      <c r="G324" s="3">
        <v>1</v>
      </c>
      <c r="H324" s="13" t="s">
        <v>152</v>
      </c>
      <c r="I324" s="2" t="str" cm="1">
        <f t="array" ref="I324">_xlfn.IFS(Table1[[#This Row],[Job_Type]] = "unskilled resident", "Resident",
Table1[[#This Row],[Job_Type]] = "unemp/unskilled non res", "Non-resident",
TRUE, "Unknown")</f>
        <v>Unknown</v>
      </c>
      <c r="J324" s="2" t="s">
        <v>148</v>
      </c>
      <c r="K324" s="3">
        <v>2</v>
      </c>
      <c r="L324" s="2" t="s">
        <v>140</v>
      </c>
      <c r="M324" s="13" t="s">
        <v>152</v>
      </c>
      <c r="N324" t="s">
        <v>17</v>
      </c>
      <c r="O324" s="2" t="str">
        <f>_xlfn.XLOOKUP(Table1[[#This Row],[Checking_Acct_Status]],Table3[Checking_Acct_Original],Table3[Category])</f>
        <v>No Account</v>
      </c>
      <c r="P324" s="10" t="s">
        <v>47</v>
      </c>
      <c r="Q324" s="13" t="str">
        <f>_xlfn.XLOOKUP(Table1[[#This Row],[Saving_Acct_Status]],Table5[Saving_Acct_Original],Table5[Category])</f>
        <v>No Savings</v>
      </c>
      <c r="R324" t="s">
        <v>41</v>
      </c>
      <c r="S324" s="2" t="str">
        <f>IF(
      OR(Table1[[#This Row],[Job_Type]] = "high qualif/self emp/mgmt", Table1[[#This Row],[Job_Type]] = "skilled"),
      "Skilled", "Unskilled")</f>
        <v>Skilled</v>
      </c>
      <c r="T324" t="str">
        <f>IF(Table1[[#This Row],[Job_Type]] = "unemp/unskilled non res", "Unemployed", "Employed")</f>
        <v>Employed</v>
      </c>
      <c r="U324" t="s">
        <v>21</v>
      </c>
      <c r="V324" s="14" t="str" cm="1">
        <f t="array" ref="V32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24" t="s">
        <v>103</v>
      </c>
      <c r="X324" s="2" t="str">
        <f>_xlfn.XLOOKUP(Table1[[#This Row],[Loan_Credit_History]],Table4[Credit History],Table4[[ Category]])</f>
        <v>Critical Credit History</v>
      </c>
      <c r="Y324" s="3">
        <v>3</v>
      </c>
      <c r="Z324" s="3">
        <v>2</v>
      </c>
      <c r="AA324" s="5">
        <v>1927</v>
      </c>
      <c r="AB324" t="s">
        <v>151</v>
      </c>
      <c r="AC324" s="2" t="str" cm="1">
        <f t="array" ref="AC324">_xlfn.IFS(Table1[[#This Row],[Others_Parties]] = "No", "None",
Table1[[#This Row],[Others_Parties]] = "co applicant", "Co-applicant",
Table1[[#This Row],[Others_Parties]] = "guarantor", "Guarantor")</f>
        <v>None</v>
      </c>
      <c r="AD324" s="13" t="s">
        <v>145</v>
      </c>
      <c r="AE324" s="2" t="s">
        <v>100</v>
      </c>
      <c r="AF324" s="28" t="str" cm="1">
        <f t="array" ref="AF32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24" s="21">
        <v>24</v>
      </c>
      <c r="AH324" s="2" t="s">
        <v>154</v>
      </c>
      <c r="AI324"/>
      <c r="AZ324"/>
      <c r="BC324"/>
      <c r="BE324"/>
      <c r="BL324"/>
      <c r="BZ324"/>
      <c r="CA324"/>
      <c r="CF324"/>
      <c r="CG324"/>
      <c r="CH324"/>
      <c r="CI324"/>
      <c r="CK324"/>
      <c r="CN324"/>
    </row>
    <row r="325" spans="1:92" x14ac:dyDescent="0.3">
      <c r="A325" s="4">
        <v>323</v>
      </c>
      <c r="B325" s="11">
        <v>31</v>
      </c>
      <c r="C325" s="2" t="str">
        <f>_xlfn.XLOOKUP(Table1[[#This Row],[Age]],Table7[Start_Age],Table7[Age_Range],,-1)</f>
        <v>29-39</v>
      </c>
      <c r="D325" t="s">
        <v>138</v>
      </c>
      <c r="E325" s="2" t="s">
        <v>129</v>
      </c>
      <c r="F325" s="2" t="s">
        <v>178</v>
      </c>
      <c r="G325" s="3">
        <v>1</v>
      </c>
      <c r="H325" s="13" t="s">
        <v>152</v>
      </c>
      <c r="I325" s="2" t="str" cm="1">
        <f t="array" ref="I325">_xlfn.IFS(Table1[[#This Row],[Job_Type]] = "unskilled resident", "Resident",
Table1[[#This Row],[Job_Type]] = "unemp/unskilled non res", "Non-resident",
TRUE, "Unknown")</f>
        <v>Unknown</v>
      </c>
      <c r="J325" s="2" t="s">
        <v>148</v>
      </c>
      <c r="K325" s="3">
        <v>4</v>
      </c>
      <c r="L325" s="2" t="s">
        <v>144</v>
      </c>
      <c r="M325" s="13" t="s">
        <v>152</v>
      </c>
      <c r="N325" t="s">
        <v>30</v>
      </c>
      <c r="O325" s="2" t="str">
        <f>_xlfn.XLOOKUP(Table1[[#This Row],[Checking_Acct_Status]],Table3[Checking_Acct_Original],Table3[Category])</f>
        <v>Low Balance</v>
      </c>
      <c r="P325" s="10" t="s">
        <v>32</v>
      </c>
      <c r="Q325" s="13" t="str">
        <f>_xlfn.XLOOKUP(Table1[[#This Row],[Saving_Acct_Status]],Table5[Saving_Acct_Original],Table5[Category])</f>
        <v>Low Savings</v>
      </c>
      <c r="R325" t="s">
        <v>41</v>
      </c>
      <c r="S325" s="2" t="str">
        <f>IF(
      OR(Table1[[#This Row],[Job_Type]] = "high qualif/self emp/mgmt", Table1[[#This Row],[Job_Type]] = "skilled"),
      "Skilled", "Unskilled")</f>
        <v>Skilled</v>
      </c>
      <c r="T325" t="str">
        <f>IF(Table1[[#This Row],[Job_Type]] = "unemp/unskilled non res", "Unemployed", "Employed")</f>
        <v>Employed</v>
      </c>
      <c r="U325" t="s">
        <v>38</v>
      </c>
      <c r="V325" s="14" t="str" cm="1">
        <f t="array" ref="V32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25" t="s">
        <v>103</v>
      </c>
      <c r="X325" s="2" t="str">
        <f>_xlfn.XLOOKUP(Table1[[#This Row],[Loan_Credit_History]],Table4[Credit History],Table4[[ Category]])</f>
        <v>Critical Credit History</v>
      </c>
      <c r="Y325" s="3">
        <v>4</v>
      </c>
      <c r="Z325" s="3">
        <v>2</v>
      </c>
      <c r="AA325" s="5">
        <v>1935</v>
      </c>
      <c r="AB325" t="s">
        <v>151</v>
      </c>
      <c r="AC325" s="2" t="str" cm="1">
        <f t="array" ref="AC325">_xlfn.IFS(Table1[[#This Row],[Others_Parties]] = "No", "None",
Table1[[#This Row],[Others_Parties]] = "co applicant", "Co-applicant",
Table1[[#This Row],[Others_Parties]] = "guarantor", "Guarantor")</f>
        <v>None</v>
      </c>
      <c r="AD325" s="13" t="s">
        <v>145</v>
      </c>
      <c r="AE325" s="2" t="s">
        <v>105</v>
      </c>
      <c r="AF325" s="28" t="str" cm="1">
        <f t="array" ref="AF32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25" s="21">
        <v>24</v>
      </c>
      <c r="AH325" s="2" t="s">
        <v>153</v>
      </c>
      <c r="AI325"/>
      <c r="AZ325"/>
      <c r="BC325"/>
      <c r="BE325"/>
      <c r="BL325"/>
      <c r="BZ325"/>
      <c r="CA325"/>
      <c r="CF325"/>
      <c r="CG325"/>
      <c r="CH325"/>
      <c r="CI325"/>
      <c r="CK325"/>
      <c r="CN325"/>
    </row>
    <row r="326" spans="1:92" x14ac:dyDescent="0.3">
      <c r="A326" s="4">
        <v>324</v>
      </c>
      <c r="B326" s="11">
        <v>32</v>
      </c>
      <c r="C326" s="2" t="str">
        <f>_xlfn.XLOOKUP(Table1[[#This Row],[Age]],Table7[Start_Age],Table7[Age_Range],,-1)</f>
        <v>29-39</v>
      </c>
      <c r="D326" t="s">
        <v>138</v>
      </c>
      <c r="E326" s="2" t="s">
        <v>129</v>
      </c>
      <c r="F326" s="2" t="s">
        <v>178</v>
      </c>
      <c r="G326" s="3">
        <v>1</v>
      </c>
      <c r="H326" s="13" t="s">
        <v>152</v>
      </c>
      <c r="I326" s="2" t="str" cm="1">
        <f t="array" ref="I326">_xlfn.IFS(Table1[[#This Row],[Job_Type]] = "unskilled resident", "Resident",
Table1[[#This Row],[Job_Type]] = "unemp/unskilled non res", "Non-resident",
TRUE, "Unknown")</f>
        <v>Unknown</v>
      </c>
      <c r="J326" s="2" t="s">
        <v>148</v>
      </c>
      <c r="K326" s="3">
        <v>3</v>
      </c>
      <c r="L326" s="2" t="s">
        <v>143</v>
      </c>
      <c r="M326" s="13" t="s">
        <v>151</v>
      </c>
      <c r="N326" t="s">
        <v>35</v>
      </c>
      <c r="O326" s="2" t="str">
        <f>_xlfn.XLOOKUP(Table1[[#This Row],[Checking_Acct_Status]],Table3[Checking_Acct_Original],Table3[Category])</f>
        <v>Negative Balance</v>
      </c>
      <c r="P326" s="10" t="s">
        <v>32</v>
      </c>
      <c r="Q326" s="13" t="str">
        <f>_xlfn.XLOOKUP(Table1[[#This Row],[Saving_Acct_Status]],Table5[Saving_Acct_Original],Table5[Category])</f>
        <v>Low Savings</v>
      </c>
      <c r="R326" t="s">
        <v>41</v>
      </c>
      <c r="S326" s="2" t="str">
        <f>IF(
      OR(Table1[[#This Row],[Job_Type]] = "high qualif/self emp/mgmt", Table1[[#This Row],[Job_Type]] = "skilled"),
      "Skilled", "Unskilled")</f>
        <v>Skilled</v>
      </c>
      <c r="T326" t="str">
        <f>IF(Table1[[#This Row],[Job_Type]] = "unemp/unskilled non res", "Unemployed", "Employed")</f>
        <v>Employed</v>
      </c>
      <c r="U326" t="s">
        <v>45</v>
      </c>
      <c r="V326" s="14" t="str" cm="1">
        <f t="array" ref="V32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26" t="s">
        <v>31</v>
      </c>
      <c r="X326" s="2" t="str">
        <f>_xlfn.XLOOKUP(Table1[[#This Row],[Loan_Credit_History]],Table4[Credit History],Table4[[ Category]])</f>
        <v>Existing Credits Paid</v>
      </c>
      <c r="Y326" s="3">
        <v>4</v>
      </c>
      <c r="Z326" s="3">
        <v>1</v>
      </c>
      <c r="AA326" s="5">
        <v>1938</v>
      </c>
      <c r="AB326" t="s">
        <v>151</v>
      </c>
      <c r="AC326" s="2" t="str" cm="1">
        <f t="array" ref="AC326">_xlfn.IFS(Table1[[#This Row],[Others_Parties]] = "No", "None",
Table1[[#This Row],[Others_Parties]] = "co applicant", "Co-applicant",
Table1[[#This Row],[Others_Parties]] = "guarantor", "Guarantor")</f>
        <v>None</v>
      </c>
      <c r="AD326" s="13" t="s">
        <v>145</v>
      </c>
      <c r="AE326" s="2" t="s">
        <v>111</v>
      </c>
      <c r="AF326" s="28" t="str" cm="1">
        <f t="array" ref="AF32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26" s="21">
        <v>24</v>
      </c>
      <c r="AH326" s="2" t="s">
        <v>153</v>
      </c>
      <c r="AI326"/>
      <c r="AZ326"/>
      <c r="BC326"/>
      <c r="BE326"/>
      <c r="BL326"/>
      <c r="BZ326"/>
      <c r="CA326"/>
      <c r="CF326"/>
      <c r="CG326"/>
      <c r="CH326"/>
      <c r="CI326"/>
      <c r="CK326"/>
      <c r="CN326"/>
    </row>
    <row r="327" spans="1:92" x14ac:dyDescent="0.3">
      <c r="A327" s="4">
        <v>325</v>
      </c>
      <c r="B327" s="11">
        <v>60</v>
      </c>
      <c r="C327" s="2" t="str">
        <f>_xlfn.XLOOKUP(Table1[[#This Row],[Age]],Table7[Start_Age],Table7[Age_Range],,-1)</f>
        <v>59-69</v>
      </c>
      <c r="D327" t="s">
        <v>130</v>
      </c>
      <c r="E327" s="2" t="s">
        <v>129</v>
      </c>
      <c r="F327" s="2" t="s">
        <v>133</v>
      </c>
      <c r="G327" s="3">
        <v>1</v>
      </c>
      <c r="H327" s="13" t="s">
        <v>152</v>
      </c>
      <c r="I327" s="2" t="str" cm="1">
        <f t="array" ref="I327">_xlfn.IFS(Table1[[#This Row],[Job_Type]] = "unskilled resident", "Resident",
Table1[[#This Row],[Job_Type]] = "unemp/unskilled non res", "Non-resident",
TRUE, "Unknown")</f>
        <v>Unknown</v>
      </c>
      <c r="J327" s="2" t="s">
        <v>148</v>
      </c>
      <c r="K327" s="3">
        <v>4</v>
      </c>
      <c r="L327" s="2" t="s">
        <v>144</v>
      </c>
      <c r="M327" s="13" t="s">
        <v>152</v>
      </c>
      <c r="N327" t="s">
        <v>17</v>
      </c>
      <c r="O327" s="2" t="str">
        <f>_xlfn.XLOOKUP(Table1[[#This Row],[Checking_Acct_Status]],Table3[Checking_Acct_Original],Table3[Category])</f>
        <v>No Account</v>
      </c>
      <c r="P327" s="10" t="s">
        <v>20</v>
      </c>
      <c r="Q327" s="13" t="str">
        <f>_xlfn.XLOOKUP(Table1[[#This Row],[Saving_Acct_Status]],Table5[Saving_Acct_Original],Table5[Category])</f>
        <v>Very High Savings</v>
      </c>
      <c r="R327" t="s">
        <v>41</v>
      </c>
      <c r="S327" s="2" t="str">
        <f>IF(
      OR(Table1[[#This Row],[Job_Type]] = "high qualif/self emp/mgmt", Table1[[#This Row],[Job_Type]] = "skilled"),
      "Skilled", "Unskilled")</f>
        <v>Skilled</v>
      </c>
      <c r="T327" t="str">
        <f>IF(Table1[[#This Row],[Job_Type]] = "unemp/unskilled non res", "Unemployed", "Employed")</f>
        <v>Employed</v>
      </c>
      <c r="U327" t="s">
        <v>38</v>
      </c>
      <c r="V327" s="14" t="str" cm="1">
        <f t="array" ref="V32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27" t="s">
        <v>103</v>
      </c>
      <c r="X327" s="2" t="str">
        <f>_xlfn.XLOOKUP(Table1[[#This Row],[Loan_Credit_History]],Table4[Credit History],Table4[[ Category]])</f>
        <v>Critical Credit History</v>
      </c>
      <c r="Y327" s="3">
        <v>4</v>
      </c>
      <c r="Z327" s="3">
        <v>1</v>
      </c>
      <c r="AA327" s="5">
        <v>1940</v>
      </c>
      <c r="AB327" t="s">
        <v>151</v>
      </c>
      <c r="AC327" s="2" t="str" cm="1">
        <f t="array" ref="AC327">_xlfn.IFS(Table1[[#This Row],[Others_Parties]] = "No", "None",
Table1[[#This Row],[Others_Parties]] = "co applicant", "Co-applicant",
Table1[[#This Row],[Others_Parties]] = "guarantor", "Guarantor")</f>
        <v>None</v>
      </c>
      <c r="AD327" s="13" t="s">
        <v>145</v>
      </c>
      <c r="AE327" s="2" t="s">
        <v>141</v>
      </c>
      <c r="AF327" s="28" t="str" cm="1">
        <f t="array" ref="AF32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27" s="21">
        <v>24</v>
      </c>
      <c r="AH327" s="2" t="s">
        <v>154</v>
      </c>
      <c r="AI327"/>
      <c r="AZ327"/>
      <c r="BC327"/>
      <c r="BE327"/>
      <c r="BL327"/>
      <c r="BZ327"/>
      <c r="CA327"/>
      <c r="CF327"/>
      <c r="CG327"/>
      <c r="CH327"/>
      <c r="CI327"/>
      <c r="CK327"/>
      <c r="CN327"/>
    </row>
    <row r="328" spans="1:92" x14ac:dyDescent="0.3">
      <c r="A328" s="4">
        <v>326</v>
      </c>
      <c r="B328" s="11">
        <v>42</v>
      </c>
      <c r="C328" s="2" t="str">
        <f>_xlfn.XLOOKUP(Table1[[#This Row],[Age]],Table7[Start_Age],Table7[Age_Range],,-1)</f>
        <v>39-49</v>
      </c>
      <c r="D328" t="s">
        <v>136</v>
      </c>
      <c r="E328" s="2" t="s">
        <v>131</v>
      </c>
      <c r="F328" s="2" t="s">
        <v>137</v>
      </c>
      <c r="G328" s="3">
        <v>1</v>
      </c>
      <c r="H328" s="13" t="s">
        <v>152</v>
      </c>
      <c r="I328" s="2" t="str" cm="1">
        <f t="array" ref="I328">_xlfn.IFS(Table1[[#This Row],[Job_Type]] = "unskilled resident", "Resident",
Table1[[#This Row],[Job_Type]] = "unemp/unskilled non res", "Non-resident",
TRUE, "Unknown")</f>
        <v>Unknown</v>
      </c>
      <c r="J328" s="2" t="s">
        <v>149</v>
      </c>
      <c r="K328" s="3">
        <v>4</v>
      </c>
      <c r="L328" s="2" t="s">
        <v>140</v>
      </c>
      <c r="M328" s="13" t="s">
        <v>152</v>
      </c>
      <c r="N328" t="s">
        <v>30</v>
      </c>
      <c r="O328" s="2" t="str">
        <f>_xlfn.XLOOKUP(Table1[[#This Row],[Checking_Acct_Status]],Table3[Checking_Acct_Original],Table3[Category])</f>
        <v>Low Balance</v>
      </c>
      <c r="P328" s="10" t="s">
        <v>47</v>
      </c>
      <c r="Q328" s="13" t="str">
        <f>_xlfn.XLOOKUP(Table1[[#This Row],[Saving_Acct_Status]],Table5[Saving_Acct_Original],Table5[Category])</f>
        <v>No Savings</v>
      </c>
      <c r="R328" t="s">
        <v>41</v>
      </c>
      <c r="S328" s="2" t="str">
        <f>IF(
      OR(Table1[[#This Row],[Job_Type]] = "high qualif/self emp/mgmt", Table1[[#This Row],[Job_Type]] = "skilled"),
      "Skilled", "Unskilled")</f>
        <v>Skilled</v>
      </c>
      <c r="T328" t="str">
        <f>IF(Table1[[#This Row],[Job_Type]] = "unemp/unskilled non res", "Unemployed", "Employed")</f>
        <v>Employed</v>
      </c>
      <c r="U328" t="s">
        <v>21</v>
      </c>
      <c r="V328" s="14" t="str" cm="1">
        <f t="array" ref="V32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28" t="s">
        <v>59</v>
      </c>
      <c r="X328" s="2" t="str">
        <f>_xlfn.XLOOKUP(Table1[[#This Row],[Loan_Credit_History]],Table4[Credit History],Table4[[ Category]])</f>
        <v>Previously Delayed</v>
      </c>
      <c r="Y328" s="3">
        <v>4</v>
      </c>
      <c r="Z328" s="3">
        <v>2</v>
      </c>
      <c r="AA328" s="5">
        <v>1965</v>
      </c>
      <c r="AB328" t="s">
        <v>151</v>
      </c>
      <c r="AC328" s="2" t="str" cm="1">
        <f t="array" ref="AC328">_xlfn.IFS(Table1[[#This Row],[Others_Parties]] = "No", "None",
Table1[[#This Row],[Others_Parties]] = "co applicant", "Co-applicant",
Table1[[#This Row],[Others_Parties]] = "guarantor", "Guarantor")</f>
        <v>None</v>
      </c>
      <c r="AD328" s="13" t="s">
        <v>145</v>
      </c>
      <c r="AE328" s="2" t="s">
        <v>141</v>
      </c>
      <c r="AF328" s="28" t="str" cm="1">
        <f t="array" ref="AF32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28" s="21">
        <v>24</v>
      </c>
      <c r="AH328" s="2" t="s">
        <v>154</v>
      </c>
      <c r="AI328"/>
      <c r="AZ328"/>
      <c r="BC328"/>
      <c r="BE328"/>
      <c r="BL328"/>
      <c r="BZ328"/>
      <c r="CA328"/>
      <c r="CF328"/>
      <c r="CG328"/>
      <c r="CH328"/>
      <c r="CI328"/>
      <c r="CK328"/>
      <c r="CN328"/>
    </row>
    <row r="329" spans="1:92" x14ac:dyDescent="0.3">
      <c r="A329" s="4">
        <v>327</v>
      </c>
      <c r="B329" s="11">
        <v>20</v>
      </c>
      <c r="C329" s="2" t="str">
        <f>_xlfn.XLOOKUP(Table1[[#This Row],[Age]],Table7[Start_Age],Table7[Age_Range],,-1)</f>
        <v>19-29</v>
      </c>
      <c r="D329" t="s">
        <v>136</v>
      </c>
      <c r="E329" s="2" t="s">
        <v>131</v>
      </c>
      <c r="F329" s="2" t="s">
        <v>137</v>
      </c>
      <c r="G329" s="3">
        <v>1</v>
      </c>
      <c r="H329" s="13" t="s">
        <v>152</v>
      </c>
      <c r="I329" s="2" t="str" cm="1">
        <f t="array" ref="I329">_xlfn.IFS(Table1[[#This Row],[Job_Type]] = "unskilled resident", "Resident",
Table1[[#This Row],[Job_Type]] = "unemp/unskilled non res", "Non-resident",
TRUE, "Unknown")</f>
        <v>Unknown</v>
      </c>
      <c r="J329" s="2" t="s">
        <v>148</v>
      </c>
      <c r="K329" s="3">
        <v>4</v>
      </c>
      <c r="L329" s="2" t="s">
        <v>140</v>
      </c>
      <c r="M329" s="13" t="s">
        <v>152</v>
      </c>
      <c r="N329" t="s">
        <v>30</v>
      </c>
      <c r="O329" s="2" t="str">
        <f>_xlfn.XLOOKUP(Table1[[#This Row],[Checking_Acct_Status]],Table3[Checking_Acct_Original],Table3[Category])</f>
        <v>Low Balance</v>
      </c>
      <c r="P329" s="10" t="s">
        <v>32</v>
      </c>
      <c r="Q329" s="13" t="str">
        <f>_xlfn.XLOOKUP(Table1[[#This Row],[Saving_Acct_Status]],Table5[Saving_Acct_Original],Table5[Category])</f>
        <v>Low Savings</v>
      </c>
      <c r="R329" t="s">
        <v>41</v>
      </c>
      <c r="S329" s="2" t="str">
        <f>IF(
      OR(Table1[[#This Row],[Job_Type]] = "high qualif/self emp/mgmt", Table1[[#This Row],[Job_Type]] = "skilled"),
      "Skilled", "Unskilled")</f>
        <v>Skilled</v>
      </c>
      <c r="T329" t="str">
        <f>IF(Table1[[#This Row],[Job_Type]] = "unemp/unskilled non res", "Unemployed", "Employed")</f>
        <v>Employed</v>
      </c>
      <c r="U329" t="s">
        <v>38</v>
      </c>
      <c r="V329" s="14" t="str" cm="1">
        <f t="array" ref="V32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29" t="s">
        <v>31</v>
      </c>
      <c r="X329" s="2" t="str">
        <f>_xlfn.XLOOKUP(Table1[[#This Row],[Loan_Credit_History]],Table4[Credit History],Table4[[ Category]])</f>
        <v>Existing Credits Paid</v>
      </c>
      <c r="Y329" s="3">
        <v>4</v>
      </c>
      <c r="Z329" s="3">
        <v>1</v>
      </c>
      <c r="AA329" s="5">
        <v>1967</v>
      </c>
      <c r="AB329" t="s">
        <v>151</v>
      </c>
      <c r="AC329" s="2" t="str" cm="1">
        <f t="array" ref="AC329">_xlfn.IFS(Table1[[#This Row],[Others_Parties]] = "No", "None",
Table1[[#This Row],[Others_Parties]] = "co applicant", "Co-applicant",
Table1[[#This Row],[Others_Parties]] = "guarantor", "Guarantor")</f>
        <v>None</v>
      </c>
      <c r="AD329" s="13" t="s">
        <v>145</v>
      </c>
      <c r="AE329" s="2" t="s">
        <v>111</v>
      </c>
      <c r="AF329" s="28" t="str" cm="1">
        <f t="array" ref="AF32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29" s="21">
        <v>24</v>
      </c>
      <c r="AH329" s="2" t="s">
        <v>154</v>
      </c>
      <c r="AI329"/>
      <c r="AZ329"/>
      <c r="BC329"/>
      <c r="BE329"/>
      <c r="BL329"/>
      <c r="BZ329"/>
      <c r="CA329"/>
      <c r="CF329"/>
      <c r="CG329"/>
      <c r="CH329"/>
      <c r="CI329"/>
      <c r="CK329"/>
      <c r="CN329"/>
    </row>
    <row r="330" spans="1:92" x14ac:dyDescent="0.3">
      <c r="A330" s="4">
        <v>328</v>
      </c>
      <c r="B330" s="11">
        <v>21</v>
      </c>
      <c r="C330" s="2" t="str">
        <f>_xlfn.XLOOKUP(Table1[[#This Row],[Age]],Table7[Start_Age],Table7[Age_Range],,-1)</f>
        <v>19-29</v>
      </c>
      <c r="D330" t="s">
        <v>130</v>
      </c>
      <c r="E330" s="2" t="s">
        <v>129</v>
      </c>
      <c r="F330" s="2" t="s">
        <v>133</v>
      </c>
      <c r="G330" s="3">
        <v>2</v>
      </c>
      <c r="H330" s="13" t="s">
        <v>152</v>
      </c>
      <c r="I330" s="2" t="str" cm="1">
        <f t="array" ref="I330">_xlfn.IFS(Table1[[#This Row],[Job_Type]] = "unskilled resident", "Resident",
Table1[[#This Row],[Job_Type]] = "unemp/unskilled non res", "Non-resident",
TRUE, "Unknown")</f>
        <v>Resident</v>
      </c>
      <c r="J330" s="2" t="s">
        <v>149</v>
      </c>
      <c r="K330" s="3">
        <v>4</v>
      </c>
      <c r="L330" s="2" t="s">
        <v>144</v>
      </c>
      <c r="M330" s="13" t="s">
        <v>151</v>
      </c>
      <c r="N330" t="s">
        <v>35</v>
      </c>
      <c r="O330" s="2" t="str">
        <f>_xlfn.XLOOKUP(Table1[[#This Row],[Checking_Acct_Status]],Table3[Checking_Acct_Original],Table3[Category])</f>
        <v>Negative Balance</v>
      </c>
      <c r="P330" s="10" t="s">
        <v>32</v>
      </c>
      <c r="Q330" s="13" t="str">
        <f>_xlfn.XLOOKUP(Table1[[#This Row],[Saving_Acct_Status]],Table5[Saving_Acct_Original],Table5[Category])</f>
        <v>Low Savings</v>
      </c>
      <c r="R330" t="s">
        <v>27</v>
      </c>
      <c r="S330" s="2" t="str">
        <f>IF(
      OR(Table1[[#This Row],[Job_Type]] = "high qualif/self emp/mgmt", Table1[[#This Row],[Job_Type]] = "skilled"),
      "Skilled", "Unskilled")</f>
        <v>Unskilled</v>
      </c>
      <c r="T330" t="str">
        <f>IF(Table1[[#This Row],[Job_Type]] = "unemp/unskilled non res", "Unemployed", "Employed")</f>
        <v>Employed</v>
      </c>
      <c r="U330" t="s">
        <v>21</v>
      </c>
      <c r="V330" s="14" t="str" cm="1">
        <f t="array" ref="V33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30" t="s">
        <v>31</v>
      </c>
      <c r="X330" s="2" t="str">
        <f>_xlfn.XLOOKUP(Table1[[#This Row],[Loan_Credit_History]],Table4[Credit History],Table4[[ Category]])</f>
        <v>Existing Credits Paid</v>
      </c>
      <c r="Y330" s="3">
        <v>2</v>
      </c>
      <c r="Z330" s="3">
        <v>1</v>
      </c>
      <c r="AA330" s="5">
        <v>1987</v>
      </c>
      <c r="AB330" t="s">
        <v>151</v>
      </c>
      <c r="AC330" s="2" t="str" cm="1">
        <f t="array" ref="AC330">_xlfn.IFS(Table1[[#This Row],[Others_Parties]] = "No", "None",
Table1[[#This Row],[Others_Parties]] = "co applicant", "Co-applicant",
Table1[[#This Row],[Others_Parties]] = "guarantor", "Guarantor")</f>
        <v>None</v>
      </c>
      <c r="AD330" s="13" t="s">
        <v>145</v>
      </c>
      <c r="AE330" s="2" t="s">
        <v>111</v>
      </c>
      <c r="AF330" s="28" t="str" cm="1">
        <f t="array" ref="AF33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30" s="21">
        <v>24</v>
      </c>
      <c r="AH330" s="2" t="s">
        <v>153</v>
      </c>
      <c r="AI330"/>
      <c r="AZ330"/>
      <c r="BC330"/>
      <c r="BE330"/>
      <c r="BL330"/>
      <c r="BZ330"/>
      <c r="CA330"/>
      <c r="CF330"/>
      <c r="CG330"/>
      <c r="CH330"/>
      <c r="CI330"/>
      <c r="CK330"/>
      <c r="CN330"/>
    </row>
    <row r="331" spans="1:92" x14ac:dyDescent="0.3">
      <c r="A331" s="4">
        <v>329</v>
      </c>
      <c r="B331" s="11">
        <v>37</v>
      </c>
      <c r="C331" s="2" t="str">
        <f>_xlfn.XLOOKUP(Table1[[#This Row],[Age]],Table7[Start_Age],Table7[Age_Range],,-1)</f>
        <v>29-39</v>
      </c>
      <c r="D331" t="s">
        <v>136</v>
      </c>
      <c r="E331" s="2" t="s">
        <v>131</v>
      </c>
      <c r="F331" s="2" t="s">
        <v>137</v>
      </c>
      <c r="G331" s="3">
        <v>1</v>
      </c>
      <c r="H331" s="13" t="s">
        <v>152</v>
      </c>
      <c r="I331" s="2" t="str" cm="1">
        <f t="array" ref="I331">_xlfn.IFS(Table1[[#This Row],[Job_Type]] = "unskilled resident", "Resident",
Table1[[#This Row],[Job_Type]] = "unemp/unskilled non res", "Non-resident",
TRUE, "Unknown")</f>
        <v>Unknown</v>
      </c>
      <c r="J331" s="2" t="s">
        <v>148</v>
      </c>
      <c r="K331" s="3">
        <v>4</v>
      </c>
      <c r="L331" s="2" t="s">
        <v>140</v>
      </c>
      <c r="M331" s="13" t="s">
        <v>152</v>
      </c>
      <c r="N331" t="s">
        <v>17</v>
      </c>
      <c r="O331" s="2" t="str">
        <f>_xlfn.XLOOKUP(Table1[[#This Row],[Checking_Acct_Status]],Table3[Checking_Acct_Original],Table3[Category])</f>
        <v>No Account</v>
      </c>
      <c r="P331" s="10" t="s">
        <v>32</v>
      </c>
      <c r="Q331" s="13" t="str">
        <f>_xlfn.XLOOKUP(Table1[[#This Row],[Saving_Acct_Status]],Table5[Saving_Acct_Original],Table5[Category])</f>
        <v>Low Savings</v>
      </c>
      <c r="R331" t="s">
        <v>41</v>
      </c>
      <c r="S331" s="2" t="str">
        <f>IF(
      OR(Table1[[#This Row],[Job_Type]] = "high qualif/self emp/mgmt", Table1[[#This Row],[Job_Type]] = "skilled"),
      "Skilled", "Unskilled")</f>
        <v>Skilled</v>
      </c>
      <c r="T331" t="str">
        <f>IF(Table1[[#This Row],[Job_Type]] = "unemp/unskilled non res", "Unemployed", "Employed")</f>
        <v>Employed</v>
      </c>
      <c r="U331" t="s">
        <v>21</v>
      </c>
      <c r="V331" s="14" t="str" cm="1">
        <f t="array" ref="V33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31" t="s">
        <v>103</v>
      </c>
      <c r="X331" s="2" t="str">
        <f>_xlfn.XLOOKUP(Table1[[#This Row],[Loan_Credit_History]],Table4[Credit History],Table4[[ Category]])</f>
        <v>Critical Credit History</v>
      </c>
      <c r="Y331" s="3">
        <v>4</v>
      </c>
      <c r="Z331" s="3">
        <v>1</v>
      </c>
      <c r="AA331" s="5">
        <v>2022</v>
      </c>
      <c r="AB331" t="s">
        <v>151</v>
      </c>
      <c r="AC331" s="2" t="str" cm="1">
        <f t="array" ref="AC331">_xlfn.IFS(Table1[[#This Row],[Others_Parties]] = "No", "None",
Table1[[#This Row],[Others_Parties]] = "co applicant", "Co-applicant",
Table1[[#This Row],[Others_Parties]] = "guarantor", "Guarantor")</f>
        <v>None</v>
      </c>
      <c r="AD331" s="13" t="s">
        <v>145</v>
      </c>
      <c r="AE331" s="2" t="s">
        <v>141</v>
      </c>
      <c r="AF331" s="28" t="str" cm="1">
        <f t="array" ref="AF33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31" s="21">
        <v>24</v>
      </c>
      <c r="AH331" s="2" t="s">
        <v>154</v>
      </c>
      <c r="AI331"/>
      <c r="AZ331"/>
      <c r="BC331"/>
      <c r="BE331"/>
      <c r="BL331"/>
      <c r="BZ331"/>
      <c r="CA331"/>
      <c r="CF331"/>
      <c r="CG331"/>
      <c r="CH331"/>
      <c r="CI331"/>
      <c r="CK331"/>
      <c r="CN331"/>
    </row>
    <row r="332" spans="1:92" x14ac:dyDescent="0.3">
      <c r="A332" s="4">
        <v>330</v>
      </c>
      <c r="B332" s="11">
        <v>30</v>
      </c>
      <c r="C332" s="2" t="str">
        <f>_xlfn.XLOOKUP(Table1[[#This Row],[Age]],Table7[Start_Age],Table7[Age_Range],,-1)</f>
        <v>29-39</v>
      </c>
      <c r="D332" t="s">
        <v>130</v>
      </c>
      <c r="E332" s="2" t="s">
        <v>129</v>
      </c>
      <c r="F332" s="2" t="s">
        <v>133</v>
      </c>
      <c r="G332" s="3">
        <v>1</v>
      </c>
      <c r="H332" s="13" t="s">
        <v>152</v>
      </c>
      <c r="I332" s="2" t="str" cm="1">
        <f t="array" ref="I332">_xlfn.IFS(Table1[[#This Row],[Job_Type]] = "unskilled resident", "Resident",
Table1[[#This Row],[Job_Type]] = "unemp/unskilled non res", "Non-resident",
TRUE, "Unknown")</f>
        <v>Resident</v>
      </c>
      <c r="J332" s="2" t="s">
        <v>148</v>
      </c>
      <c r="K332" s="3">
        <v>2</v>
      </c>
      <c r="L332" s="2" t="s">
        <v>143</v>
      </c>
      <c r="M332" s="13" t="s">
        <v>151</v>
      </c>
      <c r="N332" t="s">
        <v>17</v>
      </c>
      <c r="O332" s="2" t="str">
        <f>_xlfn.XLOOKUP(Table1[[#This Row],[Checking_Acct_Status]],Table3[Checking_Acct_Original],Table3[Category])</f>
        <v>No Account</v>
      </c>
      <c r="P332" s="10" t="s">
        <v>32</v>
      </c>
      <c r="Q332" s="13" t="str">
        <f>_xlfn.XLOOKUP(Table1[[#This Row],[Saving_Acct_Status]],Table5[Saving_Acct_Original],Table5[Category])</f>
        <v>Low Savings</v>
      </c>
      <c r="R332" t="s">
        <v>27</v>
      </c>
      <c r="S332" s="2" t="str">
        <f>IF(
      OR(Table1[[#This Row],[Job_Type]] = "high qualif/self emp/mgmt", Table1[[#This Row],[Job_Type]] = "skilled"),
      "Skilled", "Unskilled")</f>
        <v>Unskilled</v>
      </c>
      <c r="T332" t="str">
        <f>IF(Table1[[#This Row],[Job_Type]] = "unemp/unskilled non res", "Unemployed", "Employed")</f>
        <v>Employed</v>
      </c>
      <c r="U332" t="s">
        <v>49</v>
      </c>
      <c r="V332" s="14" t="str" cm="1">
        <f t="array" ref="V33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32" t="s">
        <v>103</v>
      </c>
      <c r="X332" s="2" t="str">
        <f>_xlfn.XLOOKUP(Table1[[#This Row],[Loan_Credit_History]],Table4[Credit History],Table4[[ Category]])</f>
        <v>Critical Credit History</v>
      </c>
      <c r="Y332" s="3">
        <v>2</v>
      </c>
      <c r="Z332" s="3">
        <v>2</v>
      </c>
      <c r="AA332" s="5">
        <v>2028</v>
      </c>
      <c r="AB332" t="s">
        <v>151</v>
      </c>
      <c r="AC332" s="2" t="str" cm="1">
        <f t="array" ref="AC332">_xlfn.IFS(Table1[[#This Row],[Others_Parties]] = "No", "None",
Table1[[#This Row],[Others_Parties]] = "co applicant", "Co-applicant",
Table1[[#This Row],[Others_Parties]] = "guarantor", "Guarantor")</f>
        <v>None</v>
      </c>
      <c r="AD332" s="13" t="s">
        <v>145</v>
      </c>
      <c r="AE332" s="2" t="s">
        <v>108</v>
      </c>
      <c r="AF332" s="28" t="str" cm="1">
        <f t="array" ref="AF33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32" s="21">
        <v>24</v>
      </c>
      <c r="AH332" s="2" t="s">
        <v>154</v>
      </c>
      <c r="AI332"/>
      <c r="AZ332"/>
      <c r="BC332"/>
      <c r="BE332"/>
      <c r="BL332"/>
      <c r="BZ332"/>
      <c r="CA332"/>
      <c r="CF332"/>
      <c r="CG332"/>
      <c r="CH332"/>
      <c r="CI332"/>
      <c r="CK332"/>
      <c r="CN332"/>
    </row>
    <row r="333" spans="1:92" x14ac:dyDescent="0.3">
      <c r="A333" s="4">
        <v>331</v>
      </c>
      <c r="B333" s="11">
        <v>60</v>
      </c>
      <c r="C333" s="2" t="str">
        <f>_xlfn.XLOOKUP(Table1[[#This Row],[Age]],Table7[Start_Age],Table7[Age_Range],,-1)</f>
        <v>59-69</v>
      </c>
      <c r="D333" t="s">
        <v>130</v>
      </c>
      <c r="E333" s="2" t="s">
        <v>129</v>
      </c>
      <c r="F333" s="2" t="s">
        <v>133</v>
      </c>
      <c r="G333" s="3">
        <v>1</v>
      </c>
      <c r="H333" s="13" t="s">
        <v>152</v>
      </c>
      <c r="I333" s="2" t="str" cm="1">
        <f t="array" ref="I333">_xlfn.IFS(Table1[[#This Row],[Job_Type]] = "unskilled resident", "Resident",
Table1[[#This Row],[Job_Type]] = "unemp/unskilled non res", "Non-resident",
TRUE, "Unknown")</f>
        <v>Unknown</v>
      </c>
      <c r="J333" s="2" t="s">
        <v>150</v>
      </c>
      <c r="K333" s="3">
        <v>4</v>
      </c>
      <c r="L333" s="2" t="s">
        <v>142</v>
      </c>
      <c r="M333" s="13" t="s">
        <v>152</v>
      </c>
      <c r="N333" t="s">
        <v>17</v>
      </c>
      <c r="O333" s="2" t="str">
        <f>_xlfn.XLOOKUP(Table1[[#This Row],[Checking_Acct_Status]],Table3[Checking_Acct_Original],Table3[Category])</f>
        <v>No Account</v>
      </c>
      <c r="P333" s="10" t="s">
        <v>32</v>
      </c>
      <c r="Q333" s="13" t="str">
        <f>_xlfn.XLOOKUP(Table1[[#This Row],[Saving_Acct_Status]],Table5[Saving_Acct_Original],Table5[Category])</f>
        <v>Low Savings</v>
      </c>
      <c r="R333" t="s">
        <v>41</v>
      </c>
      <c r="S333" s="2" t="str">
        <f>IF(
      OR(Table1[[#This Row],[Job_Type]] = "high qualif/self emp/mgmt", Table1[[#This Row],[Job_Type]] = "skilled"),
      "Skilled", "Unskilled")</f>
        <v>Skilled</v>
      </c>
      <c r="T333" t="str">
        <f>IF(Table1[[#This Row],[Job_Type]] = "unemp/unskilled non res", "Unemployed", "Employed")</f>
        <v>Employed</v>
      </c>
      <c r="U333" t="s">
        <v>38</v>
      </c>
      <c r="V333" s="14" t="str" cm="1">
        <f t="array" ref="V33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33" t="s">
        <v>59</v>
      </c>
      <c r="X333" s="2" t="str">
        <f>_xlfn.XLOOKUP(Table1[[#This Row],[Loan_Credit_History]],Table4[Credit History],Table4[[ Category]])</f>
        <v>Previously Delayed</v>
      </c>
      <c r="Y333" s="3">
        <v>4</v>
      </c>
      <c r="Z333" s="3">
        <v>2</v>
      </c>
      <c r="AA333" s="5">
        <v>2032</v>
      </c>
      <c r="AB333" t="s">
        <v>151</v>
      </c>
      <c r="AC333" s="2" t="str" cm="1">
        <f t="array" ref="AC333">_xlfn.IFS(Table1[[#This Row],[Others_Parties]] = "No", "None",
Table1[[#This Row],[Others_Parties]] = "co applicant", "Co-applicant",
Table1[[#This Row],[Others_Parties]] = "guarantor", "Guarantor")</f>
        <v>None</v>
      </c>
      <c r="AD333" s="13" t="s">
        <v>145</v>
      </c>
      <c r="AE333" s="2" t="s">
        <v>141</v>
      </c>
      <c r="AF333" s="28" t="str" cm="1">
        <f t="array" ref="AF33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33" s="21">
        <v>24</v>
      </c>
      <c r="AH333" s="2" t="s">
        <v>154</v>
      </c>
      <c r="AI333"/>
      <c r="AZ333"/>
      <c r="BC333"/>
      <c r="BE333"/>
      <c r="BL333"/>
      <c r="BZ333"/>
      <c r="CA333"/>
      <c r="CF333"/>
      <c r="CG333"/>
      <c r="CH333"/>
      <c r="CI333"/>
      <c r="CK333"/>
      <c r="CN333"/>
    </row>
    <row r="334" spans="1:92" x14ac:dyDescent="0.3">
      <c r="A334" s="4">
        <v>332</v>
      </c>
      <c r="B334" s="11">
        <v>22</v>
      </c>
      <c r="C334" s="2" t="str">
        <f>_xlfn.XLOOKUP(Table1[[#This Row],[Age]],Table7[Start_Age],Table7[Age_Range],,-1)</f>
        <v>19-29</v>
      </c>
      <c r="D334" t="s">
        <v>134</v>
      </c>
      <c r="E334" s="2" t="s">
        <v>129</v>
      </c>
      <c r="F334" s="2" t="s">
        <v>135</v>
      </c>
      <c r="G334" s="3">
        <v>1</v>
      </c>
      <c r="H334" s="13" t="s">
        <v>152</v>
      </c>
      <c r="I334" s="2" t="str" cm="1">
        <f t="array" ref="I334">_xlfn.IFS(Table1[[#This Row],[Job_Type]] = "unskilled resident", "Resident",
Table1[[#This Row],[Job_Type]] = "unemp/unskilled non res", "Non-resident",
TRUE, "Unknown")</f>
        <v>Unknown</v>
      </c>
      <c r="J334" s="2" t="s">
        <v>148</v>
      </c>
      <c r="K334" s="3">
        <v>1</v>
      </c>
      <c r="L334" s="2" t="s">
        <v>143</v>
      </c>
      <c r="M334" s="13" t="s">
        <v>152</v>
      </c>
      <c r="N334" t="s">
        <v>30</v>
      </c>
      <c r="O334" s="2" t="str">
        <f>_xlfn.XLOOKUP(Table1[[#This Row],[Checking_Acct_Status]],Table3[Checking_Acct_Original],Table3[Category])</f>
        <v>Low Balance</v>
      </c>
      <c r="P334" s="10" t="s">
        <v>32</v>
      </c>
      <c r="Q334" s="13" t="str">
        <f>_xlfn.XLOOKUP(Table1[[#This Row],[Saving_Acct_Status]],Table5[Saving_Acct_Original],Table5[Category])</f>
        <v>Low Savings</v>
      </c>
      <c r="R334" t="s">
        <v>41</v>
      </c>
      <c r="S334" s="2" t="str">
        <f>IF(
      OR(Table1[[#This Row],[Job_Type]] = "high qualif/self emp/mgmt", Table1[[#This Row],[Job_Type]] = "skilled"),
      "Skilled", "Unskilled")</f>
        <v>Skilled</v>
      </c>
      <c r="T334" t="str">
        <f>IF(Table1[[#This Row],[Job_Type]] = "unemp/unskilled non res", "Unemployed", "Employed")</f>
        <v>Employed</v>
      </c>
      <c r="U334" t="s">
        <v>45</v>
      </c>
      <c r="V334" s="14" t="str" cm="1">
        <f t="array" ref="V33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34" t="s">
        <v>31</v>
      </c>
      <c r="X334" s="2" t="str">
        <f>_xlfn.XLOOKUP(Table1[[#This Row],[Loan_Credit_History]],Table4[Credit History],Table4[[ Category]])</f>
        <v>Existing Credits Paid</v>
      </c>
      <c r="Y334" s="3">
        <v>1</v>
      </c>
      <c r="Z334" s="3">
        <v>1</v>
      </c>
      <c r="AA334" s="5">
        <v>2039</v>
      </c>
      <c r="AB334" t="s">
        <v>151</v>
      </c>
      <c r="AC334" s="2" t="str" cm="1">
        <f t="array" ref="AC334">_xlfn.IFS(Table1[[#This Row],[Others_Parties]] = "No", "None",
Table1[[#This Row],[Others_Parties]] = "co applicant", "Co-applicant",
Table1[[#This Row],[Others_Parties]] = "guarantor", "Guarantor")</f>
        <v>None</v>
      </c>
      <c r="AD334" s="13" t="s">
        <v>145</v>
      </c>
      <c r="AE334" s="2" t="s">
        <v>111</v>
      </c>
      <c r="AF334" s="28" t="str" cm="1">
        <f t="array" ref="AF33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34" s="21">
        <v>24</v>
      </c>
      <c r="AH334" s="2" t="s">
        <v>153</v>
      </c>
      <c r="AI334"/>
      <c r="AZ334"/>
      <c r="BC334"/>
      <c r="BE334"/>
      <c r="BL334"/>
      <c r="BZ334"/>
      <c r="CA334"/>
      <c r="CF334"/>
      <c r="CG334"/>
      <c r="CH334"/>
      <c r="CI334"/>
      <c r="CK334"/>
      <c r="CN334"/>
    </row>
    <row r="335" spans="1:92" x14ac:dyDescent="0.3">
      <c r="A335" s="4">
        <v>333</v>
      </c>
      <c r="B335" s="11">
        <v>33</v>
      </c>
      <c r="C335" s="2" t="str">
        <f>_xlfn.XLOOKUP(Table1[[#This Row],[Age]],Table7[Start_Age],Table7[Age_Range],,-1)</f>
        <v>29-39</v>
      </c>
      <c r="D335" t="s">
        <v>138</v>
      </c>
      <c r="E335" s="2" t="s">
        <v>129</v>
      </c>
      <c r="F335" s="2" t="s">
        <v>178</v>
      </c>
      <c r="G335" s="3">
        <v>1</v>
      </c>
      <c r="H335" s="13" t="s">
        <v>152</v>
      </c>
      <c r="I335" s="2" t="str" cm="1">
        <f t="array" ref="I335">_xlfn.IFS(Table1[[#This Row],[Job_Type]] = "unskilled resident", "Resident",
Table1[[#This Row],[Job_Type]] = "unemp/unskilled non res", "Non-resident",
TRUE, "Unknown")</f>
        <v>Unknown</v>
      </c>
      <c r="J335" s="2" t="s">
        <v>148</v>
      </c>
      <c r="K335" s="3">
        <v>2</v>
      </c>
      <c r="L335" s="2" t="s">
        <v>144</v>
      </c>
      <c r="M335" s="13" t="s">
        <v>152</v>
      </c>
      <c r="N335" t="s">
        <v>17</v>
      </c>
      <c r="O335" s="2" t="str">
        <f>_xlfn.XLOOKUP(Table1[[#This Row],[Checking_Acct_Status]],Table3[Checking_Acct_Original],Table3[Category])</f>
        <v>No Account</v>
      </c>
      <c r="P335" s="10" t="s">
        <v>32</v>
      </c>
      <c r="Q335" s="13" t="str">
        <f>_xlfn.XLOOKUP(Table1[[#This Row],[Saving_Acct_Status]],Table5[Saving_Acct_Original],Table5[Category])</f>
        <v>Low Savings</v>
      </c>
      <c r="R335" t="s">
        <v>41</v>
      </c>
      <c r="S335" s="2" t="str">
        <f>IF(
      OR(Table1[[#This Row],[Job_Type]] = "high qualif/self emp/mgmt", Table1[[#This Row],[Job_Type]] = "skilled"),
      "Skilled", "Unskilled")</f>
        <v>Skilled</v>
      </c>
      <c r="T335" t="str">
        <f>IF(Table1[[#This Row],[Job_Type]] = "unemp/unskilled non res", "Unemployed", "Employed")</f>
        <v>Employed</v>
      </c>
      <c r="U335" t="s">
        <v>21</v>
      </c>
      <c r="V335" s="14" t="str" cm="1">
        <f t="array" ref="V33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35" t="s">
        <v>103</v>
      </c>
      <c r="X335" s="2" t="str">
        <f>_xlfn.XLOOKUP(Table1[[#This Row],[Loan_Credit_History]],Table4[Credit History],Table4[[ Category]])</f>
        <v>Critical Credit History</v>
      </c>
      <c r="Y335" s="3">
        <v>4</v>
      </c>
      <c r="Z335" s="3">
        <v>2</v>
      </c>
      <c r="AA335" s="5">
        <v>2058</v>
      </c>
      <c r="AB335" t="s">
        <v>151</v>
      </c>
      <c r="AC335" s="2" t="str" cm="1">
        <f t="array" ref="AC335">_xlfn.IFS(Table1[[#This Row],[Others_Parties]] = "No", "None",
Table1[[#This Row],[Others_Parties]] = "co applicant", "Co-applicant",
Table1[[#This Row],[Others_Parties]] = "guarantor", "Guarantor")</f>
        <v>None</v>
      </c>
      <c r="AD335" s="13" t="s">
        <v>145</v>
      </c>
      <c r="AE335" s="2" t="s">
        <v>109</v>
      </c>
      <c r="AF335" s="28" t="str" cm="1">
        <f t="array" ref="AF33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35" s="21">
        <v>24</v>
      </c>
      <c r="AH335" s="2" t="s">
        <v>154</v>
      </c>
      <c r="AI335"/>
      <c r="AZ335"/>
      <c r="BC335"/>
      <c r="BE335"/>
      <c r="BL335"/>
      <c r="BZ335"/>
      <c r="CA335"/>
      <c r="CF335"/>
      <c r="CG335"/>
      <c r="CH335"/>
      <c r="CI335"/>
      <c r="CK335"/>
      <c r="CN335"/>
    </row>
    <row r="336" spans="1:92" x14ac:dyDescent="0.3">
      <c r="A336" s="4">
        <v>334</v>
      </c>
      <c r="B336" s="11">
        <v>34</v>
      </c>
      <c r="C336" s="2" t="str">
        <f>_xlfn.XLOOKUP(Table1[[#This Row],[Age]],Table7[Start_Age],Table7[Age_Range],,-1)</f>
        <v>29-39</v>
      </c>
      <c r="D336" t="s">
        <v>136</v>
      </c>
      <c r="E336" s="2" t="s">
        <v>131</v>
      </c>
      <c r="F336" s="2" t="s">
        <v>137</v>
      </c>
      <c r="G336" s="3">
        <v>1</v>
      </c>
      <c r="H336" s="13" t="s">
        <v>152</v>
      </c>
      <c r="I336" s="2" t="str" cm="1">
        <f t="array" ref="I336">_xlfn.IFS(Table1[[#This Row],[Job_Type]] = "unskilled resident", "Resident",
Table1[[#This Row],[Job_Type]] = "unemp/unskilled non res", "Non-resident",
TRUE, "Unknown")</f>
        <v>Unknown</v>
      </c>
      <c r="J336" s="2" t="s">
        <v>148</v>
      </c>
      <c r="K336" s="3">
        <v>2</v>
      </c>
      <c r="L336" s="2" t="s">
        <v>143</v>
      </c>
      <c r="M336" s="13" t="s">
        <v>152</v>
      </c>
      <c r="N336" t="s">
        <v>30</v>
      </c>
      <c r="O336" s="2" t="str">
        <f>_xlfn.XLOOKUP(Table1[[#This Row],[Checking_Acct_Status]],Table3[Checking_Acct_Original],Table3[Category])</f>
        <v>Low Balance</v>
      </c>
      <c r="P336" s="10" t="s">
        <v>32</v>
      </c>
      <c r="Q336" s="13" t="str">
        <f>_xlfn.XLOOKUP(Table1[[#This Row],[Saving_Acct_Status]],Table5[Saving_Acct_Original],Table5[Category])</f>
        <v>Low Savings</v>
      </c>
      <c r="R336" t="s">
        <v>63</v>
      </c>
      <c r="S336" s="2" t="str">
        <f>IF(
      OR(Table1[[#This Row],[Job_Type]] = "high qualif/self emp/mgmt", Table1[[#This Row],[Job_Type]] = "skilled"),
      "Skilled", "Unskilled")</f>
        <v>Skilled</v>
      </c>
      <c r="T336" t="str">
        <f>IF(Table1[[#This Row],[Job_Type]] = "unemp/unskilled non res", "Unemployed", "Employed")</f>
        <v>Employed</v>
      </c>
      <c r="U336" t="s">
        <v>54</v>
      </c>
      <c r="V336" s="14" t="str" cm="1">
        <f t="array" ref="V336">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336" t="s">
        <v>59</v>
      </c>
      <c r="X336" s="2" t="str">
        <f>_xlfn.XLOOKUP(Table1[[#This Row],[Loan_Credit_History]],Table4[Credit History],Table4[[ Category]])</f>
        <v>Previously Delayed</v>
      </c>
      <c r="Y336" s="3">
        <v>3</v>
      </c>
      <c r="Z336" s="3">
        <v>1</v>
      </c>
      <c r="AA336" s="5">
        <v>2064</v>
      </c>
      <c r="AB336" t="s">
        <v>151</v>
      </c>
      <c r="AC336" s="2" t="str" cm="1">
        <f t="array" ref="AC336">_xlfn.IFS(Table1[[#This Row],[Others_Parties]] = "No", "None",
Table1[[#This Row],[Others_Parties]] = "co applicant", "Co-applicant",
Table1[[#This Row],[Others_Parties]] = "guarantor", "Guarantor")</f>
        <v>None</v>
      </c>
      <c r="AD336" s="13" t="s">
        <v>145</v>
      </c>
      <c r="AE336" s="2" t="s">
        <v>108</v>
      </c>
      <c r="AF336" s="28" t="str" cm="1">
        <f t="array" ref="AF33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36" s="21">
        <v>24</v>
      </c>
      <c r="AH336" s="2" t="s">
        <v>153</v>
      </c>
      <c r="AI336"/>
      <c r="AZ336"/>
      <c r="BC336"/>
      <c r="BE336"/>
      <c r="BL336"/>
      <c r="BZ336"/>
      <c r="CA336"/>
      <c r="CF336"/>
      <c r="CG336"/>
      <c r="CH336"/>
      <c r="CI336"/>
      <c r="CK336"/>
      <c r="CN336"/>
    </row>
    <row r="337" spans="1:92" x14ac:dyDescent="0.3">
      <c r="A337" s="4">
        <v>335</v>
      </c>
      <c r="B337" s="11">
        <v>43</v>
      </c>
      <c r="C337" s="2" t="str">
        <f>_xlfn.XLOOKUP(Table1[[#This Row],[Age]],Table7[Start_Age],Table7[Age_Range],,-1)</f>
        <v>39-49</v>
      </c>
      <c r="D337" t="s">
        <v>130</v>
      </c>
      <c r="E337" s="2" t="s">
        <v>129</v>
      </c>
      <c r="F337" s="2" t="s">
        <v>133</v>
      </c>
      <c r="G337" s="3">
        <v>2</v>
      </c>
      <c r="H337" s="13" t="s">
        <v>152</v>
      </c>
      <c r="I337" s="2" t="str" cm="1">
        <f t="array" ref="I337">_xlfn.IFS(Table1[[#This Row],[Job_Type]] = "unskilled resident", "Resident",
Table1[[#This Row],[Job_Type]] = "unemp/unskilled non res", "Non-resident",
TRUE, "Unknown")</f>
        <v>Unknown</v>
      </c>
      <c r="J337" s="2" t="s">
        <v>148</v>
      </c>
      <c r="K337" s="3">
        <v>4</v>
      </c>
      <c r="L337" s="2" t="s">
        <v>140</v>
      </c>
      <c r="M337" s="13" t="s">
        <v>152</v>
      </c>
      <c r="N337" t="s">
        <v>17</v>
      </c>
      <c r="O337" s="2" t="str">
        <f>_xlfn.XLOOKUP(Table1[[#This Row],[Checking_Acct_Status]],Table3[Checking_Acct_Original],Table3[Category])</f>
        <v>No Account</v>
      </c>
      <c r="P337" s="10" t="s">
        <v>47</v>
      </c>
      <c r="Q337" s="13" t="str">
        <f>_xlfn.XLOOKUP(Table1[[#This Row],[Saving_Acct_Status]],Table5[Saving_Acct_Original],Table5[Category])</f>
        <v>No Savings</v>
      </c>
      <c r="R337" t="s">
        <v>41</v>
      </c>
      <c r="S337" s="2" t="str">
        <f>IF(
      OR(Table1[[#This Row],[Job_Type]] = "high qualif/self emp/mgmt", Table1[[#This Row],[Job_Type]] = "skilled"),
      "Skilled", "Unskilled")</f>
        <v>Skilled</v>
      </c>
      <c r="T337" t="str">
        <f>IF(Table1[[#This Row],[Job_Type]] = "unemp/unskilled non res", "Unemployed", "Employed")</f>
        <v>Employed</v>
      </c>
      <c r="U337" t="s">
        <v>49</v>
      </c>
      <c r="V337" s="14" t="str" cm="1">
        <f t="array" ref="V33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37" t="s">
        <v>103</v>
      </c>
      <c r="X337" s="2" t="str">
        <f>_xlfn.XLOOKUP(Table1[[#This Row],[Loan_Credit_History]],Table4[Credit History],Table4[[ Category]])</f>
        <v>Critical Credit History</v>
      </c>
      <c r="Y337" s="3">
        <v>4</v>
      </c>
      <c r="Z337" s="3">
        <v>2</v>
      </c>
      <c r="AA337" s="5">
        <v>2197</v>
      </c>
      <c r="AB337" t="s">
        <v>151</v>
      </c>
      <c r="AC337" s="2" t="str" cm="1">
        <f t="array" ref="AC337">_xlfn.IFS(Table1[[#This Row],[Others_Parties]] = "No", "None",
Table1[[#This Row],[Others_Parties]] = "co applicant", "Co-applicant",
Table1[[#This Row],[Others_Parties]] = "guarantor", "Guarantor")</f>
        <v>None</v>
      </c>
      <c r="AD337" s="13" t="s">
        <v>145</v>
      </c>
      <c r="AE337" s="2" t="s">
        <v>107</v>
      </c>
      <c r="AF337" s="28" t="str" cm="1">
        <f t="array" ref="AF33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37" s="21">
        <v>24</v>
      </c>
      <c r="AH337" s="2" t="s">
        <v>154</v>
      </c>
      <c r="AI337"/>
      <c r="AZ337"/>
      <c r="BC337"/>
      <c r="BE337"/>
      <c r="BL337"/>
      <c r="BZ337"/>
      <c r="CA337"/>
      <c r="CF337"/>
      <c r="CG337"/>
      <c r="CH337"/>
      <c r="CI337"/>
      <c r="CK337"/>
      <c r="CN337"/>
    </row>
    <row r="338" spans="1:92" x14ac:dyDescent="0.3">
      <c r="A338" s="4">
        <v>336</v>
      </c>
      <c r="B338" s="11">
        <v>52</v>
      </c>
      <c r="C338" s="2" t="str">
        <f>_xlfn.XLOOKUP(Table1[[#This Row],[Age]],Table7[Start_Age],Table7[Age_Range],,-1)</f>
        <v>49-59</v>
      </c>
      <c r="D338" t="s">
        <v>130</v>
      </c>
      <c r="E338" s="2" t="s">
        <v>129</v>
      </c>
      <c r="F338" s="2" t="s">
        <v>133</v>
      </c>
      <c r="G338" s="3">
        <v>1</v>
      </c>
      <c r="H338" s="13" t="s">
        <v>152</v>
      </c>
      <c r="I338" s="2" t="str" cm="1">
        <f t="array" ref="I338">_xlfn.IFS(Table1[[#This Row],[Job_Type]] = "unskilled resident", "Resident",
Table1[[#This Row],[Job_Type]] = "unemp/unskilled non res", "Non-resident",
TRUE, "Unknown")</f>
        <v>Unknown</v>
      </c>
      <c r="J338" s="2" t="s">
        <v>148</v>
      </c>
      <c r="K338" s="3">
        <v>4</v>
      </c>
      <c r="L338" s="2" t="s">
        <v>143</v>
      </c>
      <c r="M338" s="13" t="s">
        <v>151</v>
      </c>
      <c r="N338" t="s">
        <v>17</v>
      </c>
      <c r="O338" s="2" t="str">
        <f>_xlfn.XLOOKUP(Table1[[#This Row],[Checking_Acct_Status]],Table3[Checking_Acct_Original],Table3[Category])</f>
        <v>No Account</v>
      </c>
      <c r="P338" s="10" t="s">
        <v>46</v>
      </c>
      <c r="Q338" s="13" t="str">
        <f>_xlfn.XLOOKUP(Table1[[#This Row],[Saving_Acct_Status]],Table5[Saving_Acct_Original],Table5[Category])</f>
        <v>Medium Savings</v>
      </c>
      <c r="R338" t="s">
        <v>41</v>
      </c>
      <c r="S338" s="2" t="str">
        <f>IF(
      OR(Table1[[#This Row],[Job_Type]] = "high qualif/self emp/mgmt", Table1[[#This Row],[Job_Type]] = "skilled"),
      "Skilled", "Unskilled")</f>
        <v>Skilled</v>
      </c>
      <c r="T338" t="str">
        <f>IF(Table1[[#This Row],[Job_Type]] = "unemp/unskilled non res", "Unemployed", "Employed")</f>
        <v>Employed</v>
      </c>
      <c r="U338" t="s">
        <v>38</v>
      </c>
      <c r="V338" s="14" t="str" cm="1">
        <f t="array" ref="V33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38" t="s">
        <v>103</v>
      </c>
      <c r="X338" s="2" t="str">
        <f>_xlfn.XLOOKUP(Table1[[#This Row],[Loan_Credit_History]],Table4[Credit History],Table4[[ Category]])</f>
        <v>Critical Credit History</v>
      </c>
      <c r="Y338" s="3">
        <v>4</v>
      </c>
      <c r="Z338" s="3">
        <v>2</v>
      </c>
      <c r="AA338" s="5">
        <v>2223</v>
      </c>
      <c r="AB338" t="s">
        <v>151</v>
      </c>
      <c r="AC338" s="2" t="str" cm="1">
        <f t="array" ref="AC338">_xlfn.IFS(Table1[[#This Row],[Others_Parties]] = "No", "None",
Table1[[#This Row],[Others_Parties]] = "co applicant", "Co-applicant",
Table1[[#This Row],[Others_Parties]] = "guarantor", "Guarantor")</f>
        <v>None</v>
      </c>
      <c r="AD338" s="13" t="s">
        <v>146</v>
      </c>
      <c r="AE338" s="2" t="s">
        <v>111</v>
      </c>
      <c r="AF338" s="28" t="str" cm="1">
        <f t="array" ref="AF33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38" s="21">
        <v>24</v>
      </c>
      <c r="AH338" s="2" t="s">
        <v>154</v>
      </c>
      <c r="AI338"/>
      <c r="AZ338"/>
      <c r="BC338"/>
      <c r="BE338"/>
      <c r="BL338"/>
      <c r="BZ338"/>
      <c r="CA338"/>
      <c r="CF338"/>
      <c r="CG338"/>
      <c r="CH338"/>
      <c r="CI338"/>
      <c r="CK338"/>
      <c r="CN338"/>
    </row>
    <row r="339" spans="1:92" x14ac:dyDescent="0.3">
      <c r="A339" s="4">
        <v>337</v>
      </c>
      <c r="B339" s="11">
        <v>54</v>
      </c>
      <c r="C339" s="2" t="str">
        <f>_xlfn.XLOOKUP(Table1[[#This Row],[Age]],Table7[Start_Age],Table7[Age_Range],,-1)</f>
        <v>49-59</v>
      </c>
      <c r="D339" t="s">
        <v>130</v>
      </c>
      <c r="E339" s="2" t="s">
        <v>129</v>
      </c>
      <c r="F339" s="2" t="s">
        <v>133</v>
      </c>
      <c r="G339" s="3">
        <v>1</v>
      </c>
      <c r="H339" s="13" t="s">
        <v>152</v>
      </c>
      <c r="I339" s="2" t="str" cm="1">
        <f t="array" ref="I339">_xlfn.IFS(Table1[[#This Row],[Job_Type]] = "unskilled resident", "Resident",
Table1[[#This Row],[Job_Type]] = "unemp/unskilled non res", "Non-resident",
TRUE, "Unknown")</f>
        <v>Unknown</v>
      </c>
      <c r="J339" s="2" t="s">
        <v>148</v>
      </c>
      <c r="K339" s="3">
        <v>1</v>
      </c>
      <c r="L339" s="2" t="s">
        <v>143</v>
      </c>
      <c r="M339" s="13" t="s">
        <v>151</v>
      </c>
      <c r="N339" t="s">
        <v>17</v>
      </c>
      <c r="O339" s="2" t="str">
        <f>_xlfn.XLOOKUP(Table1[[#This Row],[Checking_Acct_Status]],Table3[Checking_Acct_Original],Table3[Category])</f>
        <v>No Account</v>
      </c>
      <c r="P339" s="10" t="s">
        <v>47</v>
      </c>
      <c r="Q339" s="13" t="str">
        <f>_xlfn.XLOOKUP(Table1[[#This Row],[Saving_Acct_Status]],Table5[Saving_Acct_Original],Table5[Category])</f>
        <v>No Savings</v>
      </c>
      <c r="R339" t="s">
        <v>41</v>
      </c>
      <c r="S339" s="2" t="str">
        <f>IF(
      OR(Table1[[#This Row],[Job_Type]] = "high qualif/self emp/mgmt", Table1[[#This Row],[Job_Type]] = "skilled"),
      "Skilled", "Unskilled")</f>
        <v>Skilled</v>
      </c>
      <c r="T339" t="str">
        <f>IF(Table1[[#This Row],[Job_Type]] = "unemp/unskilled non res", "Unemployed", "Employed")</f>
        <v>Employed</v>
      </c>
      <c r="U339" t="s">
        <v>45</v>
      </c>
      <c r="V339" s="14" t="str" cm="1">
        <f t="array" ref="V33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39" t="s">
        <v>31</v>
      </c>
      <c r="X339" s="2" t="str">
        <f>_xlfn.XLOOKUP(Table1[[#This Row],[Loan_Credit_History]],Table4[Credit History],Table4[[ Category]])</f>
        <v>Existing Credits Paid</v>
      </c>
      <c r="Y339" s="3">
        <v>4</v>
      </c>
      <c r="Z339" s="3">
        <v>1</v>
      </c>
      <c r="AA339" s="5">
        <v>2255</v>
      </c>
      <c r="AB339" t="s">
        <v>151</v>
      </c>
      <c r="AC339" s="2" t="str" cm="1">
        <f t="array" ref="AC339">_xlfn.IFS(Table1[[#This Row],[Others_Parties]] = "No", "None",
Table1[[#This Row],[Others_Parties]] = "co applicant", "Co-applicant",
Table1[[#This Row],[Others_Parties]] = "guarantor", "Guarantor")</f>
        <v>None</v>
      </c>
      <c r="AD339" s="13" t="s">
        <v>145</v>
      </c>
      <c r="AE339" s="2" t="s">
        <v>141</v>
      </c>
      <c r="AF339" s="28" t="str" cm="1">
        <f t="array" ref="AF33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39" s="21">
        <v>24</v>
      </c>
      <c r="AH339" s="2" t="s">
        <v>154</v>
      </c>
      <c r="AI339"/>
      <c r="AZ339"/>
      <c r="BC339"/>
      <c r="BE339"/>
      <c r="BL339"/>
      <c r="BZ339"/>
      <c r="CA339"/>
      <c r="CF339"/>
      <c r="CG339"/>
      <c r="CH339"/>
      <c r="CI339"/>
      <c r="CK339"/>
      <c r="CN339"/>
    </row>
    <row r="340" spans="1:92" x14ac:dyDescent="0.3">
      <c r="A340" s="4">
        <v>338</v>
      </c>
      <c r="B340" s="11">
        <v>28</v>
      </c>
      <c r="C340" s="2" t="str">
        <f>_xlfn.XLOOKUP(Table1[[#This Row],[Age]],Table7[Start_Age],Table7[Age_Range],,-1)</f>
        <v>19-29</v>
      </c>
      <c r="D340" t="s">
        <v>130</v>
      </c>
      <c r="E340" s="2" t="s">
        <v>129</v>
      </c>
      <c r="F340" s="2" t="s">
        <v>133</v>
      </c>
      <c r="G340" s="3">
        <v>1</v>
      </c>
      <c r="H340" s="13" t="s">
        <v>152</v>
      </c>
      <c r="I340" s="2" t="str" cm="1">
        <f t="array" ref="I340">_xlfn.IFS(Table1[[#This Row],[Job_Type]] = "unskilled resident", "Resident",
Table1[[#This Row],[Job_Type]] = "unemp/unskilled non res", "Non-resident",
TRUE, "Unknown")</f>
        <v>Unknown</v>
      </c>
      <c r="J340" s="2" t="s">
        <v>148</v>
      </c>
      <c r="K340" s="3">
        <v>2</v>
      </c>
      <c r="L340" s="2" t="s">
        <v>140</v>
      </c>
      <c r="M340" s="13" t="s">
        <v>152</v>
      </c>
      <c r="N340" t="s">
        <v>17</v>
      </c>
      <c r="O340" s="2" t="str">
        <f>_xlfn.XLOOKUP(Table1[[#This Row],[Checking_Acct_Status]],Table3[Checking_Acct_Original],Table3[Category])</f>
        <v>No Account</v>
      </c>
      <c r="P340" s="10" t="s">
        <v>32</v>
      </c>
      <c r="Q340" s="13" t="str">
        <f>_xlfn.XLOOKUP(Table1[[#This Row],[Saving_Acct_Status]],Table5[Saving_Acct_Original],Table5[Category])</f>
        <v>Low Savings</v>
      </c>
      <c r="R340" t="s">
        <v>41</v>
      </c>
      <c r="S340" s="2" t="str">
        <f>IF(
      OR(Table1[[#This Row],[Job_Type]] = "high qualif/self emp/mgmt", Table1[[#This Row],[Job_Type]] = "skilled"),
      "Skilled", "Unskilled")</f>
        <v>Skilled</v>
      </c>
      <c r="T340" t="str">
        <f>IF(Table1[[#This Row],[Job_Type]] = "unemp/unskilled non res", "Unemployed", "Employed")</f>
        <v>Employed</v>
      </c>
      <c r="U340" t="s">
        <v>49</v>
      </c>
      <c r="V340" s="14" t="str" cm="1">
        <f t="array" ref="V34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40" t="s">
        <v>31</v>
      </c>
      <c r="X340" s="2" t="str">
        <f>_xlfn.XLOOKUP(Table1[[#This Row],[Loan_Credit_History]],Table4[Credit History],Table4[[ Category]])</f>
        <v>Existing Credits Paid</v>
      </c>
      <c r="Y340" s="3">
        <v>4</v>
      </c>
      <c r="Z340" s="3">
        <v>1</v>
      </c>
      <c r="AA340" s="5">
        <v>2284</v>
      </c>
      <c r="AB340" t="s">
        <v>151</v>
      </c>
      <c r="AC340" s="2" t="str" cm="1">
        <f t="array" ref="AC340">_xlfn.IFS(Table1[[#This Row],[Others_Parties]] = "No", "None",
Table1[[#This Row],[Others_Parties]] = "co applicant", "Co-applicant",
Table1[[#This Row],[Others_Parties]] = "guarantor", "Guarantor")</f>
        <v>None</v>
      </c>
      <c r="AD340" s="13" t="s">
        <v>145</v>
      </c>
      <c r="AE340" s="2" t="s">
        <v>111</v>
      </c>
      <c r="AF340" s="28" t="str" cm="1">
        <f t="array" ref="AF34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40" s="21">
        <v>24</v>
      </c>
      <c r="AH340" s="2" t="s">
        <v>154</v>
      </c>
      <c r="AI340"/>
      <c r="AZ340"/>
      <c r="BC340"/>
      <c r="BE340"/>
      <c r="BL340"/>
      <c r="BZ340"/>
      <c r="CA340"/>
      <c r="CF340"/>
      <c r="CG340"/>
      <c r="CH340"/>
      <c r="CI340"/>
      <c r="CK340"/>
      <c r="CN340"/>
    </row>
    <row r="341" spans="1:92" x14ac:dyDescent="0.3">
      <c r="A341" s="4">
        <v>339</v>
      </c>
      <c r="B341" s="11">
        <v>45</v>
      </c>
      <c r="C341" s="2" t="str">
        <f>_xlfn.XLOOKUP(Table1[[#This Row],[Age]],Table7[Start_Age],Table7[Age_Range],,-1)</f>
        <v>39-49</v>
      </c>
      <c r="D341" t="s">
        <v>130</v>
      </c>
      <c r="E341" s="2" t="s">
        <v>129</v>
      </c>
      <c r="F341" s="2" t="s">
        <v>133</v>
      </c>
      <c r="G341" s="3">
        <v>1</v>
      </c>
      <c r="H341" s="13" t="s">
        <v>152</v>
      </c>
      <c r="I341" s="2" t="str" cm="1">
        <f t="array" ref="I341">_xlfn.IFS(Table1[[#This Row],[Job_Type]] = "unskilled resident", "Resident",
Table1[[#This Row],[Job_Type]] = "unemp/unskilled non res", "Non-resident",
TRUE, "Unknown")</f>
        <v>Unknown</v>
      </c>
      <c r="J341" s="2" t="s">
        <v>148</v>
      </c>
      <c r="K341" s="3">
        <v>1</v>
      </c>
      <c r="L341" s="2" t="s">
        <v>144</v>
      </c>
      <c r="M341" s="13" t="s">
        <v>151</v>
      </c>
      <c r="N341" t="s">
        <v>35</v>
      </c>
      <c r="O341" s="2" t="str">
        <f>_xlfn.XLOOKUP(Table1[[#This Row],[Checking_Acct_Status]],Table3[Checking_Acct_Original],Table3[Category])</f>
        <v>Negative Balance</v>
      </c>
      <c r="P341" s="10" t="s">
        <v>32</v>
      </c>
      <c r="Q341" s="13" t="str">
        <f>_xlfn.XLOOKUP(Table1[[#This Row],[Saving_Acct_Status]],Table5[Saving_Acct_Original],Table5[Category])</f>
        <v>Low Savings</v>
      </c>
      <c r="R341" t="s">
        <v>41</v>
      </c>
      <c r="S341" s="2" t="str">
        <f>IF(
      OR(Table1[[#This Row],[Job_Type]] = "high qualif/self emp/mgmt", Table1[[#This Row],[Job_Type]] = "skilled"),
      "Skilled", "Unskilled")</f>
        <v>Skilled</v>
      </c>
      <c r="T341" t="str">
        <f>IF(Table1[[#This Row],[Job_Type]] = "unemp/unskilled non res", "Unemployed", "Employed")</f>
        <v>Employed</v>
      </c>
      <c r="U341" t="s">
        <v>38</v>
      </c>
      <c r="V341" s="14" t="str" cm="1">
        <f t="array" ref="V34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41" t="s">
        <v>31</v>
      </c>
      <c r="X341" s="2" t="str">
        <f>_xlfn.XLOOKUP(Table1[[#This Row],[Loan_Credit_History]],Table4[Credit History],Table4[[ Category]])</f>
        <v>Existing Credits Paid</v>
      </c>
      <c r="Y341" s="3">
        <v>4</v>
      </c>
      <c r="Z341" s="3">
        <v>1</v>
      </c>
      <c r="AA341" s="5">
        <v>2303</v>
      </c>
      <c r="AB341" t="s">
        <v>55</v>
      </c>
      <c r="AC341" s="2" t="str" cm="1">
        <f t="array" ref="AC341">_xlfn.IFS(Table1[[#This Row],[Others_Parties]] = "No", "None",
Table1[[#This Row],[Others_Parties]] = "co applicant", "Co-applicant",
Table1[[#This Row],[Others_Parties]] = "guarantor", "Guarantor")</f>
        <v>Co-applicant</v>
      </c>
      <c r="AD341" s="13" t="s">
        <v>145</v>
      </c>
      <c r="AE341" s="2" t="s">
        <v>141</v>
      </c>
      <c r="AF341" s="28" t="str" cm="1">
        <f t="array" ref="AF34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41" s="21">
        <v>24</v>
      </c>
      <c r="AH341" s="2" t="s">
        <v>153</v>
      </c>
      <c r="AI341"/>
      <c r="AZ341"/>
      <c r="BC341"/>
      <c r="BE341"/>
      <c r="BL341"/>
      <c r="BZ341"/>
      <c r="CA341"/>
      <c r="CF341"/>
      <c r="CG341"/>
      <c r="CH341"/>
      <c r="CI341"/>
      <c r="CK341"/>
      <c r="CN341"/>
    </row>
    <row r="342" spans="1:92" x14ac:dyDescent="0.3">
      <c r="A342" s="4">
        <v>340</v>
      </c>
      <c r="B342" s="11">
        <v>32</v>
      </c>
      <c r="C342" s="2" t="str">
        <f>_xlfn.XLOOKUP(Table1[[#This Row],[Age]],Table7[Start_Age],Table7[Age_Range],,-1)</f>
        <v>29-39</v>
      </c>
      <c r="D342" t="s">
        <v>130</v>
      </c>
      <c r="E342" s="2" t="s">
        <v>129</v>
      </c>
      <c r="F342" s="2" t="s">
        <v>133</v>
      </c>
      <c r="G342" s="3">
        <v>1</v>
      </c>
      <c r="H342" s="13" t="s">
        <v>152</v>
      </c>
      <c r="I342" s="2" t="str" cm="1">
        <f t="array" ref="I342">_xlfn.IFS(Table1[[#This Row],[Job_Type]] = "unskilled resident", "Resident",
Table1[[#This Row],[Job_Type]] = "unemp/unskilled non res", "Non-resident",
TRUE, "Unknown")</f>
        <v>Unknown</v>
      </c>
      <c r="J342" s="2" t="s">
        <v>148</v>
      </c>
      <c r="K342" s="3">
        <v>3</v>
      </c>
      <c r="L342" s="2" t="s">
        <v>140</v>
      </c>
      <c r="M342" s="13" t="s">
        <v>151</v>
      </c>
      <c r="N342" t="s">
        <v>35</v>
      </c>
      <c r="O342" s="2" t="str">
        <f>_xlfn.XLOOKUP(Table1[[#This Row],[Checking_Acct_Status]],Table3[Checking_Acct_Original],Table3[Category])</f>
        <v>Negative Balance</v>
      </c>
      <c r="P342" s="10" t="s">
        <v>46</v>
      </c>
      <c r="Q342" s="13" t="str">
        <f>_xlfn.XLOOKUP(Table1[[#This Row],[Saving_Acct_Status]],Table5[Saving_Acct_Original],Table5[Category])</f>
        <v>Medium Savings</v>
      </c>
      <c r="R342" t="s">
        <v>41</v>
      </c>
      <c r="S342" s="2" t="str">
        <f>IF(
      OR(Table1[[#This Row],[Job_Type]] = "high qualif/self emp/mgmt", Table1[[#This Row],[Job_Type]] = "skilled"),
      "Skilled", "Unskilled")</f>
        <v>Skilled</v>
      </c>
      <c r="T342" t="str">
        <f>IF(Table1[[#This Row],[Job_Type]] = "unemp/unskilled non res", "Unemployed", "Employed")</f>
        <v>Employed</v>
      </c>
      <c r="U342" t="s">
        <v>49</v>
      </c>
      <c r="V342" s="14" t="str" cm="1">
        <f t="array" ref="V34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42" t="s">
        <v>42</v>
      </c>
      <c r="X342" s="2" t="str">
        <f>_xlfn.XLOOKUP(Table1[[#This Row],[Loan_Credit_History]],Table4[Credit History],Table4[[ Category]])</f>
        <v>All Paid</v>
      </c>
      <c r="Y342" s="3">
        <v>2</v>
      </c>
      <c r="Z342" s="3">
        <v>1</v>
      </c>
      <c r="AA342" s="5">
        <v>2325</v>
      </c>
      <c r="AB342" t="s">
        <v>151</v>
      </c>
      <c r="AC342" s="2" t="str" cm="1">
        <f t="array" ref="AC342">_xlfn.IFS(Table1[[#This Row],[Others_Parties]] = "No", "None",
Table1[[#This Row],[Others_Parties]] = "co applicant", "Co-applicant",
Table1[[#This Row],[Others_Parties]] = "guarantor", "Guarantor")</f>
        <v>None</v>
      </c>
      <c r="AD342" s="13" t="s">
        <v>146</v>
      </c>
      <c r="AE342" s="2" t="s">
        <v>141</v>
      </c>
      <c r="AF342" s="28" t="str" cm="1">
        <f t="array" ref="AF34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42" s="21">
        <v>24</v>
      </c>
      <c r="AH342" s="2" t="s">
        <v>154</v>
      </c>
      <c r="AI342"/>
      <c r="AZ342"/>
      <c r="BC342"/>
      <c r="BE342"/>
      <c r="BL342"/>
      <c r="BZ342"/>
      <c r="CA342"/>
      <c r="CF342"/>
      <c r="CG342"/>
      <c r="CH342"/>
      <c r="CI342"/>
      <c r="CK342"/>
      <c r="CN342"/>
    </row>
    <row r="343" spans="1:92" x14ac:dyDescent="0.3">
      <c r="A343" s="4">
        <v>341</v>
      </c>
      <c r="B343" s="11">
        <v>29</v>
      </c>
      <c r="C343" s="2" t="str">
        <f>_xlfn.XLOOKUP(Table1[[#This Row],[Age]],Table7[Start_Age],Table7[Age_Range],,-1)</f>
        <v>29-39</v>
      </c>
      <c r="D343" t="s">
        <v>130</v>
      </c>
      <c r="E343" s="2" t="s">
        <v>129</v>
      </c>
      <c r="F343" s="2" t="s">
        <v>133</v>
      </c>
      <c r="G343" s="3">
        <v>1</v>
      </c>
      <c r="H343" s="13" t="s">
        <v>152</v>
      </c>
      <c r="I343" s="2" t="str" cm="1">
        <f t="array" ref="I343">_xlfn.IFS(Table1[[#This Row],[Job_Type]] = "unskilled resident", "Resident",
Table1[[#This Row],[Job_Type]] = "unemp/unskilled non res", "Non-resident",
TRUE, "Unknown")</f>
        <v>Resident</v>
      </c>
      <c r="J343" s="2" t="s">
        <v>148</v>
      </c>
      <c r="K343" s="3">
        <v>2</v>
      </c>
      <c r="L343" s="2" t="s">
        <v>143</v>
      </c>
      <c r="M343" s="13" t="s">
        <v>151</v>
      </c>
      <c r="N343" t="s">
        <v>30</v>
      </c>
      <c r="O343" s="2" t="str">
        <f>_xlfn.XLOOKUP(Table1[[#This Row],[Checking_Acct_Status]],Table3[Checking_Acct_Original],Table3[Category])</f>
        <v>Low Balance</v>
      </c>
      <c r="P343" s="10" t="s">
        <v>47</v>
      </c>
      <c r="Q343" s="13" t="str">
        <f>_xlfn.XLOOKUP(Table1[[#This Row],[Saving_Acct_Status]],Table5[Saving_Acct_Original],Table5[Category])</f>
        <v>No Savings</v>
      </c>
      <c r="R343" t="s">
        <v>27</v>
      </c>
      <c r="S343" s="2" t="str">
        <f>IF(
      OR(Table1[[#This Row],[Job_Type]] = "high qualif/self emp/mgmt", Table1[[#This Row],[Job_Type]] = "skilled"),
      "Skilled", "Unskilled")</f>
        <v>Unskilled</v>
      </c>
      <c r="T343" t="str">
        <f>IF(Table1[[#This Row],[Job_Type]] = "unemp/unskilled non res", "Unemployed", "Employed")</f>
        <v>Employed</v>
      </c>
      <c r="U343" t="s">
        <v>45</v>
      </c>
      <c r="V343" s="14" t="str" cm="1">
        <f t="array" ref="V34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43" t="s">
        <v>59</v>
      </c>
      <c r="X343" s="2" t="str">
        <f>_xlfn.XLOOKUP(Table1[[#This Row],[Loan_Credit_History]],Table4[Credit History],Table4[[ Category]])</f>
        <v>Previously Delayed</v>
      </c>
      <c r="Y343" s="3">
        <v>4</v>
      </c>
      <c r="Z343" s="3">
        <v>1</v>
      </c>
      <c r="AA343" s="5">
        <v>2333</v>
      </c>
      <c r="AB343" t="s">
        <v>151</v>
      </c>
      <c r="AC343" s="2" t="str" cm="1">
        <f t="array" ref="AC343">_xlfn.IFS(Table1[[#This Row],[Others_Parties]] = "No", "None",
Table1[[#This Row],[Others_Parties]] = "co applicant", "Co-applicant",
Table1[[#This Row],[Others_Parties]] = "guarantor", "Guarantor")</f>
        <v>None</v>
      </c>
      <c r="AD343" s="13" t="s">
        <v>146</v>
      </c>
      <c r="AE343" s="2" t="s">
        <v>108</v>
      </c>
      <c r="AF343" s="28" t="str" cm="1">
        <f t="array" ref="AF34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43" s="21">
        <v>24</v>
      </c>
      <c r="AH343" s="2" t="s">
        <v>154</v>
      </c>
      <c r="AI343"/>
      <c r="AZ343"/>
      <c r="BC343"/>
      <c r="BE343"/>
      <c r="BL343"/>
      <c r="BZ343"/>
      <c r="CA343"/>
      <c r="CF343"/>
      <c r="CG343"/>
      <c r="CH343"/>
      <c r="CI343"/>
      <c r="CK343"/>
      <c r="CN343"/>
    </row>
    <row r="344" spans="1:92" x14ac:dyDescent="0.3">
      <c r="A344" s="4">
        <v>342</v>
      </c>
      <c r="B344" s="11">
        <v>35</v>
      </c>
      <c r="C344" s="2" t="str">
        <f>_xlfn.XLOOKUP(Table1[[#This Row],[Age]],Table7[Start_Age],Table7[Age_Range],,-1)</f>
        <v>29-39</v>
      </c>
      <c r="D344" t="s">
        <v>130</v>
      </c>
      <c r="E344" s="2" t="s">
        <v>129</v>
      </c>
      <c r="F344" s="2" t="s">
        <v>133</v>
      </c>
      <c r="G344" s="3">
        <v>1</v>
      </c>
      <c r="H344" s="13" t="s">
        <v>152</v>
      </c>
      <c r="I344" s="2" t="str" cm="1">
        <f t="array" ref="I344">_xlfn.IFS(Table1[[#This Row],[Job_Type]] = "unskilled resident", "Resident",
Table1[[#This Row],[Job_Type]] = "unemp/unskilled non res", "Non-resident",
TRUE, "Unknown")</f>
        <v>Unknown</v>
      </c>
      <c r="J344" s="2" t="s">
        <v>148</v>
      </c>
      <c r="K344" s="3">
        <v>3</v>
      </c>
      <c r="L344" s="2" t="s">
        <v>140</v>
      </c>
      <c r="M344" s="13" t="s">
        <v>152</v>
      </c>
      <c r="N344" t="s">
        <v>17</v>
      </c>
      <c r="O344" s="2" t="str">
        <f>_xlfn.XLOOKUP(Table1[[#This Row],[Checking_Acct_Status]],Table3[Checking_Acct_Original],Table3[Category])</f>
        <v>No Account</v>
      </c>
      <c r="P344" s="10" t="s">
        <v>32</v>
      </c>
      <c r="Q344" s="13" t="str">
        <f>_xlfn.XLOOKUP(Table1[[#This Row],[Saving_Acct_Status]],Table5[Saving_Acct_Original],Table5[Category])</f>
        <v>Low Savings</v>
      </c>
      <c r="R344" t="s">
        <v>41</v>
      </c>
      <c r="S344" s="2" t="str">
        <f>IF(
      OR(Table1[[#This Row],[Job_Type]] = "high qualif/self emp/mgmt", Table1[[#This Row],[Job_Type]] = "skilled"),
      "Skilled", "Unskilled")</f>
        <v>Skilled</v>
      </c>
      <c r="T344" t="str">
        <f>IF(Table1[[#This Row],[Job_Type]] = "unemp/unskilled non res", "Unemployed", "Employed")</f>
        <v>Employed</v>
      </c>
      <c r="U344" t="s">
        <v>49</v>
      </c>
      <c r="V344" s="14" t="str" cm="1">
        <f t="array" ref="V34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44" t="s">
        <v>103</v>
      </c>
      <c r="X344" s="2" t="str">
        <f>_xlfn.XLOOKUP(Table1[[#This Row],[Loan_Credit_History]],Table4[Credit History],Table4[[ Category]])</f>
        <v>Critical Credit History</v>
      </c>
      <c r="Y344" s="3">
        <v>4</v>
      </c>
      <c r="Z344" s="3">
        <v>2</v>
      </c>
      <c r="AA344" s="5">
        <v>2346</v>
      </c>
      <c r="AB344" t="s">
        <v>151</v>
      </c>
      <c r="AC344" s="2" t="str" cm="1">
        <f t="array" ref="AC344">_xlfn.IFS(Table1[[#This Row],[Others_Parties]] = "No", "None",
Table1[[#This Row],[Others_Parties]] = "co applicant", "Co-applicant",
Table1[[#This Row],[Others_Parties]] = "guarantor", "Guarantor")</f>
        <v>None</v>
      </c>
      <c r="AD344" s="13" t="s">
        <v>145</v>
      </c>
      <c r="AE344" s="2" t="s">
        <v>107</v>
      </c>
      <c r="AF344" s="28" t="str" cm="1">
        <f t="array" ref="AF34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44" s="21">
        <v>24</v>
      </c>
      <c r="AH344" s="2" t="s">
        <v>154</v>
      </c>
      <c r="AI344"/>
      <c r="AZ344"/>
      <c r="BC344"/>
      <c r="BE344"/>
      <c r="BL344"/>
      <c r="BZ344"/>
      <c r="CA344"/>
      <c r="CF344"/>
      <c r="CG344"/>
      <c r="CH344"/>
      <c r="CI344"/>
      <c r="CK344"/>
      <c r="CN344"/>
    </row>
    <row r="345" spans="1:92" x14ac:dyDescent="0.3">
      <c r="A345" s="4">
        <v>343</v>
      </c>
      <c r="B345" s="11">
        <v>33</v>
      </c>
      <c r="C345" s="2" t="str">
        <f>_xlfn.XLOOKUP(Table1[[#This Row],[Age]],Table7[Start_Age],Table7[Age_Range],,-1)</f>
        <v>29-39</v>
      </c>
      <c r="D345" t="s">
        <v>138</v>
      </c>
      <c r="E345" s="2" t="s">
        <v>129</v>
      </c>
      <c r="F345" s="2" t="s">
        <v>178</v>
      </c>
      <c r="G345" s="3">
        <v>1</v>
      </c>
      <c r="H345" s="13" t="s">
        <v>152</v>
      </c>
      <c r="I345" s="2" t="str" cm="1">
        <f t="array" ref="I345">_xlfn.IFS(Table1[[#This Row],[Job_Type]] = "unskilled resident", "Resident",
Table1[[#This Row],[Job_Type]] = "unemp/unskilled non res", "Non-resident",
TRUE, "Unknown")</f>
        <v>Unknown</v>
      </c>
      <c r="J345" s="2" t="s">
        <v>148</v>
      </c>
      <c r="K345" s="3">
        <v>1</v>
      </c>
      <c r="L345" s="2" t="s">
        <v>143</v>
      </c>
      <c r="M345" s="13" t="s">
        <v>151</v>
      </c>
      <c r="N345" t="s">
        <v>35</v>
      </c>
      <c r="O345" s="2" t="str">
        <f>_xlfn.XLOOKUP(Table1[[#This Row],[Checking_Acct_Status]],Table3[Checking_Acct_Original],Table3[Category])</f>
        <v>Negative Balance</v>
      </c>
      <c r="P345" s="10" t="s">
        <v>46</v>
      </c>
      <c r="Q345" s="13" t="str">
        <f>_xlfn.XLOOKUP(Table1[[#This Row],[Saving_Acct_Status]],Table5[Saving_Acct_Original],Table5[Category])</f>
        <v>Medium Savings</v>
      </c>
      <c r="R345" t="s">
        <v>41</v>
      </c>
      <c r="S345" s="2" t="str">
        <f>IF(
      OR(Table1[[#This Row],[Job_Type]] = "high qualif/self emp/mgmt", Table1[[#This Row],[Job_Type]] = "skilled"),
      "Skilled", "Unskilled")</f>
        <v>Skilled</v>
      </c>
      <c r="T345" t="str">
        <f>IF(Table1[[#This Row],[Job_Type]] = "unemp/unskilled non res", "Unemployed", "Employed")</f>
        <v>Employed</v>
      </c>
      <c r="U345" t="s">
        <v>54</v>
      </c>
      <c r="V345" s="14" t="str" cm="1">
        <f t="array" ref="V345">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345" t="s">
        <v>31</v>
      </c>
      <c r="X345" s="2" t="str">
        <f>_xlfn.XLOOKUP(Table1[[#This Row],[Loan_Credit_History]],Table4[Credit History],Table4[[ Category]])</f>
        <v>Existing Credits Paid</v>
      </c>
      <c r="Y345" s="3">
        <v>1</v>
      </c>
      <c r="Z345" s="3">
        <v>1</v>
      </c>
      <c r="AA345" s="5">
        <v>2359</v>
      </c>
      <c r="AB345" t="s">
        <v>151</v>
      </c>
      <c r="AC345" s="2" t="str" cm="1">
        <f t="array" ref="AC345">_xlfn.IFS(Table1[[#This Row],[Others_Parties]] = "No", "None",
Table1[[#This Row],[Others_Parties]] = "co applicant", "Co-applicant",
Table1[[#This Row],[Others_Parties]] = "guarantor", "Guarantor")</f>
        <v>None</v>
      </c>
      <c r="AD345" s="13" t="s">
        <v>145</v>
      </c>
      <c r="AE345" s="2" t="s">
        <v>108</v>
      </c>
      <c r="AF345" s="28" t="str" cm="1">
        <f t="array" ref="AF34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45" s="21">
        <v>24</v>
      </c>
      <c r="AH345" s="2" t="s">
        <v>153</v>
      </c>
      <c r="AI345"/>
      <c r="AZ345"/>
      <c r="BC345"/>
      <c r="BE345"/>
      <c r="BL345"/>
      <c r="BZ345"/>
      <c r="CA345"/>
      <c r="CF345"/>
      <c r="CG345"/>
      <c r="CH345"/>
      <c r="CI345"/>
      <c r="CK345"/>
      <c r="CN345"/>
    </row>
    <row r="346" spans="1:92" x14ac:dyDescent="0.3">
      <c r="A346" s="4">
        <v>344</v>
      </c>
      <c r="B346" s="11">
        <v>44</v>
      </c>
      <c r="C346" s="2" t="str">
        <f>_xlfn.XLOOKUP(Table1[[#This Row],[Age]],Table7[Start_Age],Table7[Age_Range],,-1)</f>
        <v>39-49</v>
      </c>
      <c r="D346" t="s">
        <v>130</v>
      </c>
      <c r="E346" s="2" t="s">
        <v>129</v>
      </c>
      <c r="F346" s="2" t="s">
        <v>133</v>
      </c>
      <c r="G346" s="3">
        <v>2</v>
      </c>
      <c r="H346" s="13" t="s">
        <v>152</v>
      </c>
      <c r="I346" s="2" t="str" cm="1">
        <f t="array" ref="I346">_xlfn.IFS(Table1[[#This Row],[Job_Type]] = "unskilled resident", "Resident",
Table1[[#This Row],[Job_Type]] = "unemp/unskilled non res", "Non-resident",
TRUE, "Unknown")</f>
        <v>Unknown</v>
      </c>
      <c r="J346" s="2" t="s">
        <v>148</v>
      </c>
      <c r="K346" s="3">
        <v>2</v>
      </c>
      <c r="L346" s="2" t="s">
        <v>140</v>
      </c>
      <c r="M346" s="13" t="s">
        <v>152</v>
      </c>
      <c r="N346" t="s">
        <v>17</v>
      </c>
      <c r="O346" s="2" t="str">
        <f>_xlfn.XLOOKUP(Table1[[#This Row],[Checking_Acct_Status]],Table3[Checking_Acct_Original],Table3[Category])</f>
        <v>No Account</v>
      </c>
      <c r="P346" s="10" t="s">
        <v>37</v>
      </c>
      <c r="Q346" s="13" t="str">
        <f>_xlfn.XLOOKUP(Table1[[#This Row],[Saving_Acct_Status]],Table5[Saving_Acct_Original],Table5[Category])</f>
        <v>High Savings</v>
      </c>
      <c r="R346" t="s">
        <v>41</v>
      </c>
      <c r="S346" s="2" t="str">
        <f>IF(
      OR(Table1[[#This Row],[Job_Type]] = "high qualif/self emp/mgmt", Table1[[#This Row],[Job_Type]] = "skilled"),
      "Skilled", "Unskilled")</f>
        <v>Skilled</v>
      </c>
      <c r="T346" t="str">
        <f>IF(Table1[[#This Row],[Job_Type]] = "unemp/unskilled non res", "Unemployed", "Employed")</f>
        <v>Employed</v>
      </c>
      <c r="U346" t="s">
        <v>21</v>
      </c>
      <c r="V346" s="14" t="str" cm="1">
        <f t="array" ref="V34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46" t="s">
        <v>59</v>
      </c>
      <c r="X346" s="2" t="str">
        <f>_xlfn.XLOOKUP(Table1[[#This Row],[Loan_Credit_History]],Table4[Credit History],Table4[[ Category]])</f>
        <v>Previously Delayed</v>
      </c>
      <c r="Y346" s="3">
        <v>4</v>
      </c>
      <c r="Z346" s="3">
        <v>2</v>
      </c>
      <c r="AA346" s="5">
        <v>2375</v>
      </c>
      <c r="AB346" t="s">
        <v>151</v>
      </c>
      <c r="AC346" s="2" t="str" cm="1">
        <f t="array" ref="AC346">_xlfn.IFS(Table1[[#This Row],[Others_Parties]] = "No", "None",
Table1[[#This Row],[Others_Parties]] = "co applicant", "Co-applicant",
Table1[[#This Row],[Others_Parties]] = "guarantor", "Guarantor")</f>
        <v>None</v>
      </c>
      <c r="AD346" s="13" t="s">
        <v>145</v>
      </c>
      <c r="AE346" s="2" t="s">
        <v>105</v>
      </c>
      <c r="AF346" s="28" t="str" cm="1">
        <f t="array" ref="AF34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46" s="21">
        <v>24</v>
      </c>
      <c r="AH346" s="2" t="s">
        <v>154</v>
      </c>
      <c r="AI346"/>
      <c r="AZ346"/>
      <c r="BC346"/>
      <c r="BE346"/>
      <c r="BL346"/>
      <c r="BZ346"/>
      <c r="CA346"/>
      <c r="CF346"/>
      <c r="CG346"/>
      <c r="CH346"/>
      <c r="CI346"/>
      <c r="CK346"/>
      <c r="CN346"/>
    </row>
    <row r="347" spans="1:92" x14ac:dyDescent="0.3">
      <c r="A347" s="4">
        <v>345</v>
      </c>
      <c r="B347" s="11">
        <v>64</v>
      </c>
      <c r="C347" s="2" t="str">
        <f>_xlfn.XLOOKUP(Table1[[#This Row],[Age]],Table7[Start_Age],Table7[Age_Range],,-1)</f>
        <v>59-69</v>
      </c>
      <c r="D347" t="s">
        <v>130</v>
      </c>
      <c r="E347" s="2" t="s">
        <v>129</v>
      </c>
      <c r="F347" s="2" t="s">
        <v>133</v>
      </c>
      <c r="G347" s="3">
        <v>1</v>
      </c>
      <c r="H347" s="13" t="s">
        <v>152</v>
      </c>
      <c r="I347" s="2" t="str" cm="1">
        <f t="array" ref="I347">_xlfn.IFS(Table1[[#This Row],[Job_Type]] = "unskilled resident", "Resident",
Table1[[#This Row],[Job_Type]] = "unemp/unskilled non res", "Non-resident",
TRUE, "Unknown")</f>
        <v>Resident</v>
      </c>
      <c r="J347" s="2" t="s">
        <v>149</v>
      </c>
      <c r="K347" s="3">
        <v>4</v>
      </c>
      <c r="L347" s="2" t="s">
        <v>144</v>
      </c>
      <c r="M347" s="13" t="s">
        <v>151</v>
      </c>
      <c r="N347" t="s">
        <v>35</v>
      </c>
      <c r="O347" s="2" t="str">
        <f>_xlfn.XLOOKUP(Table1[[#This Row],[Checking_Acct_Status]],Table3[Checking_Acct_Original],Table3[Category])</f>
        <v>Negative Balance</v>
      </c>
      <c r="P347" s="10" t="s">
        <v>32</v>
      </c>
      <c r="Q347" s="13" t="str">
        <f>_xlfn.XLOOKUP(Table1[[#This Row],[Saving_Acct_Status]],Table5[Saving_Acct_Original],Table5[Category])</f>
        <v>Low Savings</v>
      </c>
      <c r="R347" t="s">
        <v>27</v>
      </c>
      <c r="S347" s="2" t="str">
        <f>IF(
      OR(Table1[[#This Row],[Job_Type]] = "high qualif/self emp/mgmt", Table1[[#This Row],[Job_Type]] = "skilled"),
      "Skilled", "Unskilled")</f>
        <v>Unskilled</v>
      </c>
      <c r="T347" t="str">
        <f>IF(Table1[[#This Row],[Job_Type]] = "unemp/unskilled non res", "Unemployed", "Employed")</f>
        <v>Employed</v>
      </c>
      <c r="U347" t="s">
        <v>38</v>
      </c>
      <c r="V347" s="14" t="str" cm="1">
        <f t="array" ref="V34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47" t="s">
        <v>31</v>
      </c>
      <c r="X347" s="2" t="str">
        <f>_xlfn.XLOOKUP(Table1[[#This Row],[Loan_Credit_History]],Table4[Credit History],Table4[[ Category]])</f>
        <v>Existing Credits Paid</v>
      </c>
      <c r="Y347" s="3">
        <v>4</v>
      </c>
      <c r="Z347" s="3">
        <v>1</v>
      </c>
      <c r="AA347" s="5">
        <v>2384</v>
      </c>
      <c r="AB347" t="s">
        <v>151</v>
      </c>
      <c r="AC347" s="2" t="str" cm="1">
        <f t="array" ref="AC347">_xlfn.IFS(Table1[[#This Row],[Others_Parties]] = "No", "None",
Table1[[#This Row],[Others_Parties]] = "co applicant", "Co-applicant",
Table1[[#This Row],[Others_Parties]] = "guarantor", "Guarantor")</f>
        <v>None</v>
      </c>
      <c r="AD347" s="13" t="s">
        <v>146</v>
      </c>
      <c r="AE347" s="2" t="s">
        <v>111</v>
      </c>
      <c r="AF347" s="28" t="str" cm="1">
        <f t="array" ref="AF34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47" s="21">
        <v>24</v>
      </c>
      <c r="AH347" s="2" t="s">
        <v>154</v>
      </c>
      <c r="AI347"/>
      <c r="AZ347"/>
      <c r="BC347"/>
      <c r="BE347"/>
      <c r="BL347"/>
      <c r="BZ347"/>
      <c r="CA347"/>
      <c r="CF347"/>
      <c r="CG347"/>
      <c r="CH347"/>
      <c r="CI347"/>
      <c r="CK347"/>
      <c r="CN347"/>
    </row>
    <row r="348" spans="1:92" x14ac:dyDescent="0.3">
      <c r="A348" s="4">
        <v>346</v>
      </c>
      <c r="B348" s="11">
        <v>35</v>
      </c>
      <c r="C348" s="2" t="str">
        <f>_xlfn.XLOOKUP(Table1[[#This Row],[Age]],Table7[Start_Age],Table7[Age_Range],,-1)</f>
        <v>29-39</v>
      </c>
      <c r="D348" t="s">
        <v>130</v>
      </c>
      <c r="E348" s="2" t="s">
        <v>129</v>
      </c>
      <c r="F348" s="2" t="s">
        <v>133</v>
      </c>
      <c r="G348" s="3">
        <v>1</v>
      </c>
      <c r="H348" s="13" t="s">
        <v>152</v>
      </c>
      <c r="I348" s="2" t="str" cm="1">
        <f t="array" ref="I348">_xlfn.IFS(Table1[[#This Row],[Job_Type]] = "unskilled resident", "Resident",
Table1[[#This Row],[Job_Type]] = "unemp/unskilled non res", "Non-resident",
TRUE, "Unknown")</f>
        <v>Unknown</v>
      </c>
      <c r="J348" s="2" t="s">
        <v>148</v>
      </c>
      <c r="K348" s="3">
        <v>2</v>
      </c>
      <c r="L348" s="2" t="s">
        <v>140</v>
      </c>
      <c r="M348" s="13" t="s">
        <v>152</v>
      </c>
      <c r="N348" t="s">
        <v>17</v>
      </c>
      <c r="O348" s="2" t="str">
        <f>_xlfn.XLOOKUP(Table1[[#This Row],[Checking_Acct_Status]],Table3[Checking_Acct_Original],Table3[Category])</f>
        <v>No Account</v>
      </c>
      <c r="P348" s="10" t="s">
        <v>37</v>
      </c>
      <c r="Q348" s="13" t="str">
        <f>_xlfn.XLOOKUP(Table1[[#This Row],[Saving_Acct_Status]],Table5[Saving_Acct_Original],Table5[Category])</f>
        <v>High Savings</v>
      </c>
      <c r="R348" t="s">
        <v>41</v>
      </c>
      <c r="S348" s="2" t="str">
        <f>IF(
      OR(Table1[[#This Row],[Job_Type]] = "high qualif/self emp/mgmt", Table1[[#This Row],[Job_Type]] = "skilled"),
      "Skilled", "Unskilled")</f>
        <v>Skilled</v>
      </c>
      <c r="T348" t="str">
        <f>IF(Table1[[#This Row],[Job_Type]] = "unemp/unskilled non res", "Unemployed", "Employed")</f>
        <v>Employed</v>
      </c>
      <c r="U348" t="s">
        <v>38</v>
      </c>
      <c r="V348" s="14" t="str" cm="1">
        <f t="array" ref="V34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48" t="s">
        <v>31</v>
      </c>
      <c r="X348" s="2" t="str">
        <f>_xlfn.XLOOKUP(Table1[[#This Row],[Loan_Credit_History]],Table4[Credit History],Table4[[ Category]])</f>
        <v>Existing Credits Paid</v>
      </c>
      <c r="Y348" s="3">
        <v>3</v>
      </c>
      <c r="Z348" s="3">
        <v>2</v>
      </c>
      <c r="AA348" s="5">
        <v>2397</v>
      </c>
      <c r="AB348" t="s">
        <v>151</v>
      </c>
      <c r="AC348" s="2" t="str" cm="1">
        <f t="array" ref="AC348">_xlfn.IFS(Table1[[#This Row],[Others_Parties]] = "No", "None",
Table1[[#This Row],[Others_Parties]] = "co applicant", "Co-applicant",
Table1[[#This Row],[Others_Parties]] = "guarantor", "Guarantor")</f>
        <v>None</v>
      </c>
      <c r="AD348" s="13" t="s">
        <v>146</v>
      </c>
      <c r="AE348" s="2" t="s">
        <v>111</v>
      </c>
      <c r="AF348" s="28" t="str" cm="1">
        <f t="array" ref="AF34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48" s="21">
        <v>24</v>
      </c>
      <c r="AH348" s="2" t="s">
        <v>153</v>
      </c>
      <c r="AI348"/>
      <c r="AZ348"/>
      <c r="BC348"/>
      <c r="BE348"/>
      <c r="BL348"/>
      <c r="BZ348"/>
      <c r="CA348"/>
      <c r="CF348"/>
      <c r="CG348"/>
      <c r="CH348"/>
      <c r="CI348"/>
      <c r="CK348"/>
      <c r="CN348"/>
    </row>
    <row r="349" spans="1:92" x14ac:dyDescent="0.3">
      <c r="A349" s="4">
        <v>347</v>
      </c>
      <c r="B349" s="11">
        <v>53</v>
      </c>
      <c r="C349" s="2" t="str">
        <f>_xlfn.XLOOKUP(Table1[[#This Row],[Age]],Table7[Start_Age],Table7[Age_Range],,-1)</f>
        <v>49-59</v>
      </c>
      <c r="D349" t="s">
        <v>130</v>
      </c>
      <c r="E349" s="2" t="s">
        <v>129</v>
      </c>
      <c r="F349" s="2" t="s">
        <v>133</v>
      </c>
      <c r="G349" s="3">
        <v>1</v>
      </c>
      <c r="H349" s="13" t="s">
        <v>152</v>
      </c>
      <c r="I349" s="2" t="str" cm="1">
        <f t="array" ref="I349">_xlfn.IFS(Table1[[#This Row],[Job_Type]] = "unskilled resident", "Resident",
Table1[[#This Row],[Job_Type]] = "unemp/unskilled non res", "Non-resident",
TRUE, "Unknown")</f>
        <v>Unknown</v>
      </c>
      <c r="J349" s="2" t="s">
        <v>148</v>
      </c>
      <c r="K349" s="3">
        <v>4</v>
      </c>
      <c r="L349" s="2" t="s">
        <v>143</v>
      </c>
      <c r="M349" s="13" t="s">
        <v>151</v>
      </c>
      <c r="N349" t="s">
        <v>17</v>
      </c>
      <c r="O349" s="2" t="str">
        <f>_xlfn.XLOOKUP(Table1[[#This Row],[Checking_Acct_Status]],Table3[Checking_Acct_Original],Table3[Category])</f>
        <v>No Account</v>
      </c>
      <c r="P349" s="10" t="s">
        <v>47</v>
      </c>
      <c r="Q349" s="13" t="str">
        <f>_xlfn.XLOOKUP(Table1[[#This Row],[Saving_Acct_Status]],Table5[Saving_Acct_Original],Table5[Category])</f>
        <v>No Savings</v>
      </c>
      <c r="R349" t="s">
        <v>41</v>
      </c>
      <c r="S349" s="2" t="str">
        <f>IF(
      OR(Table1[[#This Row],[Job_Type]] = "high qualif/self emp/mgmt", Table1[[#This Row],[Job_Type]] = "skilled"),
      "Skilled", "Unskilled")</f>
        <v>Skilled</v>
      </c>
      <c r="T349" t="str">
        <f>IF(Table1[[#This Row],[Job_Type]] = "unemp/unskilled non res", "Unemployed", "Employed")</f>
        <v>Employed</v>
      </c>
      <c r="U349" t="s">
        <v>38</v>
      </c>
      <c r="V349" s="14" t="str" cm="1">
        <f t="array" ref="V34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49" t="s">
        <v>103</v>
      </c>
      <c r="X349" s="2" t="str">
        <f>_xlfn.XLOOKUP(Table1[[#This Row],[Loan_Credit_History]],Table4[Credit History],Table4[[ Category]])</f>
        <v>Critical Credit History</v>
      </c>
      <c r="Y349" s="3">
        <v>4</v>
      </c>
      <c r="Z349" s="3">
        <v>2</v>
      </c>
      <c r="AA349" s="5">
        <v>2424</v>
      </c>
      <c r="AB349" t="s">
        <v>151</v>
      </c>
      <c r="AC349" s="2" t="str" cm="1">
        <f t="array" ref="AC349">_xlfn.IFS(Table1[[#This Row],[Others_Parties]] = "No", "None",
Table1[[#This Row],[Others_Parties]] = "co applicant", "Co-applicant",
Table1[[#This Row],[Others_Parties]] = "guarantor", "Guarantor")</f>
        <v>None</v>
      </c>
      <c r="AD349" s="13" t="s">
        <v>145</v>
      </c>
      <c r="AE349" s="2" t="s">
        <v>111</v>
      </c>
      <c r="AF349" s="28" t="str" cm="1">
        <f t="array" ref="AF34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49" s="21">
        <v>24</v>
      </c>
      <c r="AH349" s="2" t="s">
        <v>154</v>
      </c>
      <c r="AI349"/>
      <c r="AZ349"/>
      <c r="BC349"/>
      <c r="BE349"/>
      <c r="BL349"/>
      <c r="BZ349"/>
      <c r="CA349"/>
      <c r="CF349"/>
      <c r="CG349"/>
      <c r="CH349"/>
      <c r="CI349"/>
      <c r="CK349"/>
      <c r="CN349"/>
    </row>
    <row r="350" spans="1:92" x14ac:dyDescent="0.3">
      <c r="A350" s="4">
        <v>348</v>
      </c>
      <c r="B350" s="11">
        <v>35</v>
      </c>
      <c r="C350" s="2" t="str">
        <f>_xlfn.XLOOKUP(Table1[[#This Row],[Age]],Table7[Start_Age],Table7[Age_Range],,-1)</f>
        <v>29-39</v>
      </c>
      <c r="D350" t="s">
        <v>136</v>
      </c>
      <c r="E350" s="2" t="s">
        <v>131</v>
      </c>
      <c r="F350" s="2" t="s">
        <v>137</v>
      </c>
      <c r="G350" s="3">
        <v>1</v>
      </c>
      <c r="H350" s="13" t="s">
        <v>152</v>
      </c>
      <c r="I350" s="2" t="str" cm="1">
        <f t="array" ref="I350">_xlfn.IFS(Table1[[#This Row],[Job_Type]] = "unskilled resident", "Resident",
Table1[[#This Row],[Job_Type]] = "unemp/unskilled non res", "Non-resident",
TRUE, "Unknown")</f>
        <v>Unknown</v>
      </c>
      <c r="J350" s="2" t="s">
        <v>148</v>
      </c>
      <c r="K350" s="3">
        <v>4</v>
      </c>
      <c r="L350" s="2" t="s">
        <v>144</v>
      </c>
      <c r="M350" s="13" t="s">
        <v>152</v>
      </c>
      <c r="N350" t="s">
        <v>35</v>
      </c>
      <c r="O350" s="2" t="str">
        <f>_xlfn.XLOOKUP(Table1[[#This Row],[Checking_Acct_Status]],Table3[Checking_Acct_Original],Table3[Category])</f>
        <v>Negative Balance</v>
      </c>
      <c r="P350" s="10" t="s">
        <v>32</v>
      </c>
      <c r="Q350" s="13" t="str">
        <f>_xlfn.XLOOKUP(Table1[[#This Row],[Saving_Acct_Status]],Table5[Saving_Acct_Original],Table5[Category])</f>
        <v>Low Savings</v>
      </c>
      <c r="R350" t="s">
        <v>41</v>
      </c>
      <c r="S350" s="2" t="str">
        <f>IF(
      OR(Table1[[#This Row],[Job_Type]] = "high qualif/self emp/mgmt", Table1[[#This Row],[Job_Type]] = "skilled"),
      "Skilled", "Unskilled")</f>
        <v>Skilled</v>
      </c>
      <c r="T350" t="str">
        <f>IF(Table1[[#This Row],[Job_Type]] = "unemp/unskilled non res", "Unemployed", "Employed")</f>
        <v>Employed</v>
      </c>
      <c r="U350" t="s">
        <v>45</v>
      </c>
      <c r="V350" s="14" t="str" cm="1">
        <f t="array" ref="V35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50" t="s">
        <v>31</v>
      </c>
      <c r="X350" s="2" t="str">
        <f>_xlfn.XLOOKUP(Table1[[#This Row],[Loan_Credit_History]],Table4[Credit History],Table4[[ Category]])</f>
        <v>Existing Credits Paid</v>
      </c>
      <c r="Y350" s="3">
        <v>4</v>
      </c>
      <c r="Z350" s="3">
        <v>1</v>
      </c>
      <c r="AA350" s="5">
        <v>2439</v>
      </c>
      <c r="AB350" t="s">
        <v>151</v>
      </c>
      <c r="AC350" s="2" t="str" cm="1">
        <f t="array" ref="AC350">_xlfn.IFS(Table1[[#This Row],[Others_Parties]] = "No", "None",
Table1[[#This Row],[Others_Parties]] = "co applicant", "Co-applicant",
Table1[[#This Row],[Others_Parties]] = "guarantor", "Guarantor")</f>
        <v>None</v>
      </c>
      <c r="AD350" s="13" t="s">
        <v>145</v>
      </c>
      <c r="AE350" s="2" t="s">
        <v>111</v>
      </c>
      <c r="AF350" s="28" t="str" cm="1">
        <f t="array" ref="AF35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50" s="21">
        <v>24</v>
      </c>
      <c r="AH350" s="2" t="s">
        <v>153</v>
      </c>
      <c r="AI350"/>
      <c r="AZ350"/>
      <c r="BC350"/>
      <c r="BE350"/>
      <c r="BL350"/>
      <c r="BZ350"/>
      <c r="CA350"/>
      <c r="CF350"/>
      <c r="CG350"/>
      <c r="CH350"/>
      <c r="CI350"/>
      <c r="CK350"/>
      <c r="CN350"/>
    </row>
    <row r="351" spans="1:92" x14ac:dyDescent="0.3">
      <c r="A351" s="4">
        <v>349</v>
      </c>
      <c r="B351" s="11">
        <v>27</v>
      </c>
      <c r="C351" s="2" t="str">
        <f>_xlfn.XLOOKUP(Table1[[#This Row],[Age]],Table7[Start_Age],Table7[Age_Range],,-1)</f>
        <v>19-29</v>
      </c>
      <c r="D351" t="s">
        <v>134</v>
      </c>
      <c r="E351" s="2" t="s">
        <v>129</v>
      </c>
      <c r="F351" s="2" t="s">
        <v>135</v>
      </c>
      <c r="G351" s="3">
        <v>1</v>
      </c>
      <c r="H351" s="13" t="s">
        <v>152</v>
      </c>
      <c r="I351" s="2" t="str" cm="1">
        <f t="array" ref="I351">_xlfn.IFS(Table1[[#This Row],[Job_Type]] = "unskilled resident", "Resident",
Table1[[#This Row],[Job_Type]] = "unemp/unskilled non res", "Non-resident",
TRUE, "Unknown")</f>
        <v>Unknown</v>
      </c>
      <c r="J351" s="2" t="s">
        <v>148</v>
      </c>
      <c r="K351" s="3">
        <v>3</v>
      </c>
      <c r="L351" s="2" t="s">
        <v>143</v>
      </c>
      <c r="M351" s="13" t="s">
        <v>152</v>
      </c>
      <c r="N351" t="s">
        <v>17</v>
      </c>
      <c r="O351" s="2" t="str">
        <f>_xlfn.XLOOKUP(Table1[[#This Row],[Checking_Acct_Status]],Table3[Checking_Acct_Original],Table3[Category])</f>
        <v>No Account</v>
      </c>
      <c r="P351" s="10" t="s">
        <v>46</v>
      </c>
      <c r="Q351" s="13" t="str">
        <f>_xlfn.XLOOKUP(Table1[[#This Row],[Saving_Acct_Status]],Table5[Saving_Acct_Original],Table5[Category])</f>
        <v>Medium Savings</v>
      </c>
      <c r="R351" t="s">
        <v>41</v>
      </c>
      <c r="S351" s="2" t="str">
        <f>IF(
      OR(Table1[[#This Row],[Job_Type]] = "high qualif/self emp/mgmt", Table1[[#This Row],[Job_Type]] = "skilled"),
      "Skilled", "Unskilled")</f>
        <v>Skilled</v>
      </c>
      <c r="T351" t="str">
        <f>IF(Table1[[#This Row],[Job_Type]] = "unemp/unskilled non res", "Unemployed", "Employed")</f>
        <v>Employed</v>
      </c>
      <c r="U351" t="s">
        <v>49</v>
      </c>
      <c r="V351" s="14" t="str" cm="1">
        <f t="array" ref="V35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51" t="s">
        <v>103</v>
      </c>
      <c r="X351" s="2" t="str">
        <f>_xlfn.XLOOKUP(Table1[[#This Row],[Loan_Credit_History]],Table4[Credit History],Table4[[ Category]])</f>
        <v>Critical Credit History</v>
      </c>
      <c r="Y351" s="3">
        <v>4</v>
      </c>
      <c r="Z351" s="3">
        <v>2</v>
      </c>
      <c r="AA351" s="5">
        <v>2463</v>
      </c>
      <c r="AB351" t="s">
        <v>151</v>
      </c>
      <c r="AC351" s="2" t="str" cm="1">
        <f t="array" ref="AC351">_xlfn.IFS(Table1[[#This Row],[Others_Parties]] = "No", "None",
Table1[[#This Row],[Others_Parties]] = "co applicant", "Co-applicant",
Table1[[#This Row],[Others_Parties]] = "guarantor", "Guarantor")</f>
        <v>None</v>
      </c>
      <c r="AD351" s="13" t="s">
        <v>145</v>
      </c>
      <c r="AE351" s="2" t="s">
        <v>141</v>
      </c>
      <c r="AF351" s="28" t="str" cm="1">
        <f t="array" ref="AF35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51" s="21">
        <v>24</v>
      </c>
      <c r="AH351" s="2" t="s">
        <v>154</v>
      </c>
      <c r="AI351"/>
      <c r="AZ351"/>
      <c r="BC351"/>
      <c r="BE351"/>
      <c r="BL351"/>
      <c r="BZ351"/>
      <c r="CA351"/>
      <c r="CF351"/>
      <c r="CG351"/>
      <c r="CH351"/>
      <c r="CI351"/>
      <c r="CK351"/>
      <c r="CN351"/>
    </row>
    <row r="352" spans="1:92" x14ac:dyDescent="0.3">
      <c r="A352" s="4">
        <v>350</v>
      </c>
      <c r="B352" s="11">
        <v>22</v>
      </c>
      <c r="C352" s="2" t="str">
        <f>_xlfn.XLOOKUP(Table1[[#This Row],[Age]],Table7[Start_Age],Table7[Age_Range],,-1)</f>
        <v>19-29</v>
      </c>
      <c r="D352" t="s">
        <v>130</v>
      </c>
      <c r="E352" s="2" t="s">
        <v>129</v>
      </c>
      <c r="F352" s="2" t="s">
        <v>133</v>
      </c>
      <c r="G352" s="3">
        <v>1</v>
      </c>
      <c r="H352" s="13" t="s">
        <v>152</v>
      </c>
      <c r="I352" s="2" t="str" cm="1">
        <f t="array" ref="I352">_xlfn.IFS(Table1[[#This Row],[Job_Type]] = "unskilled resident", "Resident",
Table1[[#This Row],[Job_Type]] = "unemp/unskilled non res", "Non-resident",
TRUE, "Unknown")</f>
        <v>Unknown</v>
      </c>
      <c r="J352" s="2" t="s">
        <v>148</v>
      </c>
      <c r="K352" s="3">
        <v>4</v>
      </c>
      <c r="L352" s="2" t="s">
        <v>144</v>
      </c>
      <c r="M352" s="13" t="s">
        <v>152</v>
      </c>
      <c r="N352" t="s">
        <v>35</v>
      </c>
      <c r="O352" s="2" t="str">
        <f>_xlfn.XLOOKUP(Table1[[#This Row],[Checking_Acct_Status]],Table3[Checking_Acct_Original],Table3[Category])</f>
        <v>Negative Balance</v>
      </c>
      <c r="P352" s="10" t="s">
        <v>37</v>
      </c>
      <c r="Q352" s="13" t="str">
        <f>_xlfn.XLOOKUP(Table1[[#This Row],[Saving_Acct_Status]],Table5[Saving_Acct_Original],Table5[Category])</f>
        <v>High Savings</v>
      </c>
      <c r="R352" t="s">
        <v>41</v>
      </c>
      <c r="S352" s="2" t="str">
        <f>IF(
      OR(Table1[[#This Row],[Job_Type]] = "high qualif/self emp/mgmt", Table1[[#This Row],[Job_Type]] = "skilled"),
      "Skilled", "Unskilled")</f>
        <v>Skilled</v>
      </c>
      <c r="T352" t="str">
        <f>IF(Table1[[#This Row],[Job_Type]] = "unemp/unskilled non res", "Unemployed", "Employed")</f>
        <v>Employed</v>
      </c>
      <c r="U352" t="s">
        <v>21</v>
      </c>
      <c r="V352" s="14" t="str" cm="1">
        <f t="array" ref="V35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52" t="s">
        <v>42</v>
      </c>
      <c r="X352" s="2" t="str">
        <f>_xlfn.XLOOKUP(Table1[[#This Row],[Loan_Credit_History]],Table4[Credit History],Table4[[ Category]])</f>
        <v>All Paid</v>
      </c>
      <c r="Y352" s="3">
        <v>4</v>
      </c>
      <c r="Z352" s="3">
        <v>1</v>
      </c>
      <c r="AA352" s="5">
        <v>2483</v>
      </c>
      <c r="AB352" t="s">
        <v>151</v>
      </c>
      <c r="AC352" s="2" t="str" cm="1">
        <f t="array" ref="AC352">_xlfn.IFS(Table1[[#This Row],[Others_Parties]] = "No", "None",
Table1[[#This Row],[Others_Parties]] = "co applicant", "Co-applicant",
Table1[[#This Row],[Others_Parties]] = "guarantor", "Guarantor")</f>
        <v>None</v>
      </c>
      <c r="AD352" s="13" t="s">
        <v>147</v>
      </c>
      <c r="AE352" s="2" t="s">
        <v>108</v>
      </c>
      <c r="AF352" s="28" t="str" cm="1">
        <f t="array" ref="AF35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52" s="21">
        <v>24</v>
      </c>
      <c r="AH352" s="2" t="s">
        <v>154</v>
      </c>
      <c r="AI352"/>
      <c r="AZ352"/>
      <c r="BC352"/>
      <c r="BE352"/>
      <c r="BL352"/>
      <c r="BZ352"/>
      <c r="CA352"/>
      <c r="CF352"/>
      <c r="CG352"/>
      <c r="CH352"/>
      <c r="CI352"/>
      <c r="CK352"/>
      <c r="CN352"/>
    </row>
    <row r="353" spans="1:92" x14ac:dyDescent="0.3">
      <c r="A353" s="4">
        <v>351</v>
      </c>
      <c r="B353" s="11">
        <v>47</v>
      </c>
      <c r="C353" s="2" t="str">
        <f>_xlfn.XLOOKUP(Table1[[#This Row],[Age]],Table7[Start_Age],Table7[Age_Range],,-1)</f>
        <v>39-49</v>
      </c>
      <c r="D353" t="s">
        <v>130</v>
      </c>
      <c r="E353" s="2" t="s">
        <v>129</v>
      </c>
      <c r="F353" s="2" t="s">
        <v>133</v>
      </c>
      <c r="G353" s="3">
        <v>2</v>
      </c>
      <c r="H353" s="13" t="s">
        <v>152</v>
      </c>
      <c r="I353" s="2" t="str" cm="1">
        <f t="array" ref="I353">_xlfn.IFS(Table1[[#This Row],[Job_Type]] = "unskilled resident", "Resident",
Table1[[#This Row],[Job_Type]] = "unemp/unskilled non res", "Non-resident",
TRUE, "Unknown")</f>
        <v>Resident</v>
      </c>
      <c r="J353" s="2" t="s">
        <v>148</v>
      </c>
      <c r="K353" s="3">
        <v>4</v>
      </c>
      <c r="L353" s="2" t="s">
        <v>140</v>
      </c>
      <c r="M353" s="13" t="s">
        <v>151</v>
      </c>
      <c r="N353" t="s">
        <v>17</v>
      </c>
      <c r="O353" s="2" t="str">
        <f>_xlfn.XLOOKUP(Table1[[#This Row],[Checking_Acct_Status]],Table3[Checking_Acct_Original],Table3[Category])</f>
        <v>No Account</v>
      </c>
      <c r="P353" s="10" t="s">
        <v>32</v>
      </c>
      <c r="Q353" s="13" t="str">
        <f>_xlfn.XLOOKUP(Table1[[#This Row],[Saving_Acct_Status]],Table5[Saving_Acct_Original],Table5[Category])</f>
        <v>Low Savings</v>
      </c>
      <c r="R353" t="s">
        <v>27</v>
      </c>
      <c r="S353" s="2" t="str">
        <f>IF(
      OR(Table1[[#This Row],[Job_Type]] = "high qualif/self emp/mgmt", Table1[[#This Row],[Job_Type]] = "skilled"),
      "Skilled", "Unskilled")</f>
        <v>Unskilled</v>
      </c>
      <c r="T353" t="str">
        <f>IF(Table1[[#This Row],[Job_Type]] = "unemp/unskilled non res", "Unemployed", "Employed")</f>
        <v>Employed</v>
      </c>
      <c r="U353" t="s">
        <v>38</v>
      </c>
      <c r="V353" s="14" t="str" cm="1">
        <f t="array" ref="V35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53" t="s">
        <v>59</v>
      </c>
      <c r="X353" s="2" t="str">
        <f>_xlfn.XLOOKUP(Table1[[#This Row],[Loan_Credit_History]],Table4[Credit History],Table4[[ Category]])</f>
        <v>Previously Delayed</v>
      </c>
      <c r="Y353" s="3">
        <v>4</v>
      </c>
      <c r="Z353" s="3">
        <v>2</v>
      </c>
      <c r="AA353" s="5">
        <v>2538</v>
      </c>
      <c r="AB353" t="s">
        <v>151</v>
      </c>
      <c r="AC353" s="2" t="str" cm="1">
        <f t="array" ref="AC353">_xlfn.IFS(Table1[[#This Row],[Others_Parties]] = "No", "None",
Table1[[#This Row],[Others_Parties]] = "co applicant", "Co-applicant",
Table1[[#This Row],[Others_Parties]] = "guarantor", "Guarantor")</f>
        <v>None</v>
      </c>
      <c r="AD353" s="13" t="s">
        <v>145</v>
      </c>
      <c r="AE353" s="2" t="s">
        <v>141</v>
      </c>
      <c r="AF353" s="28" t="str" cm="1">
        <f t="array" ref="AF35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53" s="21">
        <v>24</v>
      </c>
      <c r="AH353" s="2" t="s">
        <v>153</v>
      </c>
      <c r="AI353"/>
      <c r="AZ353"/>
      <c r="BC353"/>
      <c r="BE353"/>
      <c r="BL353"/>
      <c r="BZ353"/>
      <c r="CA353"/>
      <c r="CF353"/>
      <c r="CG353"/>
      <c r="CH353"/>
      <c r="CI353"/>
      <c r="CK353"/>
      <c r="CN353"/>
    </row>
    <row r="354" spans="1:92" x14ac:dyDescent="0.3">
      <c r="A354" s="4">
        <v>352</v>
      </c>
      <c r="B354" s="11">
        <v>34</v>
      </c>
      <c r="C354" s="2" t="str">
        <f>_xlfn.XLOOKUP(Table1[[#This Row],[Age]],Table7[Start_Age],Table7[Age_Range],,-1)</f>
        <v>29-39</v>
      </c>
      <c r="D354" t="s">
        <v>130</v>
      </c>
      <c r="E354" s="2" t="s">
        <v>129</v>
      </c>
      <c r="F354" s="2" t="s">
        <v>133</v>
      </c>
      <c r="G354" s="3">
        <v>1</v>
      </c>
      <c r="H354" s="13" t="s">
        <v>152</v>
      </c>
      <c r="I354" s="2" t="str" cm="1">
        <f t="array" ref="I354">_xlfn.IFS(Table1[[#This Row],[Job_Type]] = "unskilled resident", "Resident",
Table1[[#This Row],[Job_Type]] = "unemp/unskilled non res", "Non-resident",
TRUE, "Unknown")</f>
        <v>Unknown</v>
      </c>
      <c r="J354" s="2" t="s">
        <v>148</v>
      </c>
      <c r="K354" s="3">
        <v>2</v>
      </c>
      <c r="L354" s="2" t="s">
        <v>140</v>
      </c>
      <c r="M354" s="13" t="s">
        <v>151</v>
      </c>
      <c r="N354" t="s">
        <v>17</v>
      </c>
      <c r="O354" s="2" t="str">
        <f>_xlfn.XLOOKUP(Table1[[#This Row],[Checking_Acct_Status]],Table3[Checking_Acct_Original],Table3[Category])</f>
        <v>No Account</v>
      </c>
      <c r="P354" s="10" t="s">
        <v>20</v>
      </c>
      <c r="Q354" s="13" t="str">
        <f>_xlfn.XLOOKUP(Table1[[#This Row],[Saving_Acct_Status]],Table5[Saving_Acct_Original],Table5[Category])</f>
        <v>Very High Savings</v>
      </c>
      <c r="R354" t="s">
        <v>41</v>
      </c>
      <c r="S354" s="2" t="str">
        <f>IF(
      OR(Table1[[#This Row],[Job_Type]] = "high qualif/self emp/mgmt", Table1[[#This Row],[Job_Type]] = "skilled"),
      "Skilled", "Unskilled")</f>
        <v>Skilled</v>
      </c>
      <c r="T354" t="str">
        <f>IF(Table1[[#This Row],[Job_Type]] = "unemp/unskilled non res", "Unemployed", "Employed")</f>
        <v>Employed</v>
      </c>
      <c r="U354" t="s">
        <v>38</v>
      </c>
      <c r="V354" s="14" t="str" cm="1">
        <f t="array" ref="V35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54" t="s">
        <v>103</v>
      </c>
      <c r="X354" s="2" t="str">
        <f>_xlfn.XLOOKUP(Table1[[#This Row],[Loan_Credit_History]],Table4[Credit History],Table4[[ Category]])</f>
        <v>Critical Credit History</v>
      </c>
      <c r="Y354" s="3">
        <v>2</v>
      </c>
      <c r="Z354" s="3">
        <v>1</v>
      </c>
      <c r="AA354" s="5">
        <v>2578</v>
      </c>
      <c r="AB354" t="s">
        <v>151</v>
      </c>
      <c r="AC354" s="2" t="str" cm="1">
        <f t="array" ref="AC354">_xlfn.IFS(Table1[[#This Row],[Others_Parties]] = "No", "None",
Table1[[#This Row],[Others_Parties]] = "co applicant", "Co-applicant",
Table1[[#This Row],[Others_Parties]] = "guarantor", "Guarantor")</f>
        <v>None</v>
      </c>
      <c r="AD354" s="13" t="s">
        <v>145</v>
      </c>
      <c r="AE354" s="2" t="s">
        <v>111</v>
      </c>
      <c r="AF354" s="28" t="str" cm="1">
        <f t="array" ref="AF35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54" s="21">
        <v>24</v>
      </c>
      <c r="AH354" s="2" t="s">
        <v>154</v>
      </c>
      <c r="AI354"/>
      <c r="AZ354"/>
      <c r="BC354"/>
      <c r="BE354"/>
      <c r="BL354"/>
      <c r="BZ354"/>
      <c r="CA354"/>
      <c r="CF354"/>
      <c r="CG354"/>
      <c r="CH354"/>
      <c r="CI354"/>
      <c r="CK354"/>
      <c r="CN354"/>
    </row>
    <row r="355" spans="1:92" x14ac:dyDescent="0.3">
      <c r="A355" s="4">
        <v>353</v>
      </c>
      <c r="B355" s="11">
        <v>28</v>
      </c>
      <c r="C355" s="2" t="str">
        <f>_xlfn.XLOOKUP(Table1[[#This Row],[Age]],Table7[Start_Age],Table7[Age_Range],,-1)</f>
        <v>19-29</v>
      </c>
      <c r="D355" t="s">
        <v>136</v>
      </c>
      <c r="E355" s="2" t="s">
        <v>131</v>
      </c>
      <c r="F355" s="2" t="s">
        <v>137</v>
      </c>
      <c r="G355" s="3">
        <v>1</v>
      </c>
      <c r="H355" s="13" t="s">
        <v>152</v>
      </c>
      <c r="I355" s="2" t="str" cm="1">
        <f t="array" ref="I355">_xlfn.IFS(Table1[[#This Row],[Job_Type]] = "unskilled resident", "Resident",
Table1[[#This Row],[Job_Type]] = "unemp/unskilled non res", "Non-resident",
TRUE, "Unknown")</f>
        <v>Unknown</v>
      </c>
      <c r="J355" s="2" t="s">
        <v>149</v>
      </c>
      <c r="K355" s="3">
        <v>4</v>
      </c>
      <c r="L355" s="2" t="s">
        <v>140</v>
      </c>
      <c r="M355" s="13" t="s">
        <v>152</v>
      </c>
      <c r="N355" t="s">
        <v>17</v>
      </c>
      <c r="O355" s="2" t="str">
        <f>_xlfn.XLOOKUP(Table1[[#This Row],[Checking_Acct_Status]],Table3[Checking_Acct_Original],Table3[Category])</f>
        <v>No Account</v>
      </c>
      <c r="P355" s="10" t="s">
        <v>20</v>
      </c>
      <c r="Q355" s="13" t="str">
        <f>_xlfn.XLOOKUP(Table1[[#This Row],[Saving_Acct_Status]],Table5[Saving_Acct_Original],Table5[Category])</f>
        <v>Very High Savings</v>
      </c>
      <c r="R355" t="s">
        <v>41</v>
      </c>
      <c r="S355" s="2" t="str">
        <f>IF(
      OR(Table1[[#This Row],[Job_Type]] = "high qualif/self emp/mgmt", Table1[[#This Row],[Job_Type]] = "skilled"),
      "Skilled", "Unskilled")</f>
        <v>Skilled</v>
      </c>
      <c r="T355" t="str">
        <f>IF(Table1[[#This Row],[Job_Type]] = "unemp/unskilled non res", "Unemployed", "Employed")</f>
        <v>Employed</v>
      </c>
      <c r="U355" t="s">
        <v>21</v>
      </c>
      <c r="V355" s="14" t="str" cm="1">
        <f t="array" ref="V35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55" t="s">
        <v>31</v>
      </c>
      <c r="X355" s="2" t="str">
        <f>_xlfn.XLOOKUP(Table1[[#This Row],[Loan_Credit_History]],Table4[Credit History],Table4[[ Category]])</f>
        <v>Existing Credits Paid</v>
      </c>
      <c r="Y355" s="3">
        <v>2</v>
      </c>
      <c r="Z355" s="3">
        <v>1</v>
      </c>
      <c r="AA355" s="5">
        <v>2603</v>
      </c>
      <c r="AB355" t="s">
        <v>151</v>
      </c>
      <c r="AC355" s="2" t="str" cm="1">
        <f t="array" ref="AC355">_xlfn.IFS(Table1[[#This Row],[Others_Parties]] = "No", "None",
Table1[[#This Row],[Others_Parties]] = "co applicant", "Co-applicant",
Table1[[#This Row],[Others_Parties]] = "guarantor", "Guarantor")</f>
        <v>None</v>
      </c>
      <c r="AD355" s="13" t="s">
        <v>145</v>
      </c>
      <c r="AE355" s="2" t="s">
        <v>107</v>
      </c>
      <c r="AF355" s="28" t="str" cm="1">
        <f t="array" ref="AF35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55" s="21">
        <v>24</v>
      </c>
      <c r="AH355" s="2" t="s">
        <v>154</v>
      </c>
      <c r="AI355"/>
      <c r="AZ355"/>
      <c r="BC355"/>
      <c r="BE355"/>
      <c r="BL355"/>
      <c r="BZ355"/>
      <c r="CA355"/>
      <c r="CF355"/>
      <c r="CG355"/>
      <c r="CH355"/>
      <c r="CI355"/>
      <c r="CK355"/>
      <c r="CN355"/>
    </row>
    <row r="356" spans="1:92" x14ac:dyDescent="0.3">
      <c r="A356" s="4">
        <v>354</v>
      </c>
      <c r="B356" s="11">
        <v>46</v>
      </c>
      <c r="C356" s="2" t="str">
        <f>_xlfn.XLOOKUP(Table1[[#This Row],[Age]],Table7[Start_Age],Table7[Age_Range],,-1)</f>
        <v>39-49</v>
      </c>
      <c r="D356" t="s">
        <v>134</v>
      </c>
      <c r="E356" s="2" t="s">
        <v>129</v>
      </c>
      <c r="F356" s="2" t="s">
        <v>135</v>
      </c>
      <c r="G356" s="3">
        <v>1</v>
      </c>
      <c r="H356" s="13" t="s">
        <v>152</v>
      </c>
      <c r="I356" s="2" t="str" cm="1">
        <f t="array" ref="I356">_xlfn.IFS(Table1[[#This Row],[Job_Type]] = "unskilled resident", "Resident",
Table1[[#This Row],[Job_Type]] = "unemp/unskilled non res", "Non-resident",
TRUE, "Unknown")</f>
        <v>Unknown</v>
      </c>
      <c r="J356" s="2" t="s">
        <v>148</v>
      </c>
      <c r="K356" s="3">
        <v>3</v>
      </c>
      <c r="L356" s="2" t="s">
        <v>144</v>
      </c>
      <c r="M356" s="13" t="s">
        <v>151</v>
      </c>
      <c r="N356" t="s">
        <v>17</v>
      </c>
      <c r="O356" s="2" t="str">
        <f>_xlfn.XLOOKUP(Table1[[#This Row],[Checking_Acct_Status]],Table3[Checking_Acct_Original],Table3[Category])</f>
        <v>No Account</v>
      </c>
      <c r="P356" s="10" t="s">
        <v>32</v>
      </c>
      <c r="Q356" s="13" t="str">
        <f>_xlfn.XLOOKUP(Table1[[#This Row],[Saving_Acct_Status]],Table5[Saving_Acct_Original],Table5[Category])</f>
        <v>Low Savings</v>
      </c>
      <c r="R356" t="s">
        <v>41</v>
      </c>
      <c r="S356" s="2" t="str">
        <f>IF(
      OR(Table1[[#This Row],[Job_Type]] = "high qualif/self emp/mgmt", Table1[[#This Row],[Job_Type]] = "skilled"),
      "Skilled", "Unskilled")</f>
        <v>Skilled</v>
      </c>
      <c r="T356" t="str">
        <f>IF(Table1[[#This Row],[Job_Type]] = "unemp/unskilled non res", "Unemployed", "Employed")</f>
        <v>Employed</v>
      </c>
      <c r="U356" t="s">
        <v>38</v>
      </c>
      <c r="V356" s="14" t="str" cm="1">
        <f t="array" ref="V35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56" t="s">
        <v>103</v>
      </c>
      <c r="X356" s="2" t="str">
        <f>_xlfn.XLOOKUP(Table1[[#This Row],[Loan_Credit_History]],Table4[Credit History],Table4[[ Category]])</f>
        <v>Critical Credit History</v>
      </c>
      <c r="Y356" s="3">
        <v>4</v>
      </c>
      <c r="Z356" s="3">
        <v>2</v>
      </c>
      <c r="AA356" s="5">
        <v>2611</v>
      </c>
      <c r="AB356" t="s">
        <v>55</v>
      </c>
      <c r="AC356" s="2" t="str" cm="1">
        <f t="array" ref="AC356">_xlfn.IFS(Table1[[#This Row],[Others_Parties]] = "No", "None",
Table1[[#This Row],[Others_Parties]] = "co applicant", "Co-applicant",
Table1[[#This Row],[Others_Parties]] = "guarantor", "Guarantor")</f>
        <v>Co-applicant</v>
      </c>
      <c r="AD356" s="13" t="s">
        <v>145</v>
      </c>
      <c r="AE356" s="2" t="s">
        <v>111</v>
      </c>
      <c r="AF356" s="28" t="str" cm="1">
        <f t="array" ref="AF35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56" s="21">
        <v>24</v>
      </c>
      <c r="AH356" s="2" t="s">
        <v>154</v>
      </c>
      <c r="AI356"/>
      <c r="AZ356"/>
      <c r="BC356"/>
      <c r="BE356"/>
      <c r="BL356"/>
      <c r="BZ356"/>
      <c r="CA356"/>
      <c r="CF356"/>
      <c r="CG356"/>
      <c r="CH356"/>
      <c r="CI356"/>
      <c r="CK356"/>
      <c r="CN356"/>
    </row>
    <row r="357" spans="1:92" x14ac:dyDescent="0.3">
      <c r="A357" s="4">
        <v>355</v>
      </c>
      <c r="B357" s="11">
        <v>35</v>
      </c>
      <c r="C357" s="2" t="str">
        <f>_xlfn.XLOOKUP(Table1[[#This Row],[Age]],Table7[Start_Age],Table7[Age_Range],,-1)</f>
        <v>29-39</v>
      </c>
      <c r="D357" t="s">
        <v>130</v>
      </c>
      <c r="E357" s="2" t="s">
        <v>129</v>
      </c>
      <c r="F357" s="2" t="s">
        <v>133</v>
      </c>
      <c r="G357" s="3">
        <v>1</v>
      </c>
      <c r="H357" s="13" t="s">
        <v>152</v>
      </c>
      <c r="I357" s="2" t="str" cm="1">
        <f t="array" ref="I357">_xlfn.IFS(Table1[[#This Row],[Job_Type]] = "unskilled resident", "Resident",
Table1[[#This Row],[Job_Type]] = "unemp/unskilled non res", "Non-resident",
TRUE, "Unknown")</f>
        <v>Unknown</v>
      </c>
      <c r="J357" s="2" t="s">
        <v>148</v>
      </c>
      <c r="K357" s="3">
        <v>4</v>
      </c>
      <c r="L357" s="2" t="s">
        <v>140</v>
      </c>
      <c r="M357" s="13" t="s">
        <v>152</v>
      </c>
      <c r="N357" t="s">
        <v>17</v>
      </c>
      <c r="O357" s="2" t="str">
        <f>_xlfn.XLOOKUP(Table1[[#This Row],[Checking_Acct_Status]],Table3[Checking_Acct_Original],Table3[Category])</f>
        <v>No Account</v>
      </c>
      <c r="P357" s="10" t="s">
        <v>32</v>
      </c>
      <c r="Q357" s="13" t="str">
        <f>_xlfn.XLOOKUP(Table1[[#This Row],[Saving_Acct_Status]],Table5[Saving_Acct_Original],Table5[Category])</f>
        <v>Low Savings</v>
      </c>
      <c r="R357" t="s">
        <v>63</v>
      </c>
      <c r="S357" s="2" t="str">
        <f>IF(
      OR(Table1[[#This Row],[Job_Type]] = "high qualif/self emp/mgmt", Table1[[#This Row],[Job_Type]] = "skilled"),
      "Skilled", "Unskilled")</f>
        <v>Skilled</v>
      </c>
      <c r="T357" t="str">
        <f>IF(Table1[[#This Row],[Job_Type]] = "unemp/unskilled non res", "Unemployed", "Employed")</f>
        <v>Employed</v>
      </c>
      <c r="U357" t="s">
        <v>38</v>
      </c>
      <c r="V357" s="14" t="str" cm="1">
        <f t="array" ref="V35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57" t="s">
        <v>31</v>
      </c>
      <c r="X357" s="2" t="str">
        <f>_xlfn.XLOOKUP(Table1[[#This Row],[Loan_Credit_History]],Table4[Credit History],Table4[[ Category]])</f>
        <v>Existing Credits Paid</v>
      </c>
      <c r="Y357" s="3">
        <v>4</v>
      </c>
      <c r="Z357" s="3">
        <v>1</v>
      </c>
      <c r="AA357" s="5">
        <v>2670</v>
      </c>
      <c r="AB357" t="s">
        <v>151</v>
      </c>
      <c r="AC357" s="2" t="str" cm="1">
        <f t="array" ref="AC357">_xlfn.IFS(Table1[[#This Row],[Others_Parties]] = "No", "None",
Table1[[#This Row],[Others_Parties]] = "co applicant", "Co-applicant",
Table1[[#This Row],[Others_Parties]] = "guarantor", "Guarantor")</f>
        <v>None</v>
      </c>
      <c r="AD357" s="13" t="s">
        <v>145</v>
      </c>
      <c r="AE357" s="2" t="s">
        <v>107</v>
      </c>
      <c r="AF357" s="28" t="str" cm="1">
        <f t="array" ref="AF35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57" s="21">
        <v>24</v>
      </c>
      <c r="AH357" s="2" t="s">
        <v>154</v>
      </c>
      <c r="AI357"/>
      <c r="AZ357"/>
      <c r="BC357"/>
      <c r="BE357"/>
      <c r="BL357"/>
      <c r="BZ357"/>
      <c r="CA357"/>
      <c r="CF357"/>
      <c r="CG357"/>
      <c r="CH357"/>
      <c r="CI357"/>
      <c r="CK357"/>
      <c r="CN357"/>
    </row>
    <row r="358" spans="1:92" x14ac:dyDescent="0.3">
      <c r="A358" s="4">
        <v>356</v>
      </c>
      <c r="B358" s="11">
        <v>29</v>
      </c>
      <c r="C358" s="2" t="str">
        <f>_xlfn.XLOOKUP(Table1[[#This Row],[Age]],Table7[Start_Age],Table7[Age_Range],,-1)</f>
        <v>29-39</v>
      </c>
      <c r="D358" t="s">
        <v>136</v>
      </c>
      <c r="E358" s="2" t="s">
        <v>131</v>
      </c>
      <c r="F358" s="2" t="s">
        <v>137</v>
      </c>
      <c r="G358" s="3">
        <v>1</v>
      </c>
      <c r="H358" s="13" t="s">
        <v>152</v>
      </c>
      <c r="I358" s="2" t="str" cm="1">
        <f t="array" ref="I358">_xlfn.IFS(Table1[[#This Row],[Job_Type]] = "unskilled resident", "Resident",
Table1[[#This Row],[Job_Type]] = "unemp/unskilled non res", "Non-resident",
TRUE, "Unknown")</f>
        <v>Unknown</v>
      </c>
      <c r="J358" s="2" t="s">
        <v>148</v>
      </c>
      <c r="K358" s="3">
        <v>1</v>
      </c>
      <c r="L358" s="2" t="s">
        <v>142</v>
      </c>
      <c r="M358" s="13" t="s">
        <v>152</v>
      </c>
      <c r="N358" t="s">
        <v>17</v>
      </c>
      <c r="O358" s="2" t="str">
        <f>_xlfn.XLOOKUP(Table1[[#This Row],[Checking_Acct_Status]],Table3[Checking_Acct_Original],Table3[Category])</f>
        <v>No Account</v>
      </c>
      <c r="P358" s="10" t="s">
        <v>32</v>
      </c>
      <c r="Q358" s="13" t="str">
        <f>_xlfn.XLOOKUP(Table1[[#This Row],[Saving_Acct_Status]],Table5[Saving_Acct_Original],Table5[Category])</f>
        <v>Low Savings</v>
      </c>
      <c r="R358" t="s">
        <v>63</v>
      </c>
      <c r="S358" s="2" t="str">
        <f>IF(
      OR(Table1[[#This Row],[Job_Type]] = "high qualif/self emp/mgmt", Table1[[#This Row],[Job_Type]] = "skilled"),
      "Skilled", "Unskilled")</f>
        <v>Skilled</v>
      </c>
      <c r="T358" t="str">
        <f>IF(Table1[[#This Row],[Job_Type]] = "unemp/unskilled non res", "Unemployed", "Employed")</f>
        <v>Employed</v>
      </c>
      <c r="U358" t="s">
        <v>45</v>
      </c>
      <c r="V358" s="14" t="str" cm="1">
        <f t="array" ref="V35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58" t="s">
        <v>31</v>
      </c>
      <c r="X358" s="2" t="str">
        <f>_xlfn.XLOOKUP(Table1[[#This Row],[Loan_Credit_History]],Table4[Credit History],Table4[[ Category]])</f>
        <v>Existing Credits Paid</v>
      </c>
      <c r="Y358" s="3">
        <v>4</v>
      </c>
      <c r="Z358" s="3">
        <v>1</v>
      </c>
      <c r="AA358" s="5">
        <v>2679</v>
      </c>
      <c r="AB358" t="s">
        <v>151</v>
      </c>
      <c r="AC358" s="2" t="str" cm="1">
        <f t="array" ref="AC358">_xlfn.IFS(Table1[[#This Row],[Others_Parties]] = "No", "None",
Table1[[#This Row],[Others_Parties]] = "co applicant", "Co-applicant",
Table1[[#This Row],[Others_Parties]] = "guarantor", "Guarantor")</f>
        <v>None</v>
      </c>
      <c r="AD358" s="13" t="s">
        <v>145</v>
      </c>
      <c r="AE358" s="2" t="s">
        <v>107</v>
      </c>
      <c r="AF358" s="28" t="str" cm="1">
        <f t="array" ref="AF35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58" s="21">
        <v>24</v>
      </c>
      <c r="AH358" s="2" t="s">
        <v>154</v>
      </c>
      <c r="AI358"/>
      <c r="AZ358"/>
      <c r="BC358"/>
      <c r="BE358"/>
      <c r="BL358"/>
      <c r="BZ358"/>
      <c r="CA358"/>
      <c r="CF358"/>
      <c r="CG358"/>
      <c r="CH358"/>
      <c r="CI358"/>
      <c r="CK358"/>
      <c r="CN358"/>
    </row>
    <row r="359" spans="1:92" x14ac:dyDescent="0.3">
      <c r="A359" s="4">
        <v>357</v>
      </c>
      <c r="B359" s="11">
        <v>35</v>
      </c>
      <c r="C359" s="2" t="str">
        <f>_xlfn.XLOOKUP(Table1[[#This Row],[Age]],Table7[Start_Age],Table7[Age_Range],,-1)</f>
        <v>29-39</v>
      </c>
      <c r="D359" t="s">
        <v>130</v>
      </c>
      <c r="E359" s="2" t="s">
        <v>129</v>
      </c>
      <c r="F359" s="2" t="s">
        <v>133</v>
      </c>
      <c r="G359" s="3">
        <v>1</v>
      </c>
      <c r="H359" s="13" t="s">
        <v>152</v>
      </c>
      <c r="I359" s="2" t="str" cm="1">
        <f t="array" ref="I359">_xlfn.IFS(Table1[[#This Row],[Job_Type]] = "unskilled resident", "Resident",
Table1[[#This Row],[Job_Type]] = "unemp/unskilled non res", "Non-resident",
TRUE, "Unknown")</f>
        <v>Resident</v>
      </c>
      <c r="J359" s="2" t="s">
        <v>148</v>
      </c>
      <c r="K359" s="3">
        <v>2</v>
      </c>
      <c r="L359" s="2" t="s">
        <v>144</v>
      </c>
      <c r="M359" s="13" t="s">
        <v>151</v>
      </c>
      <c r="N359" t="s">
        <v>17</v>
      </c>
      <c r="O359" s="2" t="str">
        <f>_xlfn.XLOOKUP(Table1[[#This Row],[Checking_Acct_Status]],Table3[Checking_Acct_Original],Table3[Category])</f>
        <v>No Account</v>
      </c>
      <c r="P359" s="10" t="s">
        <v>32</v>
      </c>
      <c r="Q359" s="13" t="str">
        <f>_xlfn.XLOOKUP(Table1[[#This Row],[Saving_Acct_Status]],Table5[Saving_Acct_Original],Table5[Category])</f>
        <v>Low Savings</v>
      </c>
      <c r="R359" t="s">
        <v>27</v>
      </c>
      <c r="S359" s="2" t="str">
        <f>IF(
      OR(Table1[[#This Row],[Job_Type]] = "high qualif/self emp/mgmt", Table1[[#This Row],[Job_Type]] = "skilled"),
      "Skilled", "Unskilled")</f>
        <v>Unskilled</v>
      </c>
      <c r="T359" t="str">
        <f>IF(Table1[[#This Row],[Job_Type]] = "unemp/unskilled non res", "Unemployed", "Employed")</f>
        <v>Employed</v>
      </c>
      <c r="U359" t="s">
        <v>21</v>
      </c>
      <c r="V359" s="14" t="str" cm="1">
        <f t="array" ref="V35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59" t="s">
        <v>103</v>
      </c>
      <c r="X359" s="2" t="str">
        <f>_xlfn.XLOOKUP(Table1[[#This Row],[Loan_Credit_History]],Table4[Credit History],Table4[[ Category]])</f>
        <v>Critical Credit History</v>
      </c>
      <c r="Y359" s="3">
        <v>4</v>
      </c>
      <c r="Z359" s="3">
        <v>2</v>
      </c>
      <c r="AA359" s="5">
        <v>2684</v>
      </c>
      <c r="AB359" t="s">
        <v>151</v>
      </c>
      <c r="AC359" s="2" t="str" cm="1">
        <f t="array" ref="AC359">_xlfn.IFS(Table1[[#This Row],[Others_Parties]] = "No", "None",
Table1[[#This Row],[Others_Parties]] = "co applicant", "Co-applicant",
Table1[[#This Row],[Others_Parties]] = "guarantor", "Guarantor")</f>
        <v>None</v>
      </c>
      <c r="AD359" s="13" t="s">
        <v>145</v>
      </c>
      <c r="AE359" s="2" t="s">
        <v>111</v>
      </c>
      <c r="AF359" s="28" t="str" cm="1">
        <f t="array" ref="AF35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59" s="21">
        <v>24</v>
      </c>
      <c r="AH359" s="2" t="s">
        <v>154</v>
      </c>
      <c r="AI359"/>
      <c r="AZ359"/>
      <c r="BC359"/>
      <c r="BE359"/>
      <c r="BL359"/>
      <c r="BZ359"/>
      <c r="CA359"/>
      <c r="CF359"/>
      <c r="CG359"/>
      <c r="CH359"/>
      <c r="CI359"/>
      <c r="CK359"/>
      <c r="CN359"/>
    </row>
    <row r="360" spans="1:92" x14ac:dyDescent="0.3">
      <c r="A360" s="4">
        <v>358</v>
      </c>
      <c r="B360" s="11">
        <v>20</v>
      </c>
      <c r="C360" s="2" t="str">
        <f>_xlfn.XLOOKUP(Table1[[#This Row],[Age]],Table7[Start_Age],Table7[Age_Range],,-1)</f>
        <v>19-29</v>
      </c>
      <c r="D360" t="s">
        <v>136</v>
      </c>
      <c r="E360" s="2" t="s">
        <v>131</v>
      </c>
      <c r="F360" s="2" t="s">
        <v>137</v>
      </c>
      <c r="G360" s="3">
        <v>1</v>
      </c>
      <c r="H360" s="13" t="s">
        <v>152</v>
      </c>
      <c r="I360" s="2" t="str" cm="1">
        <f t="array" ref="I360">_xlfn.IFS(Table1[[#This Row],[Job_Type]] = "unskilled resident", "Resident",
Table1[[#This Row],[Job_Type]] = "unemp/unskilled non res", "Non-resident",
TRUE, "Unknown")</f>
        <v>Resident</v>
      </c>
      <c r="J360" s="2" t="s">
        <v>149</v>
      </c>
      <c r="K360" s="3">
        <v>4</v>
      </c>
      <c r="L360" s="2" t="s">
        <v>143</v>
      </c>
      <c r="M360" s="13" t="s">
        <v>152</v>
      </c>
      <c r="N360" t="s">
        <v>30</v>
      </c>
      <c r="O360" s="2" t="str">
        <f>_xlfn.XLOOKUP(Table1[[#This Row],[Checking_Acct_Status]],Table3[Checking_Acct_Original],Table3[Category])</f>
        <v>Low Balance</v>
      </c>
      <c r="P360" s="10" t="s">
        <v>32</v>
      </c>
      <c r="Q360" s="13" t="str">
        <f>_xlfn.XLOOKUP(Table1[[#This Row],[Saving_Acct_Status]],Table5[Saving_Acct_Original],Table5[Category])</f>
        <v>Low Savings</v>
      </c>
      <c r="R360" t="s">
        <v>27</v>
      </c>
      <c r="S360" s="2" t="str">
        <f>IF(
      OR(Table1[[#This Row],[Job_Type]] = "high qualif/self emp/mgmt", Table1[[#This Row],[Job_Type]] = "skilled"),
      "Skilled", "Unskilled")</f>
        <v>Unskilled</v>
      </c>
      <c r="T360" t="str">
        <f>IF(Table1[[#This Row],[Job_Type]] = "unemp/unskilled non res", "Unemployed", "Employed")</f>
        <v>Employed</v>
      </c>
      <c r="U360" t="s">
        <v>21</v>
      </c>
      <c r="V360" s="14" t="str" cm="1">
        <f t="array" ref="V36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60" t="s">
        <v>31</v>
      </c>
      <c r="X360" s="2" t="str">
        <f>_xlfn.XLOOKUP(Table1[[#This Row],[Loan_Credit_History]],Table4[Credit History],Table4[[ Category]])</f>
        <v>Existing Credits Paid</v>
      </c>
      <c r="Y360" s="3">
        <v>3</v>
      </c>
      <c r="Z360" s="3">
        <v>1</v>
      </c>
      <c r="AA360" s="5">
        <v>2718</v>
      </c>
      <c r="AB360" t="s">
        <v>151</v>
      </c>
      <c r="AC360" s="2" t="str" cm="1">
        <f t="array" ref="AC360">_xlfn.IFS(Table1[[#This Row],[Others_Parties]] = "No", "None",
Table1[[#This Row],[Others_Parties]] = "co applicant", "Co-applicant",
Table1[[#This Row],[Others_Parties]] = "guarantor", "Guarantor")</f>
        <v>None</v>
      </c>
      <c r="AD360" s="13" t="s">
        <v>145</v>
      </c>
      <c r="AE360" s="2" t="s">
        <v>141</v>
      </c>
      <c r="AF360" s="28" t="str" cm="1">
        <f t="array" ref="AF36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60" s="21">
        <v>24</v>
      </c>
      <c r="AH360" s="2" t="s">
        <v>153</v>
      </c>
      <c r="AI360"/>
      <c r="AZ360"/>
      <c r="BC360"/>
      <c r="BE360"/>
      <c r="BL360"/>
      <c r="BZ360"/>
      <c r="CA360"/>
      <c r="CF360"/>
      <c r="CG360"/>
      <c r="CH360"/>
      <c r="CI360"/>
      <c r="CK360"/>
      <c r="CN360"/>
    </row>
    <row r="361" spans="1:92" x14ac:dyDescent="0.3">
      <c r="A361" s="4">
        <v>359</v>
      </c>
      <c r="B361" s="11">
        <v>36</v>
      </c>
      <c r="C361" s="2" t="str">
        <f>_xlfn.XLOOKUP(Table1[[#This Row],[Age]],Table7[Start_Age],Table7[Age_Range],,-1)</f>
        <v>29-39</v>
      </c>
      <c r="D361" t="s">
        <v>130</v>
      </c>
      <c r="E361" s="2" t="s">
        <v>129</v>
      </c>
      <c r="F361" s="2" t="s">
        <v>133</v>
      </c>
      <c r="G361" s="3">
        <v>1</v>
      </c>
      <c r="H361" s="13" t="s">
        <v>152</v>
      </c>
      <c r="I361" s="2" t="str" cm="1">
        <f t="array" ref="I361">_xlfn.IFS(Table1[[#This Row],[Job_Type]] = "unskilled resident", "Resident",
Table1[[#This Row],[Job_Type]] = "unemp/unskilled non res", "Non-resident",
TRUE, "Unknown")</f>
        <v>Unknown</v>
      </c>
      <c r="J361" s="2" t="s">
        <v>150</v>
      </c>
      <c r="K361" s="3">
        <v>4</v>
      </c>
      <c r="L361" s="2" t="s">
        <v>142</v>
      </c>
      <c r="M361" s="13" t="s">
        <v>152</v>
      </c>
      <c r="N361" t="s">
        <v>30</v>
      </c>
      <c r="O361" s="2" t="str">
        <f>_xlfn.XLOOKUP(Table1[[#This Row],[Checking_Acct_Status]],Table3[Checking_Acct_Original],Table3[Category])</f>
        <v>Low Balance</v>
      </c>
      <c r="P361" s="10" t="s">
        <v>47</v>
      </c>
      <c r="Q361" s="13" t="str">
        <f>_xlfn.XLOOKUP(Table1[[#This Row],[Saving_Acct_Status]],Table5[Saving_Acct_Original],Table5[Category])</f>
        <v>No Savings</v>
      </c>
      <c r="R361" t="s">
        <v>41</v>
      </c>
      <c r="S361" s="2" t="str">
        <f>IF(
      OR(Table1[[#This Row],[Job_Type]] = "high qualif/self emp/mgmt", Table1[[#This Row],[Job_Type]] = "skilled"),
      "Skilled", "Unskilled")</f>
        <v>Skilled</v>
      </c>
      <c r="T361" t="str">
        <f>IF(Table1[[#This Row],[Job_Type]] = "unemp/unskilled non res", "Unemployed", "Employed")</f>
        <v>Employed</v>
      </c>
      <c r="U361" t="s">
        <v>38</v>
      </c>
      <c r="V361" s="14" t="str" cm="1">
        <f t="array" ref="V36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61" t="s">
        <v>31</v>
      </c>
      <c r="X361" s="2" t="str">
        <f>_xlfn.XLOOKUP(Table1[[#This Row],[Loan_Credit_History]],Table4[Credit History],Table4[[ Category]])</f>
        <v>Existing Credits Paid</v>
      </c>
      <c r="Y361" s="3">
        <v>4</v>
      </c>
      <c r="Z361" s="3">
        <v>1</v>
      </c>
      <c r="AA361" s="5">
        <v>2760</v>
      </c>
      <c r="AB361" t="s">
        <v>151</v>
      </c>
      <c r="AC361" s="2" t="str" cm="1">
        <f t="array" ref="AC361">_xlfn.IFS(Table1[[#This Row],[Others_Parties]] = "No", "None",
Table1[[#This Row],[Others_Parties]] = "co applicant", "Co-applicant",
Table1[[#This Row],[Others_Parties]] = "guarantor", "Guarantor")</f>
        <v>None</v>
      </c>
      <c r="AD361" s="13" t="s">
        <v>146</v>
      </c>
      <c r="AE361" s="2" t="s">
        <v>107</v>
      </c>
      <c r="AF361" s="28" t="str" cm="1">
        <f t="array" ref="AF36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61" s="21">
        <v>24</v>
      </c>
      <c r="AH361" s="2" t="s">
        <v>154</v>
      </c>
      <c r="AI361"/>
      <c r="AZ361"/>
      <c r="BC361"/>
      <c r="BE361"/>
      <c r="BL361"/>
      <c r="BZ361"/>
      <c r="CA361"/>
      <c r="CF361"/>
      <c r="CG361"/>
      <c r="CH361"/>
      <c r="CI361"/>
      <c r="CK361"/>
      <c r="CN361"/>
    </row>
    <row r="362" spans="1:92" x14ac:dyDescent="0.3">
      <c r="A362" s="4">
        <v>360</v>
      </c>
      <c r="B362" s="11">
        <v>26</v>
      </c>
      <c r="C362" s="2" t="str">
        <f>_xlfn.XLOOKUP(Table1[[#This Row],[Age]],Table7[Start_Age],Table7[Age_Range],,-1)</f>
        <v>19-29</v>
      </c>
      <c r="D362" t="s">
        <v>136</v>
      </c>
      <c r="E362" s="2" t="s">
        <v>131</v>
      </c>
      <c r="F362" s="2" t="s">
        <v>137</v>
      </c>
      <c r="G362" s="3">
        <v>1</v>
      </c>
      <c r="H362" s="13" t="s">
        <v>152</v>
      </c>
      <c r="I362" s="2" t="str" cm="1">
        <f t="array" ref="I362">_xlfn.IFS(Table1[[#This Row],[Job_Type]] = "unskilled resident", "Resident",
Table1[[#This Row],[Job_Type]] = "unemp/unskilled non res", "Non-resident",
TRUE, "Unknown")</f>
        <v>Unknown</v>
      </c>
      <c r="J362" s="2" t="s">
        <v>149</v>
      </c>
      <c r="K362" s="3">
        <v>4</v>
      </c>
      <c r="L362" s="2" t="s">
        <v>144</v>
      </c>
      <c r="M362" s="13" t="s">
        <v>151</v>
      </c>
      <c r="N362" t="s">
        <v>35</v>
      </c>
      <c r="O362" s="2" t="str">
        <f>_xlfn.XLOOKUP(Table1[[#This Row],[Checking_Acct_Status]],Table3[Checking_Acct_Original],Table3[Category])</f>
        <v>Negative Balance</v>
      </c>
      <c r="P362" s="10" t="s">
        <v>47</v>
      </c>
      <c r="Q362" s="13" t="str">
        <f>_xlfn.XLOOKUP(Table1[[#This Row],[Saving_Acct_Status]],Table5[Saving_Acct_Original],Table5[Category])</f>
        <v>No Savings</v>
      </c>
      <c r="R362" t="s">
        <v>41</v>
      </c>
      <c r="S362" s="2" t="str">
        <f>IF(
      OR(Table1[[#This Row],[Job_Type]] = "high qualif/self emp/mgmt", Table1[[#This Row],[Job_Type]] = "skilled"),
      "Skilled", "Unskilled")</f>
        <v>Skilled</v>
      </c>
      <c r="T362" t="str">
        <f>IF(Table1[[#This Row],[Job_Type]] = "unemp/unskilled non res", "Unemployed", "Employed")</f>
        <v>Employed</v>
      </c>
      <c r="U362" t="s">
        <v>38</v>
      </c>
      <c r="V362" s="14" t="str" cm="1">
        <f t="array" ref="V36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62" t="s">
        <v>31</v>
      </c>
      <c r="X362" s="2" t="str">
        <f>_xlfn.XLOOKUP(Table1[[#This Row],[Loan_Credit_History]],Table4[Credit History],Table4[[ Category]])</f>
        <v>Existing Credits Paid</v>
      </c>
      <c r="Y362" s="3">
        <v>2</v>
      </c>
      <c r="Z362" s="3">
        <v>1</v>
      </c>
      <c r="AA362" s="5">
        <v>2812</v>
      </c>
      <c r="AB362" t="s">
        <v>151</v>
      </c>
      <c r="AC362" s="2" t="str" cm="1">
        <f t="array" ref="AC362">_xlfn.IFS(Table1[[#This Row],[Others_Parties]] = "No", "None",
Table1[[#This Row],[Others_Parties]] = "co applicant", "Co-applicant",
Table1[[#This Row],[Others_Parties]] = "guarantor", "Guarantor")</f>
        <v>None</v>
      </c>
      <c r="AD362" s="13" t="s">
        <v>145</v>
      </c>
      <c r="AE362" s="2" t="s">
        <v>107</v>
      </c>
      <c r="AF362" s="28" t="str" cm="1">
        <f t="array" ref="AF36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62" s="21">
        <v>24</v>
      </c>
      <c r="AH362" s="2" t="s">
        <v>154</v>
      </c>
      <c r="AI362"/>
      <c r="AZ362"/>
      <c r="BC362"/>
      <c r="BE362"/>
      <c r="BL362"/>
      <c r="BZ362"/>
      <c r="CA362"/>
      <c r="CF362"/>
      <c r="CG362"/>
      <c r="CH362"/>
      <c r="CI362"/>
      <c r="CK362"/>
      <c r="CN362"/>
    </row>
    <row r="363" spans="1:92" x14ac:dyDescent="0.3">
      <c r="A363" s="4">
        <v>361</v>
      </c>
      <c r="B363" s="11">
        <v>34</v>
      </c>
      <c r="C363" s="2" t="str">
        <f>_xlfn.XLOOKUP(Table1[[#This Row],[Age]],Table7[Start_Age],Table7[Age_Range],,-1)</f>
        <v>29-39</v>
      </c>
      <c r="D363" t="s">
        <v>130</v>
      </c>
      <c r="E363" s="2" t="s">
        <v>129</v>
      </c>
      <c r="F363" s="2" t="s">
        <v>133</v>
      </c>
      <c r="G363" s="3">
        <v>2</v>
      </c>
      <c r="H363" s="13" t="s">
        <v>152</v>
      </c>
      <c r="I363" s="2" t="str" cm="1">
        <f t="array" ref="I363">_xlfn.IFS(Table1[[#This Row],[Job_Type]] = "unskilled resident", "Resident",
Table1[[#This Row],[Job_Type]] = "unemp/unskilled non res", "Non-resident",
TRUE, "Unknown")</f>
        <v>Unknown</v>
      </c>
      <c r="J363" s="2" t="s">
        <v>148</v>
      </c>
      <c r="K363" s="3">
        <v>3</v>
      </c>
      <c r="L363" s="2" t="s">
        <v>142</v>
      </c>
      <c r="M363" s="13" t="s">
        <v>152</v>
      </c>
      <c r="N363" t="s">
        <v>30</v>
      </c>
      <c r="O363" s="2" t="str">
        <f>_xlfn.XLOOKUP(Table1[[#This Row],[Checking_Acct_Status]],Table3[Checking_Acct_Original],Table3[Category])</f>
        <v>Low Balance</v>
      </c>
      <c r="P363" s="10" t="s">
        <v>47</v>
      </c>
      <c r="Q363" s="13" t="str">
        <f>_xlfn.XLOOKUP(Table1[[#This Row],[Saving_Acct_Status]],Table5[Saving_Acct_Original],Table5[Category])</f>
        <v>No Savings</v>
      </c>
      <c r="R363" t="s">
        <v>41</v>
      </c>
      <c r="S363" s="2" t="str">
        <f>IF(
      OR(Table1[[#This Row],[Job_Type]] = "high qualif/self emp/mgmt", Table1[[#This Row],[Job_Type]] = "skilled"),
      "Skilled", "Unskilled")</f>
        <v>Skilled</v>
      </c>
      <c r="T363" t="str">
        <f>IF(Table1[[#This Row],[Job_Type]] = "unemp/unskilled non res", "Unemployed", "Employed")</f>
        <v>Employed</v>
      </c>
      <c r="U363" t="s">
        <v>49</v>
      </c>
      <c r="V363" s="14" t="str" cm="1">
        <f t="array" ref="V36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63" t="s">
        <v>103</v>
      </c>
      <c r="X363" s="2" t="str">
        <f>_xlfn.XLOOKUP(Table1[[#This Row],[Loan_Credit_History]],Table4[Credit History],Table4[[ Category]])</f>
        <v>Critical Credit History</v>
      </c>
      <c r="Y363" s="3">
        <v>4</v>
      </c>
      <c r="Z363" s="3">
        <v>2</v>
      </c>
      <c r="AA363" s="5">
        <v>2825</v>
      </c>
      <c r="AB363" t="s">
        <v>151</v>
      </c>
      <c r="AC363" s="2" t="str" cm="1">
        <f t="array" ref="AC363">_xlfn.IFS(Table1[[#This Row],[Others_Parties]] = "No", "None",
Table1[[#This Row],[Others_Parties]] = "co applicant", "Co-applicant",
Table1[[#This Row],[Others_Parties]] = "guarantor", "Guarantor")</f>
        <v>None</v>
      </c>
      <c r="AD363" s="13" t="s">
        <v>145</v>
      </c>
      <c r="AE363" s="2" t="s">
        <v>105</v>
      </c>
      <c r="AF363" s="28" t="str" cm="1">
        <f t="array" ref="AF36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63" s="21">
        <v>24</v>
      </c>
      <c r="AH363" s="2" t="s">
        <v>154</v>
      </c>
      <c r="AI363"/>
      <c r="AZ363"/>
      <c r="BC363"/>
      <c r="BE363"/>
      <c r="BL363"/>
      <c r="BZ363"/>
      <c r="CA363"/>
      <c r="CF363"/>
      <c r="CG363"/>
      <c r="CH363"/>
      <c r="CI363"/>
      <c r="CK363"/>
      <c r="CN363"/>
    </row>
    <row r="364" spans="1:92" x14ac:dyDescent="0.3">
      <c r="A364" s="4">
        <v>362</v>
      </c>
      <c r="B364" s="11">
        <v>22</v>
      </c>
      <c r="C364" s="2" t="str">
        <f>_xlfn.XLOOKUP(Table1[[#This Row],[Age]],Table7[Start_Age],Table7[Age_Range],,-1)</f>
        <v>19-29</v>
      </c>
      <c r="D364" t="s">
        <v>130</v>
      </c>
      <c r="E364" s="2" t="s">
        <v>129</v>
      </c>
      <c r="F364" s="2" t="s">
        <v>133</v>
      </c>
      <c r="G364" s="3">
        <v>1</v>
      </c>
      <c r="H364" s="13" t="s">
        <v>152</v>
      </c>
      <c r="I364" s="2" t="str" cm="1">
        <f t="array" ref="I364">_xlfn.IFS(Table1[[#This Row],[Job_Type]] = "unskilled resident", "Resident",
Table1[[#This Row],[Job_Type]] = "unemp/unskilled non res", "Non-resident",
TRUE, "Unknown")</f>
        <v>Unknown</v>
      </c>
      <c r="J364" s="2" t="s">
        <v>148</v>
      </c>
      <c r="K364" s="3">
        <v>4</v>
      </c>
      <c r="L364" s="2" t="s">
        <v>144</v>
      </c>
      <c r="M364" s="13" t="s">
        <v>152</v>
      </c>
      <c r="N364" t="s">
        <v>35</v>
      </c>
      <c r="O364" s="2" t="str">
        <f>_xlfn.XLOOKUP(Table1[[#This Row],[Checking_Acct_Status]],Table3[Checking_Acct_Original],Table3[Category])</f>
        <v>Negative Balance</v>
      </c>
      <c r="P364" s="10" t="s">
        <v>37</v>
      </c>
      <c r="Q364" s="13" t="str">
        <f>_xlfn.XLOOKUP(Table1[[#This Row],[Saving_Acct_Status]],Table5[Saving_Acct_Original],Table5[Category])</f>
        <v>High Savings</v>
      </c>
      <c r="R364" t="s">
        <v>41</v>
      </c>
      <c r="S364" s="2" t="str">
        <f>IF(
      OR(Table1[[#This Row],[Job_Type]] = "high qualif/self emp/mgmt", Table1[[#This Row],[Job_Type]] = "skilled"),
      "Skilled", "Unskilled")</f>
        <v>Skilled</v>
      </c>
      <c r="T364" t="str">
        <f>IF(Table1[[#This Row],[Job_Type]] = "unemp/unskilled non res", "Unemployed", "Employed")</f>
        <v>Employed</v>
      </c>
      <c r="U364" t="s">
        <v>21</v>
      </c>
      <c r="V364" s="14" t="str" cm="1">
        <f t="array" ref="V36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64" t="s">
        <v>42</v>
      </c>
      <c r="X364" s="2" t="str">
        <f>_xlfn.XLOOKUP(Table1[[#This Row],[Loan_Credit_History]],Table4[Credit History],Table4[[ Category]])</f>
        <v>All Paid</v>
      </c>
      <c r="Y364" s="3">
        <v>4</v>
      </c>
      <c r="Z364" s="3">
        <v>1</v>
      </c>
      <c r="AA364" s="5">
        <v>2828</v>
      </c>
      <c r="AB364" t="s">
        <v>151</v>
      </c>
      <c r="AC364" s="2" t="str" cm="1">
        <f t="array" ref="AC364">_xlfn.IFS(Table1[[#This Row],[Others_Parties]] = "No", "None",
Table1[[#This Row],[Others_Parties]] = "co applicant", "Co-applicant",
Table1[[#This Row],[Others_Parties]] = "guarantor", "Guarantor")</f>
        <v>None</v>
      </c>
      <c r="AD364" s="13" t="s">
        <v>147</v>
      </c>
      <c r="AE364" s="2" t="s">
        <v>108</v>
      </c>
      <c r="AF364" s="28" t="str" cm="1">
        <f t="array" ref="AF36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64" s="21">
        <v>24</v>
      </c>
      <c r="AH364" s="2" t="s">
        <v>154</v>
      </c>
      <c r="AI364"/>
      <c r="AZ364"/>
      <c r="BC364"/>
      <c r="BE364"/>
      <c r="BL364"/>
      <c r="BZ364"/>
      <c r="CA364"/>
      <c r="CF364"/>
      <c r="CG364"/>
      <c r="CH364"/>
      <c r="CI364"/>
      <c r="CK364"/>
      <c r="CN364"/>
    </row>
    <row r="365" spans="1:92" x14ac:dyDescent="0.3">
      <c r="A365" s="4">
        <v>363</v>
      </c>
      <c r="B365" s="11">
        <v>53</v>
      </c>
      <c r="C365" s="2" t="str">
        <f>_xlfn.XLOOKUP(Table1[[#This Row],[Age]],Table7[Start_Age],Table7[Age_Range],,-1)</f>
        <v>49-59</v>
      </c>
      <c r="D365" t="s">
        <v>130</v>
      </c>
      <c r="E365" s="2" t="s">
        <v>129</v>
      </c>
      <c r="F365" s="2" t="s">
        <v>133</v>
      </c>
      <c r="G365" s="3">
        <v>1</v>
      </c>
      <c r="H365" s="13" t="s">
        <v>152</v>
      </c>
      <c r="I365" s="2" t="str" cm="1">
        <f t="array" ref="I365">_xlfn.IFS(Table1[[#This Row],[Job_Type]] = "unskilled resident", "Resident",
Table1[[#This Row],[Job_Type]] = "unemp/unskilled non res", "Non-resident",
TRUE, "Unknown")</f>
        <v>Unknown</v>
      </c>
      <c r="J365" s="2" t="s">
        <v>148</v>
      </c>
      <c r="K365" s="3">
        <v>4</v>
      </c>
      <c r="L365" s="2" t="s">
        <v>143</v>
      </c>
      <c r="M365" s="13" t="s">
        <v>151</v>
      </c>
      <c r="N365" t="s">
        <v>17</v>
      </c>
      <c r="O365" s="2" t="str">
        <f>_xlfn.XLOOKUP(Table1[[#This Row],[Checking_Acct_Status]],Table3[Checking_Acct_Original],Table3[Category])</f>
        <v>No Account</v>
      </c>
      <c r="P365" s="10" t="s">
        <v>37</v>
      </c>
      <c r="Q365" s="13" t="str">
        <f>_xlfn.XLOOKUP(Table1[[#This Row],[Saving_Acct_Status]],Table5[Saving_Acct_Original],Table5[Category])</f>
        <v>High Savings</v>
      </c>
      <c r="R365" t="s">
        <v>41</v>
      </c>
      <c r="S365" s="2" t="str">
        <f>IF(
      OR(Table1[[#This Row],[Job_Type]] = "high qualif/self emp/mgmt", Table1[[#This Row],[Job_Type]] = "skilled"),
      "Skilled", "Unskilled")</f>
        <v>Skilled</v>
      </c>
      <c r="T365" t="str">
        <f>IF(Table1[[#This Row],[Job_Type]] = "unemp/unskilled non res", "Unemployed", "Employed")</f>
        <v>Employed</v>
      </c>
      <c r="U365" t="s">
        <v>38</v>
      </c>
      <c r="V365" s="14" t="str" cm="1">
        <f t="array" ref="V36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65" t="s">
        <v>31</v>
      </c>
      <c r="X365" s="2" t="str">
        <f>_xlfn.XLOOKUP(Table1[[#This Row],[Loan_Credit_History]],Table4[Credit History],Table4[[ Category]])</f>
        <v>Existing Credits Paid</v>
      </c>
      <c r="Y365" s="3">
        <v>3</v>
      </c>
      <c r="Z365" s="3">
        <v>1</v>
      </c>
      <c r="AA365" s="5">
        <v>2835</v>
      </c>
      <c r="AB365" t="s">
        <v>151</v>
      </c>
      <c r="AC365" s="2" t="str" cm="1">
        <f t="array" ref="AC365">_xlfn.IFS(Table1[[#This Row],[Others_Parties]] = "No", "None",
Table1[[#This Row],[Others_Parties]] = "co applicant", "Co-applicant",
Table1[[#This Row],[Others_Parties]] = "guarantor", "Guarantor")</f>
        <v>None</v>
      </c>
      <c r="AD365" s="13" t="s">
        <v>145</v>
      </c>
      <c r="AE365" s="2" t="s">
        <v>108</v>
      </c>
      <c r="AF365" s="28" t="str" cm="1">
        <f t="array" ref="AF36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65" s="21">
        <v>24</v>
      </c>
      <c r="AH365" s="2" t="s">
        <v>154</v>
      </c>
      <c r="AI365"/>
      <c r="AZ365"/>
      <c r="BC365"/>
      <c r="BE365"/>
      <c r="BL365"/>
      <c r="BZ365"/>
      <c r="CA365"/>
      <c r="CF365"/>
      <c r="CG365"/>
      <c r="CH365"/>
      <c r="CI365"/>
      <c r="CK365"/>
      <c r="CN365"/>
    </row>
    <row r="366" spans="1:92" x14ac:dyDescent="0.3">
      <c r="A366" s="4">
        <v>364</v>
      </c>
      <c r="B366" s="11">
        <v>36</v>
      </c>
      <c r="C366" s="2" t="str">
        <f>_xlfn.XLOOKUP(Table1[[#This Row],[Age]],Table7[Start_Age],Table7[Age_Range],,-1)</f>
        <v>29-39</v>
      </c>
      <c r="D366" t="s">
        <v>130</v>
      </c>
      <c r="E366" s="2" t="s">
        <v>129</v>
      </c>
      <c r="F366" s="2" t="s">
        <v>133</v>
      </c>
      <c r="G366" s="3">
        <v>2</v>
      </c>
      <c r="H366" s="13" t="s">
        <v>152</v>
      </c>
      <c r="I366" s="2" t="str" cm="1">
        <f t="array" ref="I366">_xlfn.IFS(Table1[[#This Row],[Job_Type]] = "unskilled resident", "Resident",
Table1[[#This Row],[Job_Type]] = "unemp/unskilled non res", "Non-resident",
TRUE, "Unknown")</f>
        <v>Unknown</v>
      </c>
      <c r="J366" s="2" t="s">
        <v>148</v>
      </c>
      <c r="K366" s="3">
        <v>4</v>
      </c>
      <c r="L366" s="2" t="s">
        <v>144</v>
      </c>
      <c r="M366" s="13" t="s">
        <v>152</v>
      </c>
      <c r="N366" t="s">
        <v>17</v>
      </c>
      <c r="O366" s="2" t="str">
        <f>_xlfn.XLOOKUP(Table1[[#This Row],[Checking_Acct_Status]],Table3[Checking_Acct_Original],Table3[Category])</f>
        <v>No Account</v>
      </c>
      <c r="P366" s="10" t="s">
        <v>46</v>
      </c>
      <c r="Q366" s="13" t="str">
        <f>_xlfn.XLOOKUP(Table1[[#This Row],[Saving_Acct_Status]],Table5[Saving_Acct_Original],Table5[Category])</f>
        <v>Medium Savings</v>
      </c>
      <c r="R366" t="s">
        <v>41</v>
      </c>
      <c r="S366" s="2" t="str">
        <f>IF(
      OR(Table1[[#This Row],[Job_Type]] = "high qualif/self emp/mgmt", Table1[[#This Row],[Job_Type]] = "skilled"),
      "Skilled", "Unskilled")</f>
        <v>Skilled</v>
      </c>
      <c r="T366" t="str">
        <f>IF(Table1[[#This Row],[Job_Type]] = "unemp/unskilled non res", "Unemployed", "Employed")</f>
        <v>Employed</v>
      </c>
      <c r="U366" t="s">
        <v>38</v>
      </c>
      <c r="V366" s="14" t="str" cm="1">
        <f t="array" ref="V36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66" t="s">
        <v>103</v>
      </c>
      <c r="X366" s="2" t="str">
        <f>_xlfn.XLOOKUP(Table1[[#This Row],[Loan_Credit_History]],Table4[Credit History],Table4[[ Category]])</f>
        <v>Critical Credit History</v>
      </c>
      <c r="Y366" s="3">
        <v>3</v>
      </c>
      <c r="Z366" s="3">
        <v>1</v>
      </c>
      <c r="AA366" s="5">
        <v>2872</v>
      </c>
      <c r="AB366" t="s">
        <v>151</v>
      </c>
      <c r="AC366" s="2" t="str" cm="1">
        <f t="array" ref="AC366">_xlfn.IFS(Table1[[#This Row],[Others_Parties]] = "No", "None",
Table1[[#This Row],[Others_Parties]] = "co applicant", "Co-applicant",
Table1[[#This Row],[Others_Parties]] = "guarantor", "Guarantor")</f>
        <v>None</v>
      </c>
      <c r="AD366" s="13" t="s">
        <v>145</v>
      </c>
      <c r="AE366" s="2" t="s">
        <v>111</v>
      </c>
      <c r="AF366" s="28" t="str" cm="1">
        <f t="array" ref="AF36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66" s="21">
        <v>24</v>
      </c>
      <c r="AH366" s="2" t="s">
        <v>154</v>
      </c>
      <c r="AI366"/>
      <c r="AZ366"/>
      <c r="BC366"/>
      <c r="BE366"/>
      <c r="BL366"/>
      <c r="BZ366"/>
      <c r="CA366"/>
      <c r="CF366"/>
      <c r="CG366"/>
      <c r="CH366"/>
      <c r="CI366"/>
      <c r="CK366"/>
      <c r="CN366"/>
    </row>
    <row r="367" spans="1:92" x14ac:dyDescent="0.3">
      <c r="A367" s="4">
        <v>365</v>
      </c>
      <c r="B367" s="11">
        <v>51</v>
      </c>
      <c r="C367" s="2" t="str">
        <f>_xlfn.XLOOKUP(Table1[[#This Row],[Age]],Table7[Start_Age],Table7[Age_Range],,-1)</f>
        <v>49-59</v>
      </c>
      <c r="D367" t="s">
        <v>138</v>
      </c>
      <c r="E367" s="2" t="s">
        <v>129</v>
      </c>
      <c r="F367" s="2" t="s">
        <v>178</v>
      </c>
      <c r="G367" s="3">
        <v>1</v>
      </c>
      <c r="H367" s="13" t="s">
        <v>152</v>
      </c>
      <c r="I367" s="2" t="str" cm="1">
        <f t="array" ref="I367">_xlfn.IFS(Table1[[#This Row],[Job_Type]] = "unskilled resident", "Resident",
Table1[[#This Row],[Job_Type]] = "unemp/unskilled non res", "Non-resident",
TRUE, "Unknown")</f>
        <v>Unknown</v>
      </c>
      <c r="J367" s="2" t="s">
        <v>150</v>
      </c>
      <c r="K367" s="3">
        <v>4</v>
      </c>
      <c r="L367" s="2" t="s">
        <v>142</v>
      </c>
      <c r="M367" s="13" t="s">
        <v>151</v>
      </c>
      <c r="N367" t="s">
        <v>50</v>
      </c>
      <c r="O367" s="2" t="str">
        <f>_xlfn.XLOOKUP(Table1[[#This Row],[Checking_Acct_Status]],Table3[Checking_Acct_Original],Table3[Category])</f>
        <v>High Balance</v>
      </c>
      <c r="P367" s="10" t="s">
        <v>32</v>
      </c>
      <c r="Q367" s="13" t="str">
        <f>_xlfn.XLOOKUP(Table1[[#This Row],[Saving_Acct_Status]],Table5[Saving_Acct_Original],Table5[Category])</f>
        <v>Low Savings</v>
      </c>
      <c r="R367" t="s">
        <v>41</v>
      </c>
      <c r="S367" s="2" t="str">
        <f>IF(
      OR(Table1[[#This Row],[Job_Type]] = "high qualif/self emp/mgmt", Table1[[#This Row],[Job_Type]] = "skilled"),
      "Skilled", "Unskilled")</f>
        <v>Skilled</v>
      </c>
      <c r="T367" t="str">
        <f>IF(Table1[[#This Row],[Job_Type]] = "unemp/unskilled non res", "Unemployed", "Employed")</f>
        <v>Employed</v>
      </c>
      <c r="U367" t="s">
        <v>38</v>
      </c>
      <c r="V367" s="14" t="str" cm="1">
        <f t="array" ref="V36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67" t="s">
        <v>31</v>
      </c>
      <c r="X367" s="2" t="str">
        <f>_xlfn.XLOOKUP(Table1[[#This Row],[Loan_Credit_History]],Table4[Credit History],Table4[[ Category]])</f>
        <v>Existing Credits Paid</v>
      </c>
      <c r="Y367" s="3">
        <v>3</v>
      </c>
      <c r="Z367" s="3">
        <v>1</v>
      </c>
      <c r="AA367" s="5">
        <v>2892</v>
      </c>
      <c r="AB367" t="s">
        <v>151</v>
      </c>
      <c r="AC367" s="2" t="str" cm="1">
        <f t="array" ref="AC367">_xlfn.IFS(Table1[[#This Row],[Others_Parties]] = "No", "None",
Table1[[#This Row],[Others_Parties]] = "co applicant", "Co-applicant",
Table1[[#This Row],[Others_Parties]] = "guarantor", "Guarantor")</f>
        <v>None</v>
      </c>
      <c r="AD367" s="13" t="s">
        <v>145</v>
      </c>
      <c r="AE367" s="2" t="s">
        <v>108</v>
      </c>
      <c r="AF367" s="28" t="str" cm="1">
        <f t="array" ref="AF36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67" s="21">
        <v>24</v>
      </c>
      <c r="AH367" s="2" t="s">
        <v>154</v>
      </c>
      <c r="AI367"/>
      <c r="AZ367"/>
      <c r="BC367"/>
      <c r="BE367"/>
      <c r="BL367"/>
      <c r="BZ367"/>
      <c r="CA367"/>
      <c r="CF367"/>
      <c r="CG367"/>
      <c r="CH367"/>
      <c r="CI367"/>
      <c r="CK367"/>
      <c r="CN367"/>
    </row>
    <row r="368" spans="1:92" x14ac:dyDescent="0.3">
      <c r="A368" s="4">
        <v>366</v>
      </c>
      <c r="B368" s="11">
        <v>29</v>
      </c>
      <c r="C368" s="2" t="str">
        <f>_xlfn.XLOOKUP(Table1[[#This Row],[Age]],Table7[Start_Age],Table7[Age_Range],,-1)</f>
        <v>29-39</v>
      </c>
      <c r="D368" t="s">
        <v>130</v>
      </c>
      <c r="E368" s="2" t="s">
        <v>129</v>
      </c>
      <c r="F368" s="2" t="s">
        <v>133</v>
      </c>
      <c r="G368" s="3">
        <v>1</v>
      </c>
      <c r="H368" s="13" t="s">
        <v>152</v>
      </c>
      <c r="I368" s="2" t="str" cm="1">
        <f t="array" ref="I368">_xlfn.IFS(Table1[[#This Row],[Job_Type]] = "unskilled resident", "Resident",
Table1[[#This Row],[Job_Type]] = "unemp/unskilled non res", "Non-resident",
TRUE, "Unknown")</f>
        <v>Unknown</v>
      </c>
      <c r="J368" s="2" t="s">
        <v>148</v>
      </c>
      <c r="K368" s="3">
        <v>1</v>
      </c>
      <c r="L368" s="2" t="s">
        <v>140</v>
      </c>
      <c r="M368" s="13" t="s">
        <v>151</v>
      </c>
      <c r="N368" t="s">
        <v>30</v>
      </c>
      <c r="O368" s="2" t="str">
        <f>_xlfn.XLOOKUP(Table1[[#This Row],[Checking_Acct_Status]],Table3[Checking_Acct_Original],Table3[Category])</f>
        <v>Low Balance</v>
      </c>
      <c r="P368" s="10" t="s">
        <v>46</v>
      </c>
      <c r="Q368" s="13" t="str">
        <f>_xlfn.XLOOKUP(Table1[[#This Row],[Saving_Acct_Status]],Table5[Saving_Acct_Original],Table5[Category])</f>
        <v>Medium Savings</v>
      </c>
      <c r="R368" t="s">
        <v>41</v>
      </c>
      <c r="S368" s="2" t="str">
        <f>IF(
      OR(Table1[[#This Row],[Job_Type]] = "high qualif/self emp/mgmt", Table1[[#This Row],[Job_Type]] = "skilled"),
      "Skilled", "Unskilled")</f>
        <v>Skilled</v>
      </c>
      <c r="T368" t="str">
        <f>IF(Table1[[#This Row],[Job_Type]] = "unemp/unskilled non res", "Unemployed", "Employed")</f>
        <v>Employed</v>
      </c>
      <c r="U368" t="s">
        <v>45</v>
      </c>
      <c r="V368" s="14" t="str" cm="1">
        <f t="array" ref="V36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68" t="s">
        <v>31</v>
      </c>
      <c r="X368" s="2" t="str">
        <f>_xlfn.XLOOKUP(Table1[[#This Row],[Loan_Credit_History]],Table4[Credit History],Table4[[ Category]])</f>
        <v>Existing Credits Paid</v>
      </c>
      <c r="Y368" s="3">
        <v>2</v>
      </c>
      <c r="Z368" s="3">
        <v>1</v>
      </c>
      <c r="AA368" s="5">
        <v>2896</v>
      </c>
      <c r="AB368" t="s">
        <v>151</v>
      </c>
      <c r="AC368" s="2" t="str" cm="1">
        <f t="array" ref="AC368">_xlfn.IFS(Table1[[#This Row],[Others_Parties]] = "No", "None",
Table1[[#This Row],[Others_Parties]] = "co applicant", "Co-applicant",
Table1[[#This Row],[Others_Parties]] = "guarantor", "Guarantor")</f>
        <v>None</v>
      </c>
      <c r="AD368" s="13" t="s">
        <v>145</v>
      </c>
      <c r="AE368" s="2" t="s">
        <v>111</v>
      </c>
      <c r="AF368" s="28" t="str" cm="1">
        <f t="array" ref="AF36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68" s="21">
        <v>24</v>
      </c>
      <c r="AH368" s="2" t="s">
        <v>154</v>
      </c>
      <c r="AI368"/>
      <c r="AZ368"/>
      <c r="BC368"/>
      <c r="BE368"/>
      <c r="BL368"/>
      <c r="BZ368"/>
      <c r="CA368"/>
      <c r="CF368"/>
      <c r="CG368"/>
      <c r="CH368"/>
      <c r="CI368"/>
      <c r="CK368"/>
      <c r="CN368"/>
    </row>
    <row r="369" spans="1:92" x14ac:dyDescent="0.3">
      <c r="A369" s="4">
        <v>367</v>
      </c>
      <c r="B369" s="11">
        <v>34</v>
      </c>
      <c r="C369" s="2" t="str">
        <f>_xlfn.XLOOKUP(Table1[[#This Row],[Age]],Table7[Start_Age],Table7[Age_Range],,-1)</f>
        <v>29-39</v>
      </c>
      <c r="D369" t="s">
        <v>130</v>
      </c>
      <c r="E369" s="2" t="s">
        <v>129</v>
      </c>
      <c r="F369" s="2" t="s">
        <v>133</v>
      </c>
      <c r="G369" s="3">
        <v>1</v>
      </c>
      <c r="H369" s="13" t="s">
        <v>152</v>
      </c>
      <c r="I369" s="2" t="str" cm="1">
        <f t="array" ref="I369">_xlfn.IFS(Table1[[#This Row],[Job_Type]] = "unskilled resident", "Resident",
Table1[[#This Row],[Job_Type]] = "unemp/unskilled non res", "Non-resident",
TRUE, "Unknown")</f>
        <v>Unknown</v>
      </c>
      <c r="J369" s="2" t="s">
        <v>150</v>
      </c>
      <c r="K369" s="3">
        <v>1</v>
      </c>
      <c r="L369" s="2" t="s">
        <v>142</v>
      </c>
      <c r="M369" s="13" t="s">
        <v>152</v>
      </c>
      <c r="N369" t="s">
        <v>35</v>
      </c>
      <c r="O369" s="2" t="str">
        <f>_xlfn.XLOOKUP(Table1[[#This Row],[Checking_Acct_Status]],Table3[Checking_Acct_Original],Table3[Category])</f>
        <v>Negative Balance</v>
      </c>
      <c r="P369" s="10" t="s">
        <v>32</v>
      </c>
      <c r="Q369" s="13" t="str">
        <f>_xlfn.XLOOKUP(Table1[[#This Row],[Saving_Acct_Status]],Table5[Saving_Acct_Original],Table5[Category])</f>
        <v>Low Savings</v>
      </c>
      <c r="R369" t="s">
        <v>63</v>
      </c>
      <c r="S369" s="2" t="str">
        <f>IF(
      OR(Table1[[#This Row],[Job_Type]] = "high qualif/self emp/mgmt", Table1[[#This Row],[Job_Type]] = "skilled"),
      "Skilled", "Unskilled")</f>
        <v>Skilled</v>
      </c>
      <c r="T369" t="str">
        <f>IF(Table1[[#This Row],[Job_Type]] = "unemp/unskilled non res", "Unemployed", "Employed")</f>
        <v>Employed</v>
      </c>
      <c r="U369" t="s">
        <v>49</v>
      </c>
      <c r="V369" s="14" t="str" cm="1">
        <f t="array" ref="V36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69" t="s">
        <v>31</v>
      </c>
      <c r="X369" s="2" t="str">
        <f>_xlfn.XLOOKUP(Table1[[#This Row],[Loan_Credit_History]],Table4[Credit History],Table4[[ Category]])</f>
        <v>Existing Credits Paid</v>
      </c>
      <c r="Y369" s="3">
        <v>2</v>
      </c>
      <c r="Z369" s="3">
        <v>1</v>
      </c>
      <c r="AA369" s="5">
        <v>2910</v>
      </c>
      <c r="AB369" t="s">
        <v>151</v>
      </c>
      <c r="AC369" s="2" t="str" cm="1">
        <f t="array" ref="AC369">_xlfn.IFS(Table1[[#This Row],[Others_Parties]] = "No", "None",
Table1[[#This Row],[Others_Parties]] = "co applicant", "Co-applicant",
Table1[[#This Row],[Others_Parties]] = "guarantor", "Guarantor")</f>
        <v>None</v>
      </c>
      <c r="AD369" s="13" t="s">
        <v>145</v>
      </c>
      <c r="AE369" s="2" t="s">
        <v>107</v>
      </c>
      <c r="AF369" s="28" t="str" cm="1">
        <f t="array" ref="AF36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69" s="21">
        <v>24</v>
      </c>
      <c r="AH369" s="2" t="s">
        <v>154</v>
      </c>
      <c r="AI369"/>
      <c r="AZ369"/>
      <c r="BC369"/>
      <c r="BE369"/>
      <c r="BL369"/>
      <c r="BZ369"/>
      <c r="CA369"/>
      <c r="CF369"/>
      <c r="CG369"/>
      <c r="CH369"/>
      <c r="CI369"/>
      <c r="CK369"/>
      <c r="CN369"/>
    </row>
    <row r="370" spans="1:92" x14ac:dyDescent="0.3">
      <c r="A370" s="4">
        <v>368</v>
      </c>
      <c r="B370" s="11">
        <v>63</v>
      </c>
      <c r="C370" s="2" t="str">
        <f>_xlfn.XLOOKUP(Table1[[#This Row],[Age]],Table7[Start_Age],Table7[Age_Range],,-1)</f>
        <v>59-69</v>
      </c>
      <c r="D370" t="s">
        <v>130</v>
      </c>
      <c r="E370" s="2" t="s">
        <v>129</v>
      </c>
      <c r="F370" s="2" t="s">
        <v>133</v>
      </c>
      <c r="G370" s="3">
        <v>2</v>
      </c>
      <c r="H370" s="13" t="s">
        <v>152</v>
      </c>
      <c r="I370" s="2" t="str" cm="1">
        <f t="array" ref="I370">_xlfn.IFS(Table1[[#This Row],[Job_Type]] = "unskilled resident", "Resident",
Table1[[#This Row],[Job_Type]] = "unemp/unskilled non res", "Non-resident",
TRUE, "Unknown")</f>
        <v>Unknown</v>
      </c>
      <c r="J370" s="2" t="s">
        <v>148</v>
      </c>
      <c r="K370" s="3">
        <v>4</v>
      </c>
      <c r="L370" s="2" t="s">
        <v>142</v>
      </c>
      <c r="M370" s="13" t="s">
        <v>152</v>
      </c>
      <c r="N370" t="s">
        <v>35</v>
      </c>
      <c r="O370" s="2" t="str">
        <f>_xlfn.XLOOKUP(Table1[[#This Row],[Checking_Acct_Status]],Table3[Checking_Acct_Original],Table3[Category])</f>
        <v>Negative Balance</v>
      </c>
      <c r="P370" s="10" t="s">
        <v>32</v>
      </c>
      <c r="Q370" s="13" t="str">
        <f>_xlfn.XLOOKUP(Table1[[#This Row],[Saving_Acct_Status]],Table5[Saving_Acct_Original],Table5[Category])</f>
        <v>Low Savings</v>
      </c>
      <c r="R370" t="s">
        <v>41</v>
      </c>
      <c r="S370" s="2" t="str">
        <f>IF(
      OR(Table1[[#This Row],[Job_Type]] = "high qualif/self emp/mgmt", Table1[[#This Row],[Job_Type]] = "skilled"),
      "Skilled", "Unskilled")</f>
        <v>Skilled</v>
      </c>
      <c r="T370" t="str">
        <f>IF(Table1[[#This Row],[Job_Type]] = "unemp/unskilled non res", "Unemployed", "Employed")</f>
        <v>Employed</v>
      </c>
      <c r="U370" t="s">
        <v>21</v>
      </c>
      <c r="V370" s="14" t="str" cm="1">
        <f t="array" ref="V37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70" t="s">
        <v>31</v>
      </c>
      <c r="X370" s="2" t="str">
        <f>_xlfn.XLOOKUP(Table1[[#This Row],[Loan_Credit_History]],Table4[Credit History],Table4[[ Category]])</f>
        <v>Existing Credits Paid</v>
      </c>
      <c r="Y370" s="3">
        <v>3</v>
      </c>
      <c r="Z370" s="3">
        <v>1</v>
      </c>
      <c r="AA370" s="5">
        <v>2924</v>
      </c>
      <c r="AB370" t="s">
        <v>58</v>
      </c>
      <c r="AC370" s="2" t="str" cm="1">
        <f t="array" ref="AC370">_xlfn.IFS(Table1[[#This Row],[Others_Parties]] = "No", "None",
Table1[[#This Row],[Others_Parties]] = "co applicant", "Co-applicant",
Table1[[#This Row],[Others_Parties]] = "guarantor", "Guarantor")</f>
        <v>Guarantor</v>
      </c>
      <c r="AD370" s="13" t="s">
        <v>146</v>
      </c>
      <c r="AE370" s="2" t="s">
        <v>107</v>
      </c>
      <c r="AF370" s="28" t="str" cm="1">
        <f t="array" ref="AF37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70" s="21">
        <v>24</v>
      </c>
      <c r="AH370" s="2" t="s">
        <v>154</v>
      </c>
      <c r="AI370"/>
      <c r="AZ370"/>
      <c r="BC370"/>
      <c r="BE370"/>
      <c r="BL370"/>
      <c r="BZ370"/>
      <c r="CA370"/>
      <c r="CF370"/>
      <c r="CG370"/>
      <c r="CH370"/>
      <c r="CI370"/>
      <c r="CK370"/>
      <c r="CN370"/>
    </row>
    <row r="371" spans="1:92" x14ac:dyDescent="0.3">
      <c r="A371" s="4">
        <v>369</v>
      </c>
      <c r="B371" s="11">
        <v>63</v>
      </c>
      <c r="C371" s="2" t="str">
        <f>_xlfn.XLOOKUP(Table1[[#This Row],[Age]],Table7[Start_Age],Table7[Age_Range],,-1)</f>
        <v>59-69</v>
      </c>
      <c r="D371" t="s">
        <v>130</v>
      </c>
      <c r="E371" s="2" t="s">
        <v>129</v>
      </c>
      <c r="F371" s="2" t="s">
        <v>133</v>
      </c>
      <c r="G371" s="3">
        <v>1</v>
      </c>
      <c r="H371" s="13" t="s">
        <v>152</v>
      </c>
      <c r="I371" s="2" t="str" cm="1">
        <f t="array" ref="I371">_xlfn.IFS(Table1[[#This Row],[Job_Type]] = "unskilled resident", "Resident",
Table1[[#This Row],[Job_Type]] = "unemp/unskilled non res", "Non-resident",
TRUE, "Unknown")</f>
        <v>Unknown</v>
      </c>
      <c r="J371" s="2" t="s">
        <v>148</v>
      </c>
      <c r="K371" s="3">
        <v>4</v>
      </c>
      <c r="L371" s="2" t="s">
        <v>143</v>
      </c>
      <c r="M371" s="13" t="s">
        <v>152</v>
      </c>
      <c r="N371" t="s">
        <v>35</v>
      </c>
      <c r="O371" s="2" t="str">
        <f>_xlfn.XLOOKUP(Table1[[#This Row],[Checking_Acct_Status]],Table3[Checking_Acct_Original],Table3[Category])</f>
        <v>Negative Balance</v>
      </c>
      <c r="P371" s="10" t="s">
        <v>32</v>
      </c>
      <c r="Q371" s="13" t="str">
        <f>_xlfn.XLOOKUP(Table1[[#This Row],[Saving_Acct_Status]],Table5[Saving_Acct_Original],Table5[Category])</f>
        <v>Low Savings</v>
      </c>
      <c r="R371" t="s">
        <v>41</v>
      </c>
      <c r="S371" s="2" t="str">
        <f>IF(
      OR(Table1[[#This Row],[Job_Type]] = "high qualif/self emp/mgmt", Table1[[#This Row],[Job_Type]] = "skilled"),
      "Skilled", "Unskilled")</f>
        <v>Skilled</v>
      </c>
      <c r="T371" t="str">
        <f>IF(Table1[[#This Row],[Job_Type]] = "unemp/unskilled non res", "Unemployed", "Employed")</f>
        <v>Employed</v>
      </c>
      <c r="U371" t="s">
        <v>38</v>
      </c>
      <c r="V371" s="14" t="str" cm="1">
        <f t="array" ref="V37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71" t="s">
        <v>103</v>
      </c>
      <c r="X371" s="2" t="str">
        <f>_xlfn.XLOOKUP(Table1[[#This Row],[Loan_Credit_History]],Table4[Credit History],Table4[[ Category]])</f>
        <v>Critical Credit History</v>
      </c>
      <c r="Y371" s="3">
        <v>4</v>
      </c>
      <c r="Z371" s="3">
        <v>2</v>
      </c>
      <c r="AA371" s="5">
        <v>2957</v>
      </c>
      <c r="AB371" t="s">
        <v>151</v>
      </c>
      <c r="AC371" s="2" t="str" cm="1">
        <f t="array" ref="AC371">_xlfn.IFS(Table1[[#This Row],[Others_Parties]] = "No", "None",
Table1[[#This Row],[Others_Parties]] = "co applicant", "Co-applicant",
Table1[[#This Row],[Others_Parties]] = "guarantor", "Guarantor")</f>
        <v>None</v>
      </c>
      <c r="AD371" s="13" t="s">
        <v>145</v>
      </c>
      <c r="AE371" s="2" t="s">
        <v>107</v>
      </c>
      <c r="AF371" s="28" t="str" cm="1">
        <f t="array" ref="AF37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71" s="21">
        <v>24</v>
      </c>
      <c r="AH371" s="2" t="s">
        <v>154</v>
      </c>
      <c r="AI371"/>
      <c r="AZ371"/>
      <c r="BC371"/>
      <c r="BE371"/>
      <c r="BL371"/>
      <c r="BZ371"/>
      <c r="CA371"/>
      <c r="CF371"/>
      <c r="CG371"/>
      <c r="CH371"/>
      <c r="CI371"/>
      <c r="CK371"/>
      <c r="CN371"/>
    </row>
    <row r="372" spans="1:92" x14ac:dyDescent="0.3">
      <c r="A372" s="4">
        <v>370</v>
      </c>
      <c r="B372" s="11">
        <v>49</v>
      </c>
      <c r="C372" s="2" t="str">
        <f>_xlfn.XLOOKUP(Table1[[#This Row],[Age]],Table7[Start_Age],Table7[Age_Range],,-1)</f>
        <v>49-59</v>
      </c>
      <c r="D372" t="s">
        <v>130</v>
      </c>
      <c r="E372" s="2" t="s">
        <v>129</v>
      </c>
      <c r="F372" s="2" t="s">
        <v>133</v>
      </c>
      <c r="G372" s="3">
        <v>2</v>
      </c>
      <c r="H372" s="13" t="s">
        <v>152</v>
      </c>
      <c r="I372" s="2" t="str" cm="1">
        <f t="array" ref="I372">_xlfn.IFS(Table1[[#This Row],[Job_Type]] = "unskilled resident", "Resident",
Table1[[#This Row],[Job_Type]] = "unemp/unskilled non res", "Non-resident",
TRUE, "Unknown")</f>
        <v>Unknown</v>
      </c>
      <c r="J372" s="2" t="s">
        <v>150</v>
      </c>
      <c r="K372" s="3">
        <v>4</v>
      </c>
      <c r="L372" s="2" t="s">
        <v>142</v>
      </c>
      <c r="M372" s="13" t="s">
        <v>152</v>
      </c>
      <c r="N372" t="s">
        <v>35</v>
      </c>
      <c r="O372" s="2" t="str">
        <f>_xlfn.XLOOKUP(Table1[[#This Row],[Checking_Acct_Status]],Table3[Checking_Acct_Original],Table3[Category])</f>
        <v>Negative Balance</v>
      </c>
      <c r="P372" s="10" t="s">
        <v>47</v>
      </c>
      <c r="Q372" s="13" t="str">
        <f>_xlfn.XLOOKUP(Table1[[#This Row],[Saving_Acct_Status]],Table5[Saving_Acct_Original],Table5[Category])</f>
        <v>No Savings</v>
      </c>
      <c r="R372" t="s">
        <v>41</v>
      </c>
      <c r="S372" s="2" t="str">
        <f>IF(
      OR(Table1[[#This Row],[Job_Type]] = "high qualif/self emp/mgmt", Table1[[#This Row],[Job_Type]] = "skilled"),
      "Skilled", "Unskilled")</f>
        <v>Skilled</v>
      </c>
      <c r="T372" t="str">
        <f>IF(Table1[[#This Row],[Job_Type]] = "unemp/unskilled non res", "Unemployed", "Employed")</f>
        <v>Employed</v>
      </c>
      <c r="U372" t="s">
        <v>38</v>
      </c>
      <c r="V372" s="14" t="str" cm="1">
        <f t="array" ref="V37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72" t="s">
        <v>31</v>
      </c>
      <c r="X372" s="2" t="str">
        <f>_xlfn.XLOOKUP(Table1[[#This Row],[Loan_Credit_History]],Table4[Credit History],Table4[[ Category]])</f>
        <v>Existing Credits Paid</v>
      </c>
      <c r="Y372" s="3">
        <v>4</v>
      </c>
      <c r="Z372" s="3">
        <v>1</v>
      </c>
      <c r="AA372" s="5">
        <v>2964</v>
      </c>
      <c r="AB372" t="s">
        <v>151</v>
      </c>
      <c r="AC372" s="2" t="str" cm="1">
        <f t="array" ref="AC372">_xlfn.IFS(Table1[[#This Row],[Others_Parties]] = "No", "None",
Table1[[#This Row],[Others_Parties]] = "co applicant", "Co-applicant",
Table1[[#This Row],[Others_Parties]] = "guarantor", "Guarantor")</f>
        <v>None</v>
      </c>
      <c r="AD372" s="13" t="s">
        <v>146</v>
      </c>
      <c r="AE372" s="2" t="s">
        <v>107</v>
      </c>
      <c r="AF372" s="28" t="str" cm="1">
        <f t="array" ref="AF37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72" s="21">
        <v>24</v>
      </c>
      <c r="AH372" s="2" t="s">
        <v>154</v>
      </c>
      <c r="AI372"/>
      <c r="AZ372"/>
      <c r="BC372"/>
      <c r="BE372"/>
      <c r="BL372"/>
      <c r="BZ372"/>
      <c r="CA372"/>
      <c r="CF372"/>
      <c r="CG372"/>
      <c r="CH372"/>
      <c r="CI372"/>
      <c r="CK372"/>
      <c r="CN372"/>
    </row>
    <row r="373" spans="1:92" x14ac:dyDescent="0.3">
      <c r="A373" s="4">
        <v>371</v>
      </c>
      <c r="B373" s="11">
        <v>32</v>
      </c>
      <c r="C373" s="2" t="str">
        <f>_xlfn.XLOOKUP(Table1[[#This Row],[Age]],Table7[Start_Age],Table7[Age_Range],,-1)</f>
        <v>29-39</v>
      </c>
      <c r="D373" t="s">
        <v>130</v>
      </c>
      <c r="E373" s="2" t="s">
        <v>129</v>
      </c>
      <c r="F373" s="2" t="s">
        <v>133</v>
      </c>
      <c r="G373" s="3">
        <v>2</v>
      </c>
      <c r="H373" s="13" t="s">
        <v>152</v>
      </c>
      <c r="I373" s="2" t="str" cm="1">
        <f t="array" ref="I373">_xlfn.IFS(Table1[[#This Row],[Job_Type]] = "unskilled resident", "Resident",
Table1[[#This Row],[Job_Type]] = "unemp/unskilled non res", "Non-resident",
TRUE, "Unknown")</f>
        <v>Unknown</v>
      </c>
      <c r="J373" s="2" t="s">
        <v>148</v>
      </c>
      <c r="K373" s="3">
        <v>4</v>
      </c>
      <c r="L373" s="2" t="s">
        <v>144</v>
      </c>
      <c r="M373" s="13" t="s">
        <v>152</v>
      </c>
      <c r="N373" t="s">
        <v>17</v>
      </c>
      <c r="O373" s="2" t="str">
        <f>_xlfn.XLOOKUP(Table1[[#This Row],[Checking_Acct_Status]],Table3[Checking_Acct_Original],Table3[Category])</f>
        <v>No Account</v>
      </c>
      <c r="P373" s="10" t="s">
        <v>47</v>
      </c>
      <c r="Q373" s="13" t="str">
        <f>_xlfn.XLOOKUP(Table1[[#This Row],[Saving_Acct_Status]],Table5[Saving_Acct_Original],Table5[Category])</f>
        <v>No Savings</v>
      </c>
      <c r="R373" t="s">
        <v>41</v>
      </c>
      <c r="S373" s="2" t="str">
        <f>IF(
      OR(Table1[[#This Row],[Job_Type]] = "high qualif/self emp/mgmt", Table1[[#This Row],[Job_Type]] = "skilled"),
      "Skilled", "Unskilled")</f>
        <v>Skilled</v>
      </c>
      <c r="T373" t="str">
        <f>IF(Table1[[#This Row],[Job_Type]] = "unemp/unskilled non res", "Unemployed", "Employed")</f>
        <v>Employed</v>
      </c>
      <c r="U373" t="s">
        <v>21</v>
      </c>
      <c r="V373" s="14" t="str" cm="1">
        <f t="array" ref="V37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73" t="s">
        <v>59</v>
      </c>
      <c r="X373" s="2" t="str">
        <f>_xlfn.XLOOKUP(Table1[[#This Row],[Loan_Credit_History]],Table4[Credit History],Table4[[ Category]])</f>
        <v>Previously Delayed</v>
      </c>
      <c r="Y373" s="3">
        <v>4</v>
      </c>
      <c r="Z373" s="3">
        <v>2</v>
      </c>
      <c r="AA373" s="5">
        <v>2978</v>
      </c>
      <c r="AB373" t="s">
        <v>151</v>
      </c>
      <c r="AC373" s="2" t="str" cm="1">
        <f t="array" ref="AC373">_xlfn.IFS(Table1[[#This Row],[Others_Parties]] = "No", "None",
Table1[[#This Row],[Others_Parties]] = "co applicant", "Co-applicant",
Table1[[#This Row],[Others_Parties]] = "guarantor", "Guarantor")</f>
        <v>None</v>
      </c>
      <c r="AD373" s="13" t="s">
        <v>145</v>
      </c>
      <c r="AE373" s="2" t="s">
        <v>105</v>
      </c>
      <c r="AF373" s="28" t="str" cm="1">
        <f t="array" ref="AF37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73" s="21">
        <v>24</v>
      </c>
      <c r="AH373" s="2" t="s">
        <v>154</v>
      </c>
      <c r="AI373"/>
      <c r="AZ373"/>
      <c r="BC373"/>
      <c r="BE373"/>
      <c r="BL373"/>
      <c r="BZ373"/>
      <c r="CA373"/>
      <c r="CF373"/>
      <c r="CG373"/>
      <c r="CH373"/>
      <c r="CI373"/>
      <c r="CK373"/>
      <c r="CN373"/>
    </row>
    <row r="374" spans="1:92" x14ac:dyDescent="0.3">
      <c r="A374" s="4">
        <v>372</v>
      </c>
      <c r="B374" s="11">
        <v>20</v>
      </c>
      <c r="C374" s="2" t="str">
        <f>_xlfn.XLOOKUP(Table1[[#This Row],[Age]],Table7[Start_Age],Table7[Age_Range],,-1)</f>
        <v>19-29</v>
      </c>
      <c r="D374" t="s">
        <v>134</v>
      </c>
      <c r="E374" s="2" t="s">
        <v>129</v>
      </c>
      <c r="F374" s="2" t="s">
        <v>135</v>
      </c>
      <c r="G374" s="3">
        <v>1</v>
      </c>
      <c r="H374" s="13" t="s">
        <v>152</v>
      </c>
      <c r="I374" s="2" t="str" cm="1">
        <f t="array" ref="I374">_xlfn.IFS(Table1[[#This Row],[Job_Type]] = "unskilled resident", "Resident",
Table1[[#This Row],[Job_Type]] = "unemp/unskilled non res", "Non-resident",
TRUE, "Unknown")</f>
        <v>Unknown</v>
      </c>
      <c r="J374" s="2" t="s">
        <v>148</v>
      </c>
      <c r="K374" s="3">
        <v>4</v>
      </c>
      <c r="L374" s="2" t="s">
        <v>140</v>
      </c>
      <c r="M374" s="13" t="s">
        <v>151</v>
      </c>
      <c r="N374" t="s">
        <v>35</v>
      </c>
      <c r="O374" s="2" t="str">
        <f>_xlfn.XLOOKUP(Table1[[#This Row],[Checking_Acct_Status]],Table3[Checking_Acct_Original],Table3[Category])</f>
        <v>Negative Balance</v>
      </c>
      <c r="P374" s="10" t="s">
        <v>47</v>
      </c>
      <c r="Q374" s="13" t="str">
        <f>_xlfn.XLOOKUP(Table1[[#This Row],[Saving_Acct_Status]],Table5[Saving_Acct_Original],Table5[Category])</f>
        <v>No Savings</v>
      </c>
      <c r="R374" t="s">
        <v>41</v>
      </c>
      <c r="S374" s="2" t="str">
        <f>IF(
      OR(Table1[[#This Row],[Job_Type]] = "high qualif/self emp/mgmt", Table1[[#This Row],[Job_Type]] = "skilled"),
      "Skilled", "Unskilled")</f>
        <v>Skilled</v>
      </c>
      <c r="T374" t="str">
        <f>IF(Table1[[#This Row],[Job_Type]] = "unemp/unskilled non res", "Unemployed", "Employed")</f>
        <v>Employed</v>
      </c>
      <c r="U374" t="s">
        <v>21</v>
      </c>
      <c r="V374" s="14" t="str" cm="1">
        <f t="array" ref="V37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74" t="s">
        <v>31</v>
      </c>
      <c r="X374" s="2" t="str">
        <f>_xlfn.XLOOKUP(Table1[[#This Row],[Loan_Credit_History]],Table4[Credit History],Table4[[ Category]])</f>
        <v>Existing Credits Paid</v>
      </c>
      <c r="Y374" s="3">
        <v>2</v>
      </c>
      <c r="Z374" s="3">
        <v>1</v>
      </c>
      <c r="AA374" s="5">
        <v>2996</v>
      </c>
      <c r="AB374" t="s">
        <v>151</v>
      </c>
      <c r="AC374" s="2" t="str" cm="1">
        <f t="array" ref="AC374">_xlfn.IFS(Table1[[#This Row],[Others_Parties]] = "No", "None",
Table1[[#This Row],[Others_Parties]] = "co applicant", "Co-applicant",
Table1[[#This Row],[Others_Parties]] = "guarantor", "Guarantor")</f>
        <v>None</v>
      </c>
      <c r="AD374" s="13" t="s">
        <v>145</v>
      </c>
      <c r="AE374" s="2" t="s">
        <v>108</v>
      </c>
      <c r="AF374" s="28" t="str" cm="1">
        <f t="array" ref="AF37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74" s="21">
        <v>24</v>
      </c>
      <c r="AH374" s="2" t="s">
        <v>153</v>
      </c>
      <c r="AI374"/>
      <c r="AZ374"/>
      <c r="BC374"/>
      <c r="BE374"/>
      <c r="BL374"/>
      <c r="BZ374"/>
      <c r="CA374"/>
      <c r="CF374"/>
      <c r="CG374"/>
      <c r="CH374"/>
      <c r="CI374"/>
      <c r="CK374"/>
      <c r="CN374"/>
    </row>
    <row r="375" spans="1:92" x14ac:dyDescent="0.3">
      <c r="A375" s="4">
        <v>373</v>
      </c>
      <c r="B375" s="11">
        <v>24</v>
      </c>
      <c r="C375" s="2" t="str">
        <f>_xlfn.XLOOKUP(Table1[[#This Row],[Age]],Table7[Start_Age],Table7[Age_Range],,-1)</f>
        <v>19-29</v>
      </c>
      <c r="D375" t="s">
        <v>138</v>
      </c>
      <c r="E375" s="2" t="s">
        <v>129</v>
      </c>
      <c r="F375" s="2" t="s">
        <v>178</v>
      </c>
      <c r="G375" s="3">
        <v>1</v>
      </c>
      <c r="H375" s="13" t="s">
        <v>152</v>
      </c>
      <c r="I375" s="2" t="str" cm="1">
        <f t="array" ref="I375">_xlfn.IFS(Table1[[#This Row],[Job_Type]] = "unskilled resident", "Resident",
Table1[[#This Row],[Job_Type]] = "unemp/unskilled non res", "Non-resident",
TRUE, "Unknown")</f>
        <v>Resident</v>
      </c>
      <c r="J375" s="2" t="s">
        <v>149</v>
      </c>
      <c r="K375" s="3">
        <v>2</v>
      </c>
      <c r="L375" s="2" t="s">
        <v>144</v>
      </c>
      <c r="M375" s="13" t="s">
        <v>151</v>
      </c>
      <c r="N375" t="s">
        <v>35</v>
      </c>
      <c r="O375" s="2" t="str">
        <f>_xlfn.XLOOKUP(Table1[[#This Row],[Checking_Acct_Status]],Table3[Checking_Acct_Original],Table3[Category])</f>
        <v>Negative Balance</v>
      </c>
      <c r="P375" s="10" t="s">
        <v>32</v>
      </c>
      <c r="Q375" s="13" t="str">
        <f>_xlfn.XLOOKUP(Table1[[#This Row],[Saving_Acct_Status]],Table5[Saving_Acct_Original],Table5[Category])</f>
        <v>Low Savings</v>
      </c>
      <c r="R375" t="s">
        <v>27</v>
      </c>
      <c r="S375" s="2" t="str">
        <f>IF(
      OR(Table1[[#This Row],[Job_Type]] = "high qualif/self emp/mgmt", Table1[[#This Row],[Job_Type]] = "skilled"),
      "Skilled", "Unskilled")</f>
        <v>Unskilled</v>
      </c>
      <c r="T375" t="str">
        <f>IF(Table1[[#This Row],[Job_Type]] = "unemp/unskilled non res", "Unemployed", "Employed")</f>
        <v>Employed</v>
      </c>
      <c r="U375" t="s">
        <v>21</v>
      </c>
      <c r="V375" s="14" t="str" cm="1">
        <f t="array" ref="V37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75" t="s">
        <v>31</v>
      </c>
      <c r="X375" s="2" t="str">
        <f>_xlfn.XLOOKUP(Table1[[#This Row],[Loan_Credit_History]],Table4[Credit History],Table4[[ Category]])</f>
        <v>Existing Credits Paid</v>
      </c>
      <c r="Y375" s="3">
        <v>2</v>
      </c>
      <c r="Z375" s="3">
        <v>1</v>
      </c>
      <c r="AA375" s="5">
        <v>3021</v>
      </c>
      <c r="AB375" t="s">
        <v>151</v>
      </c>
      <c r="AC375" s="2" t="str" cm="1">
        <f t="array" ref="AC375">_xlfn.IFS(Table1[[#This Row],[Others_Parties]] = "No", "None",
Table1[[#This Row],[Others_Parties]] = "co applicant", "Co-applicant",
Table1[[#This Row],[Others_Parties]] = "guarantor", "Guarantor")</f>
        <v>None</v>
      </c>
      <c r="AD375" s="13" t="s">
        <v>145</v>
      </c>
      <c r="AE375" s="2" t="s">
        <v>108</v>
      </c>
      <c r="AF375" s="28" t="str" cm="1">
        <f t="array" ref="AF37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75" s="21">
        <v>24</v>
      </c>
      <c r="AH375" s="2" t="s">
        <v>154</v>
      </c>
      <c r="AI375"/>
      <c r="AZ375"/>
      <c r="BC375"/>
      <c r="BE375"/>
      <c r="BL375"/>
      <c r="BZ375"/>
      <c r="CA375"/>
      <c r="CF375"/>
      <c r="CG375"/>
      <c r="CH375"/>
      <c r="CI375"/>
      <c r="CK375"/>
      <c r="CN375"/>
    </row>
    <row r="376" spans="1:92" x14ac:dyDescent="0.3">
      <c r="A376" s="4">
        <v>374</v>
      </c>
      <c r="B376" s="11">
        <v>32</v>
      </c>
      <c r="C376" s="2" t="str">
        <f>_xlfn.XLOOKUP(Table1[[#This Row],[Age]],Table7[Start_Age],Table7[Age_Range],,-1)</f>
        <v>29-39</v>
      </c>
      <c r="D376" t="s">
        <v>130</v>
      </c>
      <c r="E376" s="2" t="s">
        <v>129</v>
      </c>
      <c r="F376" s="2" t="s">
        <v>133</v>
      </c>
      <c r="G376" s="3">
        <v>1</v>
      </c>
      <c r="H376" s="13" t="s">
        <v>152</v>
      </c>
      <c r="I376" s="2" t="str" cm="1">
        <f t="array" ref="I376">_xlfn.IFS(Table1[[#This Row],[Job_Type]] = "unskilled resident", "Resident",
Table1[[#This Row],[Job_Type]] = "unemp/unskilled non res", "Non-resident",
TRUE, "Unknown")</f>
        <v>Unknown</v>
      </c>
      <c r="J376" s="2" t="s">
        <v>149</v>
      </c>
      <c r="K376" s="3">
        <v>3</v>
      </c>
      <c r="L376" s="2" t="s">
        <v>142</v>
      </c>
      <c r="M376" s="13" t="s">
        <v>152</v>
      </c>
      <c r="N376" t="s">
        <v>17</v>
      </c>
      <c r="O376" s="2" t="str">
        <f>_xlfn.XLOOKUP(Table1[[#This Row],[Checking_Acct_Status]],Table3[Checking_Acct_Original],Table3[Category])</f>
        <v>No Account</v>
      </c>
      <c r="P376" s="10" t="s">
        <v>37</v>
      </c>
      <c r="Q376" s="13" t="str">
        <f>_xlfn.XLOOKUP(Table1[[#This Row],[Saving_Acct_Status]],Table5[Saving_Acct_Original],Table5[Category])</f>
        <v>High Savings</v>
      </c>
      <c r="R376" t="s">
        <v>41</v>
      </c>
      <c r="S376" s="2" t="str">
        <f>IF(
      OR(Table1[[#This Row],[Job_Type]] = "high qualif/self emp/mgmt", Table1[[#This Row],[Job_Type]] = "skilled"),
      "Skilled", "Unskilled")</f>
        <v>Skilled</v>
      </c>
      <c r="T376" t="str">
        <f>IF(Table1[[#This Row],[Job_Type]] = "unemp/unskilled non res", "Unemployed", "Employed")</f>
        <v>Employed</v>
      </c>
      <c r="U376" t="s">
        <v>38</v>
      </c>
      <c r="V376" s="14" t="str" cm="1">
        <f t="array" ref="V37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76" t="s">
        <v>31</v>
      </c>
      <c r="X376" s="2" t="str">
        <f>_xlfn.XLOOKUP(Table1[[#This Row],[Loan_Credit_History]],Table4[Credit History],Table4[[ Category]])</f>
        <v>Existing Credits Paid</v>
      </c>
      <c r="Y376" s="3">
        <v>4</v>
      </c>
      <c r="Z376" s="3">
        <v>1</v>
      </c>
      <c r="AA376" s="5">
        <v>3062</v>
      </c>
      <c r="AB376" t="s">
        <v>151</v>
      </c>
      <c r="AC376" s="2" t="str" cm="1">
        <f t="array" ref="AC376">_xlfn.IFS(Table1[[#This Row],[Others_Parties]] = "No", "None",
Table1[[#This Row],[Others_Parties]] = "co applicant", "Co-applicant",
Table1[[#This Row],[Others_Parties]] = "guarantor", "Guarantor")</f>
        <v>None</v>
      </c>
      <c r="AD376" s="13" t="s">
        <v>145</v>
      </c>
      <c r="AE376" s="2" t="s">
        <v>108</v>
      </c>
      <c r="AF376" s="28" t="str" cm="1">
        <f t="array" ref="AF37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76" s="21">
        <v>24</v>
      </c>
      <c r="AH376" s="2" t="s">
        <v>154</v>
      </c>
      <c r="AI376"/>
      <c r="AZ376"/>
      <c r="BC376"/>
      <c r="BE376"/>
      <c r="BL376"/>
      <c r="BZ376"/>
      <c r="CA376"/>
      <c r="CF376"/>
      <c r="CG376"/>
      <c r="CH376"/>
      <c r="CI376"/>
      <c r="CK376"/>
      <c r="CN376"/>
    </row>
    <row r="377" spans="1:92" x14ac:dyDescent="0.3">
      <c r="A377" s="4">
        <v>375</v>
      </c>
      <c r="B377" s="11">
        <v>30</v>
      </c>
      <c r="C377" s="2" t="str">
        <f>_xlfn.XLOOKUP(Table1[[#This Row],[Age]],Table7[Start_Age],Table7[Age_Range],,-1)</f>
        <v>29-39</v>
      </c>
      <c r="D377" t="s">
        <v>130</v>
      </c>
      <c r="E377" s="2" t="s">
        <v>129</v>
      </c>
      <c r="F377" s="2" t="s">
        <v>133</v>
      </c>
      <c r="G377" s="3">
        <v>1</v>
      </c>
      <c r="H377" s="13" t="s">
        <v>152</v>
      </c>
      <c r="I377" s="2" t="str" cm="1">
        <f t="array" ref="I377">_xlfn.IFS(Table1[[#This Row],[Job_Type]] = "unskilled resident", "Resident",
Table1[[#This Row],[Job_Type]] = "unemp/unskilled non res", "Non-resident",
TRUE, "Unknown")</f>
        <v>Unknown</v>
      </c>
      <c r="J377" s="2" t="s">
        <v>150</v>
      </c>
      <c r="K377" s="3">
        <v>4</v>
      </c>
      <c r="L377" s="2" t="s">
        <v>142</v>
      </c>
      <c r="M377" s="13" t="s">
        <v>151</v>
      </c>
      <c r="N377" t="s">
        <v>30</v>
      </c>
      <c r="O377" s="2" t="str">
        <f>_xlfn.XLOOKUP(Table1[[#This Row],[Checking_Acct_Status]],Table3[Checking_Acct_Original],Table3[Category])</f>
        <v>Low Balance</v>
      </c>
      <c r="P377" s="10" t="s">
        <v>46</v>
      </c>
      <c r="Q377" s="13" t="str">
        <f>_xlfn.XLOOKUP(Table1[[#This Row],[Saving_Acct_Status]],Table5[Saving_Acct_Original],Table5[Category])</f>
        <v>Medium Savings</v>
      </c>
      <c r="R377" t="s">
        <v>41</v>
      </c>
      <c r="S377" s="2" t="str">
        <f>IF(
      OR(Table1[[#This Row],[Job_Type]] = "high qualif/self emp/mgmt", Table1[[#This Row],[Job_Type]] = "skilled"),
      "Skilled", "Unskilled")</f>
        <v>Skilled</v>
      </c>
      <c r="T377" t="str">
        <f>IF(Table1[[#This Row],[Job_Type]] = "unemp/unskilled non res", "Unemployed", "Employed")</f>
        <v>Employed</v>
      </c>
      <c r="U377" t="s">
        <v>38</v>
      </c>
      <c r="V377" s="14" t="str" cm="1">
        <f t="array" ref="V37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77" t="s">
        <v>31</v>
      </c>
      <c r="X377" s="2" t="str">
        <f>_xlfn.XLOOKUP(Table1[[#This Row],[Loan_Credit_History]],Table4[Credit History],Table4[[ Category]])</f>
        <v>Existing Credits Paid</v>
      </c>
      <c r="Y377" s="3">
        <v>4</v>
      </c>
      <c r="Z377" s="3">
        <v>1</v>
      </c>
      <c r="AA377" s="5">
        <v>3069</v>
      </c>
      <c r="AB377" t="s">
        <v>151</v>
      </c>
      <c r="AC377" s="2" t="str" cm="1">
        <f t="array" ref="AC377">_xlfn.IFS(Table1[[#This Row],[Others_Parties]] = "No", "None",
Table1[[#This Row],[Others_Parties]] = "co applicant", "Co-applicant",
Table1[[#This Row],[Others_Parties]] = "guarantor", "Guarantor")</f>
        <v>None</v>
      </c>
      <c r="AD377" s="13" t="s">
        <v>145</v>
      </c>
      <c r="AE377" s="2" t="s">
        <v>108</v>
      </c>
      <c r="AF377" s="28" t="str" cm="1">
        <f t="array" ref="AF37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77" s="21">
        <v>24</v>
      </c>
      <c r="AH377" s="2" t="s">
        <v>154</v>
      </c>
      <c r="AI377"/>
      <c r="AZ377"/>
      <c r="BC377"/>
      <c r="BE377"/>
      <c r="BL377"/>
      <c r="BZ377"/>
      <c r="CA377"/>
      <c r="CF377"/>
      <c r="CG377"/>
      <c r="CH377"/>
      <c r="CI377"/>
      <c r="CK377"/>
      <c r="CN377"/>
    </row>
    <row r="378" spans="1:92" x14ac:dyDescent="0.3">
      <c r="A378" s="4">
        <v>376</v>
      </c>
      <c r="B378" s="11">
        <v>22</v>
      </c>
      <c r="C378" s="2" t="str">
        <f>_xlfn.XLOOKUP(Table1[[#This Row],[Age]],Table7[Start_Age],Table7[Age_Range],,-1)</f>
        <v>19-29</v>
      </c>
      <c r="D378" t="s">
        <v>134</v>
      </c>
      <c r="E378" s="2" t="s">
        <v>129</v>
      </c>
      <c r="F378" s="2" t="s">
        <v>135</v>
      </c>
      <c r="G378" s="3">
        <v>1</v>
      </c>
      <c r="H378" s="13" t="s">
        <v>152</v>
      </c>
      <c r="I378" s="2" t="str" cm="1">
        <f t="array" ref="I378">_xlfn.IFS(Table1[[#This Row],[Job_Type]] = "unskilled resident", "Resident",
Table1[[#This Row],[Job_Type]] = "unemp/unskilled non res", "Non-resident",
TRUE, "Unknown")</f>
        <v>Unknown</v>
      </c>
      <c r="J378" s="2" t="s">
        <v>149</v>
      </c>
      <c r="K378" s="3">
        <v>2</v>
      </c>
      <c r="L378" s="2" t="s">
        <v>140</v>
      </c>
      <c r="M378" s="13" t="s">
        <v>152</v>
      </c>
      <c r="N378" t="s">
        <v>30</v>
      </c>
      <c r="O378" s="2" t="str">
        <f>_xlfn.XLOOKUP(Table1[[#This Row],[Checking_Acct_Status]],Table3[Checking_Acct_Original],Table3[Category])</f>
        <v>Low Balance</v>
      </c>
      <c r="P378" s="10" t="s">
        <v>46</v>
      </c>
      <c r="Q378" s="13" t="str">
        <f>_xlfn.XLOOKUP(Table1[[#This Row],[Saving_Acct_Status]],Table5[Saving_Acct_Original],Table5[Category])</f>
        <v>Medium Savings</v>
      </c>
      <c r="R378" t="s">
        <v>41</v>
      </c>
      <c r="S378" s="2" t="str">
        <f>IF(
      OR(Table1[[#This Row],[Job_Type]] = "high qualif/self emp/mgmt", Table1[[#This Row],[Job_Type]] = "skilled"),
      "Skilled", "Unskilled")</f>
        <v>Skilled</v>
      </c>
      <c r="T378" t="str">
        <f>IF(Table1[[#This Row],[Job_Type]] = "unemp/unskilled non res", "Unemployed", "Employed")</f>
        <v>Employed</v>
      </c>
      <c r="U378" t="s">
        <v>45</v>
      </c>
      <c r="V378" s="14" t="str" cm="1">
        <f t="array" ref="V37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78" t="s">
        <v>31</v>
      </c>
      <c r="X378" s="2" t="str">
        <f>_xlfn.XLOOKUP(Table1[[#This Row],[Loan_Credit_History]],Table4[Credit History],Table4[[ Category]])</f>
        <v>Existing Credits Paid</v>
      </c>
      <c r="Y378" s="3">
        <v>3</v>
      </c>
      <c r="Z378" s="3">
        <v>1</v>
      </c>
      <c r="AA378" s="5">
        <v>3092</v>
      </c>
      <c r="AB378" t="s">
        <v>151</v>
      </c>
      <c r="AC378" s="2" t="str" cm="1">
        <f t="array" ref="AC378">_xlfn.IFS(Table1[[#This Row],[Others_Parties]] = "No", "None",
Table1[[#This Row],[Others_Parties]] = "co applicant", "Co-applicant",
Table1[[#This Row],[Others_Parties]] = "guarantor", "Guarantor")</f>
        <v>None</v>
      </c>
      <c r="AD378" s="13" t="s">
        <v>145</v>
      </c>
      <c r="AE378" s="2" t="s">
        <v>111</v>
      </c>
      <c r="AF378" s="28" t="str" cm="1">
        <f t="array" ref="AF37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78" s="21">
        <v>24</v>
      </c>
      <c r="AH378" s="2" t="s">
        <v>153</v>
      </c>
      <c r="AI378"/>
      <c r="AZ378"/>
      <c r="BC378"/>
      <c r="BE378"/>
      <c r="BL378"/>
      <c r="BZ378"/>
      <c r="CA378"/>
      <c r="CF378"/>
      <c r="CG378"/>
      <c r="CH378"/>
      <c r="CI378"/>
      <c r="CK378"/>
      <c r="CN378"/>
    </row>
    <row r="379" spans="1:92" x14ac:dyDescent="0.3">
      <c r="A379" s="4">
        <v>377</v>
      </c>
      <c r="B379" s="11">
        <v>25</v>
      </c>
      <c r="C379" s="2" t="str">
        <f>_xlfn.XLOOKUP(Table1[[#This Row],[Age]],Table7[Start_Age],Table7[Age_Range],,-1)</f>
        <v>19-29</v>
      </c>
      <c r="D379" t="s">
        <v>130</v>
      </c>
      <c r="E379" s="2" t="s">
        <v>129</v>
      </c>
      <c r="F379" s="2" t="s">
        <v>133</v>
      </c>
      <c r="G379" s="3">
        <v>1</v>
      </c>
      <c r="H379" s="13" t="s">
        <v>152</v>
      </c>
      <c r="I379" s="2" t="str" cm="1">
        <f t="array" ref="I379">_xlfn.IFS(Table1[[#This Row],[Job_Type]] = "unskilled resident", "Resident",
Table1[[#This Row],[Job_Type]] = "unemp/unskilled non res", "Non-resident",
TRUE, "Unknown")</f>
        <v>Unknown</v>
      </c>
      <c r="J379" s="2" t="s">
        <v>148</v>
      </c>
      <c r="K379" s="3">
        <v>2</v>
      </c>
      <c r="L379" s="2" t="s">
        <v>140</v>
      </c>
      <c r="M379" s="13" t="s">
        <v>151</v>
      </c>
      <c r="N379" t="s">
        <v>17</v>
      </c>
      <c r="O379" s="2" t="str">
        <f>_xlfn.XLOOKUP(Table1[[#This Row],[Checking_Acct_Status]],Table3[Checking_Acct_Original],Table3[Category])</f>
        <v>No Account</v>
      </c>
      <c r="P379" s="10" t="s">
        <v>47</v>
      </c>
      <c r="Q379" s="13" t="str">
        <f>_xlfn.XLOOKUP(Table1[[#This Row],[Saving_Acct_Status]],Table5[Saving_Acct_Original],Table5[Category])</f>
        <v>No Savings</v>
      </c>
      <c r="R379" t="s">
        <v>41</v>
      </c>
      <c r="S379" s="2" t="str">
        <f>IF(
      OR(Table1[[#This Row],[Job_Type]] = "high qualif/self emp/mgmt", Table1[[#This Row],[Job_Type]] = "skilled"),
      "Skilled", "Unskilled")</f>
        <v>Skilled</v>
      </c>
      <c r="T379" t="str">
        <f>IF(Table1[[#This Row],[Job_Type]] = "unemp/unskilled non res", "Unemployed", "Employed")</f>
        <v>Employed</v>
      </c>
      <c r="U379" t="s">
        <v>45</v>
      </c>
      <c r="V379" s="14" t="str" cm="1">
        <f t="array" ref="V37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79" t="s">
        <v>31</v>
      </c>
      <c r="X379" s="2" t="str">
        <f>_xlfn.XLOOKUP(Table1[[#This Row],[Loan_Credit_History]],Table4[Credit History],Table4[[ Category]])</f>
        <v>Existing Credits Paid</v>
      </c>
      <c r="Y379" s="3">
        <v>4</v>
      </c>
      <c r="Z379" s="3">
        <v>2</v>
      </c>
      <c r="AA379" s="5">
        <v>3105</v>
      </c>
      <c r="AB379" t="s">
        <v>151</v>
      </c>
      <c r="AC379" s="2" t="str" cm="1">
        <f t="array" ref="AC379">_xlfn.IFS(Table1[[#This Row],[Others_Parties]] = "No", "None",
Table1[[#This Row],[Others_Parties]] = "co applicant", "Co-applicant",
Table1[[#This Row],[Others_Parties]] = "guarantor", "Guarantor")</f>
        <v>None</v>
      </c>
      <c r="AD379" s="13" t="s">
        <v>145</v>
      </c>
      <c r="AE379" s="2" t="s">
        <v>111</v>
      </c>
      <c r="AF379" s="28" t="str" cm="1">
        <f t="array" ref="AF37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79" s="21">
        <v>24</v>
      </c>
      <c r="AH379" s="2" t="s">
        <v>154</v>
      </c>
      <c r="AI379"/>
      <c r="AZ379"/>
      <c r="BC379"/>
      <c r="BE379"/>
      <c r="BL379"/>
      <c r="BZ379"/>
      <c r="CA379"/>
      <c r="CF379"/>
      <c r="CG379"/>
      <c r="CH379"/>
      <c r="CI379"/>
      <c r="CK379"/>
      <c r="CN379"/>
    </row>
    <row r="380" spans="1:92" x14ac:dyDescent="0.3">
      <c r="A380" s="4">
        <v>378</v>
      </c>
      <c r="B380" s="11">
        <v>27</v>
      </c>
      <c r="C380" s="2" t="str">
        <f>_xlfn.XLOOKUP(Table1[[#This Row],[Age]],Table7[Start_Age],Table7[Age_Range],,-1)</f>
        <v>19-29</v>
      </c>
      <c r="D380" t="s">
        <v>136</v>
      </c>
      <c r="E380" s="2" t="s">
        <v>131</v>
      </c>
      <c r="F380" s="2" t="s">
        <v>137</v>
      </c>
      <c r="G380" s="3">
        <v>1</v>
      </c>
      <c r="H380" s="13" t="s">
        <v>152</v>
      </c>
      <c r="I380" s="2" t="str" cm="1">
        <f t="array" ref="I380">_xlfn.IFS(Table1[[#This Row],[Job_Type]] = "unskilled resident", "Resident",
Table1[[#This Row],[Job_Type]] = "unemp/unskilled non res", "Non-resident",
TRUE, "Unknown")</f>
        <v>Unknown</v>
      </c>
      <c r="J380" s="2" t="s">
        <v>148</v>
      </c>
      <c r="K380" s="3">
        <v>1</v>
      </c>
      <c r="L380" s="2" t="s">
        <v>143</v>
      </c>
      <c r="M380" s="13" t="s">
        <v>151</v>
      </c>
      <c r="N380" t="s">
        <v>35</v>
      </c>
      <c r="O380" s="2" t="str">
        <f>_xlfn.XLOOKUP(Table1[[#This Row],[Checking_Acct_Status]],Table3[Checking_Acct_Original],Table3[Category])</f>
        <v>Negative Balance</v>
      </c>
      <c r="P380" s="10" t="s">
        <v>32</v>
      </c>
      <c r="Q380" s="13" t="str">
        <f>_xlfn.XLOOKUP(Table1[[#This Row],[Saving_Acct_Status]],Table5[Saving_Acct_Original],Table5[Category])</f>
        <v>Low Savings</v>
      </c>
      <c r="R380" t="s">
        <v>41</v>
      </c>
      <c r="S380" s="2" t="str">
        <f>IF(
      OR(Table1[[#This Row],[Job_Type]] = "high qualif/self emp/mgmt", Table1[[#This Row],[Job_Type]] = "skilled"),
      "Skilled", "Unskilled")</f>
        <v>Skilled</v>
      </c>
      <c r="T380" t="str">
        <f>IF(Table1[[#This Row],[Job_Type]] = "unemp/unskilled non res", "Unemployed", "Employed")</f>
        <v>Employed</v>
      </c>
      <c r="U380" t="s">
        <v>45</v>
      </c>
      <c r="V380" s="14" t="str" cm="1">
        <f t="array" ref="V38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80" t="s">
        <v>31</v>
      </c>
      <c r="X380" s="2" t="str">
        <f>_xlfn.XLOOKUP(Table1[[#This Row],[Loan_Credit_History]],Table4[Credit History],Table4[[ Category]])</f>
        <v>Existing Credits Paid</v>
      </c>
      <c r="Y380" s="3">
        <v>4</v>
      </c>
      <c r="Z380" s="3">
        <v>1</v>
      </c>
      <c r="AA380" s="5">
        <v>3123</v>
      </c>
      <c r="AB380" t="s">
        <v>151</v>
      </c>
      <c r="AC380" s="2" t="str" cm="1">
        <f t="array" ref="AC380">_xlfn.IFS(Table1[[#This Row],[Others_Parties]] = "No", "None",
Table1[[#This Row],[Others_Parties]] = "co applicant", "Co-applicant",
Table1[[#This Row],[Others_Parties]] = "guarantor", "Guarantor")</f>
        <v>None</v>
      </c>
      <c r="AD380" s="13" t="s">
        <v>145</v>
      </c>
      <c r="AE380" s="2" t="s">
        <v>141</v>
      </c>
      <c r="AF380" s="28" t="str" cm="1">
        <f t="array" ref="AF38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80" s="21">
        <v>24</v>
      </c>
      <c r="AH380" s="2" t="s">
        <v>153</v>
      </c>
      <c r="AI380"/>
      <c r="AZ380"/>
      <c r="BC380"/>
      <c r="BE380"/>
      <c r="BL380"/>
      <c r="BZ380"/>
      <c r="CA380"/>
      <c r="CF380"/>
      <c r="CG380"/>
      <c r="CH380"/>
      <c r="CI380"/>
      <c r="CK380"/>
      <c r="CN380"/>
    </row>
    <row r="381" spans="1:92" x14ac:dyDescent="0.3">
      <c r="A381" s="4">
        <v>379</v>
      </c>
      <c r="B381" s="11">
        <v>31</v>
      </c>
      <c r="C381" s="2" t="str">
        <f>_xlfn.XLOOKUP(Table1[[#This Row],[Age]],Table7[Start_Age],Table7[Age_Range],,-1)</f>
        <v>29-39</v>
      </c>
      <c r="D381" t="s">
        <v>130</v>
      </c>
      <c r="E381" s="2" t="s">
        <v>129</v>
      </c>
      <c r="F381" s="2" t="s">
        <v>133</v>
      </c>
      <c r="G381" s="3">
        <v>1</v>
      </c>
      <c r="H381" s="13" t="s">
        <v>152</v>
      </c>
      <c r="I381" s="2" t="str" cm="1">
        <f t="array" ref="I381">_xlfn.IFS(Table1[[#This Row],[Job_Type]] = "unskilled resident", "Resident",
Table1[[#This Row],[Job_Type]] = "unemp/unskilled non res", "Non-resident",
TRUE, "Unknown")</f>
        <v>Unknown</v>
      </c>
      <c r="J381" s="2" t="s">
        <v>148</v>
      </c>
      <c r="K381" s="3">
        <v>2</v>
      </c>
      <c r="L381" s="2" t="s">
        <v>140</v>
      </c>
      <c r="M381" s="13" t="s">
        <v>152</v>
      </c>
      <c r="N381" t="s">
        <v>50</v>
      </c>
      <c r="O381" s="2" t="str">
        <f>_xlfn.XLOOKUP(Table1[[#This Row],[Checking_Acct_Status]],Table3[Checking_Acct_Original],Table3[Category])</f>
        <v>High Balance</v>
      </c>
      <c r="P381" s="10" t="s">
        <v>47</v>
      </c>
      <c r="Q381" s="13" t="str">
        <f>_xlfn.XLOOKUP(Table1[[#This Row],[Saving_Acct_Status]],Table5[Saving_Acct_Original],Table5[Category])</f>
        <v>No Savings</v>
      </c>
      <c r="R381" t="s">
        <v>41</v>
      </c>
      <c r="S381" s="2" t="str">
        <f>IF(
      OR(Table1[[#This Row],[Job_Type]] = "high qualif/self emp/mgmt", Table1[[#This Row],[Job_Type]] = "skilled"),
      "Skilled", "Unskilled")</f>
        <v>Skilled</v>
      </c>
      <c r="T381" t="str">
        <f>IF(Table1[[#This Row],[Job_Type]] = "unemp/unskilled non res", "Unemployed", "Employed")</f>
        <v>Employed</v>
      </c>
      <c r="U381" t="s">
        <v>21</v>
      </c>
      <c r="V381" s="14" t="str" cm="1">
        <f t="array" ref="V38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81" t="s">
        <v>103</v>
      </c>
      <c r="X381" s="2" t="str">
        <f>_xlfn.XLOOKUP(Table1[[#This Row],[Loan_Credit_History]],Table4[Credit History],Table4[[ Category]])</f>
        <v>Critical Credit History</v>
      </c>
      <c r="Y381" s="3">
        <v>3</v>
      </c>
      <c r="Z381" s="3">
        <v>2</v>
      </c>
      <c r="AA381" s="5">
        <v>3148</v>
      </c>
      <c r="AB381" t="s">
        <v>151</v>
      </c>
      <c r="AC381" s="2" t="str" cm="1">
        <f t="array" ref="AC381">_xlfn.IFS(Table1[[#This Row],[Others_Parties]] = "No", "None",
Table1[[#This Row],[Others_Parties]] = "co applicant", "Co-applicant",
Table1[[#This Row],[Others_Parties]] = "guarantor", "Guarantor")</f>
        <v>None</v>
      </c>
      <c r="AD381" s="13" t="s">
        <v>145</v>
      </c>
      <c r="AE381" s="2" t="s">
        <v>111</v>
      </c>
      <c r="AF381" s="28" t="str" cm="1">
        <f t="array" ref="AF38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81" s="21">
        <v>24</v>
      </c>
      <c r="AH381" s="2" t="s">
        <v>154</v>
      </c>
      <c r="AI381"/>
      <c r="AZ381"/>
      <c r="BC381"/>
      <c r="BE381"/>
      <c r="BL381"/>
      <c r="BZ381"/>
      <c r="CA381"/>
      <c r="CF381"/>
      <c r="CG381"/>
      <c r="CH381"/>
      <c r="CI381"/>
      <c r="CK381"/>
      <c r="CN381"/>
    </row>
    <row r="382" spans="1:92" x14ac:dyDescent="0.3">
      <c r="A382" s="4">
        <v>380</v>
      </c>
      <c r="B382" s="11">
        <v>22</v>
      </c>
      <c r="C382" s="2" t="str">
        <f>_xlfn.XLOOKUP(Table1[[#This Row],[Age]],Table7[Start_Age],Table7[Age_Range],,-1)</f>
        <v>19-29</v>
      </c>
      <c r="D382" t="s">
        <v>130</v>
      </c>
      <c r="E382" s="2" t="s">
        <v>129</v>
      </c>
      <c r="F382" s="2" t="s">
        <v>133</v>
      </c>
      <c r="G382" s="3">
        <v>1</v>
      </c>
      <c r="H382" s="13" t="s">
        <v>152</v>
      </c>
      <c r="I382" s="2" t="str" cm="1">
        <f t="array" ref="I382">_xlfn.IFS(Table1[[#This Row],[Job_Type]] = "unskilled resident", "Resident",
Table1[[#This Row],[Job_Type]] = "unemp/unskilled non res", "Non-resident",
TRUE, "Unknown")</f>
        <v>Unknown</v>
      </c>
      <c r="J382" s="2" t="s">
        <v>150</v>
      </c>
      <c r="K382" s="3">
        <v>1</v>
      </c>
      <c r="L382" s="2" t="s">
        <v>142</v>
      </c>
      <c r="M382" s="13" t="s">
        <v>151</v>
      </c>
      <c r="N382" t="s">
        <v>35</v>
      </c>
      <c r="O382" s="2" t="str">
        <f>_xlfn.XLOOKUP(Table1[[#This Row],[Checking_Acct_Status]],Table3[Checking_Acct_Original],Table3[Category])</f>
        <v>Negative Balance</v>
      </c>
      <c r="P382" s="10" t="s">
        <v>32</v>
      </c>
      <c r="Q382" s="13" t="str">
        <f>_xlfn.XLOOKUP(Table1[[#This Row],[Saving_Acct_Status]],Table5[Saving_Acct_Original],Table5[Category])</f>
        <v>Low Savings</v>
      </c>
      <c r="R382" t="s">
        <v>41</v>
      </c>
      <c r="S382" s="2" t="str">
        <f>IF(
      OR(Table1[[#This Row],[Job_Type]] = "high qualif/self emp/mgmt", Table1[[#This Row],[Job_Type]] = "skilled"),
      "Skilled", "Unskilled")</f>
        <v>Skilled</v>
      </c>
      <c r="T382" t="str">
        <f>IF(Table1[[#This Row],[Job_Type]] = "unemp/unskilled non res", "Unemployed", "Employed")</f>
        <v>Employed</v>
      </c>
      <c r="U382" t="s">
        <v>45</v>
      </c>
      <c r="V382" s="14" t="str" cm="1">
        <f t="array" ref="V38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82" t="s">
        <v>31</v>
      </c>
      <c r="X382" s="2" t="str">
        <f>_xlfn.XLOOKUP(Table1[[#This Row],[Loan_Credit_History]],Table4[Credit History],Table4[[ Category]])</f>
        <v>Existing Credits Paid</v>
      </c>
      <c r="Y382" s="3">
        <v>4</v>
      </c>
      <c r="Z382" s="3">
        <v>1</v>
      </c>
      <c r="AA382" s="5">
        <v>3149</v>
      </c>
      <c r="AB382" t="s">
        <v>151</v>
      </c>
      <c r="AC382" s="2" t="str" cm="1">
        <f t="array" ref="AC382">_xlfn.IFS(Table1[[#This Row],[Others_Parties]] = "No", "None",
Table1[[#This Row],[Others_Parties]] = "co applicant", "Co-applicant",
Table1[[#This Row],[Others_Parties]] = "guarantor", "Guarantor")</f>
        <v>None</v>
      </c>
      <c r="AD382" s="13" t="s">
        <v>146</v>
      </c>
      <c r="AE382" s="2" t="s">
        <v>108</v>
      </c>
      <c r="AF382" s="28" t="str" cm="1">
        <f t="array" ref="AF38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82" s="21">
        <v>24</v>
      </c>
      <c r="AH382" s="2" t="s">
        <v>154</v>
      </c>
      <c r="AI382"/>
      <c r="AZ382"/>
      <c r="BC382"/>
      <c r="BE382"/>
      <c r="BL382"/>
      <c r="BZ382"/>
      <c r="CA382"/>
      <c r="CF382"/>
      <c r="CG382"/>
      <c r="CH382"/>
      <c r="CI382"/>
      <c r="CK382"/>
      <c r="CN382"/>
    </row>
    <row r="383" spans="1:92" x14ac:dyDescent="0.3">
      <c r="A383" s="4">
        <v>381</v>
      </c>
      <c r="B383" s="11">
        <v>31</v>
      </c>
      <c r="C383" s="2" t="str">
        <f>_xlfn.XLOOKUP(Table1[[#This Row],[Age]],Table7[Start_Age],Table7[Age_Range],,-1)</f>
        <v>29-39</v>
      </c>
      <c r="D383" t="s">
        <v>130</v>
      </c>
      <c r="E383" s="2" t="s">
        <v>129</v>
      </c>
      <c r="F383" s="2" t="s">
        <v>133</v>
      </c>
      <c r="G383" s="3">
        <v>1</v>
      </c>
      <c r="H383" s="13" t="s">
        <v>152</v>
      </c>
      <c r="I383" s="2" t="str" cm="1">
        <f t="array" ref="I383">_xlfn.IFS(Table1[[#This Row],[Job_Type]] = "unskilled resident", "Resident",
Table1[[#This Row],[Job_Type]] = "unemp/unskilled non res", "Non-resident",
TRUE, "Unknown")</f>
        <v>Unknown</v>
      </c>
      <c r="J383" s="2" t="s">
        <v>149</v>
      </c>
      <c r="K383" s="3">
        <v>2</v>
      </c>
      <c r="L383" s="2" t="s">
        <v>143</v>
      </c>
      <c r="M383" s="13" t="s">
        <v>152</v>
      </c>
      <c r="N383" t="s">
        <v>35</v>
      </c>
      <c r="O383" s="2" t="str">
        <f>_xlfn.XLOOKUP(Table1[[#This Row],[Checking_Acct_Status]],Table3[Checking_Acct_Original],Table3[Category])</f>
        <v>Negative Balance</v>
      </c>
      <c r="P383" s="10" t="s">
        <v>32</v>
      </c>
      <c r="Q383" s="13" t="str">
        <f>_xlfn.XLOOKUP(Table1[[#This Row],[Saving_Acct_Status]],Table5[Saving_Acct_Original],Table5[Category])</f>
        <v>Low Savings</v>
      </c>
      <c r="R383" t="s">
        <v>41</v>
      </c>
      <c r="S383" s="2" t="str">
        <f>IF(
      OR(Table1[[#This Row],[Job_Type]] = "high qualif/self emp/mgmt", Table1[[#This Row],[Job_Type]] = "skilled"),
      "Skilled", "Unskilled")</f>
        <v>Skilled</v>
      </c>
      <c r="T383" t="str">
        <f>IF(Table1[[#This Row],[Job_Type]] = "unemp/unskilled non res", "Unemployed", "Employed")</f>
        <v>Employed</v>
      </c>
      <c r="U383" t="s">
        <v>21</v>
      </c>
      <c r="V383" s="14" t="str" cm="1">
        <f t="array" ref="V38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83" t="s">
        <v>42</v>
      </c>
      <c r="X383" s="2" t="str">
        <f>_xlfn.XLOOKUP(Table1[[#This Row],[Loan_Credit_History]],Table4[Credit History],Table4[[ Category]])</f>
        <v>All Paid</v>
      </c>
      <c r="Y383" s="3">
        <v>4</v>
      </c>
      <c r="Z383" s="3">
        <v>1</v>
      </c>
      <c r="AA383" s="5">
        <v>3161</v>
      </c>
      <c r="AB383" t="s">
        <v>151</v>
      </c>
      <c r="AC383" s="2" t="str" cm="1">
        <f t="array" ref="AC383">_xlfn.IFS(Table1[[#This Row],[Others_Parties]] = "No", "None",
Table1[[#This Row],[Others_Parties]] = "co applicant", "Co-applicant",
Table1[[#This Row],[Others_Parties]] = "guarantor", "Guarantor")</f>
        <v>None</v>
      </c>
      <c r="AD383" s="13" t="s">
        <v>145</v>
      </c>
      <c r="AE383" s="2" t="s">
        <v>105</v>
      </c>
      <c r="AF383" s="28" t="str" cm="1">
        <f t="array" ref="AF38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83" s="21">
        <v>24</v>
      </c>
      <c r="AH383" s="2" t="s">
        <v>153</v>
      </c>
      <c r="AI383"/>
      <c r="AZ383"/>
      <c r="BC383"/>
      <c r="BE383"/>
      <c r="BL383"/>
      <c r="BZ383"/>
      <c r="CA383"/>
      <c r="CF383"/>
      <c r="CG383"/>
      <c r="CH383"/>
      <c r="CI383"/>
      <c r="CK383"/>
      <c r="CN383"/>
    </row>
    <row r="384" spans="1:92" x14ac:dyDescent="0.3">
      <c r="A384" s="4">
        <v>382</v>
      </c>
      <c r="B384" s="11">
        <v>26</v>
      </c>
      <c r="C384" s="2" t="str">
        <f>_xlfn.XLOOKUP(Table1[[#This Row],[Age]],Table7[Start_Age],Table7[Age_Range],,-1)</f>
        <v>19-29</v>
      </c>
      <c r="D384" t="s">
        <v>136</v>
      </c>
      <c r="E384" s="2" t="s">
        <v>131</v>
      </c>
      <c r="F384" s="2" t="s">
        <v>137</v>
      </c>
      <c r="G384" s="3">
        <v>1</v>
      </c>
      <c r="H384" s="13" t="s">
        <v>152</v>
      </c>
      <c r="I384" s="2" t="str" cm="1">
        <f t="array" ref="I384">_xlfn.IFS(Table1[[#This Row],[Job_Type]] = "unskilled resident", "Resident",
Table1[[#This Row],[Job_Type]] = "unemp/unskilled non res", "Non-resident",
TRUE, "Unknown")</f>
        <v>Unknown</v>
      </c>
      <c r="J384" s="2" t="s">
        <v>148</v>
      </c>
      <c r="K384" s="3">
        <v>4</v>
      </c>
      <c r="L384" s="2" t="s">
        <v>143</v>
      </c>
      <c r="M384" s="13" t="s">
        <v>152</v>
      </c>
      <c r="N384" t="s">
        <v>17</v>
      </c>
      <c r="O384" s="2" t="str">
        <f>_xlfn.XLOOKUP(Table1[[#This Row],[Checking_Acct_Status]],Table3[Checking_Acct_Original],Table3[Category])</f>
        <v>No Account</v>
      </c>
      <c r="P384" s="10" t="s">
        <v>32</v>
      </c>
      <c r="Q384" s="13" t="str">
        <f>_xlfn.XLOOKUP(Table1[[#This Row],[Saving_Acct_Status]],Table5[Saving_Acct_Original],Table5[Category])</f>
        <v>Low Savings</v>
      </c>
      <c r="R384" t="s">
        <v>41</v>
      </c>
      <c r="S384" s="2" t="str">
        <f>IF(
      OR(Table1[[#This Row],[Job_Type]] = "high qualif/self emp/mgmt", Table1[[#This Row],[Job_Type]] = "skilled"),
      "Skilled", "Unskilled")</f>
        <v>Skilled</v>
      </c>
      <c r="T384" t="str">
        <f>IF(Table1[[#This Row],[Job_Type]] = "unemp/unskilled non res", "Unemployed", "Employed")</f>
        <v>Employed</v>
      </c>
      <c r="U384" t="s">
        <v>45</v>
      </c>
      <c r="V384" s="14" t="str" cm="1">
        <f t="array" ref="V38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84" t="s">
        <v>31</v>
      </c>
      <c r="X384" s="2" t="str">
        <f>_xlfn.XLOOKUP(Table1[[#This Row],[Loan_Credit_History]],Table4[Credit History],Table4[[ Category]])</f>
        <v>Existing Credits Paid</v>
      </c>
      <c r="Y384" s="3">
        <v>4</v>
      </c>
      <c r="Z384" s="3">
        <v>1</v>
      </c>
      <c r="AA384" s="5">
        <v>3181</v>
      </c>
      <c r="AB384" t="s">
        <v>151</v>
      </c>
      <c r="AC384" s="2" t="str" cm="1">
        <f t="array" ref="AC384">_xlfn.IFS(Table1[[#This Row],[Others_Parties]] = "No", "None",
Table1[[#This Row],[Others_Parties]] = "co applicant", "Co-applicant",
Table1[[#This Row],[Others_Parties]] = "guarantor", "Guarantor")</f>
        <v>None</v>
      </c>
      <c r="AD384" s="13" t="s">
        <v>145</v>
      </c>
      <c r="AE384" s="2" t="s">
        <v>111</v>
      </c>
      <c r="AF384" s="28" t="str" cm="1">
        <f t="array" ref="AF38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84" s="21">
        <v>24</v>
      </c>
      <c r="AH384" s="2" t="s">
        <v>154</v>
      </c>
      <c r="AI384"/>
      <c r="AZ384"/>
      <c r="BC384"/>
      <c r="BE384"/>
      <c r="BL384"/>
      <c r="BZ384"/>
      <c r="CA384"/>
      <c r="CF384"/>
      <c r="CG384"/>
      <c r="CH384"/>
      <c r="CI384"/>
      <c r="CK384"/>
      <c r="CN384"/>
    </row>
    <row r="385" spans="1:92" x14ac:dyDescent="0.3">
      <c r="A385" s="4">
        <v>383</v>
      </c>
      <c r="B385" s="11">
        <v>23</v>
      </c>
      <c r="C385" s="2" t="str">
        <f>_xlfn.XLOOKUP(Table1[[#This Row],[Age]],Table7[Start_Age],Table7[Age_Range],,-1)</f>
        <v>19-29</v>
      </c>
      <c r="D385" t="s">
        <v>136</v>
      </c>
      <c r="E385" s="2" t="s">
        <v>131</v>
      </c>
      <c r="F385" s="2" t="s">
        <v>137</v>
      </c>
      <c r="G385" s="3">
        <v>1</v>
      </c>
      <c r="H385" s="13" t="s">
        <v>152</v>
      </c>
      <c r="I385" s="2" t="str" cm="1">
        <f t="array" ref="I385">_xlfn.IFS(Table1[[#This Row],[Job_Type]] = "unskilled resident", "Resident",
Table1[[#This Row],[Job_Type]] = "unemp/unskilled non res", "Non-resident",
TRUE, "Unknown")</f>
        <v>Resident</v>
      </c>
      <c r="J385" s="2" t="s">
        <v>149</v>
      </c>
      <c r="K385" s="3">
        <v>4</v>
      </c>
      <c r="L385" s="2" t="s">
        <v>144</v>
      </c>
      <c r="M385" s="13" t="s">
        <v>152</v>
      </c>
      <c r="N385" t="s">
        <v>35</v>
      </c>
      <c r="O385" s="2" t="str">
        <f>_xlfn.XLOOKUP(Table1[[#This Row],[Checking_Acct_Status]],Table3[Checking_Acct_Original],Table3[Category])</f>
        <v>Negative Balance</v>
      </c>
      <c r="P385" s="10" t="s">
        <v>32</v>
      </c>
      <c r="Q385" s="13" t="str">
        <f>_xlfn.XLOOKUP(Table1[[#This Row],[Saving_Acct_Status]],Table5[Saving_Acct_Original],Table5[Category])</f>
        <v>Low Savings</v>
      </c>
      <c r="R385" t="s">
        <v>27</v>
      </c>
      <c r="S385" s="2" t="str">
        <f>IF(
      OR(Table1[[#This Row],[Job_Type]] = "high qualif/self emp/mgmt", Table1[[#This Row],[Job_Type]] = "skilled"),
      "Skilled", "Unskilled")</f>
        <v>Unskilled</v>
      </c>
      <c r="T385" t="str">
        <f>IF(Table1[[#This Row],[Job_Type]] = "unemp/unskilled non res", "Unemployed", "Employed")</f>
        <v>Employed</v>
      </c>
      <c r="U385" t="s">
        <v>45</v>
      </c>
      <c r="V385" s="14" t="str" cm="1">
        <f t="array" ref="V38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85" t="s">
        <v>31</v>
      </c>
      <c r="X385" s="2" t="str">
        <f>_xlfn.XLOOKUP(Table1[[#This Row],[Loan_Credit_History]],Table4[Credit History],Table4[[ Category]])</f>
        <v>Existing Credits Paid</v>
      </c>
      <c r="Y385" s="3">
        <v>4</v>
      </c>
      <c r="Z385" s="3">
        <v>1</v>
      </c>
      <c r="AA385" s="5">
        <v>3234</v>
      </c>
      <c r="AB385" t="s">
        <v>151</v>
      </c>
      <c r="AC385" s="2" t="str" cm="1">
        <f t="array" ref="AC385">_xlfn.IFS(Table1[[#This Row],[Others_Parties]] = "No", "None",
Table1[[#This Row],[Others_Parties]] = "co applicant", "Co-applicant",
Table1[[#This Row],[Others_Parties]] = "guarantor", "Guarantor")</f>
        <v>None</v>
      </c>
      <c r="AD385" s="13" t="s">
        <v>145</v>
      </c>
      <c r="AE385" s="2" t="s">
        <v>108</v>
      </c>
      <c r="AF385" s="28" t="str" cm="1">
        <f t="array" ref="AF38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85" s="21">
        <v>24</v>
      </c>
      <c r="AH385" s="2" t="s">
        <v>153</v>
      </c>
      <c r="AI385"/>
      <c r="AZ385"/>
      <c r="BC385"/>
      <c r="BE385"/>
      <c r="BL385"/>
      <c r="BZ385"/>
      <c r="CA385"/>
      <c r="CF385"/>
      <c r="CG385"/>
      <c r="CH385"/>
      <c r="CI385"/>
      <c r="CK385"/>
      <c r="CN385"/>
    </row>
    <row r="386" spans="1:92" x14ac:dyDescent="0.3">
      <c r="A386" s="4">
        <v>384</v>
      </c>
      <c r="B386" s="11">
        <v>26</v>
      </c>
      <c r="C386" s="2" t="str">
        <f>_xlfn.XLOOKUP(Table1[[#This Row],[Age]],Table7[Start_Age],Table7[Age_Range],,-1)</f>
        <v>19-29</v>
      </c>
      <c r="D386" t="s">
        <v>138</v>
      </c>
      <c r="E386" s="2" t="s">
        <v>129</v>
      </c>
      <c r="F386" s="2" t="s">
        <v>178</v>
      </c>
      <c r="G386" s="3">
        <v>1</v>
      </c>
      <c r="H386" s="13" t="s">
        <v>152</v>
      </c>
      <c r="I386" s="2" t="str" cm="1">
        <f t="array" ref="I386">_xlfn.IFS(Table1[[#This Row],[Job_Type]] = "unskilled resident", "Resident",
Table1[[#This Row],[Job_Type]] = "unemp/unskilled non res", "Non-resident",
TRUE, "Unknown")</f>
        <v>Unknown</v>
      </c>
      <c r="J386" s="2" t="s">
        <v>148</v>
      </c>
      <c r="K386" s="3">
        <v>2</v>
      </c>
      <c r="L386" s="2" t="s">
        <v>140</v>
      </c>
      <c r="M386" s="13" t="s">
        <v>152</v>
      </c>
      <c r="N386" t="s">
        <v>17</v>
      </c>
      <c r="O386" s="2" t="str">
        <f>_xlfn.XLOOKUP(Table1[[#This Row],[Checking_Acct_Status]],Table3[Checking_Acct_Original],Table3[Category])</f>
        <v>No Account</v>
      </c>
      <c r="P386" s="10" t="s">
        <v>37</v>
      </c>
      <c r="Q386" s="13" t="str">
        <f>_xlfn.XLOOKUP(Table1[[#This Row],[Saving_Acct_Status]],Table5[Saving_Acct_Original],Table5[Category])</f>
        <v>High Savings</v>
      </c>
      <c r="R386" t="s">
        <v>63</v>
      </c>
      <c r="S386" s="2" t="str">
        <f>IF(
      OR(Table1[[#This Row],[Job_Type]] = "high qualif/self emp/mgmt", Table1[[#This Row],[Job_Type]] = "skilled"),
      "Skilled", "Unskilled")</f>
        <v>Skilled</v>
      </c>
      <c r="T386" t="str">
        <f>IF(Table1[[#This Row],[Job_Type]] = "unemp/unskilled non res", "Unemployed", "Employed")</f>
        <v>Employed</v>
      </c>
      <c r="U386" t="s">
        <v>38</v>
      </c>
      <c r="V386" s="14" t="str" cm="1">
        <f t="array" ref="V38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86" t="s">
        <v>31</v>
      </c>
      <c r="X386" s="2" t="str">
        <f>_xlfn.XLOOKUP(Table1[[#This Row],[Loan_Credit_History]],Table4[Credit History],Table4[[ Category]])</f>
        <v>Existing Credits Paid</v>
      </c>
      <c r="Y386" s="3">
        <v>3</v>
      </c>
      <c r="Z386" s="3">
        <v>1</v>
      </c>
      <c r="AA386" s="5">
        <v>3235</v>
      </c>
      <c r="AB386" t="s">
        <v>151</v>
      </c>
      <c r="AC386" s="2" t="str" cm="1">
        <f t="array" ref="AC386">_xlfn.IFS(Table1[[#This Row],[Others_Parties]] = "No", "None",
Table1[[#This Row],[Others_Parties]] = "co applicant", "Co-applicant",
Table1[[#This Row],[Others_Parties]] = "guarantor", "Guarantor")</f>
        <v>None</v>
      </c>
      <c r="AD386" s="13" t="s">
        <v>145</v>
      </c>
      <c r="AE386" s="2" t="s">
        <v>111</v>
      </c>
      <c r="AF386" s="28" t="str" cm="1">
        <f t="array" ref="AF38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86" s="21">
        <v>24</v>
      </c>
      <c r="AH386" s="2" t="s">
        <v>154</v>
      </c>
      <c r="AI386"/>
      <c r="AZ386"/>
      <c r="BC386"/>
      <c r="BE386"/>
      <c r="BL386"/>
      <c r="BZ386"/>
      <c r="CA386"/>
      <c r="CF386"/>
      <c r="CG386"/>
      <c r="CH386"/>
      <c r="CI386"/>
      <c r="CK386"/>
      <c r="CN386"/>
    </row>
    <row r="387" spans="1:92" x14ac:dyDescent="0.3">
      <c r="A387" s="4">
        <v>385</v>
      </c>
      <c r="B387" s="11">
        <v>39</v>
      </c>
      <c r="C387" s="2" t="str">
        <f>_xlfn.XLOOKUP(Table1[[#This Row],[Age]],Table7[Start_Age],Table7[Age_Range],,-1)</f>
        <v>39-49</v>
      </c>
      <c r="D387" t="s">
        <v>130</v>
      </c>
      <c r="E387" s="2" t="s">
        <v>129</v>
      </c>
      <c r="F387" s="2" t="s">
        <v>133</v>
      </c>
      <c r="G387" s="3">
        <v>1</v>
      </c>
      <c r="H387" s="13" t="s">
        <v>152</v>
      </c>
      <c r="I387" s="2" t="str" cm="1">
        <f t="array" ref="I387">_xlfn.IFS(Table1[[#This Row],[Job_Type]] = "unskilled resident", "Resident",
Table1[[#This Row],[Job_Type]] = "unemp/unskilled non res", "Non-resident",
TRUE, "Unknown")</f>
        <v>Unknown</v>
      </c>
      <c r="J387" s="2" t="s">
        <v>149</v>
      </c>
      <c r="K387" s="3">
        <v>2</v>
      </c>
      <c r="L387" s="2" t="s">
        <v>143</v>
      </c>
      <c r="M387" s="13" t="s">
        <v>152</v>
      </c>
      <c r="N387" t="s">
        <v>35</v>
      </c>
      <c r="O387" s="2" t="str">
        <f>_xlfn.XLOOKUP(Table1[[#This Row],[Checking_Acct_Status]],Table3[Checking_Acct_Original],Table3[Category])</f>
        <v>Negative Balance</v>
      </c>
      <c r="P387" s="10" t="s">
        <v>32</v>
      </c>
      <c r="Q387" s="13" t="str">
        <f>_xlfn.XLOOKUP(Table1[[#This Row],[Saving_Acct_Status]],Table5[Saving_Acct_Original],Table5[Category])</f>
        <v>Low Savings</v>
      </c>
      <c r="R387" t="s">
        <v>63</v>
      </c>
      <c r="S387" s="2" t="str">
        <f>IF(
      OR(Table1[[#This Row],[Job_Type]] = "high qualif/self emp/mgmt", Table1[[#This Row],[Job_Type]] = "skilled"),
      "Skilled", "Unskilled")</f>
        <v>Skilled</v>
      </c>
      <c r="T387" t="str">
        <f>IF(Table1[[#This Row],[Job_Type]] = "unemp/unskilled non res", "Unemployed", "Employed")</f>
        <v>Employed</v>
      </c>
      <c r="U387" t="s">
        <v>38</v>
      </c>
      <c r="V387" s="14" t="str" cm="1">
        <f t="array" ref="V38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87" t="s">
        <v>31</v>
      </c>
      <c r="X387" s="2" t="str">
        <f>_xlfn.XLOOKUP(Table1[[#This Row],[Loan_Credit_History]],Table4[Credit History],Table4[[ Category]])</f>
        <v>Existing Credits Paid</v>
      </c>
      <c r="Y387" s="3">
        <v>4</v>
      </c>
      <c r="Z387" s="3">
        <v>1</v>
      </c>
      <c r="AA387" s="5">
        <v>3345</v>
      </c>
      <c r="AB387" t="s">
        <v>151</v>
      </c>
      <c r="AC387" s="2" t="str" cm="1">
        <f t="array" ref="AC387">_xlfn.IFS(Table1[[#This Row],[Others_Parties]] = "No", "None",
Table1[[#This Row],[Others_Parties]] = "co applicant", "Co-applicant",
Table1[[#This Row],[Others_Parties]] = "guarantor", "Guarantor")</f>
        <v>None</v>
      </c>
      <c r="AD387" s="13" t="s">
        <v>145</v>
      </c>
      <c r="AE387" s="2" t="s">
        <v>108</v>
      </c>
      <c r="AF387" s="28" t="str" cm="1">
        <f t="array" ref="AF38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87" s="21">
        <v>24</v>
      </c>
      <c r="AH387" s="2" t="s">
        <v>153</v>
      </c>
      <c r="AI387"/>
      <c r="AZ387"/>
      <c r="BC387"/>
      <c r="BE387"/>
      <c r="BL387"/>
      <c r="BZ387"/>
      <c r="CA387"/>
      <c r="CF387"/>
      <c r="CG387"/>
      <c r="CH387"/>
      <c r="CI387"/>
      <c r="CK387"/>
      <c r="CN387"/>
    </row>
    <row r="388" spans="1:92" x14ac:dyDescent="0.3">
      <c r="A388" s="4">
        <v>386</v>
      </c>
      <c r="B388" s="11">
        <v>30</v>
      </c>
      <c r="C388" s="2" t="str">
        <f>_xlfn.XLOOKUP(Table1[[#This Row],[Age]],Table7[Start_Age],Table7[Age_Range],,-1)</f>
        <v>29-39</v>
      </c>
      <c r="D388" t="s">
        <v>130</v>
      </c>
      <c r="E388" s="2" t="s">
        <v>129</v>
      </c>
      <c r="F388" s="2" t="s">
        <v>133</v>
      </c>
      <c r="G388" s="3">
        <v>2</v>
      </c>
      <c r="H388" s="13" t="s">
        <v>152</v>
      </c>
      <c r="I388" s="2" t="str" cm="1">
        <f t="array" ref="I388">_xlfn.IFS(Table1[[#This Row],[Job_Type]] = "unskilled resident", "Resident",
Table1[[#This Row],[Job_Type]] = "unemp/unskilled non res", "Non-resident",
TRUE, "Unknown")</f>
        <v>Unknown</v>
      </c>
      <c r="J388" s="2" t="s">
        <v>150</v>
      </c>
      <c r="K388" s="3">
        <v>4</v>
      </c>
      <c r="L388" s="2" t="s">
        <v>142</v>
      </c>
      <c r="M388" s="13" t="s">
        <v>152</v>
      </c>
      <c r="N388" t="s">
        <v>35</v>
      </c>
      <c r="O388" s="2" t="str">
        <f>_xlfn.XLOOKUP(Table1[[#This Row],[Checking_Acct_Status]],Table3[Checking_Acct_Original],Table3[Category])</f>
        <v>Negative Balance</v>
      </c>
      <c r="P388" s="10" t="s">
        <v>37</v>
      </c>
      <c r="Q388" s="13" t="str">
        <f>_xlfn.XLOOKUP(Table1[[#This Row],[Saving_Acct_Status]],Table5[Saving_Acct_Original],Table5[Category])</f>
        <v>High Savings</v>
      </c>
      <c r="R388" t="s">
        <v>41</v>
      </c>
      <c r="S388" s="2" t="str">
        <f>IF(
      OR(Table1[[#This Row],[Job_Type]] = "high qualif/self emp/mgmt", Table1[[#This Row],[Job_Type]] = "skilled"),
      "Skilled", "Unskilled")</f>
        <v>Skilled</v>
      </c>
      <c r="T388" t="str">
        <f>IF(Table1[[#This Row],[Job_Type]] = "unemp/unskilled non res", "Unemployed", "Employed")</f>
        <v>Employed</v>
      </c>
      <c r="U388" t="s">
        <v>45</v>
      </c>
      <c r="V388" s="14" t="str" cm="1">
        <f t="array" ref="V38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88" t="s">
        <v>42</v>
      </c>
      <c r="X388" s="2" t="str">
        <f>_xlfn.XLOOKUP(Table1[[#This Row],[Loan_Credit_History]],Table4[Credit History],Table4[[ Category]])</f>
        <v>All Paid</v>
      </c>
      <c r="Y388" s="3">
        <v>4</v>
      </c>
      <c r="Z388" s="3">
        <v>1</v>
      </c>
      <c r="AA388" s="5">
        <v>3349</v>
      </c>
      <c r="AB388" t="s">
        <v>151</v>
      </c>
      <c r="AC388" s="2" t="str" cm="1">
        <f t="array" ref="AC388">_xlfn.IFS(Table1[[#This Row],[Others_Parties]] = "No", "None",
Table1[[#This Row],[Others_Parties]] = "co applicant", "Co-applicant",
Table1[[#This Row],[Others_Parties]] = "guarantor", "Guarantor")</f>
        <v>None</v>
      </c>
      <c r="AD388" s="13" t="s">
        <v>145</v>
      </c>
      <c r="AE388" s="2" t="s">
        <v>108</v>
      </c>
      <c r="AF388" s="28" t="str" cm="1">
        <f t="array" ref="AF38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88" s="21">
        <v>24</v>
      </c>
      <c r="AH388" s="2" t="s">
        <v>153</v>
      </c>
      <c r="AI388"/>
      <c r="AZ388"/>
      <c r="BC388"/>
      <c r="BE388"/>
      <c r="BL388"/>
      <c r="BZ388"/>
      <c r="CA388"/>
      <c r="CF388"/>
      <c r="CG388"/>
      <c r="CH388"/>
      <c r="CI388"/>
      <c r="CK388"/>
      <c r="CN388"/>
    </row>
    <row r="389" spans="1:92" x14ac:dyDescent="0.3">
      <c r="A389" s="4">
        <v>387</v>
      </c>
      <c r="B389" s="11">
        <v>31</v>
      </c>
      <c r="C389" s="2" t="str">
        <f>_xlfn.XLOOKUP(Table1[[#This Row],[Age]],Table7[Start_Age],Table7[Age_Range],,-1)</f>
        <v>29-39</v>
      </c>
      <c r="D389" t="s">
        <v>130</v>
      </c>
      <c r="E389" s="2" t="s">
        <v>129</v>
      </c>
      <c r="F389" s="2" t="s">
        <v>133</v>
      </c>
      <c r="G389" s="3">
        <v>2</v>
      </c>
      <c r="H389" s="13" t="s">
        <v>152</v>
      </c>
      <c r="I389" s="2" t="str" cm="1">
        <f t="array" ref="I389">_xlfn.IFS(Table1[[#This Row],[Job_Type]] = "unskilled resident", "Resident",
Table1[[#This Row],[Job_Type]] = "unemp/unskilled non res", "Non-resident",
TRUE, "Unknown")</f>
        <v>Unknown</v>
      </c>
      <c r="J389" s="2" t="s">
        <v>148</v>
      </c>
      <c r="K389" s="3">
        <v>2</v>
      </c>
      <c r="L389" s="2" t="s">
        <v>140</v>
      </c>
      <c r="M389" s="13" t="s">
        <v>152</v>
      </c>
      <c r="N389" t="s">
        <v>17</v>
      </c>
      <c r="O389" s="2" t="str">
        <f>_xlfn.XLOOKUP(Table1[[#This Row],[Checking_Acct_Status]],Table3[Checking_Acct_Original],Table3[Category])</f>
        <v>No Account</v>
      </c>
      <c r="P389" s="10" t="s">
        <v>37</v>
      </c>
      <c r="Q389" s="13" t="str">
        <f>_xlfn.XLOOKUP(Table1[[#This Row],[Saving_Acct_Status]],Table5[Saving_Acct_Original],Table5[Category])</f>
        <v>High Savings</v>
      </c>
      <c r="R389" t="s">
        <v>41</v>
      </c>
      <c r="S389" s="2" t="str">
        <f>IF(
      OR(Table1[[#This Row],[Job_Type]] = "high qualif/self emp/mgmt", Table1[[#This Row],[Job_Type]] = "skilled"),
      "Skilled", "Unskilled")</f>
        <v>Skilled</v>
      </c>
      <c r="T389" t="str">
        <f>IF(Table1[[#This Row],[Job_Type]] = "unemp/unskilled non res", "Unemployed", "Employed")</f>
        <v>Employed</v>
      </c>
      <c r="U389" t="s">
        <v>38</v>
      </c>
      <c r="V389" s="14" t="str" cm="1">
        <f t="array" ref="V38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89" t="s">
        <v>31</v>
      </c>
      <c r="X389" s="2" t="str">
        <f>_xlfn.XLOOKUP(Table1[[#This Row],[Loan_Credit_History]],Table4[Credit History],Table4[[ Category]])</f>
        <v>Existing Credits Paid</v>
      </c>
      <c r="Y389" s="3">
        <v>3</v>
      </c>
      <c r="Z389" s="3">
        <v>1</v>
      </c>
      <c r="AA389" s="5">
        <v>3430</v>
      </c>
      <c r="AB389" t="s">
        <v>151</v>
      </c>
      <c r="AC389" s="2" t="str" cm="1">
        <f t="array" ref="AC389">_xlfn.IFS(Table1[[#This Row],[Others_Parties]] = "No", "None",
Table1[[#This Row],[Others_Parties]] = "co applicant", "Co-applicant",
Table1[[#This Row],[Others_Parties]] = "guarantor", "Guarantor")</f>
        <v>None</v>
      </c>
      <c r="AD389" s="13" t="s">
        <v>145</v>
      </c>
      <c r="AE389" s="2" t="s">
        <v>111</v>
      </c>
      <c r="AF389" s="28" t="str" cm="1">
        <f t="array" ref="AF38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89" s="21">
        <v>24</v>
      </c>
      <c r="AH389" s="2" t="s">
        <v>154</v>
      </c>
      <c r="AI389"/>
      <c r="AZ389"/>
      <c r="BC389"/>
      <c r="BE389"/>
      <c r="BL389"/>
      <c r="BZ389"/>
      <c r="CA389"/>
      <c r="CF389"/>
      <c r="CG389"/>
      <c r="CH389"/>
      <c r="CI389"/>
      <c r="CK389"/>
      <c r="CN389"/>
    </row>
    <row r="390" spans="1:92" x14ac:dyDescent="0.3">
      <c r="A390" s="4">
        <v>388</v>
      </c>
      <c r="B390" s="11">
        <v>23</v>
      </c>
      <c r="C390" s="2" t="str">
        <f>_xlfn.XLOOKUP(Table1[[#This Row],[Age]],Table7[Start_Age],Table7[Age_Range],,-1)</f>
        <v>19-29</v>
      </c>
      <c r="D390" t="s">
        <v>136</v>
      </c>
      <c r="E390" s="2" t="s">
        <v>131</v>
      </c>
      <c r="F390" s="2" t="s">
        <v>137</v>
      </c>
      <c r="G390" s="3">
        <v>1</v>
      </c>
      <c r="H390" s="13" t="s">
        <v>152</v>
      </c>
      <c r="I390" s="2" t="str" cm="1">
        <f t="array" ref="I390">_xlfn.IFS(Table1[[#This Row],[Job_Type]] = "unskilled resident", "Resident",
Table1[[#This Row],[Job_Type]] = "unemp/unskilled non res", "Non-resident",
TRUE, "Unknown")</f>
        <v>Unknown</v>
      </c>
      <c r="J390" s="2" t="s">
        <v>148</v>
      </c>
      <c r="K390" s="3">
        <v>4</v>
      </c>
      <c r="L390" s="2" t="s">
        <v>140</v>
      </c>
      <c r="M390" s="13" t="s">
        <v>151</v>
      </c>
      <c r="N390" t="s">
        <v>17</v>
      </c>
      <c r="O390" s="2" t="str">
        <f>_xlfn.XLOOKUP(Table1[[#This Row],[Checking_Acct_Status]],Table3[Checking_Acct_Original],Table3[Category])</f>
        <v>No Account</v>
      </c>
      <c r="P390" s="10" t="s">
        <v>46</v>
      </c>
      <c r="Q390" s="13" t="str">
        <f>_xlfn.XLOOKUP(Table1[[#This Row],[Saving_Acct_Status]],Table5[Saving_Acct_Original],Table5[Category])</f>
        <v>Medium Savings</v>
      </c>
      <c r="R390" t="s">
        <v>41</v>
      </c>
      <c r="S390" s="2" t="str">
        <f>IF(
      OR(Table1[[#This Row],[Job_Type]] = "high qualif/self emp/mgmt", Table1[[#This Row],[Job_Type]] = "skilled"),
      "Skilled", "Unskilled")</f>
        <v>Skilled</v>
      </c>
      <c r="T390" t="str">
        <f>IF(Table1[[#This Row],[Job_Type]] = "unemp/unskilled non res", "Unemployed", "Employed")</f>
        <v>Employed</v>
      </c>
      <c r="U390" t="s">
        <v>49</v>
      </c>
      <c r="V390" s="14" t="str" cm="1">
        <f t="array" ref="V39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90" t="s">
        <v>31</v>
      </c>
      <c r="X390" s="2" t="str">
        <f>_xlfn.XLOOKUP(Table1[[#This Row],[Loan_Credit_History]],Table4[Credit History],Table4[[ Category]])</f>
        <v>Existing Credits Paid</v>
      </c>
      <c r="Y390" s="3">
        <v>3</v>
      </c>
      <c r="Z390" s="3">
        <v>1</v>
      </c>
      <c r="AA390" s="5">
        <v>3488</v>
      </c>
      <c r="AB390" t="s">
        <v>151</v>
      </c>
      <c r="AC390" s="2" t="str" cm="1">
        <f t="array" ref="AC390">_xlfn.IFS(Table1[[#This Row],[Others_Parties]] = "No", "None",
Table1[[#This Row],[Others_Parties]] = "co applicant", "Co-applicant",
Table1[[#This Row],[Others_Parties]] = "guarantor", "Guarantor")</f>
        <v>None</v>
      </c>
      <c r="AD390" s="13" t="s">
        <v>145</v>
      </c>
      <c r="AE390" s="2" t="s">
        <v>107</v>
      </c>
      <c r="AF390" s="28" t="str" cm="1">
        <f t="array" ref="AF39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90" s="21">
        <v>24</v>
      </c>
      <c r="AH390" s="2" t="s">
        <v>154</v>
      </c>
      <c r="AI390"/>
      <c r="AZ390"/>
      <c r="BC390"/>
      <c r="BE390"/>
      <c r="BL390"/>
      <c r="BZ390"/>
      <c r="CA390"/>
      <c r="CF390"/>
      <c r="CG390"/>
      <c r="CH390"/>
      <c r="CI390"/>
      <c r="CK390"/>
      <c r="CN390"/>
    </row>
    <row r="391" spans="1:92" x14ac:dyDescent="0.3">
      <c r="A391" s="4">
        <v>389</v>
      </c>
      <c r="B391" s="11">
        <v>38</v>
      </c>
      <c r="C391" s="2" t="str">
        <f>_xlfn.XLOOKUP(Table1[[#This Row],[Age]],Table7[Start_Age],Table7[Age_Range],,-1)</f>
        <v>29-39</v>
      </c>
      <c r="D391" t="s">
        <v>130</v>
      </c>
      <c r="E391" s="2" t="s">
        <v>129</v>
      </c>
      <c r="F391" s="2" t="s">
        <v>133</v>
      </c>
      <c r="G391" s="3">
        <v>1</v>
      </c>
      <c r="H391" s="13" t="s">
        <v>152</v>
      </c>
      <c r="I391" s="2" t="str" cm="1">
        <f t="array" ref="I391">_xlfn.IFS(Table1[[#This Row],[Job_Type]] = "unskilled resident", "Resident",
Table1[[#This Row],[Job_Type]] = "unemp/unskilled non res", "Non-resident",
TRUE, "Unknown")</f>
        <v>Unknown</v>
      </c>
      <c r="J391" s="2" t="s">
        <v>148</v>
      </c>
      <c r="K391" s="3">
        <v>3</v>
      </c>
      <c r="L391" s="2" t="s">
        <v>140</v>
      </c>
      <c r="M391" s="13" t="s">
        <v>152</v>
      </c>
      <c r="N391" t="s">
        <v>30</v>
      </c>
      <c r="O391" s="2" t="str">
        <f>_xlfn.XLOOKUP(Table1[[#This Row],[Checking_Acct_Status]],Table3[Checking_Acct_Original],Table3[Category])</f>
        <v>Low Balance</v>
      </c>
      <c r="P391" s="10" t="s">
        <v>46</v>
      </c>
      <c r="Q391" s="13" t="str">
        <f>_xlfn.XLOOKUP(Table1[[#This Row],[Saving_Acct_Status]],Table5[Saving_Acct_Original],Table5[Category])</f>
        <v>Medium Savings</v>
      </c>
      <c r="R391" t="s">
        <v>41</v>
      </c>
      <c r="S391" s="2" t="str">
        <f>IF(
      OR(Table1[[#This Row],[Job_Type]] = "high qualif/self emp/mgmt", Table1[[#This Row],[Job_Type]] = "skilled"),
      "Skilled", "Unskilled")</f>
        <v>Skilled</v>
      </c>
      <c r="T391" t="str">
        <f>IF(Table1[[#This Row],[Job_Type]] = "unemp/unskilled non res", "Unemployed", "Employed")</f>
        <v>Employed</v>
      </c>
      <c r="U391" t="s">
        <v>49</v>
      </c>
      <c r="V391" s="14" t="str" cm="1">
        <f t="array" ref="V39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91" t="s">
        <v>31</v>
      </c>
      <c r="X391" s="2" t="str">
        <f>_xlfn.XLOOKUP(Table1[[#This Row],[Loan_Credit_History]],Table4[Credit History],Table4[[ Category]])</f>
        <v>Existing Credits Paid</v>
      </c>
      <c r="Y391" s="3">
        <v>2</v>
      </c>
      <c r="Z391" s="3">
        <v>2</v>
      </c>
      <c r="AA391" s="5">
        <v>3512</v>
      </c>
      <c r="AB391" t="s">
        <v>151</v>
      </c>
      <c r="AC391" s="2" t="str" cm="1">
        <f t="array" ref="AC391">_xlfn.IFS(Table1[[#This Row],[Others_Parties]] = "No", "None",
Table1[[#This Row],[Others_Parties]] = "co applicant", "Co-applicant",
Table1[[#This Row],[Others_Parties]] = "guarantor", "Guarantor")</f>
        <v>None</v>
      </c>
      <c r="AD391" s="13" t="s">
        <v>146</v>
      </c>
      <c r="AE391" s="2" t="s">
        <v>141</v>
      </c>
      <c r="AF391" s="28" t="str" cm="1">
        <f t="array" ref="AF39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91" s="21">
        <v>24</v>
      </c>
      <c r="AH391" s="2" t="s">
        <v>154</v>
      </c>
      <c r="AI391"/>
      <c r="AZ391"/>
      <c r="BC391"/>
      <c r="BE391"/>
      <c r="BL391"/>
      <c r="BZ391"/>
      <c r="CA391"/>
      <c r="CF391"/>
      <c r="CG391"/>
      <c r="CH391"/>
      <c r="CI391"/>
      <c r="CK391"/>
      <c r="CN391"/>
    </row>
    <row r="392" spans="1:92" x14ac:dyDescent="0.3">
      <c r="A392" s="4">
        <v>390</v>
      </c>
      <c r="B392" s="11">
        <v>27</v>
      </c>
      <c r="C392" s="2" t="str">
        <f>_xlfn.XLOOKUP(Table1[[#This Row],[Age]],Table7[Start_Age],Table7[Age_Range],,-1)</f>
        <v>19-29</v>
      </c>
      <c r="D392" t="s">
        <v>130</v>
      </c>
      <c r="E392" s="2" t="s">
        <v>129</v>
      </c>
      <c r="F392" s="2" t="s">
        <v>133</v>
      </c>
      <c r="G392" s="3">
        <v>1</v>
      </c>
      <c r="H392" s="13" t="s">
        <v>152</v>
      </c>
      <c r="I392" s="2" t="str" cm="1">
        <f t="array" ref="I392">_xlfn.IFS(Table1[[#This Row],[Job_Type]] = "unskilled resident", "Resident",
Table1[[#This Row],[Job_Type]] = "unemp/unskilled non res", "Non-resident",
TRUE, "Unknown")</f>
        <v>Unknown</v>
      </c>
      <c r="J392" s="2" t="s">
        <v>148</v>
      </c>
      <c r="K392" s="3">
        <v>4</v>
      </c>
      <c r="L392" s="2" t="s">
        <v>140</v>
      </c>
      <c r="M392" s="13" t="s">
        <v>151</v>
      </c>
      <c r="N392" t="s">
        <v>35</v>
      </c>
      <c r="O392" s="2" t="str">
        <f>_xlfn.XLOOKUP(Table1[[#This Row],[Checking_Acct_Status]],Table3[Checking_Acct_Original],Table3[Category])</f>
        <v>Negative Balance</v>
      </c>
      <c r="P392" s="10" t="s">
        <v>32</v>
      </c>
      <c r="Q392" s="13" t="str">
        <f>_xlfn.XLOOKUP(Table1[[#This Row],[Saving_Acct_Status]],Table5[Saving_Acct_Original],Table5[Category])</f>
        <v>Low Savings</v>
      </c>
      <c r="R392" t="s">
        <v>41</v>
      </c>
      <c r="S392" s="2" t="str">
        <f>IF(
      OR(Table1[[#This Row],[Job_Type]] = "high qualif/self emp/mgmt", Table1[[#This Row],[Job_Type]] = "skilled"),
      "Skilled", "Unskilled")</f>
        <v>Skilled</v>
      </c>
      <c r="T392" t="str">
        <f>IF(Table1[[#This Row],[Job_Type]] = "unemp/unskilled non res", "Unemployed", "Employed")</f>
        <v>Employed</v>
      </c>
      <c r="U392" t="s">
        <v>49</v>
      </c>
      <c r="V392" s="14" t="str" cm="1">
        <f t="array" ref="V39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392" t="s">
        <v>42</v>
      </c>
      <c r="X392" s="2" t="str">
        <f>_xlfn.XLOOKUP(Table1[[#This Row],[Loan_Credit_History]],Table4[Credit History],Table4[[ Category]])</f>
        <v>All Paid</v>
      </c>
      <c r="Y392" s="3">
        <v>3</v>
      </c>
      <c r="Z392" s="3">
        <v>1</v>
      </c>
      <c r="AA392" s="5">
        <v>3552</v>
      </c>
      <c r="AB392" t="s">
        <v>151</v>
      </c>
      <c r="AC392" s="2" t="str" cm="1">
        <f t="array" ref="AC392">_xlfn.IFS(Table1[[#This Row],[Others_Parties]] = "No", "None",
Table1[[#This Row],[Others_Parties]] = "co applicant", "Co-applicant",
Table1[[#This Row],[Others_Parties]] = "guarantor", "Guarantor")</f>
        <v>None</v>
      </c>
      <c r="AD392" s="13" t="s">
        <v>146</v>
      </c>
      <c r="AE392" s="2" t="s">
        <v>108</v>
      </c>
      <c r="AF392" s="28" t="str" cm="1">
        <f t="array" ref="AF39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92" s="21">
        <v>24</v>
      </c>
      <c r="AH392" s="2" t="s">
        <v>153</v>
      </c>
      <c r="AI392"/>
      <c r="AZ392"/>
      <c r="BC392"/>
      <c r="BE392"/>
      <c r="BL392"/>
      <c r="BZ392"/>
      <c r="CA392"/>
      <c r="CF392"/>
      <c r="CG392"/>
      <c r="CH392"/>
      <c r="CI392"/>
      <c r="CK392"/>
      <c r="CN392"/>
    </row>
    <row r="393" spans="1:92" x14ac:dyDescent="0.3">
      <c r="A393" s="4">
        <v>391</v>
      </c>
      <c r="B393" s="11">
        <v>20</v>
      </c>
      <c r="C393" s="2" t="str">
        <f>_xlfn.XLOOKUP(Table1[[#This Row],[Age]],Table7[Start_Age],Table7[Age_Range],,-1)</f>
        <v>19-29</v>
      </c>
      <c r="D393" t="s">
        <v>130</v>
      </c>
      <c r="E393" s="2" t="s">
        <v>129</v>
      </c>
      <c r="F393" s="2" t="s">
        <v>133</v>
      </c>
      <c r="G393" s="3">
        <v>1</v>
      </c>
      <c r="H393" s="13" t="s">
        <v>152</v>
      </c>
      <c r="I393" s="2" t="str" cm="1">
        <f t="array" ref="I393">_xlfn.IFS(Table1[[#This Row],[Job_Type]] = "unskilled resident", "Resident",
Table1[[#This Row],[Job_Type]] = "unemp/unskilled non res", "Non-resident",
TRUE, "Unknown")</f>
        <v>Unknown</v>
      </c>
      <c r="J393" s="2" t="s">
        <v>149</v>
      </c>
      <c r="K393" s="3">
        <v>4</v>
      </c>
      <c r="L393" s="2" t="s">
        <v>142</v>
      </c>
      <c r="M393" s="13" t="s">
        <v>151</v>
      </c>
      <c r="N393" t="s">
        <v>50</v>
      </c>
      <c r="O393" s="2" t="str">
        <f>_xlfn.XLOOKUP(Table1[[#This Row],[Checking_Acct_Status]],Table3[Checking_Acct_Original],Table3[Category])</f>
        <v>High Balance</v>
      </c>
      <c r="P393" s="10" t="s">
        <v>47</v>
      </c>
      <c r="Q393" s="13" t="str">
        <f>_xlfn.XLOOKUP(Table1[[#This Row],[Saving_Acct_Status]],Table5[Saving_Acct_Original],Table5[Category])</f>
        <v>No Savings</v>
      </c>
      <c r="R393" t="s">
        <v>41</v>
      </c>
      <c r="S393" s="2" t="str">
        <f>IF(
      OR(Table1[[#This Row],[Job_Type]] = "high qualif/self emp/mgmt", Table1[[#This Row],[Job_Type]] = "skilled"),
      "Skilled", "Unskilled")</f>
        <v>Skilled</v>
      </c>
      <c r="T393" t="str">
        <f>IF(Table1[[#This Row],[Job_Type]] = "unemp/unskilled non res", "Unemployed", "Employed")</f>
        <v>Employed</v>
      </c>
      <c r="U393" t="s">
        <v>38</v>
      </c>
      <c r="V393" s="14" t="str" cm="1">
        <f t="array" ref="V39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93" t="s">
        <v>103</v>
      </c>
      <c r="X393" s="2" t="str">
        <f>_xlfn.XLOOKUP(Table1[[#This Row],[Loan_Credit_History]],Table4[Credit History],Table4[[ Category]])</f>
        <v>Critical Credit History</v>
      </c>
      <c r="Y393" s="3">
        <v>4</v>
      </c>
      <c r="Z393" s="3">
        <v>2</v>
      </c>
      <c r="AA393" s="5">
        <v>3617</v>
      </c>
      <c r="AB393" t="s">
        <v>55</v>
      </c>
      <c r="AC393" s="2" t="str" cm="1">
        <f t="array" ref="AC393">_xlfn.IFS(Table1[[#This Row],[Others_Parties]] = "No", "None",
Table1[[#This Row],[Others_Parties]] = "co applicant", "Co-applicant",
Table1[[#This Row],[Others_Parties]] = "guarantor", "Guarantor")</f>
        <v>Co-applicant</v>
      </c>
      <c r="AD393" s="13" t="s">
        <v>145</v>
      </c>
      <c r="AE393" s="2" t="s">
        <v>108</v>
      </c>
      <c r="AF393" s="28" t="str" cm="1">
        <f t="array" ref="AF39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93" s="21">
        <v>24</v>
      </c>
      <c r="AH393" s="2" t="s">
        <v>154</v>
      </c>
      <c r="AI393"/>
      <c r="AZ393"/>
      <c r="BC393"/>
      <c r="BE393"/>
      <c r="BL393"/>
      <c r="BZ393"/>
      <c r="CA393"/>
      <c r="CF393"/>
      <c r="CG393"/>
      <c r="CH393"/>
      <c r="CI393"/>
      <c r="CK393"/>
      <c r="CN393"/>
    </row>
    <row r="394" spans="1:92" x14ac:dyDescent="0.3">
      <c r="A394" s="4">
        <v>392</v>
      </c>
      <c r="B394" s="11">
        <v>31</v>
      </c>
      <c r="C394" s="2" t="str">
        <f>_xlfn.XLOOKUP(Table1[[#This Row],[Age]],Table7[Start_Age],Table7[Age_Range],,-1)</f>
        <v>29-39</v>
      </c>
      <c r="D394" t="s">
        <v>130</v>
      </c>
      <c r="E394" s="2" t="s">
        <v>129</v>
      </c>
      <c r="F394" s="2" t="s">
        <v>133</v>
      </c>
      <c r="G394" s="3">
        <v>1</v>
      </c>
      <c r="H394" s="13" t="s">
        <v>152</v>
      </c>
      <c r="I394" s="2" t="str" cm="1">
        <f t="array" ref="I394">_xlfn.IFS(Table1[[#This Row],[Job_Type]] = "unskilled resident", "Resident",
Table1[[#This Row],[Job_Type]] = "unemp/unskilled non res", "Non-resident",
TRUE, "Unknown")</f>
        <v>Unknown</v>
      </c>
      <c r="J394" s="2" t="s">
        <v>148</v>
      </c>
      <c r="K394" s="3">
        <v>4</v>
      </c>
      <c r="L394" s="2" t="s">
        <v>140</v>
      </c>
      <c r="M394" s="13" t="s">
        <v>151</v>
      </c>
      <c r="N394" t="s">
        <v>17</v>
      </c>
      <c r="O394" s="2" t="str">
        <f>_xlfn.XLOOKUP(Table1[[#This Row],[Checking_Acct_Status]],Table3[Checking_Acct_Original],Table3[Category])</f>
        <v>No Account</v>
      </c>
      <c r="P394" s="10" t="s">
        <v>46</v>
      </c>
      <c r="Q394" s="13" t="str">
        <f>_xlfn.XLOOKUP(Table1[[#This Row],[Saving_Acct_Status]],Table5[Saving_Acct_Original],Table5[Category])</f>
        <v>Medium Savings</v>
      </c>
      <c r="R394" t="s">
        <v>41</v>
      </c>
      <c r="S394" s="2" t="str">
        <f>IF(
      OR(Table1[[#This Row],[Job_Type]] = "high qualif/self emp/mgmt", Table1[[#This Row],[Job_Type]] = "skilled"),
      "Skilled", "Unskilled")</f>
        <v>Skilled</v>
      </c>
      <c r="T394" t="str">
        <f>IF(Table1[[#This Row],[Job_Type]] = "unemp/unskilled non res", "Unemployed", "Employed")</f>
        <v>Employed</v>
      </c>
      <c r="U394" t="s">
        <v>38</v>
      </c>
      <c r="V394" s="14" t="str" cm="1">
        <f t="array" ref="V39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94" t="s">
        <v>31</v>
      </c>
      <c r="X394" s="2" t="str">
        <f>_xlfn.XLOOKUP(Table1[[#This Row],[Loan_Credit_History]],Table4[Credit History],Table4[[ Category]])</f>
        <v>Existing Credits Paid</v>
      </c>
      <c r="Y394" s="3">
        <v>2</v>
      </c>
      <c r="Z394" s="3">
        <v>2</v>
      </c>
      <c r="AA394" s="5">
        <v>3621</v>
      </c>
      <c r="AB394" t="s">
        <v>151</v>
      </c>
      <c r="AC394" s="2" t="str" cm="1">
        <f t="array" ref="AC394">_xlfn.IFS(Table1[[#This Row],[Others_Parties]] = "No", "None",
Table1[[#This Row],[Others_Parties]] = "co applicant", "Co-applicant",
Table1[[#This Row],[Others_Parties]] = "guarantor", "Guarantor")</f>
        <v>None</v>
      </c>
      <c r="AD394" s="13" t="s">
        <v>145</v>
      </c>
      <c r="AE394" s="2" t="s">
        <v>111</v>
      </c>
      <c r="AF394" s="28" t="str" cm="1">
        <f t="array" ref="AF39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94" s="21">
        <v>24</v>
      </c>
      <c r="AH394" s="2" t="s">
        <v>153</v>
      </c>
      <c r="AI394"/>
      <c r="AZ394"/>
      <c r="BC394"/>
      <c r="BE394"/>
      <c r="BL394"/>
      <c r="BZ394"/>
      <c r="CA394"/>
      <c r="CF394"/>
      <c r="CG394"/>
      <c r="CH394"/>
      <c r="CI394"/>
      <c r="CK394"/>
      <c r="CN394"/>
    </row>
    <row r="395" spans="1:92" x14ac:dyDescent="0.3">
      <c r="A395" s="4">
        <v>393</v>
      </c>
      <c r="B395" s="11">
        <v>28</v>
      </c>
      <c r="C395" s="2" t="str">
        <f>_xlfn.XLOOKUP(Table1[[#This Row],[Age]],Table7[Start_Age],Table7[Age_Range],,-1)</f>
        <v>19-29</v>
      </c>
      <c r="D395" t="s">
        <v>136</v>
      </c>
      <c r="E395" s="2" t="s">
        <v>131</v>
      </c>
      <c r="F395" s="2" t="s">
        <v>137</v>
      </c>
      <c r="G395" s="3">
        <v>1</v>
      </c>
      <c r="H395" s="13" t="s">
        <v>152</v>
      </c>
      <c r="I395" s="2" t="str" cm="1">
        <f t="array" ref="I395">_xlfn.IFS(Table1[[#This Row],[Job_Type]] = "unskilled resident", "Resident",
Table1[[#This Row],[Job_Type]] = "unemp/unskilled non res", "Non-resident",
TRUE, "Unknown")</f>
        <v>Unknown</v>
      </c>
      <c r="J395" s="2" t="s">
        <v>148</v>
      </c>
      <c r="K395" s="3">
        <v>4</v>
      </c>
      <c r="L395" s="2" t="s">
        <v>140</v>
      </c>
      <c r="M395" s="13" t="s">
        <v>151</v>
      </c>
      <c r="N395" t="s">
        <v>35</v>
      </c>
      <c r="O395" s="2" t="str">
        <f>_xlfn.XLOOKUP(Table1[[#This Row],[Checking_Acct_Status]],Table3[Checking_Acct_Original],Table3[Category])</f>
        <v>Negative Balance</v>
      </c>
      <c r="P395" s="10" t="s">
        <v>32</v>
      </c>
      <c r="Q395" s="13" t="str">
        <f>_xlfn.XLOOKUP(Table1[[#This Row],[Saving_Acct_Status]],Table5[Saving_Acct_Original],Table5[Category])</f>
        <v>Low Savings</v>
      </c>
      <c r="R395" t="s">
        <v>41</v>
      </c>
      <c r="S395" s="2" t="str">
        <f>IF(
      OR(Table1[[#This Row],[Job_Type]] = "high qualif/self emp/mgmt", Table1[[#This Row],[Job_Type]] = "skilled"),
      "Skilled", "Unskilled")</f>
        <v>Skilled</v>
      </c>
      <c r="T395" t="str">
        <f>IF(Table1[[#This Row],[Job_Type]] = "unemp/unskilled non res", "Unemployed", "Employed")</f>
        <v>Employed</v>
      </c>
      <c r="U395" t="s">
        <v>21</v>
      </c>
      <c r="V395" s="14" t="str" cm="1">
        <f t="array" ref="V39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95" t="s">
        <v>31</v>
      </c>
      <c r="X395" s="2" t="str">
        <f>_xlfn.XLOOKUP(Table1[[#This Row],[Loan_Credit_History]],Table4[Credit History],Table4[[ Category]])</f>
        <v>Existing Credits Paid</v>
      </c>
      <c r="Y395" s="3">
        <v>2</v>
      </c>
      <c r="Z395" s="3">
        <v>1</v>
      </c>
      <c r="AA395" s="5">
        <v>3660</v>
      </c>
      <c r="AB395" t="s">
        <v>151</v>
      </c>
      <c r="AC395" s="2" t="str" cm="1">
        <f t="array" ref="AC395">_xlfn.IFS(Table1[[#This Row],[Others_Parties]] = "No", "None",
Table1[[#This Row],[Others_Parties]] = "co applicant", "Co-applicant",
Table1[[#This Row],[Others_Parties]] = "guarantor", "Guarantor")</f>
        <v>None</v>
      </c>
      <c r="AD395" s="13" t="s">
        <v>145</v>
      </c>
      <c r="AE395" s="2" t="s">
        <v>111</v>
      </c>
      <c r="AF395" s="28" t="str" cm="1">
        <f t="array" ref="AF39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95" s="21">
        <v>24</v>
      </c>
      <c r="AH395" s="2" t="s">
        <v>154</v>
      </c>
      <c r="AI395"/>
      <c r="AZ395"/>
      <c r="BC395"/>
      <c r="BE395"/>
      <c r="BL395"/>
      <c r="BZ395"/>
      <c r="CA395"/>
      <c r="CF395"/>
      <c r="CG395"/>
      <c r="CH395"/>
      <c r="CI395"/>
      <c r="CK395"/>
      <c r="CN395"/>
    </row>
    <row r="396" spans="1:92" x14ac:dyDescent="0.3">
      <c r="A396" s="4">
        <v>394</v>
      </c>
      <c r="B396" s="11">
        <v>26</v>
      </c>
      <c r="C396" s="2" t="str">
        <f>_xlfn.XLOOKUP(Table1[[#This Row],[Age]],Table7[Start_Age],Table7[Age_Range],,-1)</f>
        <v>19-29</v>
      </c>
      <c r="D396" t="s">
        <v>136</v>
      </c>
      <c r="E396" s="2" t="s">
        <v>131</v>
      </c>
      <c r="F396" s="2" t="s">
        <v>137</v>
      </c>
      <c r="G396" s="3">
        <v>1</v>
      </c>
      <c r="H396" s="13" t="s">
        <v>152</v>
      </c>
      <c r="I396" s="2" t="str" cm="1">
        <f t="array" ref="I396">_xlfn.IFS(Table1[[#This Row],[Job_Type]] = "unskilled resident", "Resident",
Table1[[#This Row],[Job_Type]] = "unemp/unskilled non res", "Non-resident",
TRUE, "Unknown")</f>
        <v>Unknown</v>
      </c>
      <c r="J396" s="2" t="s">
        <v>148</v>
      </c>
      <c r="K396" s="3">
        <v>4</v>
      </c>
      <c r="L396" s="2" t="s">
        <v>140</v>
      </c>
      <c r="M396" s="13" t="s">
        <v>151</v>
      </c>
      <c r="N396" t="s">
        <v>50</v>
      </c>
      <c r="O396" s="2" t="str">
        <f>_xlfn.XLOOKUP(Table1[[#This Row],[Checking_Acct_Status]],Table3[Checking_Acct_Original],Table3[Category])</f>
        <v>High Balance</v>
      </c>
      <c r="P396" s="10" t="s">
        <v>32</v>
      </c>
      <c r="Q396" s="13" t="str">
        <f>_xlfn.XLOOKUP(Table1[[#This Row],[Saving_Acct_Status]],Table5[Saving_Acct_Original],Table5[Category])</f>
        <v>Low Savings</v>
      </c>
      <c r="R396" t="s">
        <v>41</v>
      </c>
      <c r="S396" s="2" t="str">
        <f>IF(
      OR(Table1[[#This Row],[Job_Type]] = "high qualif/self emp/mgmt", Table1[[#This Row],[Job_Type]] = "skilled"),
      "Skilled", "Unskilled")</f>
        <v>Skilled</v>
      </c>
      <c r="T396" t="str">
        <f>IF(Table1[[#This Row],[Job_Type]] = "unemp/unskilled non res", "Unemployed", "Employed")</f>
        <v>Employed</v>
      </c>
      <c r="U396" t="s">
        <v>45</v>
      </c>
      <c r="V396" s="14" t="str" cm="1">
        <f t="array" ref="V39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396" t="s">
        <v>31</v>
      </c>
      <c r="X396" s="2" t="str">
        <f>_xlfn.XLOOKUP(Table1[[#This Row],[Loan_Credit_History]],Table4[Credit History],Table4[[ Category]])</f>
        <v>Existing Credits Paid</v>
      </c>
      <c r="Y396" s="3">
        <v>2</v>
      </c>
      <c r="Z396" s="3">
        <v>1</v>
      </c>
      <c r="AA396" s="5">
        <v>3749</v>
      </c>
      <c r="AB396" t="s">
        <v>151</v>
      </c>
      <c r="AC396" s="2" t="str" cm="1">
        <f t="array" ref="AC396">_xlfn.IFS(Table1[[#This Row],[Others_Parties]] = "No", "None",
Table1[[#This Row],[Others_Parties]] = "co applicant", "Co-applicant",
Table1[[#This Row],[Others_Parties]] = "guarantor", "Guarantor")</f>
        <v>None</v>
      </c>
      <c r="AD396" s="13" t="s">
        <v>145</v>
      </c>
      <c r="AE396" s="2" t="s">
        <v>108</v>
      </c>
      <c r="AF396" s="28" t="str" cm="1">
        <f t="array" ref="AF39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96" s="21">
        <v>24</v>
      </c>
      <c r="AH396" s="2" t="s">
        <v>154</v>
      </c>
      <c r="AI396"/>
      <c r="AZ396"/>
      <c r="BC396"/>
      <c r="BE396"/>
      <c r="BL396"/>
      <c r="BZ396"/>
      <c r="CA396"/>
      <c r="CF396"/>
      <c r="CG396"/>
      <c r="CH396"/>
      <c r="CI396"/>
      <c r="CK396"/>
      <c r="CN396"/>
    </row>
    <row r="397" spans="1:92" x14ac:dyDescent="0.3">
      <c r="A397" s="4">
        <v>395</v>
      </c>
      <c r="B397" s="11">
        <v>62</v>
      </c>
      <c r="C397" s="2" t="str">
        <f>_xlfn.XLOOKUP(Table1[[#This Row],[Age]],Table7[Start_Age],Table7[Age_Range],,-1)</f>
        <v>59-69</v>
      </c>
      <c r="D397" t="s">
        <v>136</v>
      </c>
      <c r="E397" s="2" t="s">
        <v>131</v>
      </c>
      <c r="F397" s="2" t="s">
        <v>137</v>
      </c>
      <c r="G397" s="3">
        <v>1</v>
      </c>
      <c r="H397" s="13" t="s">
        <v>152</v>
      </c>
      <c r="I397" s="2" t="str" cm="1">
        <f t="array" ref="I397">_xlfn.IFS(Table1[[#This Row],[Job_Type]] = "unskilled resident", "Resident",
Table1[[#This Row],[Job_Type]] = "unemp/unskilled non res", "Non-resident",
TRUE, "Unknown")</f>
        <v>Unknown</v>
      </c>
      <c r="J397" s="2" t="s">
        <v>150</v>
      </c>
      <c r="K397" s="3">
        <v>4</v>
      </c>
      <c r="L397" s="2" t="s">
        <v>142</v>
      </c>
      <c r="M397" s="13" t="s">
        <v>152</v>
      </c>
      <c r="N397" t="s">
        <v>17</v>
      </c>
      <c r="O397" s="2" t="str">
        <f>_xlfn.XLOOKUP(Table1[[#This Row],[Checking_Acct_Status]],Table3[Checking_Acct_Original],Table3[Category])</f>
        <v>No Account</v>
      </c>
      <c r="P397" s="10" t="s">
        <v>32</v>
      </c>
      <c r="Q397" s="13" t="str">
        <f>_xlfn.XLOOKUP(Table1[[#This Row],[Saving_Acct_Status]],Table5[Saving_Acct_Original],Table5[Category])</f>
        <v>Low Savings</v>
      </c>
      <c r="R397" t="s">
        <v>41</v>
      </c>
      <c r="S397" s="2" t="str">
        <f>IF(
      OR(Table1[[#This Row],[Job_Type]] = "high qualif/self emp/mgmt", Table1[[#This Row],[Job_Type]] = "skilled"),
      "Skilled", "Unskilled")</f>
        <v>Skilled</v>
      </c>
      <c r="T397" t="str">
        <f>IF(Table1[[#This Row],[Job_Type]] = "unemp/unskilled non res", "Unemployed", "Employed")</f>
        <v>Employed</v>
      </c>
      <c r="U397" t="s">
        <v>38</v>
      </c>
      <c r="V397" s="14" t="str" cm="1">
        <f t="array" ref="V39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397" t="s">
        <v>31</v>
      </c>
      <c r="X397" s="2" t="str">
        <f>_xlfn.XLOOKUP(Table1[[#This Row],[Loan_Credit_History]],Table4[Credit History],Table4[[ Category]])</f>
        <v>Existing Credits Paid</v>
      </c>
      <c r="Y397" s="3">
        <v>4</v>
      </c>
      <c r="Z397" s="3">
        <v>1</v>
      </c>
      <c r="AA397" s="5">
        <v>3757</v>
      </c>
      <c r="AB397" t="s">
        <v>55</v>
      </c>
      <c r="AC397" s="2" t="str" cm="1">
        <f t="array" ref="AC397">_xlfn.IFS(Table1[[#This Row],[Others_Parties]] = "No", "None",
Table1[[#This Row],[Others_Parties]] = "co applicant", "Co-applicant",
Table1[[#This Row],[Others_Parties]] = "guarantor", "Guarantor")</f>
        <v>Co-applicant</v>
      </c>
      <c r="AD397" s="13" t="s">
        <v>145</v>
      </c>
      <c r="AE397" s="2" t="s">
        <v>141</v>
      </c>
      <c r="AF397" s="28" t="str" cm="1">
        <f t="array" ref="AF39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97" s="21">
        <v>24</v>
      </c>
      <c r="AH397" s="2" t="s">
        <v>154</v>
      </c>
      <c r="AI397"/>
      <c r="AZ397"/>
      <c r="BC397"/>
      <c r="BE397"/>
      <c r="BL397"/>
      <c r="BZ397"/>
      <c r="CA397"/>
      <c r="CF397"/>
      <c r="CG397"/>
      <c r="CH397"/>
      <c r="CI397"/>
      <c r="CK397"/>
      <c r="CN397"/>
    </row>
    <row r="398" spans="1:92" x14ac:dyDescent="0.3">
      <c r="A398" s="4">
        <v>396</v>
      </c>
      <c r="B398" s="11">
        <v>23</v>
      </c>
      <c r="C398" s="2" t="str">
        <f>_xlfn.XLOOKUP(Table1[[#This Row],[Age]],Table7[Start_Age],Table7[Age_Range],,-1)</f>
        <v>19-29</v>
      </c>
      <c r="D398" t="s">
        <v>136</v>
      </c>
      <c r="E398" s="2" t="s">
        <v>131</v>
      </c>
      <c r="F398" s="2" t="s">
        <v>137</v>
      </c>
      <c r="G398" s="3">
        <v>1</v>
      </c>
      <c r="H398" s="13" t="s">
        <v>152</v>
      </c>
      <c r="I398" s="2" t="str" cm="1">
        <f t="array" ref="I398">_xlfn.IFS(Table1[[#This Row],[Job_Type]] = "unskilled resident", "Resident",
Table1[[#This Row],[Job_Type]] = "unemp/unskilled non res", "Non-resident",
TRUE, "Unknown")</f>
        <v>Non-resident</v>
      </c>
      <c r="J398" s="2" t="s">
        <v>149</v>
      </c>
      <c r="K398" s="3">
        <v>4</v>
      </c>
      <c r="L398" s="2" t="s">
        <v>142</v>
      </c>
      <c r="M398" s="13" t="s">
        <v>151</v>
      </c>
      <c r="N398" t="s">
        <v>30</v>
      </c>
      <c r="O398" s="2" t="str">
        <f>_xlfn.XLOOKUP(Table1[[#This Row],[Checking_Acct_Status]],Table3[Checking_Acct_Original],Table3[Category])</f>
        <v>Low Balance</v>
      </c>
      <c r="P398" s="10" t="s">
        <v>37</v>
      </c>
      <c r="Q398" s="13" t="str">
        <f>_xlfn.XLOOKUP(Table1[[#This Row],[Saving_Acct_Status]],Table5[Saving_Acct_Original],Table5[Category])</f>
        <v>High Savings</v>
      </c>
      <c r="R398" t="s">
        <v>62</v>
      </c>
      <c r="S398" s="2" t="str">
        <f>IF(
      OR(Table1[[#This Row],[Job_Type]] = "high qualif/self emp/mgmt", Table1[[#This Row],[Job_Type]] = "skilled"),
      "Skilled", "Unskilled")</f>
        <v>Unskilled</v>
      </c>
      <c r="T398" t="str">
        <f>IF(Table1[[#This Row],[Job_Type]] = "unemp/unskilled non res", "Unemployed", "Employed")</f>
        <v>Unemployed</v>
      </c>
      <c r="U398" t="s">
        <v>54</v>
      </c>
      <c r="V398" s="14" t="str" cm="1">
        <f t="array" ref="V398">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398" t="s">
        <v>31</v>
      </c>
      <c r="X398" s="2" t="str">
        <f>_xlfn.XLOOKUP(Table1[[#This Row],[Loan_Credit_History]],Table4[Credit History],Table4[[ Category]])</f>
        <v>Existing Credits Paid</v>
      </c>
      <c r="Y398" s="3">
        <v>1</v>
      </c>
      <c r="Z398" s="3">
        <v>1</v>
      </c>
      <c r="AA398" s="5">
        <v>3758</v>
      </c>
      <c r="AB398" t="s">
        <v>151</v>
      </c>
      <c r="AC398" s="2" t="str" cm="1">
        <f t="array" ref="AC398">_xlfn.IFS(Table1[[#This Row],[Others_Parties]] = "No", "None",
Table1[[#This Row],[Others_Parties]] = "co applicant", "Co-applicant",
Table1[[#This Row],[Others_Parties]] = "guarantor", "Guarantor")</f>
        <v>None</v>
      </c>
      <c r="AD398" s="13" t="s">
        <v>145</v>
      </c>
      <c r="AE398" s="2" t="s">
        <v>111</v>
      </c>
      <c r="AF398" s="28" t="str" cm="1">
        <f t="array" ref="AF39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98" s="21">
        <v>24</v>
      </c>
      <c r="AH398" s="2" t="s">
        <v>154</v>
      </c>
      <c r="AI398"/>
      <c r="AZ398"/>
      <c r="BC398"/>
      <c r="BE398"/>
      <c r="BL398"/>
      <c r="BZ398"/>
      <c r="CA398"/>
      <c r="CF398"/>
      <c r="CG398"/>
      <c r="CH398"/>
      <c r="CI398"/>
      <c r="CK398"/>
      <c r="CN398"/>
    </row>
    <row r="399" spans="1:92" x14ac:dyDescent="0.3">
      <c r="A399" s="4">
        <v>397</v>
      </c>
      <c r="B399" s="11">
        <v>50</v>
      </c>
      <c r="C399" s="2" t="str">
        <f>_xlfn.XLOOKUP(Table1[[#This Row],[Age]],Table7[Start_Age],Table7[Age_Range],,-1)</f>
        <v>49-59</v>
      </c>
      <c r="D399" t="s">
        <v>130</v>
      </c>
      <c r="E399" s="2" t="s">
        <v>129</v>
      </c>
      <c r="F399" s="2" t="s">
        <v>133</v>
      </c>
      <c r="G399" s="3">
        <v>1</v>
      </c>
      <c r="H399" s="13" t="s">
        <v>152</v>
      </c>
      <c r="I399" s="2" t="str" cm="1">
        <f t="array" ref="I399">_xlfn.IFS(Table1[[#This Row],[Job_Type]] = "unskilled resident", "Resident",
Table1[[#This Row],[Job_Type]] = "unemp/unskilled non res", "Non-resident",
TRUE, "Unknown")</f>
        <v>Unknown</v>
      </c>
      <c r="J399" s="2" t="s">
        <v>148</v>
      </c>
      <c r="K399" s="3">
        <v>4</v>
      </c>
      <c r="L399" s="2" t="s">
        <v>144</v>
      </c>
      <c r="M399" s="13" t="s">
        <v>152</v>
      </c>
      <c r="N399" t="s">
        <v>17</v>
      </c>
      <c r="O399" s="2" t="str">
        <f>_xlfn.XLOOKUP(Table1[[#This Row],[Checking_Acct_Status]],Table3[Checking_Acct_Original],Table3[Category])</f>
        <v>No Account</v>
      </c>
      <c r="P399" s="10" t="s">
        <v>20</v>
      </c>
      <c r="Q399" s="13" t="str">
        <f>_xlfn.XLOOKUP(Table1[[#This Row],[Saving_Acct_Status]],Table5[Saving_Acct_Original],Table5[Category])</f>
        <v>Very High Savings</v>
      </c>
      <c r="R399" t="s">
        <v>41</v>
      </c>
      <c r="S399" s="2" t="str">
        <f>IF(
      OR(Table1[[#This Row],[Job_Type]] = "high qualif/self emp/mgmt", Table1[[#This Row],[Job_Type]] = "skilled"),
      "Skilled", "Unskilled")</f>
        <v>Skilled</v>
      </c>
      <c r="T399" t="str">
        <f>IF(Table1[[#This Row],[Job_Type]] = "unemp/unskilled non res", "Unemployed", "Employed")</f>
        <v>Employed</v>
      </c>
      <c r="U399" t="s">
        <v>21</v>
      </c>
      <c r="V399" s="14" t="str" cm="1">
        <f t="array" ref="V39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399" t="s">
        <v>103</v>
      </c>
      <c r="X399" s="2" t="str">
        <f>_xlfn.XLOOKUP(Table1[[#This Row],[Loan_Credit_History]],Table4[Credit History],Table4[[ Category]])</f>
        <v>Critical Credit History</v>
      </c>
      <c r="Y399" s="3">
        <v>4</v>
      </c>
      <c r="Z399" s="3">
        <v>1</v>
      </c>
      <c r="AA399" s="5">
        <v>3777</v>
      </c>
      <c r="AB399" t="s">
        <v>151</v>
      </c>
      <c r="AC399" s="2" t="str" cm="1">
        <f t="array" ref="AC399">_xlfn.IFS(Table1[[#This Row],[Others_Parties]] = "No", "None",
Table1[[#This Row],[Others_Parties]] = "co applicant", "Co-applicant",
Table1[[#This Row],[Others_Parties]] = "guarantor", "Guarantor")</f>
        <v>None</v>
      </c>
      <c r="AD399" s="13" t="s">
        <v>145</v>
      </c>
      <c r="AE399" s="2" t="s">
        <v>108</v>
      </c>
      <c r="AF399" s="28" t="str" cm="1">
        <f t="array" ref="AF39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399" s="21">
        <v>24</v>
      </c>
      <c r="AH399" s="2" t="s">
        <v>154</v>
      </c>
      <c r="AI399"/>
      <c r="AZ399"/>
      <c r="BC399"/>
      <c r="BE399"/>
      <c r="BL399"/>
      <c r="BZ399"/>
      <c r="CA399"/>
      <c r="CF399"/>
      <c r="CG399"/>
      <c r="CH399"/>
      <c r="CI399"/>
      <c r="CK399"/>
      <c r="CN399"/>
    </row>
    <row r="400" spans="1:92" x14ac:dyDescent="0.3">
      <c r="A400" s="4">
        <v>398</v>
      </c>
      <c r="B400" s="11">
        <v>32</v>
      </c>
      <c r="C400" s="2" t="str">
        <f>_xlfn.XLOOKUP(Table1[[#This Row],[Age]],Table7[Start_Age],Table7[Age_Range],,-1)</f>
        <v>29-39</v>
      </c>
      <c r="D400" t="s">
        <v>130</v>
      </c>
      <c r="E400" s="2" t="s">
        <v>129</v>
      </c>
      <c r="F400" s="2" t="s">
        <v>133</v>
      </c>
      <c r="G400" s="3">
        <v>1</v>
      </c>
      <c r="H400" s="13" t="s">
        <v>152</v>
      </c>
      <c r="I400" s="2" t="str" cm="1">
        <f t="array" ref="I400">_xlfn.IFS(Table1[[#This Row],[Job_Type]] = "unskilled resident", "Resident",
Table1[[#This Row],[Job_Type]] = "unemp/unskilled non res", "Non-resident",
TRUE, "Unknown")</f>
        <v>Unknown</v>
      </c>
      <c r="J400" s="2" t="s">
        <v>150</v>
      </c>
      <c r="K400" s="3">
        <v>2</v>
      </c>
      <c r="L400" s="2" t="s">
        <v>142</v>
      </c>
      <c r="M400" s="13" t="s">
        <v>151</v>
      </c>
      <c r="N400" t="s">
        <v>17</v>
      </c>
      <c r="O400" s="2" t="str">
        <f>_xlfn.XLOOKUP(Table1[[#This Row],[Checking_Acct_Status]],Table3[Checking_Acct_Original],Table3[Category])</f>
        <v>No Account</v>
      </c>
      <c r="P400" s="10" t="s">
        <v>32</v>
      </c>
      <c r="Q400" s="13" t="str">
        <f>_xlfn.XLOOKUP(Table1[[#This Row],[Saving_Acct_Status]],Table5[Saving_Acct_Original],Table5[Category])</f>
        <v>Low Savings</v>
      </c>
      <c r="R400" t="s">
        <v>41</v>
      </c>
      <c r="S400" s="2" t="str">
        <f>IF(
      OR(Table1[[#This Row],[Job_Type]] = "high qualif/self emp/mgmt", Table1[[#This Row],[Job_Type]] = "skilled"),
      "Skilled", "Unskilled")</f>
        <v>Skilled</v>
      </c>
      <c r="T400" t="str">
        <f>IF(Table1[[#This Row],[Job_Type]] = "unemp/unskilled non res", "Unemployed", "Employed")</f>
        <v>Employed</v>
      </c>
      <c r="U400" t="s">
        <v>21</v>
      </c>
      <c r="V400" s="14" t="str" cm="1">
        <f t="array" ref="V40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00" t="s">
        <v>59</v>
      </c>
      <c r="X400" s="2" t="str">
        <f>_xlfn.XLOOKUP(Table1[[#This Row],[Loan_Credit_History]],Table4[Credit History],Table4[[ Category]])</f>
        <v>Previously Delayed</v>
      </c>
      <c r="Y400" s="3">
        <v>1</v>
      </c>
      <c r="Z400" s="3">
        <v>1</v>
      </c>
      <c r="AA400" s="5">
        <v>3863</v>
      </c>
      <c r="AB400" t="s">
        <v>151</v>
      </c>
      <c r="AC400" s="2" t="str" cm="1">
        <f t="array" ref="AC400">_xlfn.IFS(Table1[[#This Row],[Others_Parties]] = "No", "None",
Table1[[#This Row],[Others_Parties]] = "co applicant", "Co-applicant",
Table1[[#This Row],[Others_Parties]] = "guarantor", "Guarantor")</f>
        <v>None</v>
      </c>
      <c r="AD400" s="13" t="s">
        <v>145</v>
      </c>
      <c r="AE400" s="2" t="s">
        <v>105</v>
      </c>
      <c r="AF400" s="28" t="str" cm="1">
        <f t="array" ref="AF40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00" s="21">
        <v>24</v>
      </c>
      <c r="AH400" s="2" t="s">
        <v>154</v>
      </c>
      <c r="AI400"/>
      <c r="AZ400"/>
      <c r="BC400"/>
      <c r="BE400"/>
      <c r="BL400"/>
      <c r="BZ400"/>
      <c r="CA400"/>
      <c r="CF400"/>
      <c r="CG400"/>
      <c r="CH400"/>
      <c r="CI400"/>
      <c r="CK400"/>
      <c r="CN400"/>
    </row>
    <row r="401" spans="1:92" x14ac:dyDescent="0.3">
      <c r="A401" s="4">
        <v>399</v>
      </c>
      <c r="B401" s="11">
        <v>41</v>
      </c>
      <c r="C401" s="2" t="str">
        <f>_xlfn.XLOOKUP(Table1[[#This Row],[Age]],Table7[Start_Age],Table7[Age_Range],,-1)</f>
        <v>39-49</v>
      </c>
      <c r="D401" t="s">
        <v>136</v>
      </c>
      <c r="E401" s="2" t="s">
        <v>131</v>
      </c>
      <c r="F401" s="2" t="s">
        <v>137</v>
      </c>
      <c r="G401" s="3">
        <v>1</v>
      </c>
      <c r="H401" s="13" t="s">
        <v>152</v>
      </c>
      <c r="I401" s="2" t="str" cm="1">
        <f t="array" ref="I401">_xlfn.IFS(Table1[[#This Row],[Job_Type]] = "unskilled resident", "Resident",
Table1[[#This Row],[Job_Type]] = "unemp/unskilled non res", "Non-resident",
TRUE, "Unknown")</f>
        <v>Unknown</v>
      </c>
      <c r="J401" s="2" t="s">
        <v>149</v>
      </c>
      <c r="K401" s="3">
        <v>2</v>
      </c>
      <c r="L401" s="2" t="s">
        <v>140</v>
      </c>
      <c r="M401" s="13" t="s">
        <v>152</v>
      </c>
      <c r="N401" t="s">
        <v>17</v>
      </c>
      <c r="O401" s="2" t="str">
        <f>_xlfn.XLOOKUP(Table1[[#This Row],[Checking_Acct_Status]],Table3[Checking_Acct_Original],Table3[Category])</f>
        <v>No Account</v>
      </c>
      <c r="P401" s="10" t="s">
        <v>32</v>
      </c>
      <c r="Q401" s="13" t="str">
        <f>_xlfn.XLOOKUP(Table1[[#This Row],[Saving_Acct_Status]],Table5[Saving_Acct_Original],Table5[Category])</f>
        <v>Low Savings</v>
      </c>
      <c r="R401" t="s">
        <v>63</v>
      </c>
      <c r="S401" s="2" t="str">
        <f>IF(
      OR(Table1[[#This Row],[Job_Type]] = "high qualif/self emp/mgmt", Table1[[#This Row],[Job_Type]] = "skilled"),
      "Skilled", "Unskilled")</f>
        <v>Skilled</v>
      </c>
      <c r="T401" t="str">
        <f>IF(Table1[[#This Row],[Job_Type]] = "unemp/unskilled non res", "Unemployed", "Employed")</f>
        <v>Employed</v>
      </c>
      <c r="U401" t="s">
        <v>38</v>
      </c>
      <c r="V401" s="14" t="str" cm="1">
        <f t="array" ref="V40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01" t="s">
        <v>103</v>
      </c>
      <c r="X401" s="2" t="str">
        <f>_xlfn.XLOOKUP(Table1[[#This Row],[Loan_Credit_History]],Table4[Credit History],Table4[[ Category]])</f>
        <v>Critical Credit History</v>
      </c>
      <c r="Y401" s="3">
        <v>4</v>
      </c>
      <c r="Z401" s="3">
        <v>2</v>
      </c>
      <c r="AA401" s="5">
        <v>3868</v>
      </c>
      <c r="AB401" t="s">
        <v>151</v>
      </c>
      <c r="AC401" s="2" t="str" cm="1">
        <f t="array" ref="AC401">_xlfn.IFS(Table1[[#This Row],[Others_Parties]] = "No", "None",
Table1[[#This Row],[Others_Parties]] = "co applicant", "Co-applicant",
Table1[[#This Row],[Others_Parties]] = "guarantor", "Guarantor")</f>
        <v>None</v>
      </c>
      <c r="AD401" s="13" t="s">
        <v>145</v>
      </c>
      <c r="AE401" s="2" t="s">
        <v>107</v>
      </c>
      <c r="AF401" s="28" t="str" cm="1">
        <f t="array" ref="AF40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01" s="21">
        <v>24</v>
      </c>
      <c r="AH401" s="2" t="s">
        <v>154</v>
      </c>
      <c r="AI401"/>
      <c r="AZ401"/>
      <c r="BC401"/>
      <c r="BE401"/>
      <c r="BL401"/>
      <c r="BZ401"/>
      <c r="CA401"/>
      <c r="CF401"/>
      <c r="CG401"/>
      <c r="CH401"/>
      <c r="CI401"/>
      <c r="CK401"/>
      <c r="CN401"/>
    </row>
    <row r="402" spans="1:92" x14ac:dyDescent="0.3">
      <c r="A402" s="4">
        <v>400</v>
      </c>
      <c r="B402" s="11">
        <v>37</v>
      </c>
      <c r="C402" s="2" t="str">
        <f>_xlfn.XLOOKUP(Table1[[#This Row],[Age]],Table7[Start_Age],Table7[Age_Range],,-1)</f>
        <v>29-39</v>
      </c>
      <c r="D402" t="s">
        <v>138</v>
      </c>
      <c r="E402" s="2" t="s">
        <v>129</v>
      </c>
      <c r="F402" s="2" t="s">
        <v>178</v>
      </c>
      <c r="G402" s="3">
        <v>1</v>
      </c>
      <c r="H402" s="13" t="s">
        <v>152</v>
      </c>
      <c r="I402" s="2" t="str" cm="1">
        <f t="array" ref="I402">_xlfn.IFS(Table1[[#This Row],[Job_Type]] = "unskilled resident", "Resident",
Table1[[#This Row],[Job_Type]] = "unemp/unskilled non res", "Non-resident",
TRUE, "Unknown")</f>
        <v>Unknown</v>
      </c>
      <c r="J402" s="2" t="s">
        <v>148</v>
      </c>
      <c r="K402" s="3">
        <v>2</v>
      </c>
      <c r="L402" s="2" t="s">
        <v>140</v>
      </c>
      <c r="M402" s="13" t="s">
        <v>152</v>
      </c>
      <c r="N402" t="s">
        <v>30</v>
      </c>
      <c r="O402" s="2" t="str">
        <f>_xlfn.XLOOKUP(Table1[[#This Row],[Checking_Acct_Status]],Table3[Checking_Acct_Original],Table3[Category])</f>
        <v>Low Balance</v>
      </c>
      <c r="P402" s="10" t="s">
        <v>46</v>
      </c>
      <c r="Q402" s="13" t="str">
        <f>_xlfn.XLOOKUP(Table1[[#This Row],[Saving_Acct_Status]],Table5[Saving_Acct_Original],Table5[Category])</f>
        <v>Medium Savings</v>
      </c>
      <c r="R402" t="s">
        <v>41</v>
      </c>
      <c r="S402" s="2" t="str">
        <f>IF(
      OR(Table1[[#This Row],[Job_Type]] = "high qualif/self emp/mgmt", Table1[[#This Row],[Job_Type]] = "skilled"),
      "Skilled", "Unskilled")</f>
        <v>Skilled</v>
      </c>
      <c r="T402" t="str">
        <f>IF(Table1[[#This Row],[Job_Type]] = "unemp/unskilled non res", "Unemployed", "Employed")</f>
        <v>Employed</v>
      </c>
      <c r="U402" t="s">
        <v>45</v>
      </c>
      <c r="V402" s="14" t="str" cm="1">
        <f t="array" ref="V40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02" t="s">
        <v>103</v>
      </c>
      <c r="X402" s="2" t="str">
        <f>_xlfn.XLOOKUP(Table1[[#This Row],[Loan_Credit_History]],Table4[Credit History],Table4[[ Category]])</f>
        <v>Critical Credit History</v>
      </c>
      <c r="Y402" s="3">
        <v>4</v>
      </c>
      <c r="Z402" s="3">
        <v>1</v>
      </c>
      <c r="AA402" s="5">
        <v>3878</v>
      </c>
      <c r="AB402" t="s">
        <v>151</v>
      </c>
      <c r="AC402" s="2" t="str" cm="1">
        <f t="array" ref="AC402">_xlfn.IFS(Table1[[#This Row],[Others_Parties]] = "No", "None",
Table1[[#This Row],[Others_Parties]] = "co applicant", "Co-applicant",
Table1[[#This Row],[Others_Parties]] = "guarantor", "Guarantor")</f>
        <v>None</v>
      </c>
      <c r="AD402" s="13" t="s">
        <v>145</v>
      </c>
      <c r="AE402" s="2" t="s">
        <v>141</v>
      </c>
      <c r="AF402" s="28" t="str" cm="1">
        <f t="array" ref="AF40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02" s="21">
        <v>24</v>
      </c>
      <c r="AH402" s="2" t="s">
        <v>154</v>
      </c>
      <c r="AI402"/>
      <c r="AZ402"/>
      <c r="BC402"/>
      <c r="BE402"/>
      <c r="BL402"/>
      <c r="BZ402"/>
      <c r="CA402"/>
      <c r="CF402"/>
      <c r="CG402"/>
      <c r="CH402"/>
      <c r="CI402"/>
      <c r="CK402"/>
      <c r="CN402"/>
    </row>
    <row r="403" spans="1:92" x14ac:dyDescent="0.3">
      <c r="A403" s="4">
        <v>401</v>
      </c>
      <c r="B403" s="11">
        <v>25</v>
      </c>
      <c r="C403" s="2" t="str">
        <f>_xlfn.XLOOKUP(Table1[[#This Row],[Age]],Table7[Start_Age],Table7[Age_Range],,-1)</f>
        <v>19-29</v>
      </c>
      <c r="D403" t="s">
        <v>136</v>
      </c>
      <c r="E403" s="2" t="s">
        <v>131</v>
      </c>
      <c r="F403" s="2" t="s">
        <v>137</v>
      </c>
      <c r="G403" s="3">
        <v>1</v>
      </c>
      <c r="H403" s="13" t="s">
        <v>152</v>
      </c>
      <c r="I403" s="2" t="str" cm="1">
        <f t="array" ref="I403">_xlfn.IFS(Table1[[#This Row],[Job_Type]] = "unskilled resident", "Resident",
Table1[[#This Row],[Job_Type]] = "unemp/unskilled non res", "Non-resident",
TRUE, "Unknown")</f>
        <v>Unknown</v>
      </c>
      <c r="J403" s="2" t="s">
        <v>149</v>
      </c>
      <c r="K403" s="3">
        <v>4</v>
      </c>
      <c r="L403" s="2" t="s">
        <v>143</v>
      </c>
      <c r="M403" s="13" t="s">
        <v>152</v>
      </c>
      <c r="N403" t="s">
        <v>17</v>
      </c>
      <c r="O403" s="2" t="str">
        <f>_xlfn.XLOOKUP(Table1[[#This Row],[Checking_Acct_Status]],Table3[Checking_Acct_Original],Table3[Category])</f>
        <v>No Account</v>
      </c>
      <c r="P403" s="10" t="s">
        <v>32</v>
      </c>
      <c r="Q403" s="13" t="str">
        <f>_xlfn.XLOOKUP(Table1[[#This Row],[Saving_Acct_Status]],Table5[Saving_Acct_Original],Table5[Category])</f>
        <v>Low Savings</v>
      </c>
      <c r="R403" t="s">
        <v>41</v>
      </c>
      <c r="S403" s="2" t="str">
        <f>IF(
      OR(Table1[[#This Row],[Job_Type]] = "high qualif/self emp/mgmt", Table1[[#This Row],[Job_Type]] = "skilled"),
      "Skilled", "Unskilled")</f>
        <v>Skilled</v>
      </c>
      <c r="T403" t="str">
        <f>IF(Table1[[#This Row],[Job_Type]] = "unemp/unskilled non res", "Unemployed", "Employed")</f>
        <v>Employed</v>
      </c>
      <c r="U403" t="s">
        <v>49</v>
      </c>
      <c r="V403" s="14" t="str" cm="1">
        <f t="array" ref="V40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03" t="s">
        <v>31</v>
      </c>
      <c r="X403" s="2" t="str">
        <f>_xlfn.XLOOKUP(Table1[[#This Row],[Loan_Credit_History]],Table4[Credit History],Table4[[ Category]])</f>
        <v>Existing Credits Paid</v>
      </c>
      <c r="Y403" s="3">
        <v>2</v>
      </c>
      <c r="Z403" s="3">
        <v>1</v>
      </c>
      <c r="AA403" s="5">
        <v>3972</v>
      </c>
      <c r="AB403" t="s">
        <v>151</v>
      </c>
      <c r="AC403" s="2" t="str" cm="1">
        <f t="array" ref="AC403">_xlfn.IFS(Table1[[#This Row],[Others_Parties]] = "No", "None",
Table1[[#This Row],[Others_Parties]] = "co applicant", "Co-applicant",
Table1[[#This Row],[Others_Parties]] = "guarantor", "Guarantor")</f>
        <v>None</v>
      </c>
      <c r="AD403" s="13" t="s">
        <v>145</v>
      </c>
      <c r="AE403" s="2" t="s">
        <v>108</v>
      </c>
      <c r="AF403" s="28" t="str" cm="1">
        <f t="array" ref="AF40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03" s="21">
        <v>24</v>
      </c>
      <c r="AH403" s="2" t="s">
        <v>154</v>
      </c>
      <c r="AI403"/>
      <c r="AZ403"/>
      <c r="BC403"/>
      <c r="BE403"/>
      <c r="BL403"/>
      <c r="BZ403"/>
      <c r="CA403"/>
      <c r="CF403"/>
      <c r="CG403"/>
      <c r="CH403"/>
      <c r="CI403"/>
      <c r="CK403"/>
      <c r="CN403"/>
    </row>
    <row r="404" spans="1:92" x14ac:dyDescent="0.3">
      <c r="A404" s="4">
        <v>402</v>
      </c>
      <c r="B404" s="11">
        <v>27</v>
      </c>
      <c r="C404" s="2" t="str">
        <f>_xlfn.XLOOKUP(Table1[[#This Row],[Age]],Table7[Start_Age],Table7[Age_Range],,-1)</f>
        <v>19-29</v>
      </c>
      <c r="D404" t="s">
        <v>130</v>
      </c>
      <c r="E404" s="2" t="s">
        <v>129</v>
      </c>
      <c r="F404" s="2" t="s">
        <v>133</v>
      </c>
      <c r="G404" s="3">
        <v>1</v>
      </c>
      <c r="H404" s="13" t="s">
        <v>152</v>
      </c>
      <c r="I404" s="2" t="str" cm="1">
        <f t="array" ref="I404">_xlfn.IFS(Table1[[#This Row],[Job_Type]] = "unskilled resident", "Resident",
Table1[[#This Row],[Job_Type]] = "unemp/unskilled non res", "Non-resident",
TRUE, "Unknown")</f>
        <v>Unknown</v>
      </c>
      <c r="J404" s="2" t="s">
        <v>148</v>
      </c>
      <c r="K404" s="3">
        <v>2</v>
      </c>
      <c r="L404" s="2" t="s">
        <v>140</v>
      </c>
      <c r="M404" s="13" t="s">
        <v>151</v>
      </c>
      <c r="N404" t="s">
        <v>35</v>
      </c>
      <c r="O404" s="2" t="str">
        <f>_xlfn.XLOOKUP(Table1[[#This Row],[Checking_Acct_Status]],Table3[Checking_Acct_Original],Table3[Category])</f>
        <v>Negative Balance</v>
      </c>
      <c r="P404" s="10" t="s">
        <v>32</v>
      </c>
      <c r="Q404" s="13" t="str">
        <f>_xlfn.XLOOKUP(Table1[[#This Row],[Saving_Acct_Status]],Table5[Saving_Acct_Original],Table5[Category])</f>
        <v>Low Savings</v>
      </c>
      <c r="R404" t="s">
        <v>41</v>
      </c>
      <c r="S404" s="2" t="str">
        <f>IF(
      OR(Table1[[#This Row],[Job_Type]] = "high qualif/self emp/mgmt", Table1[[#This Row],[Job_Type]] = "skilled"),
      "Skilled", "Unskilled")</f>
        <v>Skilled</v>
      </c>
      <c r="T404" t="str">
        <f>IF(Table1[[#This Row],[Job_Type]] = "unemp/unskilled non res", "Unemployed", "Employed")</f>
        <v>Employed</v>
      </c>
      <c r="U404" t="s">
        <v>21</v>
      </c>
      <c r="V404" s="14" t="str" cm="1">
        <f t="array" ref="V40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04" t="s">
        <v>31</v>
      </c>
      <c r="X404" s="2" t="str">
        <f>_xlfn.XLOOKUP(Table1[[#This Row],[Loan_Credit_History]],Table4[Credit History],Table4[[ Category]])</f>
        <v>Existing Credits Paid</v>
      </c>
      <c r="Y404" s="3">
        <v>2</v>
      </c>
      <c r="Z404" s="3">
        <v>1</v>
      </c>
      <c r="AA404" s="5">
        <v>4020</v>
      </c>
      <c r="AB404" t="s">
        <v>151</v>
      </c>
      <c r="AC404" s="2" t="str" cm="1">
        <f t="array" ref="AC404">_xlfn.IFS(Table1[[#This Row],[Others_Parties]] = "No", "None",
Table1[[#This Row],[Others_Parties]] = "co applicant", "Co-applicant",
Table1[[#This Row],[Others_Parties]] = "guarantor", "Guarantor")</f>
        <v>None</v>
      </c>
      <c r="AD404" s="13" t="s">
        <v>147</v>
      </c>
      <c r="AE404" s="2" t="s">
        <v>108</v>
      </c>
      <c r="AF404" s="28" t="str" cm="1">
        <f t="array" ref="AF40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04" s="21">
        <v>24</v>
      </c>
      <c r="AH404" s="2" t="s">
        <v>154</v>
      </c>
      <c r="AI404"/>
      <c r="AZ404"/>
      <c r="BC404"/>
      <c r="BE404"/>
      <c r="BL404"/>
      <c r="BZ404"/>
      <c r="CA404"/>
      <c r="CF404"/>
      <c r="CG404"/>
      <c r="CH404"/>
      <c r="CI404"/>
      <c r="CK404"/>
      <c r="CN404"/>
    </row>
    <row r="405" spans="1:92" x14ac:dyDescent="0.3">
      <c r="A405" s="4">
        <v>403</v>
      </c>
      <c r="B405" s="11">
        <v>43</v>
      </c>
      <c r="C405" s="2" t="str">
        <f>_xlfn.XLOOKUP(Table1[[#This Row],[Age]],Table7[Start_Age],Table7[Age_Range],,-1)</f>
        <v>39-49</v>
      </c>
      <c r="D405" t="s">
        <v>130</v>
      </c>
      <c r="E405" s="2" t="s">
        <v>129</v>
      </c>
      <c r="F405" s="2" t="s">
        <v>133</v>
      </c>
      <c r="G405" s="3">
        <v>1</v>
      </c>
      <c r="H405" s="13" t="s">
        <v>152</v>
      </c>
      <c r="I405" s="2" t="str" cm="1">
        <f t="array" ref="I405">_xlfn.IFS(Table1[[#This Row],[Job_Type]] = "unskilled resident", "Resident",
Table1[[#This Row],[Job_Type]] = "unemp/unskilled non res", "Non-resident",
TRUE, "Unknown")</f>
        <v>Unknown</v>
      </c>
      <c r="J405" s="2" t="s">
        <v>148</v>
      </c>
      <c r="K405" s="3">
        <v>4</v>
      </c>
      <c r="L405" s="2" t="s">
        <v>143</v>
      </c>
      <c r="M405" s="13" t="s">
        <v>152</v>
      </c>
      <c r="N405" t="s">
        <v>17</v>
      </c>
      <c r="O405" s="2" t="str">
        <f>_xlfn.XLOOKUP(Table1[[#This Row],[Checking_Acct_Status]],Table3[Checking_Acct_Original],Table3[Category])</f>
        <v>No Account</v>
      </c>
      <c r="P405" s="10" t="s">
        <v>47</v>
      </c>
      <c r="Q405" s="13" t="str">
        <f>_xlfn.XLOOKUP(Table1[[#This Row],[Saving_Acct_Status]],Table5[Saving_Acct_Original],Table5[Category])</f>
        <v>No Savings</v>
      </c>
      <c r="R405" t="s">
        <v>41</v>
      </c>
      <c r="S405" s="2" t="str">
        <f>IF(
      OR(Table1[[#This Row],[Job_Type]] = "high qualif/self emp/mgmt", Table1[[#This Row],[Job_Type]] = "skilled"),
      "Skilled", "Unskilled")</f>
        <v>Skilled</v>
      </c>
      <c r="T405" t="str">
        <f>IF(Table1[[#This Row],[Job_Type]] = "unemp/unskilled non res", "Unemployed", "Employed")</f>
        <v>Employed</v>
      </c>
      <c r="U405" t="s">
        <v>49</v>
      </c>
      <c r="V405" s="14" t="str" cm="1">
        <f t="array" ref="V40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05" t="s">
        <v>103</v>
      </c>
      <c r="X405" s="2" t="str">
        <f>_xlfn.XLOOKUP(Table1[[#This Row],[Loan_Credit_History]],Table4[Credit History],Table4[[ Category]])</f>
        <v>Critical Credit History</v>
      </c>
      <c r="Y405" s="3">
        <v>3</v>
      </c>
      <c r="Z405" s="3">
        <v>2</v>
      </c>
      <c r="AA405" s="5">
        <v>4042</v>
      </c>
      <c r="AB405" t="s">
        <v>151</v>
      </c>
      <c r="AC405" s="2" t="str" cm="1">
        <f t="array" ref="AC405">_xlfn.IFS(Table1[[#This Row],[Others_Parties]] = "No", "None",
Table1[[#This Row],[Others_Parties]] = "co applicant", "Co-applicant",
Table1[[#This Row],[Others_Parties]] = "guarantor", "Guarantor")</f>
        <v>None</v>
      </c>
      <c r="AD405" s="13" t="s">
        <v>145</v>
      </c>
      <c r="AE405" s="2" t="s">
        <v>107</v>
      </c>
      <c r="AF405" s="28" t="str" cm="1">
        <f t="array" ref="AF40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05" s="21">
        <v>24</v>
      </c>
      <c r="AH405" s="2" t="s">
        <v>154</v>
      </c>
      <c r="AI405"/>
      <c r="AZ405"/>
      <c r="BC405"/>
      <c r="BE405"/>
      <c r="BL405"/>
      <c r="BZ405"/>
      <c r="CA405"/>
      <c r="CF405"/>
      <c r="CG405"/>
      <c r="CH405"/>
      <c r="CI405"/>
      <c r="CK405"/>
      <c r="CN405"/>
    </row>
    <row r="406" spans="1:92" x14ac:dyDescent="0.3">
      <c r="A406" s="4">
        <v>404</v>
      </c>
      <c r="B406" s="11">
        <v>43</v>
      </c>
      <c r="C406" s="2" t="str">
        <f>_xlfn.XLOOKUP(Table1[[#This Row],[Age]],Table7[Start_Age],Table7[Age_Range],,-1)</f>
        <v>39-49</v>
      </c>
      <c r="D406" t="s">
        <v>138</v>
      </c>
      <c r="E406" s="2" t="s">
        <v>129</v>
      </c>
      <c r="F406" s="2" t="s">
        <v>178</v>
      </c>
      <c r="G406" s="3">
        <v>1</v>
      </c>
      <c r="H406" s="13" t="s">
        <v>152</v>
      </c>
      <c r="I406" s="2" t="str" cm="1">
        <f t="array" ref="I406">_xlfn.IFS(Table1[[#This Row],[Job_Type]] = "unskilled resident", "Resident",
Table1[[#This Row],[Job_Type]] = "unemp/unskilled non res", "Non-resident",
TRUE, "Unknown")</f>
        <v>Unknown</v>
      </c>
      <c r="J406" s="2" t="s">
        <v>148</v>
      </c>
      <c r="K406" s="3">
        <v>3</v>
      </c>
      <c r="L406" s="2" t="s">
        <v>140</v>
      </c>
      <c r="M406" s="13" t="s">
        <v>152</v>
      </c>
      <c r="N406" t="s">
        <v>30</v>
      </c>
      <c r="O406" s="2" t="str">
        <f>_xlfn.XLOOKUP(Table1[[#This Row],[Checking_Acct_Status]],Table3[Checking_Acct_Original],Table3[Category])</f>
        <v>Low Balance</v>
      </c>
      <c r="P406" s="10" t="s">
        <v>32</v>
      </c>
      <c r="Q406" s="13" t="str">
        <f>_xlfn.XLOOKUP(Table1[[#This Row],[Saving_Acct_Status]],Table5[Saving_Acct_Original],Table5[Category])</f>
        <v>Low Savings</v>
      </c>
      <c r="R406" t="s">
        <v>41</v>
      </c>
      <c r="S406" s="2" t="str">
        <f>IF(
      OR(Table1[[#This Row],[Job_Type]] = "high qualif/self emp/mgmt", Table1[[#This Row],[Job_Type]] = "skilled"),
      "Skilled", "Unskilled")</f>
        <v>Skilled</v>
      </c>
      <c r="T406" t="str">
        <f>IF(Table1[[#This Row],[Job_Type]] = "unemp/unskilled non res", "Unemployed", "Employed")</f>
        <v>Employed</v>
      </c>
      <c r="U406" t="s">
        <v>49</v>
      </c>
      <c r="V406" s="14" t="str" cm="1">
        <f t="array" ref="V40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06" t="s">
        <v>31</v>
      </c>
      <c r="X406" s="2" t="str">
        <f>_xlfn.XLOOKUP(Table1[[#This Row],[Loan_Credit_History]],Table4[Credit History],Table4[[ Category]])</f>
        <v>Existing Credits Paid</v>
      </c>
      <c r="Y406" s="3">
        <v>3</v>
      </c>
      <c r="Z406" s="3">
        <v>1</v>
      </c>
      <c r="AA406" s="5">
        <v>4057</v>
      </c>
      <c r="AB406" t="s">
        <v>151</v>
      </c>
      <c r="AC406" s="2" t="str" cm="1">
        <f t="array" ref="AC406">_xlfn.IFS(Table1[[#This Row],[Others_Parties]] = "No", "None",
Table1[[#This Row],[Others_Parties]] = "co applicant", "Co-applicant",
Table1[[#This Row],[Others_Parties]] = "guarantor", "Guarantor")</f>
        <v>None</v>
      </c>
      <c r="AD406" s="13" t="s">
        <v>145</v>
      </c>
      <c r="AE406" s="2" t="s">
        <v>108</v>
      </c>
      <c r="AF406" s="28" t="str" cm="1">
        <f t="array" ref="AF40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06" s="21">
        <v>24</v>
      </c>
      <c r="AH406" s="2" t="s">
        <v>153</v>
      </c>
      <c r="AI406"/>
      <c r="AZ406"/>
      <c r="BC406"/>
      <c r="BE406"/>
      <c r="BL406"/>
      <c r="BZ406"/>
      <c r="CA406"/>
      <c r="CF406"/>
      <c r="CG406"/>
      <c r="CH406"/>
      <c r="CI406"/>
      <c r="CK406"/>
      <c r="CN406"/>
    </row>
    <row r="407" spans="1:92" x14ac:dyDescent="0.3">
      <c r="A407" s="4">
        <v>405</v>
      </c>
      <c r="B407" s="11">
        <v>23</v>
      </c>
      <c r="C407" s="2" t="str">
        <f>_xlfn.XLOOKUP(Table1[[#This Row],[Age]],Table7[Start_Age],Table7[Age_Range],,-1)</f>
        <v>19-29</v>
      </c>
      <c r="D407" t="s">
        <v>130</v>
      </c>
      <c r="E407" s="2" t="s">
        <v>129</v>
      </c>
      <c r="F407" s="2" t="s">
        <v>133</v>
      </c>
      <c r="G407" s="3">
        <v>2</v>
      </c>
      <c r="H407" s="13" t="s">
        <v>152</v>
      </c>
      <c r="I407" s="2" t="str" cm="1">
        <f t="array" ref="I407">_xlfn.IFS(Table1[[#This Row],[Job_Type]] = "unskilled resident", "Resident",
Table1[[#This Row],[Job_Type]] = "unemp/unskilled non res", "Non-resident",
TRUE, "Unknown")</f>
        <v>Unknown</v>
      </c>
      <c r="J407" s="2" t="s">
        <v>149</v>
      </c>
      <c r="K407" s="3">
        <v>4</v>
      </c>
      <c r="L407" s="2" t="s">
        <v>142</v>
      </c>
      <c r="M407" s="13" t="s">
        <v>151</v>
      </c>
      <c r="N407" t="s">
        <v>35</v>
      </c>
      <c r="O407" s="2" t="str">
        <f>_xlfn.XLOOKUP(Table1[[#This Row],[Checking_Acct_Status]],Table3[Checking_Acct_Original],Table3[Category])</f>
        <v>Negative Balance</v>
      </c>
      <c r="P407" s="10" t="s">
        <v>32</v>
      </c>
      <c r="Q407" s="13" t="str">
        <f>_xlfn.XLOOKUP(Table1[[#This Row],[Saving_Acct_Status]],Table5[Saving_Acct_Original],Table5[Category])</f>
        <v>Low Savings</v>
      </c>
      <c r="R407" t="s">
        <v>41</v>
      </c>
      <c r="S407" s="2" t="str">
        <f>IF(
      OR(Table1[[#This Row],[Job_Type]] = "high qualif/self emp/mgmt", Table1[[#This Row],[Job_Type]] = "skilled"),
      "Skilled", "Unskilled")</f>
        <v>Skilled</v>
      </c>
      <c r="T407" t="str">
        <f>IF(Table1[[#This Row],[Job_Type]] = "unemp/unskilled non res", "Unemployed", "Employed")</f>
        <v>Employed</v>
      </c>
      <c r="U407" t="s">
        <v>38</v>
      </c>
      <c r="V407" s="14" t="str" cm="1">
        <f t="array" ref="V40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07" t="s">
        <v>52</v>
      </c>
      <c r="X407" s="2" t="str">
        <f>_xlfn.XLOOKUP(Table1[[#This Row],[Loan_Credit_History]],Table4[Credit History],Table4[[ Category]])</f>
        <v>No Credit History</v>
      </c>
      <c r="Y407" s="3">
        <v>3</v>
      </c>
      <c r="Z407" s="3">
        <v>2</v>
      </c>
      <c r="AA407" s="5">
        <v>4110</v>
      </c>
      <c r="AB407" t="s">
        <v>151</v>
      </c>
      <c r="AC407" s="2" t="str" cm="1">
        <f t="array" ref="AC407">_xlfn.IFS(Table1[[#This Row],[Others_Parties]] = "No", "None",
Table1[[#This Row],[Others_Parties]] = "co applicant", "Co-applicant",
Table1[[#This Row],[Others_Parties]] = "guarantor", "Guarantor")</f>
        <v>None</v>
      </c>
      <c r="AD407" s="13" t="s">
        <v>146</v>
      </c>
      <c r="AE407" s="2" t="s">
        <v>108</v>
      </c>
      <c r="AF407" s="28" t="str" cm="1">
        <f t="array" ref="AF40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07" s="21">
        <v>24</v>
      </c>
      <c r="AH407" s="2" t="s">
        <v>153</v>
      </c>
      <c r="AI407"/>
      <c r="AZ407"/>
      <c r="BC407"/>
      <c r="BE407"/>
      <c r="BL407"/>
      <c r="BZ407"/>
      <c r="CA407"/>
      <c r="CF407"/>
      <c r="CG407"/>
      <c r="CH407"/>
      <c r="CI407"/>
      <c r="CK407"/>
      <c r="CN407"/>
    </row>
    <row r="408" spans="1:92" x14ac:dyDescent="0.3">
      <c r="A408" s="4">
        <v>406</v>
      </c>
      <c r="B408" s="11">
        <v>28</v>
      </c>
      <c r="C408" s="2" t="str">
        <f>_xlfn.XLOOKUP(Table1[[#This Row],[Age]],Table7[Start_Age],Table7[Age_Range],,-1)</f>
        <v>19-29</v>
      </c>
      <c r="D408" t="s">
        <v>136</v>
      </c>
      <c r="E408" s="2" t="s">
        <v>131</v>
      </c>
      <c r="F408" s="2" t="s">
        <v>137</v>
      </c>
      <c r="G408" s="3">
        <v>1</v>
      </c>
      <c r="H408" s="13" t="s">
        <v>152</v>
      </c>
      <c r="I408" s="2" t="str" cm="1">
        <f t="array" ref="I408">_xlfn.IFS(Table1[[#This Row],[Job_Type]] = "unskilled resident", "Resident",
Table1[[#This Row],[Job_Type]] = "unemp/unskilled non res", "Non-resident",
TRUE, "Unknown")</f>
        <v>Unknown</v>
      </c>
      <c r="J408" s="2" t="s">
        <v>149</v>
      </c>
      <c r="K408" s="3">
        <v>4</v>
      </c>
      <c r="L408" s="2" t="s">
        <v>140</v>
      </c>
      <c r="M408" s="13" t="s">
        <v>151</v>
      </c>
      <c r="N408" t="s">
        <v>30</v>
      </c>
      <c r="O408" s="2" t="str">
        <f>_xlfn.XLOOKUP(Table1[[#This Row],[Checking_Acct_Status]],Table3[Checking_Acct_Original],Table3[Category])</f>
        <v>Low Balance</v>
      </c>
      <c r="P408" s="10" t="s">
        <v>37</v>
      </c>
      <c r="Q408" s="13" t="str">
        <f>_xlfn.XLOOKUP(Table1[[#This Row],[Saving_Acct_Status]],Table5[Saving_Acct_Original],Table5[Category])</f>
        <v>High Savings</v>
      </c>
      <c r="R408" t="s">
        <v>41</v>
      </c>
      <c r="S408" s="2" t="str">
        <f>IF(
      OR(Table1[[#This Row],[Job_Type]] = "high qualif/self emp/mgmt", Table1[[#This Row],[Job_Type]] = "skilled"),
      "Skilled", "Unskilled")</f>
        <v>Skilled</v>
      </c>
      <c r="T408" t="str">
        <f>IF(Table1[[#This Row],[Job_Type]] = "unemp/unskilled non res", "Unemployed", "Employed")</f>
        <v>Employed</v>
      </c>
      <c r="U408" t="s">
        <v>45</v>
      </c>
      <c r="V408" s="14" t="str" cm="1">
        <f t="array" ref="V40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08" t="s">
        <v>31</v>
      </c>
      <c r="X408" s="2" t="str">
        <f>_xlfn.XLOOKUP(Table1[[#This Row],[Loan_Credit_History]],Table4[Credit History],Table4[[ Category]])</f>
        <v>Existing Credits Paid</v>
      </c>
      <c r="Y408" s="3">
        <v>3</v>
      </c>
      <c r="Z408" s="3">
        <v>1</v>
      </c>
      <c r="AA408" s="5">
        <v>4113</v>
      </c>
      <c r="AB408" t="s">
        <v>151</v>
      </c>
      <c r="AC408" s="2" t="str" cm="1">
        <f t="array" ref="AC408">_xlfn.IFS(Table1[[#This Row],[Others_Parties]] = "No", "None",
Table1[[#This Row],[Others_Parties]] = "co applicant", "Co-applicant",
Table1[[#This Row],[Others_Parties]] = "guarantor", "Guarantor")</f>
        <v>None</v>
      </c>
      <c r="AD408" s="13" t="s">
        <v>145</v>
      </c>
      <c r="AE408" s="2" t="s">
        <v>107</v>
      </c>
      <c r="AF408" s="28" t="str" cm="1">
        <f t="array" ref="AF40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08" s="21">
        <v>24</v>
      </c>
      <c r="AH408" s="2" t="s">
        <v>153</v>
      </c>
      <c r="AI408"/>
      <c r="AZ408"/>
      <c r="BC408"/>
      <c r="BE408"/>
      <c r="BL408"/>
      <c r="BZ408"/>
      <c r="CA408"/>
      <c r="CF408"/>
      <c r="CG408"/>
      <c r="CH408"/>
      <c r="CI408"/>
      <c r="CK408"/>
      <c r="CN408"/>
    </row>
    <row r="409" spans="1:92" x14ac:dyDescent="0.3">
      <c r="A409" s="4">
        <v>407</v>
      </c>
      <c r="B409" s="11">
        <v>27</v>
      </c>
      <c r="C409" s="2" t="str">
        <f>_xlfn.XLOOKUP(Table1[[#This Row],[Age]],Table7[Start_Age],Table7[Age_Range],,-1)</f>
        <v>19-29</v>
      </c>
      <c r="D409" t="s">
        <v>130</v>
      </c>
      <c r="E409" s="2" t="s">
        <v>129</v>
      </c>
      <c r="F409" s="2" t="s">
        <v>133</v>
      </c>
      <c r="G409" s="3">
        <v>1</v>
      </c>
      <c r="H409" s="13" t="s">
        <v>152</v>
      </c>
      <c r="I409" s="2" t="str" cm="1">
        <f t="array" ref="I409">_xlfn.IFS(Table1[[#This Row],[Job_Type]] = "unskilled resident", "Resident",
Table1[[#This Row],[Job_Type]] = "unemp/unskilled non res", "Non-resident",
TRUE, "Unknown")</f>
        <v>Resident</v>
      </c>
      <c r="J409" s="2" t="s">
        <v>148</v>
      </c>
      <c r="K409" s="3">
        <v>3</v>
      </c>
      <c r="L409" s="2" t="s">
        <v>143</v>
      </c>
      <c r="M409" s="13" t="s">
        <v>152</v>
      </c>
      <c r="N409" t="s">
        <v>17</v>
      </c>
      <c r="O409" s="2" t="str">
        <f>_xlfn.XLOOKUP(Table1[[#This Row],[Checking_Acct_Status]],Table3[Checking_Acct_Original],Table3[Category])</f>
        <v>No Account</v>
      </c>
      <c r="P409" s="10" t="s">
        <v>46</v>
      </c>
      <c r="Q409" s="13" t="str">
        <f>_xlfn.XLOOKUP(Table1[[#This Row],[Saving_Acct_Status]],Table5[Saving_Acct_Original],Table5[Category])</f>
        <v>Medium Savings</v>
      </c>
      <c r="R409" t="s">
        <v>27</v>
      </c>
      <c r="S409" s="2" t="str">
        <f>IF(
      OR(Table1[[#This Row],[Job_Type]] = "high qualif/self emp/mgmt", Table1[[#This Row],[Job_Type]] = "skilled"),
      "Skilled", "Unskilled")</f>
        <v>Unskilled</v>
      </c>
      <c r="T409" t="str">
        <f>IF(Table1[[#This Row],[Job_Type]] = "unemp/unskilled non res", "Unemployed", "Employed")</f>
        <v>Employed</v>
      </c>
      <c r="U409" t="s">
        <v>21</v>
      </c>
      <c r="V409" s="14" t="str" cm="1">
        <f t="array" ref="V40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09" t="s">
        <v>103</v>
      </c>
      <c r="X409" s="2" t="str">
        <f>_xlfn.XLOOKUP(Table1[[#This Row],[Loan_Credit_History]],Table4[Credit History],Table4[[ Category]])</f>
        <v>Critical Credit History</v>
      </c>
      <c r="Y409" s="3">
        <v>3</v>
      </c>
      <c r="Z409" s="3">
        <v>2</v>
      </c>
      <c r="AA409" s="5">
        <v>4139</v>
      </c>
      <c r="AB409" t="s">
        <v>151</v>
      </c>
      <c r="AC409" s="2" t="str" cm="1">
        <f t="array" ref="AC409">_xlfn.IFS(Table1[[#This Row],[Others_Parties]] = "No", "None",
Table1[[#This Row],[Others_Parties]] = "co applicant", "Co-applicant",
Table1[[#This Row],[Others_Parties]] = "guarantor", "Guarantor")</f>
        <v>None</v>
      </c>
      <c r="AD409" s="13" t="s">
        <v>145</v>
      </c>
      <c r="AE409" s="2" t="s">
        <v>105</v>
      </c>
      <c r="AF409" s="28" t="str" cm="1">
        <f t="array" ref="AF40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09" s="21">
        <v>24</v>
      </c>
      <c r="AH409" s="2" t="s">
        <v>154</v>
      </c>
      <c r="AI409"/>
      <c r="AZ409"/>
      <c r="BC409"/>
      <c r="BE409"/>
      <c r="BL409"/>
      <c r="BZ409"/>
      <c r="CA409"/>
      <c r="CF409"/>
      <c r="CG409"/>
      <c r="CH409"/>
      <c r="CI409"/>
      <c r="CK409"/>
      <c r="CN409"/>
    </row>
    <row r="410" spans="1:92" x14ac:dyDescent="0.3">
      <c r="A410" s="4">
        <v>408</v>
      </c>
      <c r="B410" s="11">
        <v>35</v>
      </c>
      <c r="C410" s="2" t="str">
        <f>_xlfn.XLOOKUP(Table1[[#This Row],[Age]],Table7[Start_Age],Table7[Age_Range],,-1)</f>
        <v>29-39</v>
      </c>
      <c r="D410" t="s">
        <v>130</v>
      </c>
      <c r="E410" s="2" t="s">
        <v>129</v>
      </c>
      <c r="F410" s="2" t="s">
        <v>133</v>
      </c>
      <c r="G410" s="3">
        <v>1</v>
      </c>
      <c r="H410" s="13" t="s">
        <v>152</v>
      </c>
      <c r="I410" s="2" t="str" cm="1">
        <f t="array" ref="I410">_xlfn.IFS(Table1[[#This Row],[Job_Type]] = "unskilled resident", "Resident",
Table1[[#This Row],[Job_Type]] = "unemp/unskilled non res", "Non-resident",
TRUE, "Unknown")</f>
        <v>Unknown</v>
      </c>
      <c r="J410" s="2" t="s">
        <v>148</v>
      </c>
      <c r="K410" s="3">
        <v>3</v>
      </c>
      <c r="L410" s="2" t="s">
        <v>143</v>
      </c>
      <c r="M410" s="13" t="s">
        <v>151</v>
      </c>
      <c r="N410" t="s">
        <v>17</v>
      </c>
      <c r="O410" s="2" t="str">
        <f>_xlfn.XLOOKUP(Table1[[#This Row],[Checking_Acct_Status]],Table3[Checking_Acct_Original],Table3[Category])</f>
        <v>No Account</v>
      </c>
      <c r="P410" s="10" t="s">
        <v>46</v>
      </c>
      <c r="Q410" s="13" t="str">
        <f>_xlfn.XLOOKUP(Table1[[#This Row],[Saving_Acct_Status]],Table5[Saving_Acct_Original],Table5[Category])</f>
        <v>Medium Savings</v>
      </c>
      <c r="R410" t="s">
        <v>41</v>
      </c>
      <c r="S410" s="2" t="str">
        <f>IF(
      OR(Table1[[#This Row],[Job_Type]] = "high qualif/self emp/mgmt", Table1[[#This Row],[Job_Type]] = "skilled"),
      "Skilled", "Unskilled")</f>
        <v>Skilled</v>
      </c>
      <c r="T410" t="str">
        <f>IF(Table1[[#This Row],[Job_Type]] = "unemp/unskilled non res", "Unemployed", "Employed")</f>
        <v>Employed</v>
      </c>
      <c r="U410" t="s">
        <v>21</v>
      </c>
      <c r="V410" s="14" t="str" cm="1">
        <f t="array" ref="V41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10" t="s">
        <v>59</v>
      </c>
      <c r="X410" s="2" t="str">
        <f>_xlfn.XLOOKUP(Table1[[#This Row],[Loan_Credit_History]],Table4[Credit History],Table4[[ Category]])</f>
        <v>Previously Delayed</v>
      </c>
      <c r="Y410" s="3">
        <v>2</v>
      </c>
      <c r="Z410" s="3">
        <v>2</v>
      </c>
      <c r="AA410" s="5">
        <v>4151</v>
      </c>
      <c r="AB410" t="s">
        <v>151</v>
      </c>
      <c r="AC410" s="2" t="str" cm="1">
        <f t="array" ref="AC410">_xlfn.IFS(Table1[[#This Row],[Others_Parties]] = "No", "None",
Table1[[#This Row],[Others_Parties]] = "co applicant", "Co-applicant",
Table1[[#This Row],[Others_Parties]] = "guarantor", "Guarantor")</f>
        <v>None</v>
      </c>
      <c r="AD410" s="13" t="s">
        <v>145</v>
      </c>
      <c r="AE410" s="2" t="s">
        <v>108</v>
      </c>
      <c r="AF410" s="28" t="str" cm="1">
        <f t="array" ref="AF41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10" s="21">
        <v>24</v>
      </c>
      <c r="AH410" s="2" t="s">
        <v>154</v>
      </c>
      <c r="AI410"/>
      <c r="AZ410"/>
      <c r="BC410"/>
      <c r="BE410"/>
      <c r="BL410"/>
      <c r="BZ410"/>
      <c r="CA410"/>
      <c r="CF410"/>
      <c r="CG410"/>
      <c r="CH410"/>
      <c r="CI410"/>
      <c r="CK410"/>
      <c r="CN410"/>
    </row>
    <row r="411" spans="1:92" x14ac:dyDescent="0.3">
      <c r="A411" s="4">
        <v>409</v>
      </c>
      <c r="B411" s="11">
        <v>28</v>
      </c>
      <c r="C411" s="2" t="str">
        <f>_xlfn.XLOOKUP(Table1[[#This Row],[Age]],Table7[Start_Age],Table7[Age_Range],,-1)</f>
        <v>19-29</v>
      </c>
      <c r="D411" t="s">
        <v>130</v>
      </c>
      <c r="E411" s="2" t="s">
        <v>129</v>
      </c>
      <c r="F411" s="2" t="s">
        <v>133</v>
      </c>
      <c r="G411" s="3">
        <v>1</v>
      </c>
      <c r="H411" s="13" t="s">
        <v>152</v>
      </c>
      <c r="I411" s="2" t="str" cm="1">
        <f t="array" ref="I411">_xlfn.IFS(Table1[[#This Row],[Job_Type]] = "unskilled resident", "Resident",
Table1[[#This Row],[Job_Type]] = "unemp/unskilled non res", "Non-resident",
TRUE, "Unknown")</f>
        <v>Unknown</v>
      </c>
      <c r="J411" s="2" t="s">
        <v>148</v>
      </c>
      <c r="K411" s="3">
        <v>4</v>
      </c>
      <c r="L411" s="2" t="s">
        <v>143</v>
      </c>
      <c r="M411" s="13" t="s">
        <v>151</v>
      </c>
      <c r="N411" t="s">
        <v>35</v>
      </c>
      <c r="O411" s="2" t="str">
        <f>_xlfn.XLOOKUP(Table1[[#This Row],[Checking_Acct_Status]],Table3[Checking_Acct_Original],Table3[Category])</f>
        <v>Negative Balance</v>
      </c>
      <c r="P411" s="10" t="s">
        <v>32</v>
      </c>
      <c r="Q411" s="13" t="str">
        <f>_xlfn.XLOOKUP(Table1[[#This Row],[Saving_Acct_Status]],Table5[Saving_Acct_Original],Table5[Category])</f>
        <v>Low Savings</v>
      </c>
      <c r="R411" t="s">
        <v>41</v>
      </c>
      <c r="S411" s="2" t="str">
        <f>IF(
      OR(Table1[[#This Row],[Job_Type]] = "high qualif/self emp/mgmt", Table1[[#This Row],[Job_Type]] = "skilled"),
      "Skilled", "Unskilled")</f>
        <v>Skilled</v>
      </c>
      <c r="T411" t="str">
        <f>IF(Table1[[#This Row],[Job_Type]] = "unemp/unskilled non res", "Unemployed", "Employed")</f>
        <v>Employed</v>
      </c>
      <c r="U411" t="s">
        <v>21</v>
      </c>
      <c r="V411" s="14" t="str" cm="1">
        <f t="array" ref="V41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11" t="s">
        <v>31</v>
      </c>
      <c r="X411" s="2" t="str">
        <f>_xlfn.XLOOKUP(Table1[[#This Row],[Loan_Credit_History]],Table4[Credit History],Table4[[ Category]])</f>
        <v>Existing Credits Paid</v>
      </c>
      <c r="Y411" s="3">
        <v>4</v>
      </c>
      <c r="Z411" s="3">
        <v>1</v>
      </c>
      <c r="AA411" s="5">
        <v>4169</v>
      </c>
      <c r="AB411" t="s">
        <v>151</v>
      </c>
      <c r="AC411" s="2" t="str" cm="1">
        <f t="array" ref="AC411">_xlfn.IFS(Table1[[#This Row],[Others_Parties]] = "No", "None",
Table1[[#This Row],[Others_Parties]] = "co applicant", "Co-applicant",
Table1[[#This Row],[Others_Parties]] = "guarantor", "Guarantor")</f>
        <v>None</v>
      </c>
      <c r="AD411" s="13" t="s">
        <v>145</v>
      </c>
      <c r="AE411" s="2" t="s">
        <v>108</v>
      </c>
      <c r="AF411" s="28" t="str" cm="1">
        <f t="array" ref="AF41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11" s="21">
        <v>24</v>
      </c>
      <c r="AH411" s="2" t="s">
        <v>154</v>
      </c>
      <c r="AI411"/>
      <c r="AZ411"/>
      <c r="BC411"/>
      <c r="BE411"/>
      <c r="BL411"/>
      <c r="BZ411"/>
      <c r="CA411"/>
      <c r="CF411"/>
      <c r="CG411"/>
      <c r="CH411"/>
      <c r="CI411"/>
      <c r="CK411"/>
      <c r="CN411"/>
    </row>
    <row r="412" spans="1:92" x14ac:dyDescent="0.3">
      <c r="A412" s="4">
        <v>410</v>
      </c>
      <c r="B412" s="11">
        <v>36</v>
      </c>
      <c r="C412" s="2" t="str">
        <f>_xlfn.XLOOKUP(Table1[[#This Row],[Age]],Table7[Start_Age],Table7[Age_Range],,-1)</f>
        <v>29-39</v>
      </c>
      <c r="D412" t="s">
        <v>130</v>
      </c>
      <c r="E412" s="2" t="s">
        <v>129</v>
      </c>
      <c r="F412" s="2" t="s">
        <v>133</v>
      </c>
      <c r="G412" s="3">
        <v>1</v>
      </c>
      <c r="H412" s="13" t="s">
        <v>152</v>
      </c>
      <c r="I412" s="2" t="str" cm="1">
        <f t="array" ref="I412">_xlfn.IFS(Table1[[#This Row],[Job_Type]] = "unskilled resident", "Resident",
Table1[[#This Row],[Job_Type]] = "unemp/unskilled non res", "Non-resident",
TRUE, "Unknown")</f>
        <v>Resident</v>
      </c>
      <c r="J412" s="2" t="s">
        <v>148</v>
      </c>
      <c r="K412" s="3">
        <v>4</v>
      </c>
      <c r="L412" s="2" t="s">
        <v>144</v>
      </c>
      <c r="M412" s="13" t="s">
        <v>152</v>
      </c>
      <c r="N412" t="s">
        <v>30</v>
      </c>
      <c r="O412" s="2" t="str">
        <f>_xlfn.XLOOKUP(Table1[[#This Row],[Checking_Acct_Status]],Table3[Checking_Acct_Original],Table3[Category])</f>
        <v>Low Balance</v>
      </c>
      <c r="P412" s="10" t="s">
        <v>32</v>
      </c>
      <c r="Q412" s="13" t="str">
        <f>_xlfn.XLOOKUP(Table1[[#This Row],[Saving_Acct_Status]],Table5[Saving_Acct_Original],Table5[Category])</f>
        <v>Low Savings</v>
      </c>
      <c r="R412" t="s">
        <v>27</v>
      </c>
      <c r="S412" s="2" t="str">
        <f>IF(
      OR(Table1[[#This Row],[Job_Type]] = "high qualif/self emp/mgmt", Table1[[#This Row],[Job_Type]] = "skilled"),
      "Skilled", "Unskilled")</f>
        <v>Unskilled</v>
      </c>
      <c r="T412" t="str">
        <f>IF(Table1[[#This Row],[Job_Type]] = "unemp/unskilled non res", "Unemployed", "Employed")</f>
        <v>Employed</v>
      </c>
      <c r="U412" t="s">
        <v>21</v>
      </c>
      <c r="V412" s="14" t="str" cm="1">
        <f t="array" ref="V41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12" t="s">
        <v>52</v>
      </c>
      <c r="X412" s="2" t="str">
        <f>_xlfn.XLOOKUP(Table1[[#This Row],[Loan_Credit_History]],Table4[Credit History],Table4[[ Category]])</f>
        <v>No Credit History</v>
      </c>
      <c r="Y412" s="3">
        <v>1</v>
      </c>
      <c r="Z412" s="3">
        <v>3</v>
      </c>
      <c r="AA412" s="5">
        <v>4241</v>
      </c>
      <c r="AB412" t="s">
        <v>151</v>
      </c>
      <c r="AC412" s="2" t="str" cm="1">
        <f t="array" ref="AC412">_xlfn.IFS(Table1[[#This Row],[Others_Parties]] = "No", "None",
Table1[[#This Row],[Others_Parties]] = "co applicant", "Co-applicant",
Table1[[#This Row],[Others_Parties]] = "guarantor", "Guarantor")</f>
        <v>None</v>
      </c>
      <c r="AD412" s="13" t="s">
        <v>145</v>
      </c>
      <c r="AE412" s="2" t="s">
        <v>105</v>
      </c>
      <c r="AF412" s="28" t="str" cm="1">
        <f t="array" ref="AF41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12" s="21">
        <v>24</v>
      </c>
      <c r="AH412" s="2" t="s">
        <v>153</v>
      </c>
      <c r="AI412"/>
      <c r="AZ412"/>
      <c r="BC412"/>
      <c r="BE412"/>
      <c r="BL412"/>
      <c r="BZ412"/>
      <c r="CA412"/>
      <c r="CF412"/>
      <c r="CG412"/>
      <c r="CH412"/>
      <c r="CI412"/>
      <c r="CK412"/>
      <c r="CN412"/>
    </row>
    <row r="413" spans="1:92" x14ac:dyDescent="0.3">
      <c r="A413" s="4">
        <v>411</v>
      </c>
      <c r="B413" s="11">
        <v>48</v>
      </c>
      <c r="C413" s="2" t="str">
        <f>_xlfn.XLOOKUP(Table1[[#This Row],[Age]],Table7[Start_Age],Table7[Age_Range],,-1)</f>
        <v>39-49</v>
      </c>
      <c r="D413" t="s">
        <v>136</v>
      </c>
      <c r="E413" s="2" t="s">
        <v>131</v>
      </c>
      <c r="F413" s="2" t="s">
        <v>137</v>
      </c>
      <c r="G413" s="3">
        <v>1</v>
      </c>
      <c r="H413" s="13" t="s">
        <v>152</v>
      </c>
      <c r="I413" s="2" t="str" cm="1">
        <f t="array" ref="I413">_xlfn.IFS(Table1[[#This Row],[Job_Type]] = "unskilled resident", "Resident",
Table1[[#This Row],[Job_Type]] = "unemp/unskilled non res", "Non-resident",
TRUE, "Unknown")</f>
        <v>Resident</v>
      </c>
      <c r="J413" s="2" t="s">
        <v>148</v>
      </c>
      <c r="K413" s="3">
        <v>4</v>
      </c>
      <c r="L413" s="2" t="s">
        <v>143</v>
      </c>
      <c r="M413" s="13" t="s">
        <v>152</v>
      </c>
      <c r="N413" t="s">
        <v>30</v>
      </c>
      <c r="O413" s="2" t="str">
        <f>_xlfn.XLOOKUP(Table1[[#This Row],[Checking_Acct_Status]],Table3[Checking_Acct_Original],Table3[Category])</f>
        <v>Low Balance</v>
      </c>
      <c r="P413" s="10" t="s">
        <v>47</v>
      </c>
      <c r="Q413" s="13" t="str">
        <f>_xlfn.XLOOKUP(Table1[[#This Row],[Saving_Acct_Status]],Table5[Saving_Acct_Original],Table5[Category])</f>
        <v>No Savings</v>
      </c>
      <c r="R413" t="s">
        <v>27</v>
      </c>
      <c r="S413" s="2" t="str">
        <f>IF(
      OR(Table1[[#This Row],[Job_Type]] = "high qualif/self emp/mgmt", Table1[[#This Row],[Job_Type]] = "skilled"),
      "Skilled", "Unskilled")</f>
        <v>Unskilled</v>
      </c>
      <c r="T413" t="str">
        <f>IF(Table1[[#This Row],[Job_Type]] = "unemp/unskilled non res", "Unemployed", "Employed")</f>
        <v>Employed</v>
      </c>
      <c r="U413" t="s">
        <v>21</v>
      </c>
      <c r="V413" s="14" t="str" cm="1">
        <f t="array" ref="V41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13" t="s">
        <v>31</v>
      </c>
      <c r="X413" s="2" t="str">
        <f>_xlfn.XLOOKUP(Table1[[#This Row],[Loan_Credit_History]],Table4[Credit History],Table4[[ Category]])</f>
        <v>Existing Credits Paid</v>
      </c>
      <c r="Y413" s="3">
        <v>1</v>
      </c>
      <c r="Z413" s="3">
        <v>1</v>
      </c>
      <c r="AA413" s="5">
        <v>4351</v>
      </c>
      <c r="AB413" t="s">
        <v>151</v>
      </c>
      <c r="AC413" s="2" t="str" cm="1">
        <f t="array" ref="AC413">_xlfn.IFS(Table1[[#This Row],[Others_Parties]] = "No", "None",
Table1[[#This Row],[Others_Parties]] = "co applicant", "Co-applicant",
Table1[[#This Row],[Others_Parties]] = "guarantor", "Guarantor")</f>
        <v>None</v>
      </c>
      <c r="AD413" s="13" t="s">
        <v>145</v>
      </c>
      <c r="AE413" s="2" t="s">
        <v>108</v>
      </c>
      <c r="AF413" s="28" t="str" cm="1">
        <f t="array" ref="AF41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13" s="21">
        <v>24</v>
      </c>
      <c r="AH413" s="2" t="s">
        <v>154</v>
      </c>
      <c r="AI413"/>
      <c r="AZ413"/>
      <c r="BC413"/>
      <c r="BE413"/>
      <c r="BL413"/>
      <c r="BZ413"/>
      <c r="CA413"/>
      <c r="CF413"/>
      <c r="CG413"/>
      <c r="CH413"/>
      <c r="CI413"/>
      <c r="CK413"/>
      <c r="CN413"/>
    </row>
    <row r="414" spans="1:92" x14ac:dyDescent="0.3">
      <c r="A414" s="4">
        <v>412</v>
      </c>
      <c r="B414" s="11">
        <v>74</v>
      </c>
      <c r="C414" s="2" t="str">
        <f>_xlfn.XLOOKUP(Table1[[#This Row],[Age]],Table7[Start_Age],Table7[Age_Range],,-1)</f>
        <v>69-76</v>
      </c>
      <c r="D414" t="s">
        <v>130</v>
      </c>
      <c r="E414" s="2" t="s">
        <v>129</v>
      </c>
      <c r="F414" s="2" t="s">
        <v>133</v>
      </c>
      <c r="G414" s="3">
        <v>1</v>
      </c>
      <c r="H414" s="13" t="s">
        <v>152</v>
      </c>
      <c r="I414" s="2" t="str" cm="1">
        <f t="array" ref="I414">_xlfn.IFS(Table1[[#This Row],[Job_Type]] = "unskilled resident", "Resident",
Table1[[#This Row],[Job_Type]] = "unemp/unskilled non res", "Non-resident",
TRUE, "Unknown")</f>
        <v>Unknown</v>
      </c>
      <c r="J414" s="2" t="s">
        <v>148</v>
      </c>
      <c r="K414" s="3">
        <v>2</v>
      </c>
      <c r="L414" s="2" t="s">
        <v>144</v>
      </c>
      <c r="M414" s="13" t="s">
        <v>152</v>
      </c>
      <c r="N414" t="s">
        <v>17</v>
      </c>
      <c r="O414" s="2" t="str">
        <f>_xlfn.XLOOKUP(Table1[[#This Row],[Checking_Acct_Status]],Table3[Checking_Acct_Original],Table3[Category])</f>
        <v>No Account</v>
      </c>
      <c r="P414" s="10" t="s">
        <v>32</v>
      </c>
      <c r="Q414" s="13" t="str">
        <f>_xlfn.XLOOKUP(Table1[[#This Row],[Saving_Acct_Status]],Table5[Saving_Acct_Original],Table5[Category])</f>
        <v>Low Savings</v>
      </c>
      <c r="R414" t="s">
        <v>63</v>
      </c>
      <c r="S414" s="2" t="str">
        <f>IF(
      OR(Table1[[#This Row],[Job_Type]] = "high qualif/self emp/mgmt", Table1[[#This Row],[Job_Type]] = "skilled"),
      "Skilled", "Unskilled")</f>
        <v>Skilled</v>
      </c>
      <c r="T414" t="str">
        <f>IF(Table1[[#This Row],[Job_Type]] = "unemp/unskilled non res", "Unemployed", "Employed")</f>
        <v>Employed</v>
      </c>
      <c r="U414" t="s">
        <v>21</v>
      </c>
      <c r="V414" s="14" t="str" cm="1">
        <f t="array" ref="V41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14" t="s">
        <v>103</v>
      </c>
      <c r="X414" s="2" t="str">
        <f>_xlfn.XLOOKUP(Table1[[#This Row],[Loan_Credit_History]],Table4[Credit History],Table4[[ Category]])</f>
        <v>Critical Credit History</v>
      </c>
      <c r="Y414" s="3">
        <v>3</v>
      </c>
      <c r="Z414" s="3">
        <v>1</v>
      </c>
      <c r="AA414" s="5">
        <v>4526</v>
      </c>
      <c r="AB414" t="s">
        <v>151</v>
      </c>
      <c r="AC414" s="2" t="str" cm="1">
        <f t="array" ref="AC414">_xlfn.IFS(Table1[[#This Row],[Others_Parties]] = "No", "None",
Table1[[#This Row],[Others_Parties]] = "co applicant", "Co-applicant",
Table1[[#This Row],[Others_Parties]] = "guarantor", "Guarantor")</f>
        <v>None</v>
      </c>
      <c r="AD414" s="13" t="s">
        <v>145</v>
      </c>
      <c r="AE414" s="2" t="s">
        <v>105</v>
      </c>
      <c r="AF414" s="28" t="str" cm="1">
        <f t="array" ref="AF41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14" s="21">
        <v>24</v>
      </c>
      <c r="AH414" s="2" t="s">
        <v>154</v>
      </c>
      <c r="AI414"/>
      <c r="AZ414"/>
      <c r="BC414"/>
      <c r="BE414"/>
      <c r="BL414"/>
      <c r="BZ414"/>
      <c r="CA414"/>
      <c r="CF414"/>
      <c r="CG414"/>
      <c r="CH414"/>
      <c r="CI414"/>
      <c r="CK414"/>
      <c r="CN414"/>
    </row>
    <row r="415" spans="1:92" x14ac:dyDescent="0.3">
      <c r="A415" s="4">
        <v>413</v>
      </c>
      <c r="B415" s="11">
        <v>54</v>
      </c>
      <c r="C415" s="2" t="str">
        <f>_xlfn.XLOOKUP(Table1[[#This Row],[Age]],Table7[Start_Age],Table7[Age_Range],,-1)</f>
        <v>49-59</v>
      </c>
      <c r="D415" t="s">
        <v>130</v>
      </c>
      <c r="E415" s="2" t="s">
        <v>129</v>
      </c>
      <c r="F415" s="2" t="s">
        <v>133</v>
      </c>
      <c r="G415" s="3">
        <v>1</v>
      </c>
      <c r="H415" s="13" t="s">
        <v>152</v>
      </c>
      <c r="I415" s="2" t="str" cm="1">
        <f t="array" ref="I415">_xlfn.IFS(Table1[[#This Row],[Job_Type]] = "unskilled resident", "Resident",
Table1[[#This Row],[Job_Type]] = "unemp/unskilled non res", "Non-resident",
TRUE, "Unknown")</f>
        <v>Unknown</v>
      </c>
      <c r="J415" s="2" t="s">
        <v>148</v>
      </c>
      <c r="K415" s="3">
        <v>3</v>
      </c>
      <c r="L415" s="2" t="s">
        <v>143</v>
      </c>
      <c r="M415" s="13" t="s">
        <v>152</v>
      </c>
      <c r="N415" t="s">
        <v>17</v>
      </c>
      <c r="O415" s="2" t="str">
        <f>_xlfn.XLOOKUP(Table1[[#This Row],[Checking_Acct_Status]],Table3[Checking_Acct_Original],Table3[Category])</f>
        <v>No Account</v>
      </c>
      <c r="P415" s="10" t="s">
        <v>20</v>
      </c>
      <c r="Q415" s="13" t="str">
        <f>_xlfn.XLOOKUP(Table1[[#This Row],[Saving_Acct_Status]],Table5[Saving_Acct_Original],Table5[Category])</f>
        <v>Very High Savings</v>
      </c>
      <c r="R415" t="s">
        <v>63</v>
      </c>
      <c r="S415" s="2" t="str">
        <f>IF(
      OR(Table1[[#This Row],[Job_Type]] = "high qualif/self emp/mgmt", Table1[[#This Row],[Job_Type]] = "skilled"),
      "Skilled", "Unskilled")</f>
        <v>Skilled</v>
      </c>
      <c r="T415" t="str">
        <f>IF(Table1[[#This Row],[Job_Type]] = "unemp/unskilled non res", "Unemployed", "Employed")</f>
        <v>Employed</v>
      </c>
      <c r="U415" t="s">
        <v>21</v>
      </c>
      <c r="V415" s="14" t="str" cm="1">
        <f t="array" ref="V41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15" t="s">
        <v>31</v>
      </c>
      <c r="X415" s="2" t="str">
        <f>_xlfn.XLOOKUP(Table1[[#This Row],[Loan_Credit_History]],Table4[Credit History],Table4[[ Category]])</f>
        <v>Existing Credits Paid</v>
      </c>
      <c r="Y415" s="3">
        <v>2</v>
      </c>
      <c r="Z415" s="3">
        <v>3</v>
      </c>
      <c r="AA415" s="5">
        <v>4591</v>
      </c>
      <c r="AB415" t="s">
        <v>151</v>
      </c>
      <c r="AC415" s="2" t="str" cm="1">
        <f t="array" ref="AC415">_xlfn.IFS(Table1[[#This Row],[Others_Parties]] = "No", "None",
Table1[[#This Row],[Others_Parties]] = "co applicant", "Co-applicant",
Table1[[#This Row],[Others_Parties]] = "guarantor", "Guarantor")</f>
        <v>None</v>
      </c>
      <c r="AD415" s="13" t="s">
        <v>145</v>
      </c>
      <c r="AE415" s="2" t="s">
        <v>105</v>
      </c>
      <c r="AF415" s="28" t="str" cm="1">
        <f t="array" ref="AF41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15" s="21">
        <v>24</v>
      </c>
      <c r="AH415" s="2" t="s">
        <v>153</v>
      </c>
      <c r="AI415"/>
      <c r="AZ415"/>
      <c r="BC415"/>
      <c r="BE415"/>
      <c r="BL415"/>
      <c r="BZ415"/>
      <c r="CA415"/>
      <c r="CF415"/>
      <c r="CG415"/>
      <c r="CH415"/>
      <c r="CI415"/>
      <c r="CK415"/>
      <c r="CN415"/>
    </row>
    <row r="416" spans="1:92" x14ac:dyDescent="0.3">
      <c r="A416" s="4">
        <v>414</v>
      </c>
      <c r="B416" s="11">
        <v>35</v>
      </c>
      <c r="C416" s="2" t="str">
        <f>_xlfn.XLOOKUP(Table1[[#This Row],[Age]],Table7[Start_Age],Table7[Age_Range],,-1)</f>
        <v>29-39</v>
      </c>
      <c r="D416" t="s">
        <v>130</v>
      </c>
      <c r="E416" s="2" t="s">
        <v>129</v>
      </c>
      <c r="F416" s="2" t="s">
        <v>133</v>
      </c>
      <c r="G416" s="3">
        <v>1</v>
      </c>
      <c r="H416" s="13" t="s">
        <v>152</v>
      </c>
      <c r="I416" s="2" t="str" cm="1">
        <f t="array" ref="I416">_xlfn.IFS(Table1[[#This Row],[Job_Type]] = "unskilled resident", "Resident",
Table1[[#This Row],[Job_Type]] = "unemp/unskilled non res", "Non-resident",
TRUE, "Unknown")</f>
        <v>Resident</v>
      </c>
      <c r="J416" s="2" t="s">
        <v>148</v>
      </c>
      <c r="K416" s="3">
        <v>3</v>
      </c>
      <c r="L416" s="2" t="s">
        <v>140</v>
      </c>
      <c r="M416" s="13" t="s">
        <v>152</v>
      </c>
      <c r="N416" t="s">
        <v>17</v>
      </c>
      <c r="O416" s="2" t="str">
        <f>_xlfn.XLOOKUP(Table1[[#This Row],[Checking_Acct_Status]],Table3[Checking_Acct_Original],Table3[Category])</f>
        <v>No Account</v>
      </c>
      <c r="P416" s="10" t="s">
        <v>32</v>
      </c>
      <c r="Q416" s="13" t="str">
        <f>_xlfn.XLOOKUP(Table1[[#This Row],[Saving_Acct_Status]],Table5[Saving_Acct_Original],Table5[Category])</f>
        <v>Low Savings</v>
      </c>
      <c r="R416" t="s">
        <v>27</v>
      </c>
      <c r="S416" s="2" t="str">
        <f>IF(
      OR(Table1[[#This Row],[Job_Type]] = "high qualif/self emp/mgmt", Table1[[#This Row],[Job_Type]] = "skilled"),
      "Skilled", "Unskilled")</f>
        <v>Unskilled</v>
      </c>
      <c r="T416" t="str">
        <f>IF(Table1[[#This Row],[Job_Type]] = "unemp/unskilled non res", "Unemployed", "Employed")</f>
        <v>Employed</v>
      </c>
      <c r="U416" t="s">
        <v>49</v>
      </c>
      <c r="V416" s="14" t="str" cm="1">
        <f t="array" ref="V41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16" t="s">
        <v>59</v>
      </c>
      <c r="X416" s="2" t="str">
        <f>_xlfn.XLOOKUP(Table1[[#This Row],[Loan_Credit_History]],Table4[Credit History],Table4[[ Category]])</f>
        <v>Previously Delayed</v>
      </c>
      <c r="Y416" s="3">
        <v>3</v>
      </c>
      <c r="Z416" s="3">
        <v>2</v>
      </c>
      <c r="AA416" s="5">
        <v>4679</v>
      </c>
      <c r="AB416" t="s">
        <v>151</v>
      </c>
      <c r="AC416" s="2" t="str" cm="1">
        <f t="array" ref="AC416">_xlfn.IFS(Table1[[#This Row],[Others_Parties]] = "No", "None",
Table1[[#This Row],[Others_Parties]] = "co applicant", "Co-applicant",
Table1[[#This Row],[Others_Parties]] = "guarantor", "Guarantor")</f>
        <v>None</v>
      </c>
      <c r="AD416" s="13" t="s">
        <v>145</v>
      </c>
      <c r="AE416" s="2" t="s">
        <v>107</v>
      </c>
      <c r="AF416" s="28" t="str" cm="1">
        <f t="array" ref="AF41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16" s="21">
        <v>24</v>
      </c>
      <c r="AH416" s="2" t="s">
        <v>154</v>
      </c>
      <c r="AI416"/>
      <c r="AZ416"/>
      <c r="BC416"/>
      <c r="BE416"/>
      <c r="BL416"/>
      <c r="BZ416"/>
      <c r="CA416"/>
      <c r="CF416"/>
      <c r="CG416"/>
      <c r="CH416"/>
      <c r="CI416"/>
      <c r="CK416"/>
      <c r="CN416"/>
    </row>
    <row r="417" spans="1:92" x14ac:dyDescent="0.3">
      <c r="A417" s="4">
        <v>415</v>
      </c>
      <c r="B417" s="11">
        <v>37</v>
      </c>
      <c r="C417" s="2" t="str">
        <f>_xlfn.XLOOKUP(Table1[[#This Row],[Age]],Table7[Start_Age],Table7[Age_Range],,-1)</f>
        <v>29-39</v>
      </c>
      <c r="D417" t="s">
        <v>130</v>
      </c>
      <c r="E417" s="2" t="s">
        <v>129</v>
      </c>
      <c r="F417" s="2" t="s">
        <v>133</v>
      </c>
      <c r="G417" s="3">
        <v>1</v>
      </c>
      <c r="H417" s="13" t="s">
        <v>152</v>
      </c>
      <c r="I417" s="2" t="str" cm="1">
        <f t="array" ref="I417">_xlfn.IFS(Table1[[#This Row],[Job_Type]] = "unskilled resident", "Resident",
Table1[[#This Row],[Job_Type]] = "unemp/unskilled non res", "Non-resident",
TRUE, "Unknown")</f>
        <v>Unknown</v>
      </c>
      <c r="J417" s="2" t="s">
        <v>148</v>
      </c>
      <c r="K417" s="3">
        <v>2</v>
      </c>
      <c r="L417" s="2" t="s">
        <v>143</v>
      </c>
      <c r="M417" s="13" t="s">
        <v>152</v>
      </c>
      <c r="N417" t="s">
        <v>30</v>
      </c>
      <c r="O417" s="2" t="str">
        <f>_xlfn.XLOOKUP(Table1[[#This Row],[Checking_Acct_Status]],Table3[Checking_Acct_Original],Table3[Category])</f>
        <v>Low Balance</v>
      </c>
      <c r="P417" s="10" t="s">
        <v>47</v>
      </c>
      <c r="Q417" s="13" t="str">
        <f>_xlfn.XLOOKUP(Table1[[#This Row],[Saving_Acct_Status]],Table5[Saving_Acct_Original],Table5[Category])</f>
        <v>No Savings</v>
      </c>
      <c r="R417" t="s">
        <v>63</v>
      </c>
      <c r="S417" s="2" t="str">
        <f>IF(
      OR(Table1[[#This Row],[Job_Type]] = "high qualif/self emp/mgmt", Table1[[#This Row],[Job_Type]] = "skilled"),
      "Skilled", "Unskilled")</f>
        <v>Skilled</v>
      </c>
      <c r="T417" t="str">
        <f>IF(Table1[[#This Row],[Job_Type]] = "unemp/unskilled non res", "Unemployed", "Employed")</f>
        <v>Employed</v>
      </c>
      <c r="U417" t="s">
        <v>21</v>
      </c>
      <c r="V417" s="14" t="str" cm="1">
        <f t="array" ref="V41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17" t="s">
        <v>59</v>
      </c>
      <c r="X417" s="2" t="str">
        <f>_xlfn.XLOOKUP(Table1[[#This Row],[Loan_Credit_History]],Table4[Credit History],Table4[[ Category]])</f>
        <v>Previously Delayed</v>
      </c>
      <c r="Y417" s="3">
        <v>4</v>
      </c>
      <c r="Z417" s="3">
        <v>2</v>
      </c>
      <c r="AA417" s="5">
        <v>4712</v>
      </c>
      <c r="AB417" t="s">
        <v>151</v>
      </c>
      <c r="AC417" s="2" t="str" cm="1">
        <f t="array" ref="AC417">_xlfn.IFS(Table1[[#This Row],[Others_Parties]] = "No", "None",
Table1[[#This Row],[Others_Parties]] = "co applicant", "Co-applicant",
Table1[[#This Row],[Others_Parties]] = "guarantor", "Guarantor")</f>
        <v>None</v>
      </c>
      <c r="AD417" s="13" t="s">
        <v>146</v>
      </c>
      <c r="AE417" s="2" t="s">
        <v>105</v>
      </c>
      <c r="AF417" s="28" t="str" cm="1">
        <f t="array" ref="AF41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17" s="21">
        <v>24</v>
      </c>
      <c r="AH417" s="2" t="s">
        <v>154</v>
      </c>
      <c r="AI417"/>
      <c r="AZ417"/>
      <c r="BC417"/>
      <c r="BE417"/>
      <c r="BL417"/>
      <c r="BZ417"/>
      <c r="CA417"/>
      <c r="CF417"/>
      <c r="CG417"/>
      <c r="CH417"/>
      <c r="CI417"/>
      <c r="CK417"/>
      <c r="CN417"/>
    </row>
    <row r="418" spans="1:92" x14ac:dyDescent="0.3">
      <c r="A418" s="4">
        <v>416</v>
      </c>
      <c r="B418" s="11">
        <v>25</v>
      </c>
      <c r="C418" s="2" t="str">
        <f>_xlfn.XLOOKUP(Table1[[#This Row],[Age]],Table7[Start_Age],Table7[Age_Range],,-1)</f>
        <v>19-29</v>
      </c>
      <c r="D418" t="s">
        <v>136</v>
      </c>
      <c r="E418" s="2" t="s">
        <v>131</v>
      </c>
      <c r="F418" s="2" t="s">
        <v>137</v>
      </c>
      <c r="G418" s="3">
        <v>1</v>
      </c>
      <c r="H418" s="13" t="s">
        <v>152</v>
      </c>
      <c r="I418" s="2" t="str" cm="1">
        <f t="array" ref="I418">_xlfn.IFS(Table1[[#This Row],[Job_Type]] = "unskilled resident", "Resident",
Table1[[#This Row],[Job_Type]] = "unemp/unskilled non res", "Non-resident",
TRUE, "Unknown")</f>
        <v>Resident</v>
      </c>
      <c r="J418" s="2" t="s">
        <v>148</v>
      </c>
      <c r="K418" s="3">
        <v>4</v>
      </c>
      <c r="L418" s="2" t="s">
        <v>140</v>
      </c>
      <c r="M418" s="13" t="s">
        <v>151</v>
      </c>
      <c r="N418" t="s">
        <v>30</v>
      </c>
      <c r="O418" s="2" t="str">
        <f>_xlfn.XLOOKUP(Table1[[#This Row],[Checking_Acct_Status]],Table3[Checking_Acct_Original],Table3[Category])</f>
        <v>Low Balance</v>
      </c>
      <c r="P418" s="10" t="s">
        <v>32</v>
      </c>
      <c r="Q418" s="13" t="str">
        <f>_xlfn.XLOOKUP(Table1[[#This Row],[Saving_Acct_Status]],Table5[Saving_Acct_Original],Table5[Category])</f>
        <v>Low Savings</v>
      </c>
      <c r="R418" t="s">
        <v>27</v>
      </c>
      <c r="S418" s="2" t="str">
        <f>IF(
      OR(Table1[[#This Row],[Job_Type]] = "high qualif/self emp/mgmt", Table1[[#This Row],[Job_Type]] = "skilled"),
      "Skilled", "Unskilled")</f>
        <v>Unskilled</v>
      </c>
      <c r="T418" t="str">
        <f>IF(Table1[[#This Row],[Job_Type]] = "unemp/unskilled non res", "Unemployed", "Employed")</f>
        <v>Employed</v>
      </c>
      <c r="U418" t="s">
        <v>45</v>
      </c>
      <c r="V418" s="14" t="str" cm="1">
        <f t="array" ref="V41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18" t="s">
        <v>103</v>
      </c>
      <c r="X418" s="2" t="str">
        <f>_xlfn.XLOOKUP(Table1[[#This Row],[Loan_Credit_History]],Table4[Credit History],Table4[[ Category]])</f>
        <v>Critical Credit History</v>
      </c>
      <c r="Y418" s="3">
        <v>2</v>
      </c>
      <c r="Z418" s="3">
        <v>1</v>
      </c>
      <c r="AA418" s="5">
        <v>4736</v>
      </c>
      <c r="AB418" t="s">
        <v>151</v>
      </c>
      <c r="AC418" s="2" t="str" cm="1">
        <f t="array" ref="AC418">_xlfn.IFS(Table1[[#This Row],[Others_Parties]] = "No", "None",
Table1[[#This Row],[Others_Parties]] = "co applicant", "Co-applicant",
Table1[[#This Row],[Others_Parties]] = "guarantor", "Guarantor")</f>
        <v>None</v>
      </c>
      <c r="AD418" s="13" t="s">
        <v>146</v>
      </c>
      <c r="AE418" s="2" t="s">
        <v>108</v>
      </c>
      <c r="AF418" s="28" t="str" cm="1">
        <f t="array" ref="AF41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18" s="21">
        <v>24</v>
      </c>
      <c r="AH418" s="2" t="s">
        <v>153</v>
      </c>
      <c r="AI418"/>
      <c r="AZ418"/>
      <c r="BC418"/>
      <c r="BE418"/>
      <c r="BL418"/>
      <c r="BZ418"/>
      <c r="CA418"/>
      <c r="CF418"/>
      <c r="CG418"/>
      <c r="CH418"/>
      <c r="CI418"/>
      <c r="CK418"/>
      <c r="CN418"/>
    </row>
    <row r="419" spans="1:92" x14ac:dyDescent="0.3">
      <c r="A419" s="4">
        <v>417</v>
      </c>
      <c r="B419" s="11">
        <v>31</v>
      </c>
      <c r="C419" s="2" t="str">
        <f>_xlfn.XLOOKUP(Table1[[#This Row],[Age]],Table7[Start_Age],Table7[Age_Range],,-1)</f>
        <v>29-39</v>
      </c>
      <c r="D419" t="s">
        <v>130</v>
      </c>
      <c r="E419" s="2" t="s">
        <v>129</v>
      </c>
      <c r="F419" s="2" t="s">
        <v>133</v>
      </c>
      <c r="G419" s="3">
        <v>1</v>
      </c>
      <c r="H419" s="13" t="s">
        <v>152</v>
      </c>
      <c r="I419" s="2" t="str" cm="1">
        <f t="array" ref="I419">_xlfn.IFS(Table1[[#This Row],[Job_Type]] = "unskilled resident", "Resident",
Table1[[#This Row],[Job_Type]] = "unemp/unskilled non res", "Non-resident",
TRUE, "Unknown")</f>
        <v>Unknown</v>
      </c>
      <c r="J419" s="2" t="s">
        <v>148</v>
      </c>
      <c r="K419" s="3">
        <v>3</v>
      </c>
      <c r="L419" s="2" t="s">
        <v>143</v>
      </c>
      <c r="M419" s="13" t="s">
        <v>152</v>
      </c>
      <c r="N419" t="s">
        <v>35</v>
      </c>
      <c r="O419" s="2" t="str">
        <f>_xlfn.XLOOKUP(Table1[[#This Row],[Checking_Acct_Status]],Table3[Checking_Acct_Original],Table3[Category])</f>
        <v>Negative Balance</v>
      </c>
      <c r="P419" s="10" t="s">
        <v>32</v>
      </c>
      <c r="Q419" s="13" t="str">
        <f>_xlfn.XLOOKUP(Table1[[#This Row],[Saving_Acct_Status]],Table5[Saving_Acct_Original],Table5[Category])</f>
        <v>Low Savings</v>
      </c>
      <c r="R419" t="s">
        <v>41</v>
      </c>
      <c r="S419" s="2" t="str">
        <f>IF(
      OR(Table1[[#This Row],[Job_Type]] = "high qualif/self emp/mgmt", Table1[[#This Row],[Job_Type]] = "skilled"),
      "Skilled", "Unskilled")</f>
        <v>Skilled</v>
      </c>
      <c r="T419" t="str">
        <f>IF(Table1[[#This Row],[Job_Type]] = "unemp/unskilled non res", "Unemployed", "Employed")</f>
        <v>Employed</v>
      </c>
      <c r="U419" t="s">
        <v>49</v>
      </c>
      <c r="V419" s="14" t="str" cm="1">
        <f t="array" ref="V41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19" t="s">
        <v>31</v>
      </c>
      <c r="X419" s="2" t="str">
        <f>_xlfn.XLOOKUP(Table1[[#This Row],[Loan_Credit_History]],Table4[Credit History],Table4[[ Category]])</f>
        <v>Existing Credits Paid</v>
      </c>
      <c r="Y419" s="3">
        <v>2</v>
      </c>
      <c r="Z419" s="3">
        <v>1</v>
      </c>
      <c r="AA419" s="5">
        <v>4817</v>
      </c>
      <c r="AB419" t="s">
        <v>55</v>
      </c>
      <c r="AC419" s="2" t="str" cm="1">
        <f t="array" ref="AC419">_xlfn.IFS(Table1[[#This Row],[Others_Parties]] = "No", "None",
Table1[[#This Row],[Others_Parties]] = "co applicant", "Co-applicant",
Table1[[#This Row],[Others_Parties]] = "guarantor", "Guarantor")</f>
        <v>Co-applicant</v>
      </c>
      <c r="AD419" s="13" t="s">
        <v>145</v>
      </c>
      <c r="AE419" s="2" t="s">
        <v>141</v>
      </c>
      <c r="AF419" s="28" t="str" cm="1">
        <f t="array" ref="AF41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19" s="21">
        <v>24</v>
      </c>
      <c r="AH419" s="2" t="s">
        <v>153</v>
      </c>
      <c r="AI419"/>
      <c r="AZ419"/>
      <c r="BC419"/>
      <c r="BE419"/>
      <c r="BL419"/>
      <c r="BZ419"/>
      <c r="CA419"/>
      <c r="CF419"/>
      <c r="CG419"/>
      <c r="CH419"/>
      <c r="CI419"/>
      <c r="CK419"/>
      <c r="CN419"/>
    </row>
    <row r="420" spans="1:92" x14ac:dyDescent="0.3">
      <c r="A420" s="4">
        <v>418</v>
      </c>
      <c r="B420" s="11">
        <v>53</v>
      </c>
      <c r="C420" s="2" t="str">
        <f>_xlfn.XLOOKUP(Table1[[#This Row],[Age]],Table7[Start_Age],Table7[Age_Range],,-1)</f>
        <v>49-59</v>
      </c>
      <c r="D420" t="s">
        <v>130</v>
      </c>
      <c r="E420" s="2" t="s">
        <v>129</v>
      </c>
      <c r="F420" s="2" t="s">
        <v>133</v>
      </c>
      <c r="G420" s="3">
        <v>2</v>
      </c>
      <c r="H420" s="13" t="s">
        <v>152</v>
      </c>
      <c r="I420" s="2" t="str" cm="1">
        <f t="array" ref="I420">_xlfn.IFS(Table1[[#This Row],[Job_Type]] = "unskilled resident", "Resident",
Table1[[#This Row],[Job_Type]] = "unemp/unskilled non res", "Non-resident",
TRUE, "Unknown")</f>
        <v>Unknown</v>
      </c>
      <c r="J420" s="2" t="s">
        <v>150</v>
      </c>
      <c r="K420" s="3">
        <v>4</v>
      </c>
      <c r="L420" s="2" t="s">
        <v>142</v>
      </c>
      <c r="M420" s="13" t="s">
        <v>151</v>
      </c>
      <c r="N420" t="s">
        <v>35</v>
      </c>
      <c r="O420" s="2" t="str">
        <f>_xlfn.XLOOKUP(Table1[[#This Row],[Checking_Acct_Status]],Table3[Checking_Acct_Original],Table3[Category])</f>
        <v>Negative Balance</v>
      </c>
      <c r="P420" s="10" t="s">
        <v>32</v>
      </c>
      <c r="Q420" s="13" t="str">
        <f>_xlfn.XLOOKUP(Table1[[#This Row],[Saving_Acct_Status]],Table5[Saving_Acct_Original],Table5[Category])</f>
        <v>Low Savings</v>
      </c>
      <c r="R420" t="s">
        <v>41</v>
      </c>
      <c r="S420" s="2" t="str">
        <f>IF(
      OR(Table1[[#This Row],[Job_Type]] = "high qualif/self emp/mgmt", Table1[[#This Row],[Job_Type]] = "skilled"),
      "Skilled", "Unskilled")</f>
        <v>Skilled</v>
      </c>
      <c r="T420" t="str">
        <f>IF(Table1[[#This Row],[Job_Type]] = "unemp/unskilled non res", "Unemployed", "Employed")</f>
        <v>Employed</v>
      </c>
      <c r="U420" t="s">
        <v>21</v>
      </c>
      <c r="V420" s="14" t="str" cm="1">
        <f t="array" ref="V42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20" t="s">
        <v>59</v>
      </c>
      <c r="X420" s="2" t="str">
        <f>_xlfn.XLOOKUP(Table1[[#This Row],[Loan_Credit_History]],Table4[Credit History],Table4[[ Category]])</f>
        <v>Previously Delayed</v>
      </c>
      <c r="Y420" s="3">
        <v>3</v>
      </c>
      <c r="Z420" s="3">
        <v>2</v>
      </c>
      <c r="AA420" s="5">
        <v>4870</v>
      </c>
      <c r="AB420" t="s">
        <v>151</v>
      </c>
      <c r="AC420" s="2" t="str" cm="1">
        <f t="array" ref="AC420">_xlfn.IFS(Table1[[#This Row],[Others_Parties]] = "No", "None",
Table1[[#This Row],[Others_Parties]] = "co applicant", "Co-applicant",
Table1[[#This Row],[Others_Parties]] = "guarantor", "Guarantor")</f>
        <v>None</v>
      </c>
      <c r="AD420" s="13" t="s">
        <v>145</v>
      </c>
      <c r="AE420" s="2" t="s">
        <v>141</v>
      </c>
      <c r="AF420" s="28" t="str" cm="1">
        <f t="array" ref="AF42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20" s="21">
        <v>24</v>
      </c>
      <c r="AH420" s="2" t="s">
        <v>153</v>
      </c>
      <c r="AI420"/>
      <c r="AZ420"/>
      <c r="BC420"/>
      <c r="BE420"/>
      <c r="BL420"/>
      <c r="BZ420"/>
      <c r="CA420"/>
      <c r="CF420"/>
      <c r="CG420"/>
      <c r="CH420"/>
      <c r="CI420"/>
      <c r="CK420"/>
      <c r="CN420"/>
    </row>
    <row r="421" spans="1:92" x14ac:dyDescent="0.3">
      <c r="A421" s="4">
        <v>419</v>
      </c>
      <c r="B421" s="11">
        <v>42</v>
      </c>
      <c r="C421" s="2" t="str">
        <f>_xlfn.XLOOKUP(Table1[[#This Row],[Age]],Table7[Start_Age],Table7[Age_Range],,-1)</f>
        <v>39-49</v>
      </c>
      <c r="D421" t="s">
        <v>136</v>
      </c>
      <c r="E421" s="2" t="s">
        <v>131</v>
      </c>
      <c r="F421" s="2" t="s">
        <v>137</v>
      </c>
      <c r="G421" s="3">
        <v>1</v>
      </c>
      <c r="H421" s="13" t="s">
        <v>152</v>
      </c>
      <c r="I421" s="2" t="str" cm="1">
        <f t="array" ref="I421">_xlfn.IFS(Table1[[#This Row],[Job_Type]] = "unskilled resident", "Resident",
Table1[[#This Row],[Job_Type]] = "unemp/unskilled non res", "Non-resident",
TRUE, "Unknown")</f>
        <v>Unknown</v>
      </c>
      <c r="J421" s="2" t="s">
        <v>148</v>
      </c>
      <c r="K421" s="3">
        <v>4</v>
      </c>
      <c r="L421" s="2" t="s">
        <v>140</v>
      </c>
      <c r="M421" s="13" t="s">
        <v>152</v>
      </c>
      <c r="N421" t="s">
        <v>30</v>
      </c>
      <c r="O421" s="2" t="str">
        <f>_xlfn.XLOOKUP(Table1[[#This Row],[Checking_Acct_Status]],Table3[Checking_Acct_Original],Table3[Category])</f>
        <v>Low Balance</v>
      </c>
      <c r="P421" s="10" t="s">
        <v>47</v>
      </c>
      <c r="Q421" s="13" t="str">
        <f>_xlfn.XLOOKUP(Table1[[#This Row],[Saving_Acct_Status]],Table5[Saving_Acct_Original],Table5[Category])</f>
        <v>No Savings</v>
      </c>
      <c r="R421" t="s">
        <v>41</v>
      </c>
      <c r="S421" s="2" t="str">
        <f>IF(
      OR(Table1[[#This Row],[Job_Type]] = "high qualif/self emp/mgmt", Table1[[#This Row],[Job_Type]] = "skilled"),
      "Skilled", "Unskilled")</f>
        <v>Skilled</v>
      </c>
      <c r="T421" t="str">
        <f>IF(Table1[[#This Row],[Job_Type]] = "unemp/unskilled non res", "Unemployed", "Employed")</f>
        <v>Employed</v>
      </c>
      <c r="U421" t="s">
        <v>38</v>
      </c>
      <c r="V421" s="14" t="str" cm="1">
        <f t="array" ref="V42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21" t="s">
        <v>31</v>
      </c>
      <c r="X421" s="2" t="str">
        <f>_xlfn.XLOOKUP(Table1[[#This Row],[Loan_Credit_History]],Table4[Credit History],Table4[[ Category]])</f>
        <v>Existing Credits Paid</v>
      </c>
      <c r="Y421" s="3">
        <v>2</v>
      </c>
      <c r="Z421" s="3">
        <v>1</v>
      </c>
      <c r="AA421" s="5">
        <v>5084</v>
      </c>
      <c r="AB421" t="s">
        <v>151</v>
      </c>
      <c r="AC421" s="2" t="str" cm="1">
        <f t="array" ref="AC421">_xlfn.IFS(Table1[[#This Row],[Others_Parties]] = "No", "None",
Table1[[#This Row],[Others_Parties]] = "co applicant", "Co-applicant",
Table1[[#This Row],[Others_Parties]] = "guarantor", "Guarantor")</f>
        <v>None</v>
      </c>
      <c r="AD421" s="13" t="s">
        <v>145</v>
      </c>
      <c r="AE421" s="2" t="s">
        <v>111</v>
      </c>
      <c r="AF421" s="28" t="str" cm="1">
        <f t="array" ref="AF42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21" s="21">
        <v>24</v>
      </c>
      <c r="AH421" s="2" t="s">
        <v>154</v>
      </c>
      <c r="AI421"/>
      <c r="AZ421"/>
      <c r="BC421"/>
      <c r="BE421"/>
      <c r="BL421"/>
      <c r="BZ421"/>
      <c r="CA421"/>
      <c r="CF421"/>
      <c r="CG421"/>
      <c r="CH421"/>
      <c r="CI421"/>
      <c r="CK421"/>
      <c r="CN421"/>
    </row>
    <row r="422" spans="1:92" x14ac:dyDescent="0.3">
      <c r="A422" s="4">
        <v>420</v>
      </c>
      <c r="B422" s="11">
        <v>47</v>
      </c>
      <c r="C422" s="2" t="str">
        <f>_xlfn.XLOOKUP(Table1[[#This Row],[Age]],Table7[Start_Age],Table7[Age_Range],,-1)</f>
        <v>39-49</v>
      </c>
      <c r="D422" t="s">
        <v>134</v>
      </c>
      <c r="E422" s="2" t="s">
        <v>129</v>
      </c>
      <c r="F422" s="2" t="s">
        <v>135</v>
      </c>
      <c r="G422" s="3">
        <v>1</v>
      </c>
      <c r="H422" s="13" t="s">
        <v>152</v>
      </c>
      <c r="I422" s="2" t="str" cm="1">
        <f t="array" ref="I422">_xlfn.IFS(Table1[[#This Row],[Job_Type]] = "unskilled resident", "Resident",
Table1[[#This Row],[Job_Type]] = "unemp/unskilled non res", "Non-resident",
TRUE, "Unknown")</f>
        <v>Unknown</v>
      </c>
      <c r="J422" s="2" t="s">
        <v>150</v>
      </c>
      <c r="K422" s="3">
        <v>3</v>
      </c>
      <c r="L422" s="2" t="s">
        <v>142</v>
      </c>
      <c r="M422" s="13" t="s">
        <v>152</v>
      </c>
      <c r="N422" t="s">
        <v>17</v>
      </c>
      <c r="O422" s="2" t="str">
        <f>_xlfn.XLOOKUP(Table1[[#This Row],[Checking_Acct_Status]],Table3[Checking_Acct_Original],Table3[Category])</f>
        <v>No Account</v>
      </c>
      <c r="P422" s="10" t="s">
        <v>32</v>
      </c>
      <c r="Q422" s="13" t="str">
        <f>_xlfn.XLOOKUP(Table1[[#This Row],[Saving_Acct_Status]],Table5[Saving_Acct_Original],Table5[Category])</f>
        <v>Low Savings</v>
      </c>
      <c r="R422" t="s">
        <v>41</v>
      </c>
      <c r="S422" s="2" t="str">
        <f>IF(
      OR(Table1[[#This Row],[Job_Type]] = "high qualif/self emp/mgmt", Table1[[#This Row],[Job_Type]] = "skilled"),
      "Skilled", "Unskilled")</f>
        <v>Skilled</v>
      </c>
      <c r="T422" t="str">
        <f>IF(Table1[[#This Row],[Job_Type]] = "unemp/unskilled non res", "Unemployed", "Employed")</f>
        <v>Employed</v>
      </c>
      <c r="U422" t="s">
        <v>45</v>
      </c>
      <c r="V422" s="14" t="str" cm="1">
        <f t="array" ref="V42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22" t="s">
        <v>103</v>
      </c>
      <c r="X422" s="2" t="str">
        <f>_xlfn.XLOOKUP(Table1[[#This Row],[Loan_Credit_History]],Table4[Credit History],Table4[[ Category]])</f>
        <v>Critical Credit History</v>
      </c>
      <c r="Y422" s="3">
        <v>3</v>
      </c>
      <c r="Z422" s="3">
        <v>3</v>
      </c>
      <c r="AA422" s="5">
        <v>5103</v>
      </c>
      <c r="AB422" t="s">
        <v>151</v>
      </c>
      <c r="AC422" s="2" t="str" cm="1">
        <f t="array" ref="AC422">_xlfn.IFS(Table1[[#This Row],[Others_Parties]] = "No", "None",
Table1[[#This Row],[Others_Parties]] = "co applicant", "Co-applicant",
Table1[[#This Row],[Others_Parties]] = "guarantor", "Guarantor")</f>
        <v>None</v>
      </c>
      <c r="AD422" s="13" t="s">
        <v>145</v>
      </c>
      <c r="AE422" s="2" t="s">
        <v>111</v>
      </c>
      <c r="AF422" s="28" t="str" cm="1">
        <f t="array" ref="AF42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22" s="21">
        <v>24</v>
      </c>
      <c r="AH422" s="2" t="s">
        <v>154</v>
      </c>
      <c r="AI422"/>
      <c r="AZ422"/>
      <c r="BC422"/>
      <c r="BE422"/>
      <c r="BL422"/>
      <c r="BZ422"/>
      <c r="CA422"/>
      <c r="CF422"/>
      <c r="CG422"/>
      <c r="CH422"/>
      <c r="CI422"/>
      <c r="CK422"/>
      <c r="CN422"/>
    </row>
    <row r="423" spans="1:92" x14ac:dyDescent="0.3">
      <c r="A423" s="4">
        <v>421</v>
      </c>
      <c r="B423" s="11">
        <v>33</v>
      </c>
      <c r="C423" s="2" t="str">
        <f>_xlfn.XLOOKUP(Table1[[#This Row],[Age]],Table7[Start_Age],Table7[Age_Range],,-1)</f>
        <v>29-39</v>
      </c>
      <c r="D423" t="s">
        <v>130</v>
      </c>
      <c r="E423" s="2" t="s">
        <v>129</v>
      </c>
      <c r="F423" s="2" t="s">
        <v>133</v>
      </c>
      <c r="G423" s="3">
        <v>1</v>
      </c>
      <c r="H423" s="13" t="s">
        <v>152</v>
      </c>
      <c r="I423" s="2" t="str" cm="1">
        <f t="array" ref="I423">_xlfn.IFS(Table1[[#This Row],[Job_Type]] = "unskilled resident", "Resident",
Table1[[#This Row],[Job_Type]] = "unemp/unskilled non res", "Non-resident",
TRUE, "Unknown")</f>
        <v>Unknown</v>
      </c>
      <c r="J423" s="2" t="s">
        <v>148</v>
      </c>
      <c r="K423" s="3">
        <v>4</v>
      </c>
      <c r="L423" s="2" t="s">
        <v>140</v>
      </c>
      <c r="M423" s="13" t="s">
        <v>152</v>
      </c>
      <c r="N423" t="s">
        <v>17</v>
      </c>
      <c r="O423" s="2" t="str">
        <f>_xlfn.XLOOKUP(Table1[[#This Row],[Checking_Acct_Status]],Table3[Checking_Acct_Original],Table3[Category])</f>
        <v>No Account</v>
      </c>
      <c r="P423" s="10" t="s">
        <v>32</v>
      </c>
      <c r="Q423" s="13" t="str">
        <f>_xlfn.XLOOKUP(Table1[[#This Row],[Saving_Acct_Status]],Table5[Saving_Acct_Original],Table5[Category])</f>
        <v>Low Savings</v>
      </c>
      <c r="R423" t="s">
        <v>41</v>
      </c>
      <c r="S423" s="2" t="str">
        <f>IF(
      OR(Table1[[#This Row],[Job_Type]] = "high qualif/self emp/mgmt", Table1[[#This Row],[Job_Type]] = "skilled"),
      "Skilled", "Unskilled")</f>
        <v>Skilled</v>
      </c>
      <c r="T423" t="str">
        <f>IF(Table1[[#This Row],[Job_Type]] = "unemp/unskilled non res", "Unemployed", "Employed")</f>
        <v>Employed</v>
      </c>
      <c r="U423" t="s">
        <v>38</v>
      </c>
      <c r="V423" s="14" t="str" cm="1">
        <f t="array" ref="V42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23" t="s">
        <v>103</v>
      </c>
      <c r="X423" s="2" t="str">
        <f>_xlfn.XLOOKUP(Table1[[#This Row],[Loan_Credit_History]],Table4[Credit History],Table4[[ Category]])</f>
        <v>Critical Credit History</v>
      </c>
      <c r="Y423" s="3">
        <v>4</v>
      </c>
      <c r="Z423" s="3">
        <v>1</v>
      </c>
      <c r="AA423" s="5">
        <v>5150</v>
      </c>
      <c r="AB423" t="s">
        <v>151</v>
      </c>
      <c r="AC423" s="2" t="str" cm="1">
        <f t="array" ref="AC423">_xlfn.IFS(Table1[[#This Row],[Others_Parties]] = "No", "None",
Table1[[#This Row],[Others_Parties]] = "co applicant", "Co-applicant",
Table1[[#This Row],[Others_Parties]] = "guarantor", "Guarantor")</f>
        <v>None</v>
      </c>
      <c r="AD423" s="13" t="s">
        <v>145</v>
      </c>
      <c r="AE423" s="2" t="s">
        <v>108</v>
      </c>
      <c r="AF423" s="28" t="str" cm="1">
        <f t="array" ref="AF42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23" s="21">
        <v>24</v>
      </c>
      <c r="AH423" s="2" t="s">
        <v>154</v>
      </c>
      <c r="AI423"/>
      <c r="AZ423"/>
      <c r="BC423"/>
      <c r="BE423"/>
      <c r="BL423"/>
      <c r="BZ423"/>
      <c r="CA423"/>
      <c r="CF423"/>
      <c r="CG423"/>
      <c r="CH423"/>
      <c r="CI423"/>
      <c r="CK423"/>
      <c r="CN423"/>
    </row>
    <row r="424" spans="1:92" x14ac:dyDescent="0.3">
      <c r="A424" s="4">
        <v>422</v>
      </c>
      <c r="B424" s="11">
        <v>25</v>
      </c>
      <c r="C424" s="2" t="str">
        <f>_xlfn.XLOOKUP(Table1[[#This Row],[Age]],Table7[Start_Age],Table7[Age_Range],,-1)</f>
        <v>19-29</v>
      </c>
      <c r="D424" t="s">
        <v>130</v>
      </c>
      <c r="E424" s="2" t="s">
        <v>129</v>
      </c>
      <c r="F424" s="2" t="s">
        <v>133</v>
      </c>
      <c r="G424" s="3">
        <v>1</v>
      </c>
      <c r="H424" s="13" t="s">
        <v>152</v>
      </c>
      <c r="I424" s="2" t="str" cm="1">
        <f t="array" ref="I424">_xlfn.IFS(Table1[[#This Row],[Job_Type]] = "unskilled resident", "Resident",
Table1[[#This Row],[Job_Type]] = "unemp/unskilled non res", "Non-resident",
TRUE, "Unknown")</f>
        <v>Unknown</v>
      </c>
      <c r="J424" s="2" t="s">
        <v>148</v>
      </c>
      <c r="K424" s="3">
        <v>2</v>
      </c>
      <c r="L424" s="2" t="s">
        <v>140</v>
      </c>
      <c r="M424" s="13" t="s">
        <v>151</v>
      </c>
      <c r="N424" t="s">
        <v>50</v>
      </c>
      <c r="O424" s="2" t="str">
        <f>_xlfn.XLOOKUP(Table1[[#This Row],[Checking_Acct_Status]],Table3[Checking_Acct_Original],Table3[Category])</f>
        <v>High Balance</v>
      </c>
      <c r="P424" s="10" t="s">
        <v>32</v>
      </c>
      <c r="Q424" s="13" t="str">
        <f>_xlfn.XLOOKUP(Table1[[#This Row],[Saving_Acct_Status]],Table5[Saving_Acct_Original],Table5[Category])</f>
        <v>Low Savings</v>
      </c>
      <c r="R424" t="s">
        <v>41</v>
      </c>
      <c r="S424" s="2" t="str">
        <f>IF(
      OR(Table1[[#This Row],[Job_Type]] = "high qualif/self emp/mgmt", Table1[[#This Row],[Job_Type]] = "skilled"),
      "Skilled", "Unskilled")</f>
        <v>Skilled</v>
      </c>
      <c r="T424" t="str">
        <f>IF(Table1[[#This Row],[Job_Type]] = "unemp/unskilled non res", "Unemployed", "Employed")</f>
        <v>Employed</v>
      </c>
      <c r="U424" t="s">
        <v>49</v>
      </c>
      <c r="V424" s="14" t="str" cm="1">
        <f t="array" ref="V42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24" t="s">
        <v>31</v>
      </c>
      <c r="X424" s="2" t="str">
        <f>_xlfn.XLOOKUP(Table1[[#This Row],[Loan_Credit_History]],Table4[Credit History],Table4[[ Category]])</f>
        <v>Existing Credits Paid</v>
      </c>
      <c r="Y424" s="3">
        <v>4</v>
      </c>
      <c r="Z424" s="3">
        <v>1</v>
      </c>
      <c r="AA424" s="5">
        <v>5152</v>
      </c>
      <c r="AB424" t="s">
        <v>151</v>
      </c>
      <c r="AC424" s="2" t="str" cm="1">
        <f t="array" ref="AC424">_xlfn.IFS(Table1[[#This Row],[Others_Parties]] = "No", "None",
Table1[[#This Row],[Others_Parties]] = "co applicant", "Co-applicant",
Table1[[#This Row],[Others_Parties]] = "guarantor", "Guarantor")</f>
        <v>None</v>
      </c>
      <c r="AD424" s="13" t="s">
        <v>146</v>
      </c>
      <c r="AE424" s="2" t="s">
        <v>111</v>
      </c>
      <c r="AF424" s="28" t="str" cm="1">
        <f t="array" ref="AF42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24" s="21">
        <v>24</v>
      </c>
      <c r="AH424" s="2" t="s">
        <v>154</v>
      </c>
      <c r="AI424"/>
      <c r="AZ424"/>
      <c r="BC424"/>
      <c r="BE424"/>
      <c r="BL424"/>
      <c r="BZ424"/>
      <c r="CA424"/>
      <c r="CF424"/>
      <c r="CG424"/>
      <c r="CH424"/>
      <c r="CI424"/>
      <c r="CK424"/>
      <c r="CN424"/>
    </row>
    <row r="425" spans="1:92" x14ac:dyDescent="0.3">
      <c r="A425" s="4">
        <v>423</v>
      </c>
      <c r="B425" s="11">
        <v>26</v>
      </c>
      <c r="C425" s="2" t="str">
        <f>_xlfn.XLOOKUP(Table1[[#This Row],[Age]],Table7[Start_Age],Table7[Age_Range],,-1)</f>
        <v>19-29</v>
      </c>
      <c r="D425" t="s">
        <v>136</v>
      </c>
      <c r="E425" s="2" t="s">
        <v>131</v>
      </c>
      <c r="F425" s="2" t="s">
        <v>137</v>
      </c>
      <c r="G425" s="3">
        <v>1</v>
      </c>
      <c r="H425" s="13" t="s">
        <v>152</v>
      </c>
      <c r="I425" s="2" t="str" cm="1">
        <f t="array" ref="I425">_xlfn.IFS(Table1[[#This Row],[Job_Type]] = "unskilled resident", "Resident",
Table1[[#This Row],[Job_Type]] = "unemp/unskilled non res", "Non-resident",
TRUE, "Unknown")</f>
        <v>Unknown</v>
      </c>
      <c r="J425" s="2" t="s">
        <v>149</v>
      </c>
      <c r="K425" s="3">
        <v>4</v>
      </c>
      <c r="L425" s="2" t="s">
        <v>143</v>
      </c>
      <c r="M425" s="13" t="s">
        <v>152</v>
      </c>
      <c r="N425" t="s">
        <v>17</v>
      </c>
      <c r="O425" s="2" t="str">
        <f>_xlfn.XLOOKUP(Table1[[#This Row],[Checking_Acct_Status]],Table3[Checking_Acct_Original],Table3[Category])</f>
        <v>No Account</v>
      </c>
      <c r="P425" s="10" t="s">
        <v>47</v>
      </c>
      <c r="Q425" s="13" t="str">
        <f>_xlfn.XLOOKUP(Table1[[#This Row],[Saving_Acct_Status]],Table5[Saving_Acct_Original],Table5[Category])</f>
        <v>No Savings</v>
      </c>
      <c r="R425" t="s">
        <v>63</v>
      </c>
      <c r="S425" s="2" t="str">
        <f>IF(
      OR(Table1[[#This Row],[Job_Type]] = "high qualif/self emp/mgmt", Table1[[#This Row],[Job_Type]] = "skilled"),
      "Skilled", "Unskilled")</f>
        <v>Skilled</v>
      </c>
      <c r="T425" t="str">
        <f>IF(Table1[[#This Row],[Job_Type]] = "unemp/unskilled non res", "Unemployed", "Employed")</f>
        <v>Employed</v>
      </c>
      <c r="U425" t="s">
        <v>54</v>
      </c>
      <c r="V425" s="14" t="str" cm="1">
        <f t="array" ref="V425">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425" t="s">
        <v>31</v>
      </c>
      <c r="X425" s="2" t="str">
        <f>_xlfn.XLOOKUP(Table1[[#This Row],[Loan_Credit_History]],Table4[Credit History],Table4[[ Category]])</f>
        <v>Existing Credits Paid</v>
      </c>
      <c r="Y425" s="3">
        <v>2</v>
      </c>
      <c r="Z425" s="3">
        <v>1</v>
      </c>
      <c r="AA425" s="5">
        <v>5433</v>
      </c>
      <c r="AB425" t="s">
        <v>151</v>
      </c>
      <c r="AC425" s="2" t="str" cm="1">
        <f t="array" ref="AC425">_xlfn.IFS(Table1[[#This Row],[Others_Parties]] = "No", "None",
Table1[[#This Row],[Others_Parties]] = "co applicant", "Co-applicant",
Table1[[#This Row],[Others_Parties]] = "guarantor", "Guarantor")</f>
        <v>None</v>
      </c>
      <c r="AD425" s="13" t="s">
        <v>145</v>
      </c>
      <c r="AE425" s="2" t="s">
        <v>107</v>
      </c>
      <c r="AF425" s="28" t="str" cm="1">
        <f t="array" ref="AF42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25" s="21">
        <v>24</v>
      </c>
      <c r="AH425" s="2" t="s">
        <v>154</v>
      </c>
      <c r="AI425"/>
      <c r="AZ425"/>
      <c r="BC425"/>
      <c r="BE425"/>
      <c r="BL425"/>
      <c r="BZ425"/>
      <c r="CA425"/>
      <c r="CF425"/>
      <c r="CG425"/>
      <c r="CH425"/>
      <c r="CI425"/>
      <c r="CK425"/>
      <c r="CN425"/>
    </row>
    <row r="426" spans="1:92" x14ac:dyDescent="0.3">
      <c r="A426" s="4">
        <v>424</v>
      </c>
      <c r="B426" s="11">
        <v>44</v>
      </c>
      <c r="C426" s="2" t="str">
        <f>_xlfn.XLOOKUP(Table1[[#This Row],[Age]],Table7[Start_Age],Table7[Age_Range],,-1)</f>
        <v>39-49</v>
      </c>
      <c r="D426" t="s">
        <v>130</v>
      </c>
      <c r="E426" s="2" t="s">
        <v>129</v>
      </c>
      <c r="F426" s="2" t="s">
        <v>133</v>
      </c>
      <c r="G426" s="3">
        <v>1</v>
      </c>
      <c r="H426" s="13" t="s">
        <v>152</v>
      </c>
      <c r="I426" s="2" t="str" cm="1">
        <f t="array" ref="I426">_xlfn.IFS(Table1[[#This Row],[Job_Type]] = "unskilled resident", "Resident",
Table1[[#This Row],[Job_Type]] = "unemp/unskilled non res", "Non-resident",
TRUE, "Unknown")</f>
        <v>Unknown</v>
      </c>
      <c r="J426" s="2" t="s">
        <v>150</v>
      </c>
      <c r="K426" s="3">
        <v>4</v>
      </c>
      <c r="L426" s="2" t="s">
        <v>142</v>
      </c>
      <c r="M426" s="13" t="s">
        <v>151</v>
      </c>
      <c r="N426" t="s">
        <v>17</v>
      </c>
      <c r="O426" s="2" t="str">
        <f>_xlfn.XLOOKUP(Table1[[#This Row],[Checking_Acct_Status]],Table3[Checking_Acct_Original],Table3[Category])</f>
        <v>No Account</v>
      </c>
      <c r="P426" s="10" t="s">
        <v>32</v>
      </c>
      <c r="Q426" s="13" t="str">
        <f>_xlfn.XLOOKUP(Table1[[#This Row],[Saving_Acct_Status]],Table5[Saving_Acct_Original],Table5[Category])</f>
        <v>Low Savings</v>
      </c>
      <c r="R426" t="s">
        <v>41</v>
      </c>
      <c r="S426" s="2" t="str">
        <f>IF(
      OR(Table1[[#This Row],[Job_Type]] = "high qualif/self emp/mgmt", Table1[[#This Row],[Job_Type]] = "skilled"),
      "Skilled", "Unskilled")</f>
        <v>Skilled</v>
      </c>
      <c r="T426" t="str">
        <f>IF(Table1[[#This Row],[Job_Type]] = "unemp/unskilled non res", "Unemployed", "Employed")</f>
        <v>Employed</v>
      </c>
      <c r="U426" t="s">
        <v>38</v>
      </c>
      <c r="V426" s="14" t="str" cm="1">
        <f t="array" ref="V42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26" t="s">
        <v>103</v>
      </c>
      <c r="X426" s="2" t="str">
        <f>_xlfn.XLOOKUP(Table1[[#This Row],[Loan_Credit_History]],Table4[Credit History],Table4[[ Category]])</f>
        <v>Critical Credit History</v>
      </c>
      <c r="Y426" s="3">
        <v>3</v>
      </c>
      <c r="Z426" s="3">
        <v>2</v>
      </c>
      <c r="AA426" s="5">
        <v>5507</v>
      </c>
      <c r="AB426" t="s">
        <v>151</v>
      </c>
      <c r="AC426" s="2" t="str" cm="1">
        <f t="array" ref="AC426">_xlfn.IFS(Table1[[#This Row],[Others_Parties]] = "No", "None",
Table1[[#This Row],[Others_Parties]] = "co applicant", "Co-applicant",
Table1[[#This Row],[Others_Parties]] = "guarantor", "Guarantor")</f>
        <v>None</v>
      </c>
      <c r="AD426" s="13" t="s">
        <v>145</v>
      </c>
      <c r="AE426" s="2" t="s">
        <v>109</v>
      </c>
      <c r="AF426" s="28" t="str" cm="1">
        <f t="array" ref="AF42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26" s="21">
        <v>24</v>
      </c>
      <c r="AH426" s="2" t="s">
        <v>154</v>
      </c>
      <c r="AI426"/>
      <c r="AZ426"/>
      <c r="BC426"/>
      <c r="BE426"/>
      <c r="BL426"/>
      <c r="BZ426"/>
      <c r="CA426"/>
      <c r="CF426"/>
      <c r="CG426"/>
      <c r="CH426"/>
      <c r="CI426"/>
      <c r="CK426"/>
      <c r="CN426"/>
    </row>
    <row r="427" spans="1:92" x14ac:dyDescent="0.3">
      <c r="A427" s="4">
        <v>425</v>
      </c>
      <c r="B427" s="11">
        <v>25</v>
      </c>
      <c r="C427" s="2" t="str">
        <f>_xlfn.XLOOKUP(Table1[[#This Row],[Age]],Table7[Start_Age],Table7[Age_Range],,-1)</f>
        <v>19-29</v>
      </c>
      <c r="D427" t="s">
        <v>130</v>
      </c>
      <c r="E427" s="2" t="s">
        <v>129</v>
      </c>
      <c r="F427" s="2" t="s">
        <v>133</v>
      </c>
      <c r="G427" s="3">
        <v>1</v>
      </c>
      <c r="H427" s="13" t="s">
        <v>152</v>
      </c>
      <c r="I427" s="2" t="str" cm="1">
        <f t="array" ref="I427">_xlfn.IFS(Table1[[#This Row],[Job_Type]] = "unskilled resident", "Resident",
Table1[[#This Row],[Job_Type]] = "unemp/unskilled non res", "Non-resident",
TRUE, "Unknown")</f>
        <v>Unknown</v>
      </c>
      <c r="J427" s="2" t="s">
        <v>148</v>
      </c>
      <c r="K427" s="3">
        <v>1</v>
      </c>
      <c r="L427" s="2" t="s">
        <v>140</v>
      </c>
      <c r="M427" s="13" t="s">
        <v>151</v>
      </c>
      <c r="N427" t="s">
        <v>17</v>
      </c>
      <c r="O427" s="2" t="str">
        <f>_xlfn.XLOOKUP(Table1[[#This Row],[Checking_Acct_Status]],Table3[Checking_Acct_Original],Table3[Category])</f>
        <v>No Account</v>
      </c>
      <c r="P427" s="10" t="s">
        <v>46</v>
      </c>
      <c r="Q427" s="13" t="str">
        <f>_xlfn.XLOOKUP(Table1[[#This Row],[Saving_Acct_Status]],Table5[Saving_Acct_Original],Table5[Category])</f>
        <v>Medium Savings</v>
      </c>
      <c r="R427" t="s">
        <v>41</v>
      </c>
      <c r="S427" s="2" t="str">
        <f>IF(
      OR(Table1[[#This Row],[Job_Type]] = "high qualif/self emp/mgmt", Table1[[#This Row],[Job_Type]] = "skilled"),
      "Skilled", "Unskilled")</f>
        <v>Skilled</v>
      </c>
      <c r="T427" t="str">
        <f>IF(Table1[[#This Row],[Job_Type]] = "unemp/unskilled non res", "Unemployed", "Employed")</f>
        <v>Employed</v>
      </c>
      <c r="U427" t="s">
        <v>21</v>
      </c>
      <c r="V427" s="14" t="str" cm="1">
        <f t="array" ref="V42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27" t="s">
        <v>31</v>
      </c>
      <c r="X427" s="2" t="str">
        <f>_xlfn.XLOOKUP(Table1[[#This Row],[Loan_Credit_History]],Table4[Credit History],Table4[[ Category]])</f>
        <v>Existing Credits Paid</v>
      </c>
      <c r="Y427" s="3">
        <v>4</v>
      </c>
      <c r="Z427" s="3">
        <v>1</v>
      </c>
      <c r="AA427" s="5">
        <v>5511</v>
      </c>
      <c r="AB427" t="s">
        <v>151</v>
      </c>
      <c r="AC427" s="2" t="str" cm="1">
        <f t="array" ref="AC427">_xlfn.IFS(Table1[[#This Row],[Others_Parties]] = "No", "None",
Table1[[#This Row],[Others_Parties]] = "co applicant", "Co-applicant",
Table1[[#This Row],[Others_Parties]] = "guarantor", "Guarantor")</f>
        <v>None</v>
      </c>
      <c r="AD427" s="13" t="s">
        <v>147</v>
      </c>
      <c r="AE427" s="2" t="s">
        <v>108</v>
      </c>
      <c r="AF427" s="28" t="str" cm="1">
        <f t="array" ref="AF42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27" s="21">
        <v>24</v>
      </c>
      <c r="AH427" s="2" t="s">
        <v>154</v>
      </c>
      <c r="AI427"/>
      <c r="AZ427"/>
      <c r="BC427"/>
      <c r="BE427"/>
      <c r="BL427"/>
      <c r="BZ427"/>
      <c r="CA427"/>
      <c r="CF427"/>
      <c r="CG427"/>
      <c r="CH427"/>
      <c r="CI427"/>
      <c r="CK427"/>
      <c r="CN427"/>
    </row>
    <row r="428" spans="1:92" x14ac:dyDescent="0.3">
      <c r="A428" s="4">
        <v>426</v>
      </c>
      <c r="B428" s="11">
        <v>24</v>
      </c>
      <c r="C428" s="2" t="str">
        <f>_xlfn.XLOOKUP(Table1[[#This Row],[Age]],Table7[Start_Age],Table7[Age_Range],,-1)</f>
        <v>19-29</v>
      </c>
      <c r="D428" t="s">
        <v>136</v>
      </c>
      <c r="E428" s="2" t="s">
        <v>131</v>
      </c>
      <c r="F428" s="2" t="s">
        <v>137</v>
      </c>
      <c r="G428" s="3">
        <v>1</v>
      </c>
      <c r="H428" s="13" t="s">
        <v>152</v>
      </c>
      <c r="I428" s="2" t="str" cm="1">
        <f t="array" ref="I428">_xlfn.IFS(Table1[[#This Row],[Job_Type]] = "unskilled resident", "Resident",
Table1[[#This Row],[Job_Type]] = "unemp/unskilled non res", "Non-resident",
TRUE, "Unknown")</f>
        <v>Unknown</v>
      </c>
      <c r="J428" s="2" t="s">
        <v>150</v>
      </c>
      <c r="K428" s="3">
        <v>4</v>
      </c>
      <c r="L428" s="2" t="s">
        <v>142</v>
      </c>
      <c r="M428" s="13" t="s">
        <v>152</v>
      </c>
      <c r="N428" t="s">
        <v>30</v>
      </c>
      <c r="O428" s="2" t="str">
        <f>_xlfn.XLOOKUP(Table1[[#This Row],[Checking_Acct_Status]],Table3[Checking_Acct_Original],Table3[Category])</f>
        <v>Low Balance</v>
      </c>
      <c r="P428" s="10" t="s">
        <v>32</v>
      </c>
      <c r="Q428" s="13" t="str">
        <f>_xlfn.XLOOKUP(Table1[[#This Row],[Saving_Acct_Status]],Table5[Saving_Acct_Original],Table5[Category])</f>
        <v>Low Savings</v>
      </c>
      <c r="R428" t="s">
        <v>41</v>
      </c>
      <c r="S428" s="2" t="str">
        <f>IF(
      OR(Table1[[#This Row],[Job_Type]] = "high qualif/self emp/mgmt", Table1[[#This Row],[Job_Type]] = "skilled"),
      "Skilled", "Unskilled")</f>
        <v>Skilled</v>
      </c>
      <c r="T428" t="str">
        <f>IF(Table1[[#This Row],[Job_Type]] = "unemp/unskilled non res", "Unemployed", "Employed")</f>
        <v>Employed</v>
      </c>
      <c r="U428" t="s">
        <v>45</v>
      </c>
      <c r="V428" s="14" t="str" cm="1">
        <f t="array" ref="V42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28" t="s">
        <v>103</v>
      </c>
      <c r="X428" s="2" t="str">
        <f>_xlfn.XLOOKUP(Table1[[#This Row],[Loan_Credit_History]],Table4[Credit History],Table4[[ Category]])</f>
        <v>Critical Credit History</v>
      </c>
      <c r="Y428" s="3">
        <v>2</v>
      </c>
      <c r="Z428" s="3">
        <v>2</v>
      </c>
      <c r="AA428" s="5">
        <v>5743</v>
      </c>
      <c r="AB428" t="s">
        <v>151</v>
      </c>
      <c r="AC428" s="2" t="str" cm="1">
        <f t="array" ref="AC428">_xlfn.IFS(Table1[[#This Row],[Others_Parties]] = "No", "None",
Table1[[#This Row],[Others_Parties]] = "co applicant", "Co-applicant",
Table1[[#This Row],[Others_Parties]] = "guarantor", "Guarantor")</f>
        <v>None</v>
      </c>
      <c r="AD428" s="13" t="s">
        <v>145</v>
      </c>
      <c r="AE428" s="2" t="s">
        <v>100</v>
      </c>
      <c r="AF428" s="28" t="str" cm="1">
        <f t="array" ref="AF42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28" s="21">
        <v>24</v>
      </c>
      <c r="AH428" s="2" t="s">
        <v>154</v>
      </c>
      <c r="AI428"/>
      <c r="AZ428"/>
      <c r="BC428"/>
      <c r="BE428"/>
      <c r="BL428"/>
      <c r="BZ428"/>
      <c r="CA428"/>
      <c r="CF428"/>
      <c r="CG428"/>
      <c r="CH428"/>
      <c r="CI428"/>
      <c r="CK428"/>
      <c r="CN428"/>
    </row>
    <row r="429" spans="1:92" x14ac:dyDescent="0.3">
      <c r="A429" s="4">
        <v>427</v>
      </c>
      <c r="B429" s="11">
        <v>27</v>
      </c>
      <c r="C429" s="2" t="str">
        <f>_xlfn.XLOOKUP(Table1[[#This Row],[Age]],Table7[Start_Age],Table7[Age_Range],,-1)</f>
        <v>19-29</v>
      </c>
      <c r="D429" t="s">
        <v>130</v>
      </c>
      <c r="E429" s="2" t="s">
        <v>129</v>
      </c>
      <c r="F429" s="2" t="s">
        <v>133</v>
      </c>
      <c r="G429" s="3">
        <v>1</v>
      </c>
      <c r="H429" s="13" t="s">
        <v>152</v>
      </c>
      <c r="I429" s="2" t="str" cm="1">
        <f t="array" ref="I429">_xlfn.IFS(Table1[[#This Row],[Job_Type]] = "unskilled resident", "Resident",
Table1[[#This Row],[Job_Type]] = "unemp/unskilled non res", "Non-resident",
TRUE, "Unknown")</f>
        <v>Unknown</v>
      </c>
      <c r="J429" s="2" t="s">
        <v>148</v>
      </c>
      <c r="K429" s="3">
        <v>2</v>
      </c>
      <c r="L429" s="2" t="s">
        <v>144</v>
      </c>
      <c r="M429" s="13" t="s">
        <v>151</v>
      </c>
      <c r="N429" t="s">
        <v>17</v>
      </c>
      <c r="O429" s="2" t="str">
        <f>_xlfn.XLOOKUP(Table1[[#This Row],[Checking_Acct_Status]],Table3[Checking_Acct_Original],Table3[Category])</f>
        <v>No Account</v>
      </c>
      <c r="P429" s="10" t="s">
        <v>20</v>
      </c>
      <c r="Q429" s="13" t="str">
        <f>_xlfn.XLOOKUP(Table1[[#This Row],[Saving_Acct_Status]],Table5[Saving_Acct_Original],Table5[Category])</f>
        <v>Very High Savings</v>
      </c>
      <c r="R429" t="s">
        <v>41</v>
      </c>
      <c r="S429" s="2" t="str">
        <f>IF(
      OR(Table1[[#This Row],[Job_Type]] = "high qualif/self emp/mgmt", Table1[[#This Row],[Job_Type]] = "skilled"),
      "Skilled", "Unskilled")</f>
        <v>Skilled</v>
      </c>
      <c r="T429" t="str">
        <f>IF(Table1[[#This Row],[Job_Type]] = "unemp/unskilled non res", "Unemployed", "Employed")</f>
        <v>Employed</v>
      </c>
      <c r="U429" t="s">
        <v>21</v>
      </c>
      <c r="V429" s="14" t="str" cm="1">
        <f t="array" ref="V42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29" t="s">
        <v>103</v>
      </c>
      <c r="X429" s="2" t="str">
        <f>_xlfn.XLOOKUP(Table1[[#This Row],[Loan_Credit_History]],Table4[Credit History],Table4[[ Category]])</f>
        <v>Critical Credit History</v>
      </c>
      <c r="Y429" s="3">
        <v>4</v>
      </c>
      <c r="Z429" s="3">
        <v>2</v>
      </c>
      <c r="AA429" s="5">
        <v>5804</v>
      </c>
      <c r="AB429" t="s">
        <v>151</v>
      </c>
      <c r="AC429" s="2" t="str" cm="1">
        <f t="array" ref="AC429">_xlfn.IFS(Table1[[#This Row],[Others_Parties]] = "No", "None",
Table1[[#This Row],[Others_Parties]] = "co applicant", "Co-applicant",
Table1[[#This Row],[Others_Parties]] = "guarantor", "Guarantor")</f>
        <v>None</v>
      </c>
      <c r="AD429" s="13" t="s">
        <v>145</v>
      </c>
      <c r="AE429" s="2" t="s">
        <v>107</v>
      </c>
      <c r="AF429" s="28" t="str" cm="1">
        <f t="array" ref="AF42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29" s="21">
        <v>24</v>
      </c>
      <c r="AH429" s="2" t="s">
        <v>154</v>
      </c>
      <c r="AI429"/>
      <c r="AZ429"/>
      <c r="BC429"/>
      <c r="BE429"/>
      <c r="BL429"/>
      <c r="BZ429"/>
      <c r="CA429"/>
      <c r="CF429"/>
      <c r="CG429"/>
      <c r="CH429"/>
      <c r="CI429"/>
      <c r="CK429"/>
      <c r="CN429"/>
    </row>
    <row r="430" spans="1:92" x14ac:dyDescent="0.3">
      <c r="A430" s="4">
        <v>428</v>
      </c>
      <c r="B430" s="11">
        <v>44</v>
      </c>
      <c r="C430" s="2" t="str">
        <f>_xlfn.XLOOKUP(Table1[[#This Row],[Age]],Table7[Start_Age],Table7[Age_Range],,-1)</f>
        <v>39-49</v>
      </c>
      <c r="D430" t="s">
        <v>136</v>
      </c>
      <c r="E430" s="2" t="s">
        <v>131</v>
      </c>
      <c r="F430" s="2" t="s">
        <v>137</v>
      </c>
      <c r="G430" s="3">
        <v>1</v>
      </c>
      <c r="H430" s="13" t="s">
        <v>152</v>
      </c>
      <c r="I430" s="2" t="str" cm="1">
        <f t="array" ref="I430">_xlfn.IFS(Table1[[#This Row],[Job_Type]] = "unskilled resident", "Resident",
Table1[[#This Row],[Job_Type]] = "unemp/unskilled non res", "Non-resident",
TRUE, "Unknown")</f>
        <v>Unknown</v>
      </c>
      <c r="J430" s="2" t="s">
        <v>148</v>
      </c>
      <c r="K430" s="3">
        <v>1</v>
      </c>
      <c r="L430" s="2" t="s">
        <v>140</v>
      </c>
      <c r="M430" s="13" t="s">
        <v>152</v>
      </c>
      <c r="N430" t="s">
        <v>17</v>
      </c>
      <c r="O430" s="2" t="str">
        <f>_xlfn.XLOOKUP(Table1[[#This Row],[Checking_Acct_Status]],Table3[Checking_Acct_Original],Table3[Category])</f>
        <v>No Account</v>
      </c>
      <c r="P430" s="10" t="s">
        <v>47</v>
      </c>
      <c r="Q430" s="13" t="str">
        <f>_xlfn.XLOOKUP(Table1[[#This Row],[Saving_Acct_Status]],Table5[Saving_Acct_Original],Table5[Category])</f>
        <v>No Savings</v>
      </c>
      <c r="R430" t="s">
        <v>41</v>
      </c>
      <c r="S430" s="2" t="str">
        <f>IF(
      OR(Table1[[#This Row],[Job_Type]] = "high qualif/self emp/mgmt", Table1[[#This Row],[Job_Type]] = "skilled"),
      "Skilled", "Unskilled")</f>
        <v>Skilled</v>
      </c>
      <c r="T430" t="str">
        <f>IF(Table1[[#This Row],[Job_Type]] = "unemp/unskilled non res", "Unemployed", "Employed")</f>
        <v>Employed</v>
      </c>
      <c r="U430" t="s">
        <v>45</v>
      </c>
      <c r="V430" s="14" t="str" cm="1">
        <f t="array" ref="V43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30" t="s">
        <v>31</v>
      </c>
      <c r="X430" s="2" t="str">
        <f>_xlfn.XLOOKUP(Table1[[#This Row],[Loan_Credit_History]],Table4[Credit History],Table4[[ Category]])</f>
        <v>Existing Credits Paid</v>
      </c>
      <c r="Y430" s="3">
        <v>1</v>
      </c>
      <c r="Z430" s="3">
        <v>2</v>
      </c>
      <c r="AA430" s="5">
        <v>5943</v>
      </c>
      <c r="AB430" t="s">
        <v>151</v>
      </c>
      <c r="AC430" s="2" t="str" cm="1">
        <f t="array" ref="AC430">_xlfn.IFS(Table1[[#This Row],[Others_Parties]] = "No", "None",
Table1[[#This Row],[Others_Parties]] = "co applicant", "Co-applicant",
Table1[[#This Row],[Others_Parties]] = "guarantor", "Guarantor")</f>
        <v>None</v>
      </c>
      <c r="AD430" s="13" t="s">
        <v>145</v>
      </c>
      <c r="AE430" s="2" t="s">
        <v>111</v>
      </c>
      <c r="AF430" s="28" t="str" cm="1">
        <f t="array" ref="AF43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30" s="21">
        <v>24</v>
      </c>
      <c r="AH430" s="2" t="s">
        <v>153</v>
      </c>
      <c r="AI430"/>
      <c r="AZ430"/>
      <c r="BC430"/>
      <c r="BE430"/>
      <c r="BL430"/>
      <c r="BZ430"/>
      <c r="CA430"/>
      <c r="CF430"/>
      <c r="CG430"/>
      <c r="CH430"/>
      <c r="CI430"/>
      <c r="CK430"/>
      <c r="CN430"/>
    </row>
    <row r="431" spans="1:92" x14ac:dyDescent="0.3">
      <c r="A431" s="4">
        <v>429</v>
      </c>
      <c r="B431" s="11">
        <v>41</v>
      </c>
      <c r="C431" s="2" t="str">
        <f>_xlfn.XLOOKUP(Table1[[#This Row],[Age]],Table7[Start_Age],Table7[Age_Range],,-1)</f>
        <v>39-49</v>
      </c>
      <c r="D431" t="s">
        <v>130</v>
      </c>
      <c r="E431" s="2" t="s">
        <v>129</v>
      </c>
      <c r="F431" s="2" t="s">
        <v>133</v>
      </c>
      <c r="G431" s="3">
        <v>2</v>
      </c>
      <c r="H431" s="13" t="s">
        <v>152</v>
      </c>
      <c r="I431" s="2" t="str" cm="1">
        <f t="array" ref="I431">_xlfn.IFS(Table1[[#This Row],[Job_Type]] = "unskilled resident", "Resident",
Table1[[#This Row],[Job_Type]] = "unemp/unskilled non res", "Non-resident",
TRUE, "Unknown")</f>
        <v>Unknown</v>
      </c>
      <c r="J431" s="2" t="s">
        <v>148</v>
      </c>
      <c r="K431" s="3">
        <v>4</v>
      </c>
      <c r="L431" s="2" t="s">
        <v>140</v>
      </c>
      <c r="M431" s="13" t="s">
        <v>152</v>
      </c>
      <c r="N431" t="s">
        <v>17</v>
      </c>
      <c r="O431" s="2" t="str">
        <f>_xlfn.XLOOKUP(Table1[[#This Row],[Checking_Acct_Status]],Table3[Checking_Acct_Original],Table3[Category])</f>
        <v>No Account</v>
      </c>
      <c r="P431" s="10" t="s">
        <v>47</v>
      </c>
      <c r="Q431" s="13" t="str">
        <f>_xlfn.XLOOKUP(Table1[[#This Row],[Saving_Acct_Status]],Table5[Saving_Acct_Original],Table5[Category])</f>
        <v>No Savings</v>
      </c>
      <c r="R431" t="s">
        <v>63</v>
      </c>
      <c r="S431" s="2" t="str">
        <f>IF(
      OR(Table1[[#This Row],[Job_Type]] = "high qualif/self emp/mgmt", Table1[[#This Row],[Job_Type]] = "skilled"),
      "Skilled", "Unskilled")</f>
        <v>Skilled</v>
      </c>
      <c r="T431" t="str">
        <f>IF(Table1[[#This Row],[Job_Type]] = "unemp/unskilled non res", "Unemployed", "Employed")</f>
        <v>Employed</v>
      </c>
      <c r="U431" t="s">
        <v>38</v>
      </c>
      <c r="V431" s="14" t="str" cm="1">
        <f t="array" ref="V43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31" t="s">
        <v>31</v>
      </c>
      <c r="X431" s="2" t="str">
        <f>_xlfn.XLOOKUP(Table1[[#This Row],[Loan_Credit_History]],Table4[Credit History],Table4[[ Category]])</f>
        <v>Existing Credits Paid</v>
      </c>
      <c r="Y431" s="3">
        <v>3</v>
      </c>
      <c r="Z431" s="3">
        <v>1</v>
      </c>
      <c r="AA431" s="5">
        <v>6313</v>
      </c>
      <c r="AB431" t="s">
        <v>151</v>
      </c>
      <c r="AC431" s="2" t="str" cm="1">
        <f t="array" ref="AC431">_xlfn.IFS(Table1[[#This Row],[Others_Parties]] = "No", "None",
Table1[[#This Row],[Others_Parties]] = "co applicant", "Co-applicant",
Table1[[#This Row],[Others_Parties]] = "guarantor", "Guarantor")</f>
        <v>None</v>
      </c>
      <c r="AD431" s="13" t="s">
        <v>145</v>
      </c>
      <c r="AE431" s="2" t="s">
        <v>107</v>
      </c>
      <c r="AF431" s="28" t="str" cm="1">
        <f t="array" ref="AF43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31" s="21">
        <v>24</v>
      </c>
      <c r="AH431" s="2" t="s">
        <v>154</v>
      </c>
      <c r="AI431"/>
      <c r="AZ431"/>
      <c r="BC431"/>
      <c r="BE431"/>
      <c r="BL431"/>
      <c r="BZ431"/>
      <c r="CA431"/>
      <c r="CF431"/>
      <c r="CG431"/>
      <c r="CH431"/>
      <c r="CI431"/>
      <c r="CK431"/>
      <c r="CN431"/>
    </row>
    <row r="432" spans="1:92" x14ac:dyDescent="0.3">
      <c r="A432" s="4">
        <v>430</v>
      </c>
      <c r="B432" s="11">
        <v>27</v>
      </c>
      <c r="C432" s="2" t="str">
        <f>_xlfn.XLOOKUP(Table1[[#This Row],[Age]],Table7[Start_Age],Table7[Age_Range],,-1)</f>
        <v>19-29</v>
      </c>
      <c r="D432" t="s">
        <v>130</v>
      </c>
      <c r="E432" s="2" t="s">
        <v>129</v>
      </c>
      <c r="F432" s="2" t="s">
        <v>133</v>
      </c>
      <c r="G432" s="3">
        <v>1</v>
      </c>
      <c r="H432" s="13" t="s">
        <v>152</v>
      </c>
      <c r="I432" s="2" t="str" cm="1">
        <f t="array" ref="I432">_xlfn.IFS(Table1[[#This Row],[Job_Type]] = "unskilled resident", "Resident",
Table1[[#This Row],[Job_Type]] = "unemp/unskilled non res", "Non-resident",
TRUE, "Unknown")</f>
        <v>Unknown</v>
      </c>
      <c r="J432" s="2" t="s">
        <v>148</v>
      </c>
      <c r="K432" s="3">
        <v>2</v>
      </c>
      <c r="L432" s="2" t="s">
        <v>142</v>
      </c>
      <c r="M432" s="13" t="s">
        <v>152</v>
      </c>
      <c r="N432" t="s">
        <v>17</v>
      </c>
      <c r="O432" s="2" t="str">
        <f>_xlfn.XLOOKUP(Table1[[#This Row],[Checking_Acct_Status]],Table3[Checking_Acct_Original],Table3[Category])</f>
        <v>No Account</v>
      </c>
      <c r="P432" s="10" t="s">
        <v>32</v>
      </c>
      <c r="Q432" s="13" t="str">
        <f>_xlfn.XLOOKUP(Table1[[#This Row],[Saving_Acct_Status]],Table5[Saving_Acct_Original],Table5[Category])</f>
        <v>Low Savings</v>
      </c>
      <c r="R432" t="s">
        <v>63</v>
      </c>
      <c r="S432" s="2" t="str">
        <f>IF(
      OR(Table1[[#This Row],[Job_Type]] = "high qualif/self emp/mgmt", Table1[[#This Row],[Job_Type]] = "skilled"),
      "Skilled", "Unskilled")</f>
        <v>Skilled</v>
      </c>
      <c r="T432" t="str">
        <f>IF(Table1[[#This Row],[Job_Type]] = "unemp/unskilled non res", "Unemployed", "Employed")</f>
        <v>Employed</v>
      </c>
      <c r="U432" t="s">
        <v>54</v>
      </c>
      <c r="V432" s="14" t="str" cm="1">
        <f t="array" ref="V432">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432" t="s">
        <v>103</v>
      </c>
      <c r="X432" s="2" t="str">
        <f>_xlfn.XLOOKUP(Table1[[#This Row],[Loan_Credit_History]],Table4[Credit History],Table4[[ Category]])</f>
        <v>Critical Credit History</v>
      </c>
      <c r="Y432" s="3">
        <v>4</v>
      </c>
      <c r="Z432" s="3">
        <v>2</v>
      </c>
      <c r="AA432" s="5">
        <v>6314</v>
      </c>
      <c r="AB432" t="s">
        <v>55</v>
      </c>
      <c r="AC432" s="2" t="str" cm="1">
        <f t="array" ref="AC432">_xlfn.IFS(Table1[[#This Row],[Others_Parties]] = "No", "None",
Table1[[#This Row],[Others_Parties]] = "co applicant", "Co-applicant",
Table1[[#This Row],[Others_Parties]] = "guarantor", "Guarantor")</f>
        <v>Co-applicant</v>
      </c>
      <c r="AD432" s="13" t="s">
        <v>146</v>
      </c>
      <c r="AE432" s="2" t="s">
        <v>104</v>
      </c>
      <c r="AF432" s="28" t="str" cm="1">
        <f t="array" ref="AF43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32" s="21">
        <v>24</v>
      </c>
      <c r="AH432" s="2" t="s">
        <v>154</v>
      </c>
      <c r="AI432"/>
      <c r="AZ432"/>
      <c r="BC432"/>
      <c r="BE432"/>
      <c r="BL432"/>
      <c r="BZ432"/>
      <c r="CA432"/>
      <c r="CF432"/>
      <c r="CG432"/>
      <c r="CH432"/>
      <c r="CI432"/>
      <c r="CK432"/>
      <c r="CN432"/>
    </row>
    <row r="433" spans="1:92" x14ac:dyDescent="0.3">
      <c r="A433" s="4">
        <v>431</v>
      </c>
      <c r="B433" s="11">
        <v>33</v>
      </c>
      <c r="C433" s="2" t="str">
        <f>_xlfn.XLOOKUP(Table1[[#This Row],[Age]],Table7[Start_Age],Table7[Age_Range],,-1)</f>
        <v>29-39</v>
      </c>
      <c r="D433" t="s">
        <v>130</v>
      </c>
      <c r="E433" s="2" t="s">
        <v>129</v>
      </c>
      <c r="F433" s="2" t="s">
        <v>133</v>
      </c>
      <c r="G433" s="3">
        <v>1</v>
      </c>
      <c r="H433" s="13" t="s">
        <v>152</v>
      </c>
      <c r="I433" s="2" t="str" cm="1">
        <f t="array" ref="I433">_xlfn.IFS(Table1[[#This Row],[Job_Type]] = "unskilled resident", "Resident",
Table1[[#This Row],[Job_Type]] = "unemp/unskilled non res", "Non-resident",
TRUE, "Unknown")</f>
        <v>Unknown</v>
      </c>
      <c r="J433" s="2" t="s">
        <v>148</v>
      </c>
      <c r="K433" s="3">
        <v>2</v>
      </c>
      <c r="L433" s="2" t="s">
        <v>140</v>
      </c>
      <c r="M433" s="13" t="s">
        <v>151</v>
      </c>
      <c r="N433" t="s">
        <v>30</v>
      </c>
      <c r="O433" s="2" t="str">
        <f>_xlfn.XLOOKUP(Table1[[#This Row],[Checking_Acct_Status]],Table3[Checking_Acct_Original],Table3[Category])</f>
        <v>Low Balance</v>
      </c>
      <c r="P433" s="10" t="s">
        <v>32</v>
      </c>
      <c r="Q433" s="13" t="str">
        <f>_xlfn.XLOOKUP(Table1[[#This Row],[Saving_Acct_Status]],Table5[Saving_Acct_Original],Table5[Category])</f>
        <v>Low Savings</v>
      </c>
      <c r="R433" t="s">
        <v>41</v>
      </c>
      <c r="S433" s="2" t="str">
        <f>IF(
      OR(Table1[[#This Row],[Job_Type]] = "high qualif/self emp/mgmt", Table1[[#This Row],[Job_Type]] = "skilled"),
      "Skilled", "Unskilled")</f>
        <v>Skilled</v>
      </c>
      <c r="T433" t="str">
        <f>IF(Table1[[#This Row],[Job_Type]] = "unemp/unskilled non res", "Unemployed", "Employed")</f>
        <v>Employed</v>
      </c>
      <c r="U433" t="s">
        <v>45</v>
      </c>
      <c r="V433" s="14" t="str" cm="1">
        <f t="array" ref="V43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33" t="s">
        <v>59</v>
      </c>
      <c r="X433" s="2" t="str">
        <f>_xlfn.XLOOKUP(Table1[[#This Row],[Loan_Credit_History]],Table4[Credit History],Table4[[ Category]])</f>
        <v>Previously Delayed</v>
      </c>
      <c r="Y433" s="3">
        <v>1</v>
      </c>
      <c r="Z433" s="3">
        <v>1</v>
      </c>
      <c r="AA433" s="5">
        <v>6403</v>
      </c>
      <c r="AB433" t="s">
        <v>151</v>
      </c>
      <c r="AC433" s="2" t="str" cm="1">
        <f t="array" ref="AC433">_xlfn.IFS(Table1[[#This Row],[Others_Parties]] = "No", "None",
Table1[[#This Row],[Others_Parties]] = "co applicant", "Co-applicant",
Table1[[#This Row],[Others_Parties]] = "guarantor", "Guarantor")</f>
        <v>None</v>
      </c>
      <c r="AD433" s="13" t="s">
        <v>145</v>
      </c>
      <c r="AE433" s="2" t="s">
        <v>111</v>
      </c>
      <c r="AF433" s="28" t="str" cm="1">
        <f t="array" ref="AF43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33" s="21">
        <v>24</v>
      </c>
      <c r="AH433" s="2" t="s">
        <v>154</v>
      </c>
      <c r="AI433"/>
      <c r="AZ433"/>
      <c r="BC433"/>
      <c r="BE433"/>
      <c r="BL433"/>
      <c r="BZ433"/>
      <c r="CA433"/>
      <c r="CF433"/>
      <c r="CG433"/>
      <c r="CH433"/>
      <c r="CI433"/>
      <c r="CK433"/>
      <c r="CN433"/>
    </row>
    <row r="434" spans="1:92" x14ac:dyDescent="0.3">
      <c r="A434" s="4">
        <v>432</v>
      </c>
      <c r="B434" s="11">
        <v>44</v>
      </c>
      <c r="C434" s="2" t="str">
        <f>_xlfn.XLOOKUP(Table1[[#This Row],[Age]],Table7[Start_Age],Table7[Age_Range],,-1)</f>
        <v>39-49</v>
      </c>
      <c r="D434" t="s">
        <v>136</v>
      </c>
      <c r="E434" s="2" t="s">
        <v>131</v>
      </c>
      <c r="F434" s="2" t="s">
        <v>137</v>
      </c>
      <c r="G434" s="3">
        <v>2</v>
      </c>
      <c r="H434" s="13" t="s">
        <v>152</v>
      </c>
      <c r="I434" s="2" t="str" cm="1">
        <f t="array" ref="I434">_xlfn.IFS(Table1[[#This Row],[Job_Type]] = "unskilled resident", "Resident",
Table1[[#This Row],[Job_Type]] = "unemp/unskilled non res", "Non-resident",
TRUE, "Unknown")</f>
        <v>Unknown</v>
      </c>
      <c r="J434" s="2" t="s">
        <v>150</v>
      </c>
      <c r="K434" s="3">
        <v>4</v>
      </c>
      <c r="L434" s="2" t="s">
        <v>142</v>
      </c>
      <c r="M434" s="13" t="s">
        <v>152</v>
      </c>
      <c r="N434" t="s">
        <v>35</v>
      </c>
      <c r="O434" s="2" t="str">
        <f>_xlfn.XLOOKUP(Table1[[#This Row],[Checking_Acct_Status]],Table3[Checking_Acct_Original],Table3[Category])</f>
        <v>Negative Balance</v>
      </c>
      <c r="P434" s="10" t="s">
        <v>32</v>
      </c>
      <c r="Q434" s="13" t="str">
        <f>_xlfn.XLOOKUP(Table1[[#This Row],[Saving_Acct_Status]],Table5[Saving_Acct_Original],Table5[Category])</f>
        <v>Low Savings</v>
      </c>
      <c r="R434" t="s">
        <v>63</v>
      </c>
      <c r="S434" s="2" t="str">
        <f>IF(
      OR(Table1[[#This Row],[Job_Type]] = "high qualif/self emp/mgmt", Table1[[#This Row],[Job_Type]] = "skilled"),
      "Skilled", "Unskilled")</f>
        <v>Skilled</v>
      </c>
      <c r="T434" t="str">
        <f>IF(Table1[[#This Row],[Job_Type]] = "unemp/unskilled non res", "Unemployed", "Employed")</f>
        <v>Employed</v>
      </c>
      <c r="U434" t="s">
        <v>38</v>
      </c>
      <c r="V434" s="14" t="str" cm="1">
        <f t="array" ref="V43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34" t="s">
        <v>103</v>
      </c>
      <c r="X434" s="2" t="str">
        <f>_xlfn.XLOOKUP(Table1[[#This Row],[Loan_Credit_History]],Table4[Credit History],Table4[[ Category]])</f>
        <v>Critical Credit History</v>
      </c>
      <c r="Y434" s="3">
        <v>2</v>
      </c>
      <c r="Z434" s="3">
        <v>2</v>
      </c>
      <c r="AA434" s="5">
        <v>6419</v>
      </c>
      <c r="AB434" t="s">
        <v>151</v>
      </c>
      <c r="AC434" s="2" t="str" cm="1">
        <f t="array" ref="AC434">_xlfn.IFS(Table1[[#This Row],[Others_Parties]] = "No", "None",
Table1[[#This Row],[Others_Parties]] = "co applicant", "Co-applicant",
Table1[[#This Row],[Others_Parties]] = "guarantor", "Guarantor")</f>
        <v>None</v>
      </c>
      <c r="AD434" s="13" t="s">
        <v>145</v>
      </c>
      <c r="AE434" s="2" t="s">
        <v>107</v>
      </c>
      <c r="AF434" s="28" t="str" cm="1">
        <f t="array" ref="AF43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34" s="21">
        <v>24</v>
      </c>
      <c r="AH434" s="2" t="s">
        <v>154</v>
      </c>
      <c r="AI434"/>
      <c r="AZ434"/>
      <c r="BC434"/>
      <c r="BE434"/>
      <c r="BL434"/>
      <c r="BZ434"/>
      <c r="CA434"/>
      <c r="CF434"/>
      <c r="CG434"/>
      <c r="CH434"/>
      <c r="CI434"/>
      <c r="CK434"/>
      <c r="CN434"/>
    </row>
    <row r="435" spans="1:92" x14ac:dyDescent="0.3">
      <c r="A435" s="4">
        <v>433</v>
      </c>
      <c r="B435" s="11">
        <v>21</v>
      </c>
      <c r="C435" s="2" t="str">
        <f>_xlfn.XLOOKUP(Table1[[#This Row],[Age]],Table7[Start_Age],Table7[Age_Range],,-1)</f>
        <v>19-29</v>
      </c>
      <c r="D435" t="s">
        <v>134</v>
      </c>
      <c r="E435" s="2" t="s">
        <v>129</v>
      </c>
      <c r="F435" s="2" t="s">
        <v>135</v>
      </c>
      <c r="G435" s="3">
        <v>1</v>
      </c>
      <c r="H435" s="13" t="s">
        <v>152</v>
      </c>
      <c r="I435" s="2" t="str" cm="1">
        <f t="array" ref="I435">_xlfn.IFS(Table1[[#This Row],[Job_Type]] = "unskilled resident", "Resident",
Table1[[#This Row],[Job_Type]] = "unemp/unskilled non res", "Non-resident",
TRUE, "Unknown")</f>
        <v>Resident</v>
      </c>
      <c r="J435" s="2" t="s">
        <v>148</v>
      </c>
      <c r="K435" s="3">
        <v>2</v>
      </c>
      <c r="L435" s="2" t="s">
        <v>140</v>
      </c>
      <c r="M435" s="13" t="s">
        <v>151</v>
      </c>
      <c r="N435" t="s">
        <v>35</v>
      </c>
      <c r="O435" s="2" t="str">
        <f>_xlfn.XLOOKUP(Table1[[#This Row],[Checking_Acct_Status]],Table3[Checking_Acct_Original],Table3[Category])</f>
        <v>Negative Balance</v>
      </c>
      <c r="P435" s="10" t="s">
        <v>32</v>
      </c>
      <c r="Q435" s="13" t="str">
        <f>_xlfn.XLOOKUP(Table1[[#This Row],[Saving_Acct_Status]],Table5[Saving_Acct_Original],Table5[Category])</f>
        <v>Low Savings</v>
      </c>
      <c r="R435" t="s">
        <v>27</v>
      </c>
      <c r="S435" s="2" t="str">
        <f>IF(
      OR(Table1[[#This Row],[Job_Type]] = "high qualif/self emp/mgmt", Table1[[#This Row],[Job_Type]] = "skilled"),
      "Skilled", "Unskilled")</f>
        <v>Unskilled</v>
      </c>
      <c r="T435" t="str">
        <f>IF(Table1[[#This Row],[Job_Type]] = "unemp/unskilled non res", "Unemployed", "Employed")</f>
        <v>Employed</v>
      </c>
      <c r="U435" t="s">
        <v>21</v>
      </c>
      <c r="V435" s="14" t="str" cm="1">
        <f t="array" ref="V43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35" t="s">
        <v>31</v>
      </c>
      <c r="X435" s="2" t="str">
        <f>_xlfn.XLOOKUP(Table1[[#This Row],[Loan_Credit_History]],Table4[Credit History],Table4[[ Category]])</f>
        <v>Existing Credits Paid</v>
      </c>
      <c r="Y435" s="3">
        <v>2</v>
      </c>
      <c r="Z435" s="3">
        <v>1</v>
      </c>
      <c r="AA435" s="5">
        <v>6568</v>
      </c>
      <c r="AB435" t="s">
        <v>151</v>
      </c>
      <c r="AC435" s="2" t="str" cm="1">
        <f t="array" ref="AC435">_xlfn.IFS(Table1[[#This Row],[Others_Parties]] = "No", "None",
Table1[[#This Row],[Others_Parties]] = "co applicant", "Co-applicant",
Table1[[#This Row],[Others_Parties]] = "guarantor", "Guarantor")</f>
        <v>None</v>
      </c>
      <c r="AD435" s="13" t="s">
        <v>147</v>
      </c>
      <c r="AE435" s="2" t="s">
        <v>105</v>
      </c>
      <c r="AF435" s="28" t="str" cm="1">
        <f t="array" ref="AF43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35" s="21">
        <v>24</v>
      </c>
      <c r="AH435" s="2" t="s">
        <v>154</v>
      </c>
      <c r="AI435"/>
      <c r="AZ435"/>
      <c r="BC435"/>
      <c r="BE435"/>
      <c r="BL435"/>
      <c r="BZ435"/>
      <c r="CA435"/>
      <c r="CF435"/>
      <c r="CG435"/>
      <c r="CH435"/>
      <c r="CI435"/>
      <c r="CK435"/>
      <c r="CN435"/>
    </row>
    <row r="436" spans="1:92" x14ac:dyDescent="0.3">
      <c r="A436" s="4">
        <v>434</v>
      </c>
      <c r="B436" s="11">
        <v>29</v>
      </c>
      <c r="C436" s="2" t="str">
        <f>_xlfn.XLOOKUP(Table1[[#This Row],[Age]],Table7[Start_Age],Table7[Age_Range],,-1)</f>
        <v>29-39</v>
      </c>
      <c r="D436" t="s">
        <v>130</v>
      </c>
      <c r="E436" s="2" t="s">
        <v>129</v>
      </c>
      <c r="F436" s="2" t="s">
        <v>133</v>
      </c>
      <c r="G436" s="3">
        <v>1</v>
      </c>
      <c r="H436" s="13" t="s">
        <v>152</v>
      </c>
      <c r="I436" s="2" t="str" cm="1">
        <f t="array" ref="I436">_xlfn.IFS(Table1[[#This Row],[Job_Type]] = "unskilled resident", "Resident",
Table1[[#This Row],[Job_Type]] = "unemp/unskilled non res", "Non-resident",
TRUE, "Unknown")</f>
        <v>Unknown</v>
      </c>
      <c r="J436" s="2" t="s">
        <v>150</v>
      </c>
      <c r="K436" s="3">
        <v>2</v>
      </c>
      <c r="L436" s="2" t="s">
        <v>142</v>
      </c>
      <c r="M436" s="13" t="s">
        <v>152</v>
      </c>
      <c r="N436" t="s">
        <v>35</v>
      </c>
      <c r="O436" s="2" t="str">
        <f>_xlfn.XLOOKUP(Table1[[#This Row],[Checking_Acct_Status]],Table3[Checking_Acct_Original],Table3[Category])</f>
        <v>Negative Balance</v>
      </c>
      <c r="P436" s="10" t="s">
        <v>32</v>
      </c>
      <c r="Q436" s="13" t="str">
        <f>_xlfn.XLOOKUP(Table1[[#This Row],[Saving_Acct_Status]],Table5[Saving_Acct_Original],Table5[Category])</f>
        <v>Low Savings</v>
      </c>
      <c r="R436" t="s">
        <v>63</v>
      </c>
      <c r="S436" s="2" t="str">
        <f>IF(
      OR(Table1[[#This Row],[Job_Type]] = "high qualif/self emp/mgmt", Table1[[#This Row],[Job_Type]] = "skilled"),
      "Skilled", "Unskilled")</f>
        <v>Skilled</v>
      </c>
      <c r="T436" t="str">
        <f>IF(Table1[[#This Row],[Job_Type]] = "unemp/unskilled non res", "Unemployed", "Employed")</f>
        <v>Employed</v>
      </c>
      <c r="U436" t="s">
        <v>54</v>
      </c>
      <c r="V436" s="14" t="str" cm="1">
        <f t="array" ref="V436">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436" t="s">
        <v>31</v>
      </c>
      <c r="X436" s="2" t="str">
        <f>_xlfn.XLOOKUP(Table1[[#This Row],[Loan_Credit_History]],Table4[Credit History],Table4[[ Category]])</f>
        <v>Existing Credits Paid</v>
      </c>
      <c r="Y436" s="3">
        <v>4</v>
      </c>
      <c r="Z436" s="3">
        <v>1</v>
      </c>
      <c r="AA436" s="5">
        <v>6579</v>
      </c>
      <c r="AB436" t="s">
        <v>151</v>
      </c>
      <c r="AC436" s="2" t="str" cm="1">
        <f t="array" ref="AC436">_xlfn.IFS(Table1[[#This Row],[Others_Parties]] = "No", "None",
Table1[[#This Row],[Others_Parties]] = "co applicant", "Co-applicant",
Table1[[#This Row],[Others_Parties]] = "guarantor", "Guarantor")</f>
        <v>None</v>
      </c>
      <c r="AD436" s="13" t="s">
        <v>145</v>
      </c>
      <c r="AE436" s="2" t="s">
        <v>107</v>
      </c>
      <c r="AF436" s="28" t="str" cm="1">
        <f t="array" ref="AF43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36" s="21">
        <v>24</v>
      </c>
      <c r="AH436" s="2" t="s">
        <v>154</v>
      </c>
      <c r="AI436"/>
      <c r="AZ436"/>
      <c r="BC436"/>
      <c r="BE436"/>
      <c r="BL436"/>
      <c r="BZ436"/>
      <c r="CA436"/>
      <c r="CF436"/>
      <c r="CG436"/>
      <c r="CH436"/>
      <c r="CI436"/>
      <c r="CK436"/>
      <c r="CN436"/>
    </row>
    <row r="437" spans="1:92" x14ac:dyDescent="0.3">
      <c r="A437" s="4">
        <v>435</v>
      </c>
      <c r="B437" s="11">
        <v>75</v>
      </c>
      <c r="C437" s="2" t="str">
        <f>_xlfn.XLOOKUP(Table1[[#This Row],[Age]],Table7[Start_Age],Table7[Age_Range],,-1)</f>
        <v>69-76</v>
      </c>
      <c r="D437" t="s">
        <v>130</v>
      </c>
      <c r="E437" s="2" t="s">
        <v>129</v>
      </c>
      <c r="F437" s="2" t="s">
        <v>133</v>
      </c>
      <c r="G437" s="3">
        <v>1</v>
      </c>
      <c r="H437" s="13" t="s">
        <v>152</v>
      </c>
      <c r="I437" s="2" t="str" cm="1">
        <f t="array" ref="I437">_xlfn.IFS(Table1[[#This Row],[Job_Type]] = "unskilled resident", "Resident",
Table1[[#This Row],[Job_Type]] = "unemp/unskilled non res", "Non-resident",
TRUE, "Unknown")</f>
        <v>Unknown</v>
      </c>
      <c r="J437" s="2" t="s">
        <v>150</v>
      </c>
      <c r="K437" s="3">
        <v>4</v>
      </c>
      <c r="L437" s="2" t="s">
        <v>142</v>
      </c>
      <c r="M437" s="13" t="s">
        <v>152</v>
      </c>
      <c r="N437" t="s">
        <v>35</v>
      </c>
      <c r="O437" s="2" t="str">
        <f>_xlfn.XLOOKUP(Table1[[#This Row],[Checking_Acct_Status]],Table3[Checking_Acct_Original],Table3[Category])</f>
        <v>Negative Balance</v>
      </c>
      <c r="P437" s="10" t="s">
        <v>32</v>
      </c>
      <c r="Q437" s="13" t="str">
        <f>_xlfn.XLOOKUP(Table1[[#This Row],[Saving_Acct_Status]],Table5[Saving_Acct_Original],Table5[Category])</f>
        <v>Low Savings</v>
      </c>
      <c r="R437" t="s">
        <v>63</v>
      </c>
      <c r="S437" s="2" t="str">
        <f>IF(
      OR(Table1[[#This Row],[Job_Type]] = "high qualif/self emp/mgmt", Table1[[#This Row],[Job_Type]] = "skilled"),
      "Skilled", "Unskilled")</f>
        <v>Skilled</v>
      </c>
      <c r="T437" t="str">
        <f>IF(Table1[[#This Row],[Job_Type]] = "unemp/unskilled non res", "Unemployed", "Employed")</f>
        <v>Employed</v>
      </c>
      <c r="U437" t="s">
        <v>54</v>
      </c>
      <c r="V437" s="14" t="str" cm="1">
        <f t="array" ref="V437">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437" t="s">
        <v>103</v>
      </c>
      <c r="X437" s="2" t="str">
        <f>_xlfn.XLOOKUP(Table1[[#This Row],[Loan_Credit_History]],Table4[Credit History],Table4[[ Category]])</f>
        <v>Critical Credit History</v>
      </c>
      <c r="Y437" s="3">
        <v>2</v>
      </c>
      <c r="Z437" s="3">
        <v>2</v>
      </c>
      <c r="AA437" s="5">
        <v>6615</v>
      </c>
      <c r="AB437" t="s">
        <v>151</v>
      </c>
      <c r="AC437" s="2" t="str" cm="1">
        <f t="array" ref="AC437">_xlfn.IFS(Table1[[#This Row],[Others_Parties]] = "No", "None",
Table1[[#This Row],[Others_Parties]] = "co applicant", "Co-applicant",
Table1[[#This Row],[Others_Parties]] = "guarantor", "Guarantor")</f>
        <v>None</v>
      </c>
      <c r="AD437" s="13" t="s">
        <v>145</v>
      </c>
      <c r="AE437" s="2" t="s">
        <v>107</v>
      </c>
      <c r="AF437" s="28" t="str" cm="1">
        <f t="array" ref="AF43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37" s="21">
        <v>24</v>
      </c>
      <c r="AH437" s="2" t="s">
        <v>154</v>
      </c>
      <c r="AI437"/>
      <c r="AZ437"/>
      <c r="BC437"/>
      <c r="BE437"/>
      <c r="BL437"/>
      <c r="BZ437"/>
      <c r="CA437"/>
      <c r="CF437"/>
      <c r="CG437"/>
      <c r="CH437"/>
      <c r="CI437"/>
      <c r="CK437"/>
      <c r="CN437"/>
    </row>
    <row r="438" spans="1:92" x14ac:dyDescent="0.3">
      <c r="A438" s="4">
        <v>436</v>
      </c>
      <c r="B438" s="11">
        <v>46</v>
      </c>
      <c r="C438" s="2" t="str">
        <f>_xlfn.XLOOKUP(Table1[[#This Row],[Age]],Table7[Start_Age],Table7[Age_Range],,-1)</f>
        <v>39-49</v>
      </c>
      <c r="D438" t="s">
        <v>130</v>
      </c>
      <c r="E438" s="2" t="s">
        <v>129</v>
      </c>
      <c r="F438" s="2" t="s">
        <v>133</v>
      </c>
      <c r="G438" s="3">
        <v>2</v>
      </c>
      <c r="H438" s="13" t="s">
        <v>152</v>
      </c>
      <c r="I438" s="2" t="str" cm="1">
        <f t="array" ref="I438">_xlfn.IFS(Table1[[#This Row],[Job_Type]] = "unskilled resident", "Resident",
Table1[[#This Row],[Job_Type]] = "unemp/unskilled non res", "Non-resident",
TRUE, "Unknown")</f>
        <v>Unknown</v>
      </c>
      <c r="J438" s="2" t="s">
        <v>148</v>
      </c>
      <c r="K438" s="3">
        <v>4</v>
      </c>
      <c r="L438" s="2" t="s">
        <v>143</v>
      </c>
      <c r="M438" s="13" t="s">
        <v>152</v>
      </c>
      <c r="N438" t="s">
        <v>17</v>
      </c>
      <c r="O438" s="2" t="str">
        <f>_xlfn.XLOOKUP(Table1[[#This Row],[Checking_Acct_Status]],Table3[Checking_Acct_Original],Table3[Category])</f>
        <v>No Account</v>
      </c>
      <c r="P438" s="10" t="s">
        <v>47</v>
      </c>
      <c r="Q438" s="13" t="str">
        <f>_xlfn.XLOOKUP(Table1[[#This Row],[Saving_Acct_Status]],Table5[Saving_Acct_Original],Table5[Category])</f>
        <v>No Savings</v>
      </c>
      <c r="R438" t="s">
        <v>63</v>
      </c>
      <c r="S438" s="2" t="str">
        <f>IF(
      OR(Table1[[#This Row],[Job_Type]] = "high qualif/self emp/mgmt", Table1[[#This Row],[Job_Type]] = "skilled"),
      "Skilled", "Unskilled")</f>
        <v>Skilled</v>
      </c>
      <c r="T438" t="str">
        <f>IF(Table1[[#This Row],[Job_Type]] = "unemp/unskilled non res", "Unemployed", "Employed")</f>
        <v>Employed</v>
      </c>
      <c r="U438" t="s">
        <v>21</v>
      </c>
      <c r="V438" s="14" t="str" cm="1">
        <f t="array" ref="V43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38" t="s">
        <v>103</v>
      </c>
      <c r="X438" s="2" t="str">
        <f>_xlfn.XLOOKUP(Table1[[#This Row],[Loan_Credit_History]],Table4[Credit History],Table4[[ Category]])</f>
        <v>Critical Credit History</v>
      </c>
      <c r="Y438" s="3">
        <v>2</v>
      </c>
      <c r="Z438" s="3">
        <v>2</v>
      </c>
      <c r="AA438" s="5">
        <v>6842</v>
      </c>
      <c r="AB438" t="s">
        <v>151</v>
      </c>
      <c r="AC438" s="2" t="str" cm="1">
        <f t="array" ref="AC438">_xlfn.IFS(Table1[[#This Row],[Others_Parties]] = "No", "None",
Table1[[#This Row],[Others_Parties]] = "co applicant", "Co-applicant",
Table1[[#This Row],[Others_Parties]] = "guarantor", "Guarantor")</f>
        <v>None</v>
      </c>
      <c r="AD438" s="13" t="s">
        <v>145</v>
      </c>
      <c r="AE438" s="2" t="s">
        <v>107</v>
      </c>
      <c r="AF438" s="28" t="str" cm="1">
        <f t="array" ref="AF43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38" s="21">
        <v>24</v>
      </c>
      <c r="AH438" s="2" t="s">
        <v>154</v>
      </c>
      <c r="AI438"/>
      <c r="AZ438"/>
      <c r="BC438"/>
      <c r="BE438"/>
      <c r="BL438"/>
      <c r="BZ438"/>
      <c r="CA438"/>
      <c r="CF438"/>
      <c r="CG438"/>
      <c r="CH438"/>
      <c r="CI438"/>
      <c r="CK438"/>
      <c r="CN438"/>
    </row>
    <row r="439" spans="1:92" x14ac:dyDescent="0.3">
      <c r="A439" s="4">
        <v>437</v>
      </c>
      <c r="B439" s="11">
        <v>55</v>
      </c>
      <c r="C439" s="2" t="str">
        <f>_xlfn.XLOOKUP(Table1[[#This Row],[Age]],Table7[Start_Age],Table7[Age_Range],,-1)</f>
        <v>49-59</v>
      </c>
      <c r="D439" t="s">
        <v>138</v>
      </c>
      <c r="E439" s="2" t="s">
        <v>129</v>
      </c>
      <c r="F439" s="2" t="s">
        <v>178</v>
      </c>
      <c r="G439" s="3">
        <v>1</v>
      </c>
      <c r="H439" s="13" t="s">
        <v>152</v>
      </c>
      <c r="I439" s="2" t="str" cm="1">
        <f t="array" ref="I439">_xlfn.IFS(Table1[[#This Row],[Job_Type]] = "unskilled resident", "Resident",
Table1[[#This Row],[Job_Type]] = "unemp/unskilled non res", "Non-resident",
TRUE, "Unknown")</f>
        <v>Unknown</v>
      </c>
      <c r="J439" s="2" t="s">
        <v>148</v>
      </c>
      <c r="K439" s="3">
        <v>1</v>
      </c>
      <c r="L439" s="2" t="s">
        <v>143</v>
      </c>
      <c r="M439" s="13" t="s">
        <v>152</v>
      </c>
      <c r="N439" t="s">
        <v>35</v>
      </c>
      <c r="O439" s="2" t="str">
        <f>_xlfn.XLOOKUP(Table1[[#This Row],[Checking_Acct_Status]],Table3[Checking_Acct_Original],Table3[Category])</f>
        <v>Negative Balance</v>
      </c>
      <c r="P439" s="10" t="s">
        <v>32</v>
      </c>
      <c r="Q439" s="13" t="str">
        <f>_xlfn.XLOOKUP(Table1[[#This Row],[Saving_Acct_Status]],Table5[Saving_Acct_Original],Table5[Category])</f>
        <v>Low Savings</v>
      </c>
      <c r="R439" t="s">
        <v>41</v>
      </c>
      <c r="S439" s="2" t="str">
        <f>IF(
      OR(Table1[[#This Row],[Job_Type]] = "high qualif/self emp/mgmt", Table1[[#This Row],[Job_Type]] = "skilled"),
      "Skilled", "Unskilled")</f>
        <v>Skilled</v>
      </c>
      <c r="T439" t="str">
        <f>IF(Table1[[#This Row],[Job_Type]] = "unemp/unskilled non res", "Unemployed", "Employed")</f>
        <v>Employed</v>
      </c>
      <c r="U439" t="s">
        <v>45</v>
      </c>
      <c r="V439" s="14" t="str" cm="1">
        <f t="array" ref="V43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39" t="s">
        <v>42</v>
      </c>
      <c r="X439" s="2" t="str">
        <f>_xlfn.XLOOKUP(Table1[[#This Row],[Loan_Credit_History]],Table4[Credit History],Table4[[ Category]])</f>
        <v>All Paid</v>
      </c>
      <c r="Y439" s="3">
        <v>2</v>
      </c>
      <c r="Z439" s="3">
        <v>1</v>
      </c>
      <c r="AA439" s="5">
        <v>6872</v>
      </c>
      <c r="AB439" t="s">
        <v>151</v>
      </c>
      <c r="AC439" s="2" t="str" cm="1">
        <f t="array" ref="AC439">_xlfn.IFS(Table1[[#This Row],[Others_Parties]] = "No", "None",
Table1[[#This Row],[Others_Parties]] = "co applicant", "Co-applicant",
Table1[[#This Row],[Others_Parties]] = "guarantor", "Guarantor")</f>
        <v>None</v>
      </c>
      <c r="AD439" s="13" t="s">
        <v>146</v>
      </c>
      <c r="AE439" s="2" t="s">
        <v>108</v>
      </c>
      <c r="AF439" s="28" t="str" cm="1">
        <f t="array" ref="AF43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39" s="21">
        <v>24</v>
      </c>
      <c r="AH439" s="2" t="s">
        <v>153</v>
      </c>
      <c r="AI439"/>
      <c r="AZ439"/>
      <c r="BC439"/>
      <c r="BE439"/>
      <c r="BL439"/>
      <c r="BZ439"/>
      <c r="CA439"/>
      <c r="CF439"/>
      <c r="CG439"/>
      <c r="CH439"/>
      <c r="CI439"/>
      <c r="CK439"/>
      <c r="CN439"/>
    </row>
    <row r="440" spans="1:92" x14ac:dyDescent="0.3">
      <c r="A440" s="4">
        <v>438</v>
      </c>
      <c r="B440" s="11">
        <v>36</v>
      </c>
      <c r="C440" s="2" t="str">
        <f>_xlfn.XLOOKUP(Table1[[#This Row],[Age]],Table7[Start_Age],Table7[Age_Range],,-1)</f>
        <v>29-39</v>
      </c>
      <c r="D440" t="s">
        <v>130</v>
      </c>
      <c r="E440" s="2" t="s">
        <v>129</v>
      </c>
      <c r="F440" s="2" t="s">
        <v>133</v>
      </c>
      <c r="G440" s="3">
        <v>1</v>
      </c>
      <c r="H440" s="13" t="s">
        <v>152</v>
      </c>
      <c r="I440" s="2" t="str" cm="1">
        <f t="array" ref="I440">_xlfn.IFS(Table1[[#This Row],[Job_Type]] = "unskilled resident", "Resident",
Table1[[#This Row],[Job_Type]] = "unemp/unskilled non res", "Non-resident",
TRUE, "Unknown")</f>
        <v>Unknown</v>
      </c>
      <c r="J440" s="2" t="s">
        <v>149</v>
      </c>
      <c r="K440" s="3">
        <v>4</v>
      </c>
      <c r="L440" s="2" t="s">
        <v>140</v>
      </c>
      <c r="M440" s="13" t="s">
        <v>152</v>
      </c>
      <c r="N440" t="s">
        <v>30</v>
      </c>
      <c r="O440" s="2" t="str">
        <f>_xlfn.XLOOKUP(Table1[[#This Row],[Checking_Acct_Status]],Table3[Checking_Acct_Original],Table3[Category])</f>
        <v>Low Balance</v>
      </c>
      <c r="P440" s="10" t="s">
        <v>46</v>
      </c>
      <c r="Q440" s="13" t="str">
        <f>_xlfn.XLOOKUP(Table1[[#This Row],[Saving_Acct_Status]],Table5[Saving_Acct_Original],Table5[Category])</f>
        <v>Medium Savings</v>
      </c>
      <c r="R440" t="s">
        <v>63</v>
      </c>
      <c r="S440" s="2" t="str">
        <f>IF(
      OR(Table1[[#This Row],[Job_Type]] = "high qualif/self emp/mgmt", Table1[[#This Row],[Job_Type]] = "skilled"),
      "Skilled", "Unskilled")</f>
        <v>Skilled</v>
      </c>
      <c r="T440" t="str">
        <f>IF(Table1[[#This Row],[Job_Type]] = "unemp/unskilled non res", "Unemployed", "Employed")</f>
        <v>Employed</v>
      </c>
      <c r="U440" t="s">
        <v>49</v>
      </c>
      <c r="V440" s="14" t="str" cm="1">
        <f t="array" ref="V44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40" t="s">
        <v>59</v>
      </c>
      <c r="X440" s="2" t="str">
        <f>_xlfn.XLOOKUP(Table1[[#This Row],[Loan_Credit_History]],Table4[Credit History],Table4[[ Category]])</f>
        <v>Previously Delayed</v>
      </c>
      <c r="Y440" s="3">
        <v>4</v>
      </c>
      <c r="Z440" s="3">
        <v>1</v>
      </c>
      <c r="AA440" s="5">
        <v>6967</v>
      </c>
      <c r="AB440" t="s">
        <v>151</v>
      </c>
      <c r="AC440" s="2" t="str" cm="1">
        <f t="array" ref="AC440">_xlfn.IFS(Table1[[#This Row],[Others_Parties]] = "No", "None",
Table1[[#This Row],[Others_Parties]] = "co applicant", "Co-applicant",
Table1[[#This Row],[Others_Parties]] = "guarantor", "Guarantor")</f>
        <v>None</v>
      </c>
      <c r="AD440" s="13" t="s">
        <v>145</v>
      </c>
      <c r="AE440" s="2" t="s">
        <v>105</v>
      </c>
      <c r="AF440" s="28" t="str" cm="1">
        <f t="array" ref="AF44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40" s="21">
        <v>24</v>
      </c>
      <c r="AH440" s="2" t="s">
        <v>154</v>
      </c>
      <c r="AI440"/>
      <c r="AZ440"/>
      <c r="BC440"/>
      <c r="BE440"/>
      <c r="BL440"/>
      <c r="BZ440"/>
      <c r="CA440"/>
      <c r="CF440"/>
      <c r="CG440"/>
      <c r="CH440"/>
      <c r="CI440"/>
      <c r="CK440"/>
      <c r="CN440"/>
    </row>
    <row r="441" spans="1:92" x14ac:dyDescent="0.3">
      <c r="A441" s="4">
        <v>439</v>
      </c>
      <c r="B441" s="11">
        <v>43</v>
      </c>
      <c r="C441" s="2" t="str">
        <f>_xlfn.XLOOKUP(Table1[[#This Row],[Age]],Table7[Start_Age],Table7[Age_Range],,-1)</f>
        <v>39-49</v>
      </c>
      <c r="D441" t="s">
        <v>130</v>
      </c>
      <c r="E441" s="2" t="s">
        <v>129</v>
      </c>
      <c r="F441" s="2" t="s">
        <v>133</v>
      </c>
      <c r="G441" s="3">
        <v>2</v>
      </c>
      <c r="H441" s="13" t="s">
        <v>152</v>
      </c>
      <c r="I441" s="2" t="str" cm="1">
        <f t="array" ref="I441">_xlfn.IFS(Table1[[#This Row],[Job_Type]] = "unskilled resident", "Resident",
Table1[[#This Row],[Job_Type]] = "unemp/unskilled non res", "Non-resident",
TRUE, "Unknown")</f>
        <v>Resident</v>
      </c>
      <c r="J441" s="2" t="s">
        <v>148</v>
      </c>
      <c r="K441" s="3">
        <v>4</v>
      </c>
      <c r="L441" s="2" t="s">
        <v>143</v>
      </c>
      <c r="M441" s="13" t="s">
        <v>151</v>
      </c>
      <c r="N441" t="s">
        <v>17</v>
      </c>
      <c r="O441" s="2" t="str">
        <f>_xlfn.XLOOKUP(Table1[[#This Row],[Checking_Acct_Status]],Table3[Checking_Acct_Original],Table3[Category])</f>
        <v>No Account</v>
      </c>
      <c r="P441" s="10" t="s">
        <v>32</v>
      </c>
      <c r="Q441" s="13" t="str">
        <f>_xlfn.XLOOKUP(Table1[[#This Row],[Saving_Acct_Status]],Table5[Saving_Acct_Original],Table5[Category])</f>
        <v>Low Savings</v>
      </c>
      <c r="R441" t="s">
        <v>27</v>
      </c>
      <c r="S441" s="2" t="str">
        <f>IF(
      OR(Table1[[#This Row],[Job_Type]] = "high qualif/self emp/mgmt", Table1[[#This Row],[Job_Type]] = "skilled"),
      "Skilled", "Unskilled")</f>
        <v>Unskilled</v>
      </c>
      <c r="T441" t="str">
        <f>IF(Table1[[#This Row],[Job_Type]] = "unemp/unskilled non res", "Unemployed", "Employed")</f>
        <v>Employed</v>
      </c>
      <c r="U441" t="s">
        <v>21</v>
      </c>
      <c r="V441" s="14" t="str" cm="1">
        <f t="array" ref="V44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41" t="s">
        <v>31</v>
      </c>
      <c r="X441" s="2" t="str">
        <f>_xlfn.XLOOKUP(Table1[[#This Row],[Loan_Credit_History]],Table4[Credit History],Table4[[ Category]])</f>
        <v>Existing Credits Paid</v>
      </c>
      <c r="Y441" s="3">
        <v>1</v>
      </c>
      <c r="Z441" s="3">
        <v>1</v>
      </c>
      <c r="AA441" s="5">
        <v>7393</v>
      </c>
      <c r="AB441" t="s">
        <v>151</v>
      </c>
      <c r="AC441" s="2" t="str" cm="1">
        <f t="array" ref="AC441">_xlfn.IFS(Table1[[#This Row],[Others_Parties]] = "No", "None",
Table1[[#This Row],[Others_Parties]] = "co applicant", "Co-applicant",
Table1[[#This Row],[Others_Parties]] = "guarantor", "Guarantor")</f>
        <v>None</v>
      </c>
      <c r="AD441" s="13" t="s">
        <v>145</v>
      </c>
      <c r="AE441" s="2" t="s">
        <v>141</v>
      </c>
      <c r="AF441" s="28" t="str" cm="1">
        <f t="array" ref="AF44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41" s="21">
        <v>24</v>
      </c>
      <c r="AH441" s="2" t="s">
        <v>154</v>
      </c>
      <c r="AI441"/>
      <c r="AZ441"/>
      <c r="BC441"/>
      <c r="BE441"/>
      <c r="BL441"/>
      <c r="BZ441"/>
      <c r="CA441"/>
      <c r="CF441"/>
      <c r="CG441"/>
      <c r="CH441"/>
      <c r="CI441"/>
      <c r="CK441"/>
      <c r="CN441"/>
    </row>
    <row r="442" spans="1:92" x14ac:dyDescent="0.3">
      <c r="A442" s="4">
        <v>440</v>
      </c>
      <c r="B442" s="11">
        <v>29</v>
      </c>
      <c r="C442" s="2" t="str">
        <f>_xlfn.XLOOKUP(Table1[[#This Row],[Age]],Table7[Start_Age],Table7[Age_Range],,-1)</f>
        <v>29-39</v>
      </c>
      <c r="D442" t="s">
        <v>136</v>
      </c>
      <c r="E442" s="2" t="s">
        <v>131</v>
      </c>
      <c r="F442" s="2" t="s">
        <v>137</v>
      </c>
      <c r="G442" s="3">
        <v>1</v>
      </c>
      <c r="H442" s="13" t="s">
        <v>152</v>
      </c>
      <c r="I442" s="2" t="str" cm="1">
        <f t="array" ref="I442">_xlfn.IFS(Table1[[#This Row],[Job_Type]] = "unskilled resident", "Resident",
Table1[[#This Row],[Job_Type]] = "unemp/unskilled non res", "Non-resident",
TRUE, "Unknown")</f>
        <v>Unknown</v>
      </c>
      <c r="J442" s="2" t="s">
        <v>149</v>
      </c>
      <c r="K442" s="3">
        <v>4</v>
      </c>
      <c r="L442" s="2" t="s">
        <v>142</v>
      </c>
      <c r="M442" s="13" t="s">
        <v>151</v>
      </c>
      <c r="N442" t="s">
        <v>30</v>
      </c>
      <c r="O442" s="2" t="str">
        <f>_xlfn.XLOOKUP(Table1[[#This Row],[Checking_Acct_Status]],Table3[Checking_Acct_Original],Table3[Category])</f>
        <v>Low Balance</v>
      </c>
      <c r="P442" s="10" t="s">
        <v>20</v>
      </c>
      <c r="Q442" s="13" t="str">
        <f>_xlfn.XLOOKUP(Table1[[#This Row],[Saving_Acct_Status]],Table5[Saving_Acct_Original],Table5[Category])</f>
        <v>Very High Savings</v>
      </c>
      <c r="R442" t="s">
        <v>41</v>
      </c>
      <c r="S442" s="2" t="str">
        <f>IF(
      OR(Table1[[#This Row],[Job_Type]] = "high qualif/self emp/mgmt", Table1[[#This Row],[Job_Type]] = "skilled"),
      "Skilled", "Unskilled")</f>
        <v>Skilled</v>
      </c>
      <c r="T442" t="str">
        <f>IF(Table1[[#This Row],[Job_Type]] = "unemp/unskilled non res", "Unemployed", "Employed")</f>
        <v>Employed</v>
      </c>
      <c r="U442" t="s">
        <v>38</v>
      </c>
      <c r="V442" s="14" t="str" cm="1">
        <f t="array" ref="V44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42" t="s">
        <v>103</v>
      </c>
      <c r="X442" s="2" t="str">
        <f>_xlfn.XLOOKUP(Table1[[#This Row],[Loan_Credit_History]],Table4[Credit History],Table4[[ Category]])</f>
        <v>Critical Credit History</v>
      </c>
      <c r="Y442" s="3">
        <v>2</v>
      </c>
      <c r="Z442" s="3">
        <v>1</v>
      </c>
      <c r="AA442" s="5">
        <v>7758</v>
      </c>
      <c r="AB442" t="s">
        <v>151</v>
      </c>
      <c r="AC442" s="2" t="str" cm="1">
        <f t="array" ref="AC442">_xlfn.IFS(Table1[[#This Row],[Others_Parties]] = "No", "None",
Table1[[#This Row],[Others_Parties]] = "co applicant", "Co-applicant",
Table1[[#This Row],[Others_Parties]] = "guarantor", "Guarantor")</f>
        <v>None</v>
      </c>
      <c r="AD442" s="13" t="s">
        <v>145</v>
      </c>
      <c r="AE442" s="2" t="s">
        <v>107</v>
      </c>
      <c r="AF442" s="28" t="str" cm="1">
        <f t="array" ref="AF44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42" s="21">
        <v>24</v>
      </c>
      <c r="AH442" s="2" t="s">
        <v>154</v>
      </c>
      <c r="AI442"/>
      <c r="AZ442"/>
      <c r="BC442"/>
      <c r="BE442"/>
      <c r="BL442"/>
      <c r="BZ442"/>
      <c r="CA442"/>
      <c r="CF442"/>
      <c r="CG442"/>
      <c r="CH442"/>
      <c r="CI442"/>
      <c r="CK442"/>
      <c r="CN442"/>
    </row>
    <row r="443" spans="1:92" x14ac:dyDescent="0.3">
      <c r="A443" s="4">
        <v>441</v>
      </c>
      <c r="B443" s="11">
        <v>38</v>
      </c>
      <c r="C443" s="2" t="str">
        <f>_xlfn.XLOOKUP(Table1[[#This Row],[Age]],Table7[Start_Age],Table7[Age_Range],,-1)</f>
        <v>29-39</v>
      </c>
      <c r="D443" t="s">
        <v>130</v>
      </c>
      <c r="E443" s="2" t="s">
        <v>129</v>
      </c>
      <c r="F443" s="2" t="s">
        <v>133</v>
      </c>
      <c r="G443" s="3">
        <v>1</v>
      </c>
      <c r="H443" s="13" t="s">
        <v>152</v>
      </c>
      <c r="I443" s="2" t="str" cm="1">
        <f t="array" ref="I443">_xlfn.IFS(Table1[[#This Row],[Job_Type]] = "unskilled resident", "Resident",
Table1[[#This Row],[Job_Type]] = "unemp/unskilled non res", "Non-resident",
TRUE, "Unknown")</f>
        <v>Unknown</v>
      </c>
      <c r="J443" s="2" t="s">
        <v>148</v>
      </c>
      <c r="K443" s="3">
        <v>3</v>
      </c>
      <c r="L443" s="2" t="s">
        <v>140</v>
      </c>
      <c r="M443" s="13" t="s">
        <v>152</v>
      </c>
      <c r="N443" t="s">
        <v>17</v>
      </c>
      <c r="O443" s="2" t="str">
        <f>_xlfn.XLOOKUP(Table1[[#This Row],[Checking_Acct_Status]],Table3[Checking_Acct_Original],Table3[Category])</f>
        <v>No Account</v>
      </c>
      <c r="P443" s="10" t="s">
        <v>32</v>
      </c>
      <c r="Q443" s="13" t="str">
        <f>_xlfn.XLOOKUP(Table1[[#This Row],[Saving_Acct_Status]],Table5[Saving_Acct_Original],Table5[Category])</f>
        <v>Low Savings</v>
      </c>
      <c r="R443" t="s">
        <v>63</v>
      </c>
      <c r="S443" s="2" t="str">
        <f>IF(
      OR(Table1[[#This Row],[Job_Type]] = "high qualif/self emp/mgmt", Table1[[#This Row],[Job_Type]] = "skilled"),
      "Skilled", "Unskilled")</f>
        <v>Skilled</v>
      </c>
      <c r="T443" t="str">
        <f>IF(Table1[[#This Row],[Job_Type]] = "unemp/unskilled non res", "Unemployed", "Employed")</f>
        <v>Employed</v>
      </c>
      <c r="U443" t="s">
        <v>49</v>
      </c>
      <c r="V443" s="14" t="str" cm="1">
        <f t="array" ref="V44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43" t="s">
        <v>31</v>
      </c>
      <c r="X443" s="2" t="str">
        <f>_xlfn.XLOOKUP(Table1[[#This Row],[Loan_Credit_History]],Table4[Credit History],Table4[[ Category]])</f>
        <v>Existing Credits Paid</v>
      </c>
      <c r="Y443" s="3">
        <v>3</v>
      </c>
      <c r="Z443" s="3">
        <v>1</v>
      </c>
      <c r="AA443" s="5">
        <v>7814</v>
      </c>
      <c r="AB443" t="s">
        <v>151</v>
      </c>
      <c r="AC443" s="2" t="str" cm="1">
        <f t="array" ref="AC443">_xlfn.IFS(Table1[[#This Row],[Others_Parties]] = "No", "None",
Table1[[#This Row],[Others_Parties]] = "co applicant", "Co-applicant",
Table1[[#This Row],[Others_Parties]] = "guarantor", "Guarantor")</f>
        <v>None</v>
      </c>
      <c r="AD443" s="13" t="s">
        <v>145</v>
      </c>
      <c r="AE443" s="2" t="s">
        <v>107</v>
      </c>
      <c r="AF443" s="28" t="str" cm="1">
        <f t="array" ref="AF44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43" s="21">
        <v>24</v>
      </c>
      <c r="AH443" s="2" t="s">
        <v>154</v>
      </c>
      <c r="AI443"/>
      <c r="AZ443"/>
      <c r="BC443"/>
      <c r="BE443"/>
      <c r="BL443"/>
      <c r="BZ443"/>
      <c r="CA443"/>
      <c r="CF443"/>
      <c r="CG443"/>
      <c r="CH443"/>
      <c r="CI443"/>
      <c r="CK443"/>
      <c r="CN443"/>
    </row>
    <row r="444" spans="1:92" x14ac:dyDescent="0.3">
      <c r="A444" s="4">
        <v>442</v>
      </c>
      <c r="B444" s="11">
        <v>27</v>
      </c>
      <c r="C444" s="2" t="str">
        <f>_xlfn.XLOOKUP(Table1[[#This Row],[Age]],Table7[Start_Age],Table7[Age_Range],,-1)</f>
        <v>19-29</v>
      </c>
      <c r="D444" t="s">
        <v>130</v>
      </c>
      <c r="E444" s="2" t="s">
        <v>129</v>
      </c>
      <c r="F444" s="2" t="s">
        <v>133</v>
      </c>
      <c r="G444" s="3">
        <v>1</v>
      </c>
      <c r="H444" s="13" t="s">
        <v>152</v>
      </c>
      <c r="I444" s="2" t="str" cm="1">
        <f t="array" ref="I444">_xlfn.IFS(Table1[[#This Row],[Job_Type]] = "unskilled resident", "Resident",
Table1[[#This Row],[Job_Type]] = "unemp/unskilled non res", "Non-resident",
TRUE, "Unknown")</f>
        <v>Unknown</v>
      </c>
      <c r="J444" s="2" t="s">
        <v>148</v>
      </c>
      <c r="K444" s="3">
        <v>2</v>
      </c>
      <c r="L444" s="2" t="s">
        <v>140</v>
      </c>
      <c r="M444" s="13" t="s">
        <v>152</v>
      </c>
      <c r="N444" t="s">
        <v>17</v>
      </c>
      <c r="O444" s="2" t="str">
        <f>_xlfn.XLOOKUP(Table1[[#This Row],[Checking_Acct_Status]],Table3[Checking_Acct_Original],Table3[Category])</f>
        <v>No Account</v>
      </c>
      <c r="P444" s="10" t="s">
        <v>32</v>
      </c>
      <c r="Q444" s="13" t="str">
        <f>_xlfn.XLOOKUP(Table1[[#This Row],[Saving_Acct_Status]],Table5[Saving_Acct_Original],Table5[Category])</f>
        <v>Low Savings</v>
      </c>
      <c r="R444" t="s">
        <v>41</v>
      </c>
      <c r="S444" s="2" t="str">
        <f>IF(
      OR(Table1[[#This Row],[Job_Type]] = "high qualif/self emp/mgmt", Table1[[#This Row],[Job_Type]] = "skilled"),
      "Skilled", "Unskilled")</f>
        <v>Skilled</v>
      </c>
      <c r="T444" t="str">
        <f>IF(Table1[[#This Row],[Job_Type]] = "unemp/unskilled non res", "Unemployed", "Employed")</f>
        <v>Employed</v>
      </c>
      <c r="U444" t="s">
        <v>45</v>
      </c>
      <c r="V444" s="14" t="str" cm="1">
        <f t="array" ref="V44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44" t="s">
        <v>59</v>
      </c>
      <c r="X444" s="2" t="str">
        <f>_xlfn.XLOOKUP(Table1[[#This Row],[Loan_Credit_History]],Table4[Credit History],Table4[[ Category]])</f>
        <v>Previously Delayed</v>
      </c>
      <c r="Y444" s="3">
        <v>2</v>
      </c>
      <c r="Z444" s="3">
        <v>2</v>
      </c>
      <c r="AA444" s="5">
        <v>8648</v>
      </c>
      <c r="AB444" t="s">
        <v>151</v>
      </c>
      <c r="AC444" s="2" t="str" cm="1">
        <f t="array" ref="AC444">_xlfn.IFS(Table1[[#This Row],[Others_Parties]] = "No", "None",
Table1[[#This Row],[Others_Parties]] = "co applicant", "Co-applicant",
Table1[[#This Row],[Others_Parties]] = "guarantor", "Guarantor")</f>
        <v>None</v>
      </c>
      <c r="AD444" s="13" t="s">
        <v>146</v>
      </c>
      <c r="AE444" s="2" t="s">
        <v>105</v>
      </c>
      <c r="AF444" s="28" t="str" cm="1">
        <f t="array" ref="AF44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44" s="21">
        <v>24</v>
      </c>
      <c r="AH444" s="2" t="s">
        <v>153</v>
      </c>
      <c r="AI444"/>
      <c r="AZ444"/>
      <c r="BC444"/>
      <c r="BE444"/>
      <c r="BL444"/>
      <c r="BZ444"/>
      <c r="CA444"/>
      <c r="CF444"/>
      <c r="CG444"/>
      <c r="CH444"/>
      <c r="CI444"/>
      <c r="CK444"/>
      <c r="CN444"/>
    </row>
    <row r="445" spans="1:92" x14ac:dyDescent="0.3">
      <c r="A445" s="4">
        <v>443</v>
      </c>
      <c r="B445" s="11">
        <v>48</v>
      </c>
      <c r="C445" s="2" t="str">
        <f>_xlfn.XLOOKUP(Table1[[#This Row],[Age]],Table7[Start_Age],Table7[Age_Range],,-1)</f>
        <v>39-49</v>
      </c>
      <c r="D445" t="s">
        <v>138</v>
      </c>
      <c r="E445" s="2" t="s">
        <v>129</v>
      </c>
      <c r="F445" s="2" t="s">
        <v>178</v>
      </c>
      <c r="G445" s="3">
        <v>1</v>
      </c>
      <c r="H445" s="13" t="s">
        <v>152</v>
      </c>
      <c r="I445" s="2" t="str" cm="1">
        <f t="array" ref="I445">_xlfn.IFS(Table1[[#This Row],[Job_Type]] = "unskilled resident", "Resident",
Table1[[#This Row],[Job_Type]] = "unemp/unskilled non res", "Non-resident",
TRUE, "Unknown")</f>
        <v>Unknown</v>
      </c>
      <c r="J445" s="2" t="s">
        <v>150</v>
      </c>
      <c r="K445" s="3">
        <v>4</v>
      </c>
      <c r="L445" s="2" t="s">
        <v>142</v>
      </c>
      <c r="M445" s="13" t="s">
        <v>152</v>
      </c>
      <c r="N445" t="s">
        <v>17</v>
      </c>
      <c r="O445" s="2" t="str">
        <f>_xlfn.XLOOKUP(Table1[[#This Row],[Checking_Acct_Status]],Table3[Checking_Acct_Original],Table3[Category])</f>
        <v>No Account</v>
      </c>
      <c r="P445" s="10" t="s">
        <v>47</v>
      </c>
      <c r="Q445" s="13" t="str">
        <f>_xlfn.XLOOKUP(Table1[[#This Row],[Saving_Acct_Status]],Table5[Saving_Acct_Original],Table5[Category])</f>
        <v>No Savings</v>
      </c>
      <c r="R445" t="s">
        <v>41</v>
      </c>
      <c r="S445" s="2" t="str">
        <f>IF(
      OR(Table1[[#This Row],[Job_Type]] = "high qualif/self emp/mgmt", Table1[[#This Row],[Job_Type]] = "skilled"),
      "Skilled", "Unskilled")</f>
        <v>Skilled</v>
      </c>
      <c r="T445" t="str">
        <f>IF(Table1[[#This Row],[Job_Type]] = "unemp/unskilled non res", "Unemployed", "Employed")</f>
        <v>Employed</v>
      </c>
      <c r="U445" t="s">
        <v>21</v>
      </c>
      <c r="V445" s="14" t="str" cm="1">
        <f t="array" ref="V44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45" t="s">
        <v>31</v>
      </c>
      <c r="X445" s="2" t="str">
        <f>_xlfn.XLOOKUP(Table1[[#This Row],[Loan_Credit_History]],Table4[Credit History],Table4[[ Category]])</f>
        <v>Existing Credits Paid</v>
      </c>
      <c r="Y445" s="3">
        <v>2</v>
      </c>
      <c r="Z445" s="3">
        <v>1</v>
      </c>
      <c r="AA445" s="5">
        <v>9277</v>
      </c>
      <c r="AB445" t="s">
        <v>151</v>
      </c>
      <c r="AC445" s="2" t="str" cm="1">
        <f t="array" ref="AC445">_xlfn.IFS(Table1[[#This Row],[Others_Parties]] = "No", "None",
Table1[[#This Row],[Others_Parties]] = "co applicant", "Co-applicant",
Table1[[#This Row],[Others_Parties]] = "guarantor", "Guarantor")</f>
        <v>None</v>
      </c>
      <c r="AD445" s="13" t="s">
        <v>145</v>
      </c>
      <c r="AE445" s="2" t="s">
        <v>107</v>
      </c>
      <c r="AF445" s="28" t="str" cm="1">
        <f t="array" ref="AF44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45" s="21">
        <v>24</v>
      </c>
      <c r="AH445" s="2" t="s">
        <v>154</v>
      </c>
      <c r="AI445"/>
      <c r="AZ445"/>
      <c r="BC445"/>
      <c r="BE445"/>
      <c r="BL445"/>
      <c r="BZ445"/>
      <c r="CA445"/>
      <c r="CF445"/>
      <c r="CG445"/>
      <c r="CH445"/>
      <c r="CI445"/>
      <c r="CK445"/>
      <c r="CN445"/>
    </row>
    <row r="446" spans="1:92" x14ac:dyDescent="0.3">
      <c r="A446" s="4">
        <v>444</v>
      </c>
      <c r="B446" s="11">
        <v>29</v>
      </c>
      <c r="C446" s="2" t="str">
        <f>_xlfn.XLOOKUP(Table1[[#This Row],[Age]],Table7[Start_Age],Table7[Age_Range],,-1)</f>
        <v>29-39</v>
      </c>
      <c r="D446" t="s">
        <v>130</v>
      </c>
      <c r="E446" s="2" t="s">
        <v>129</v>
      </c>
      <c r="F446" s="2" t="s">
        <v>133</v>
      </c>
      <c r="G446" s="3">
        <v>1</v>
      </c>
      <c r="H446" s="13" t="s">
        <v>152</v>
      </c>
      <c r="I446" s="2" t="str" cm="1">
        <f t="array" ref="I446">_xlfn.IFS(Table1[[#This Row],[Job_Type]] = "unskilled resident", "Resident",
Table1[[#This Row],[Job_Type]] = "unemp/unskilled non res", "Non-resident",
TRUE, "Unknown")</f>
        <v>Unknown</v>
      </c>
      <c r="J446" s="2" t="s">
        <v>148</v>
      </c>
      <c r="K446" s="3">
        <v>3</v>
      </c>
      <c r="L446" s="2" t="s">
        <v>140</v>
      </c>
      <c r="M446" s="13" t="s">
        <v>152</v>
      </c>
      <c r="N446" t="s">
        <v>30</v>
      </c>
      <c r="O446" s="2" t="str">
        <f>_xlfn.XLOOKUP(Table1[[#This Row],[Checking_Acct_Status]],Table3[Checking_Acct_Original],Table3[Category])</f>
        <v>Low Balance</v>
      </c>
      <c r="P446" s="10" t="s">
        <v>32</v>
      </c>
      <c r="Q446" s="13" t="str">
        <f>_xlfn.XLOOKUP(Table1[[#This Row],[Saving_Acct_Status]],Table5[Saving_Acct_Original],Table5[Category])</f>
        <v>Low Savings</v>
      </c>
      <c r="R446" t="s">
        <v>63</v>
      </c>
      <c r="S446" s="2" t="str">
        <f>IF(
      OR(Table1[[#This Row],[Job_Type]] = "high qualif/self emp/mgmt", Table1[[#This Row],[Job_Type]] = "skilled"),
      "Skilled", "Unskilled")</f>
        <v>Skilled</v>
      </c>
      <c r="T446" t="str">
        <f>IF(Table1[[#This Row],[Job_Type]] = "unemp/unskilled non res", "Unemployed", "Employed")</f>
        <v>Employed</v>
      </c>
      <c r="U446" t="s">
        <v>21</v>
      </c>
      <c r="V446" s="14" t="str" cm="1">
        <f t="array" ref="V44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46" t="s">
        <v>31</v>
      </c>
      <c r="X446" s="2" t="str">
        <f>_xlfn.XLOOKUP(Table1[[#This Row],[Loan_Credit_History]],Table4[Credit History],Table4[[ Category]])</f>
        <v>Existing Credits Paid</v>
      </c>
      <c r="Y446" s="3">
        <v>2</v>
      </c>
      <c r="Z446" s="3">
        <v>2</v>
      </c>
      <c r="AA446" s="5">
        <v>11328</v>
      </c>
      <c r="AB446" t="s">
        <v>55</v>
      </c>
      <c r="AC446" s="2" t="str" cm="1">
        <f t="array" ref="AC446">_xlfn.IFS(Table1[[#This Row],[Others_Parties]] = "No", "None",
Table1[[#This Row],[Others_Parties]] = "co applicant", "Co-applicant",
Table1[[#This Row],[Others_Parties]] = "guarantor", "Guarantor")</f>
        <v>Co-applicant</v>
      </c>
      <c r="AD446" s="13" t="s">
        <v>146</v>
      </c>
      <c r="AE446" s="2" t="s">
        <v>104</v>
      </c>
      <c r="AF446" s="28" t="str" cm="1">
        <f t="array" ref="AF44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46" s="21">
        <v>24</v>
      </c>
      <c r="AH446" s="2" t="s">
        <v>153</v>
      </c>
      <c r="AI446"/>
      <c r="AZ446"/>
      <c r="BC446"/>
      <c r="BE446"/>
      <c r="BL446"/>
      <c r="BZ446"/>
      <c r="CA446"/>
      <c r="CF446"/>
      <c r="CG446"/>
      <c r="CH446"/>
      <c r="CI446"/>
      <c r="CK446"/>
      <c r="CN446"/>
    </row>
    <row r="447" spans="1:92" x14ac:dyDescent="0.3">
      <c r="A447" s="4">
        <v>445</v>
      </c>
      <c r="B447" s="11">
        <v>23</v>
      </c>
      <c r="C447" s="2" t="str">
        <f>_xlfn.XLOOKUP(Table1[[#This Row],[Age]],Table7[Start_Age],Table7[Age_Range],,-1)</f>
        <v>19-29</v>
      </c>
      <c r="D447" t="s">
        <v>136</v>
      </c>
      <c r="E447" s="2" t="s">
        <v>131</v>
      </c>
      <c r="F447" s="2" t="s">
        <v>137</v>
      </c>
      <c r="G447" s="3">
        <v>1</v>
      </c>
      <c r="H447" s="13" t="s">
        <v>152</v>
      </c>
      <c r="I447" s="2" t="str" cm="1">
        <f t="array" ref="I447">_xlfn.IFS(Table1[[#This Row],[Job_Type]] = "unskilled resident", "Resident",
Table1[[#This Row],[Job_Type]] = "unemp/unskilled non res", "Non-resident",
TRUE, "Unknown")</f>
        <v>Unknown</v>
      </c>
      <c r="J447" s="2" t="s">
        <v>149</v>
      </c>
      <c r="K447" s="3">
        <v>4</v>
      </c>
      <c r="L447" s="2" t="s">
        <v>140</v>
      </c>
      <c r="M447" s="13" t="s">
        <v>151</v>
      </c>
      <c r="N447" t="s">
        <v>30</v>
      </c>
      <c r="O447" s="2" t="str">
        <f>_xlfn.XLOOKUP(Table1[[#This Row],[Checking_Acct_Status]],Table3[Checking_Acct_Original],Table3[Category])</f>
        <v>Low Balance</v>
      </c>
      <c r="P447" s="10" t="s">
        <v>32</v>
      </c>
      <c r="Q447" s="13" t="str">
        <f>_xlfn.XLOOKUP(Table1[[#This Row],[Saving_Acct_Status]],Table5[Saving_Acct_Original],Table5[Category])</f>
        <v>Low Savings</v>
      </c>
      <c r="R447" t="s">
        <v>63</v>
      </c>
      <c r="S447" s="2" t="str">
        <f>IF(
      OR(Table1[[#This Row],[Job_Type]] = "high qualif/self emp/mgmt", Table1[[#This Row],[Job_Type]] = "skilled"),
      "Skilled", "Unskilled")</f>
        <v>Skilled</v>
      </c>
      <c r="T447" t="str">
        <f>IF(Table1[[#This Row],[Job_Type]] = "unemp/unskilled non res", "Unemployed", "Employed")</f>
        <v>Employed</v>
      </c>
      <c r="U447" t="s">
        <v>21</v>
      </c>
      <c r="V447" s="14" t="str" cm="1">
        <f t="array" ref="V44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47" t="s">
        <v>31</v>
      </c>
      <c r="X447" s="2" t="str">
        <f>_xlfn.XLOOKUP(Table1[[#This Row],[Loan_Credit_History]],Table4[Credit History],Table4[[ Category]])</f>
        <v>Existing Credits Paid</v>
      </c>
      <c r="Y447" s="3">
        <v>1</v>
      </c>
      <c r="Z447" s="3">
        <v>2</v>
      </c>
      <c r="AA447" s="5">
        <v>11560</v>
      </c>
      <c r="AB447" t="s">
        <v>151</v>
      </c>
      <c r="AC447" s="2" t="str" cm="1">
        <f t="array" ref="AC447">_xlfn.IFS(Table1[[#This Row],[Others_Parties]] = "No", "None",
Table1[[#This Row],[Others_Parties]] = "co applicant", "Co-applicant",
Table1[[#This Row],[Others_Parties]] = "guarantor", "Guarantor")</f>
        <v>None</v>
      </c>
      <c r="AD447" s="13" t="s">
        <v>145</v>
      </c>
      <c r="AE447" s="2" t="s">
        <v>107</v>
      </c>
      <c r="AF447" s="28" t="str" cm="1">
        <f t="array" ref="AF44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47" s="21">
        <v>24</v>
      </c>
      <c r="AH447" s="2" t="s">
        <v>153</v>
      </c>
      <c r="AI447"/>
      <c r="AZ447"/>
      <c r="BC447"/>
      <c r="BE447"/>
      <c r="BL447"/>
      <c r="BZ447"/>
      <c r="CA447"/>
      <c r="CF447"/>
      <c r="CG447"/>
      <c r="CH447"/>
      <c r="CI447"/>
      <c r="CK447"/>
      <c r="CN447"/>
    </row>
    <row r="448" spans="1:92" x14ac:dyDescent="0.3">
      <c r="A448" s="4">
        <v>446</v>
      </c>
      <c r="B448" s="11">
        <v>39</v>
      </c>
      <c r="C448" s="2" t="str">
        <f>_xlfn.XLOOKUP(Table1[[#This Row],[Age]],Table7[Start_Age],Table7[Age_Range],,-1)</f>
        <v>39-49</v>
      </c>
      <c r="D448" t="s">
        <v>130</v>
      </c>
      <c r="E448" s="2" t="s">
        <v>129</v>
      </c>
      <c r="F448" s="2" t="s">
        <v>133</v>
      </c>
      <c r="G448" s="3">
        <v>2</v>
      </c>
      <c r="H448" s="13" t="s">
        <v>152</v>
      </c>
      <c r="I448" s="2" t="str" cm="1">
        <f t="array" ref="I448">_xlfn.IFS(Table1[[#This Row],[Job_Type]] = "unskilled resident", "Resident",
Table1[[#This Row],[Job_Type]] = "unemp/unskilled non res", "Non-resident",
TRUE, "Unknown")</f>
        <v>Unknown</v>
      </c>
      <c r="J448" s="2" t="s">
        <v>148</v>
      </c>
      <c r="K448" s="3">
        <v>3</v>
      </c>
      <c r="L448" s="2" t="s">
        <v>140</v>
      </c>
      <c r="M448" s="13" t="s">
        <v>152</v>
      </c>
      <c r="N448" t="s">
        <v>30</v>
      </c>
      <c r="O448" s="2" t="str">
        <f>_xlfn.XLOOKUP(Table1[[#This Row],[Checking_Acct_Status]],Table3[Checking_Acct_Original],Table3[Category])</f>
        <v>Low Balance</v>
      </c>
      <c r="P448" s="10" t="s">
        <v>32</v>
      </c>
      <c r="Q448" s="13" t="str">
        <f>_xlfn.XLOOKUP(Table1[[#This Row],[Saving_Acct_Status]],Table5[Saving_Acct_Original],Table5[Category])</f>
        <v>Low Savings</v>
      </c>
      <c r="R448" t="s">
        <v>63</v>
      </c>
      <c r="S448" s="2" t="str">
        <f>IF(
      OR(Table1[[#This Row],[Job_Type]] = "high qualif/self emp/mgmt", Table1[[#This Row],[Job_Type]] = "skilled"),
      "Skilled", "Unskilled")</f>
        <v>Skilled</v>
      </c>
      <c r="T448" t="str">
        <f>IF(Table1[[#This Row],[Job_Type]] = "unemp/unskilled non res", "Unemployed", "Employed")</f>
        <v>Employed</v>
      </c>
      <c r="U448" t="s">
        <v>21</v>
      </c>
      <c r="V448" s="14" t="str" cm="1">
        <f t="array" ref="V44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48" t="s">
        <v>103</v>
      </c>
      <c r="X448" s="2" t="str">
        <f>_xlfn.XLOOKUP(Table1[[#This Row],[Loan_Credit_History]],Table4[Credit History],Table4[[ Category]])</f>
        <v>Critical Credit History</v>
      </c>
      <c r="Y448" s="3">
        <v>2</v>
      </c>
      <c r="Z448" s="3">
        <v>2</v>
      </c>
      <c r="AA448" s="5">
        <v>11938</v>
      </c>
      <c r="AB448" t="s">
        <v>55</v>
      </c>
      <c r="AC448" s="2" t="str" cm="1">
        <f t="array" ref="AC448">_xlfn.IFS(Table1[[#This Row],[Others_Parties]] = "No", "None",
Table1[[#This Row],[Others_Parties]] = "co applicant", "Co-applicant",
Table1[[#This Row],[Others_Parties]] = "guarantor", "Guarantor")</f>
        <v>Co-applicant</v>
      </c>
      <c r="AD448" s="13" t="s">
        <v>145</v>
      </c>
      <c r="AE448" s="2" t="s">
        <v>104</v>
      </c>
      <c r="AF448" s="28" t="str" cm="1">
        <f t="array" ref="AF44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48" s="21">
        <v>24</v>
      </c>
      <c r="AH448" s="2" t="s">
        <v>153</v>
      </c>
      <c r="AI448"/>
      <c r="AZ448"/>
      <c r="BC448"/>
      <c r="BE448"/>
      <c r="BL448"/>
      <c r="BZ448"/>
      <c r="CA448"/>
      <c r="CF448"/>
      <c r="CG448"/>
      <c r="CH448"/>
      <c r="CI448"/>
      <c r="CK448"/>
      <c r="CN448"/>
    </row>
    <row r="449" spans="1:92" x14ac:dyDescent="0.3">
      <c r="A449" s="4">
        <v>447</v>
      </c>
      <c r="B449" s="11">
        <v>44</v>
      </c>
      <c r="C449" s="2" t="str">
        <f>_xlfn.XLOOKUP(Table1[[#This Row],[Age]],Table7[Start_Age],Table7[Age_Range],,-1)</f>
        <v>39-49</v>
      </c>
      <c r="D449" t="s">
        <v>136</v>
      </c>
      <c r="E449" s="2" t="s">
        <v>131</v>
      </c>
      <c r="F449" s="2" t="s">
        <v>137</v>
      </c>
      <c r="G449" s="3">
        <v>1</v>
      </c>
      <c r="H449" s="13" t="s">
        <v>152</v>
      </c>
      <c r="I449" s="2" t="str" cm="1">
        <f t="array" ref="I449">_xlfn.IFS(Table1[[#This Row],[Job_Type]] = "unskilled resident", "Resident",
Table1[[#This Row],[Job_Type]] = "unemp/unskilled non res", "Non-resident",
TRUE, "Unknown")</f>
        <v>Unknown</v>
      </c>
      <c r="J449" s="2" t="s">
        <v>150</v>
      </c>
      <c r="K449" s="3">
        <v>2</v>
      </c>
      <c r="L449" s="2" t="s">
        <v>142</v>
      </c>
      <c r="M449" s="13" t="s">
        <v>152</v>
      </c>
      <c r="N449" t="s">
        <v>30</v>
      </c>
      <c r="O449" s="2" t="str">
        <f>_xlfn.XLOOKUP(Table1[[#This Row],[Checking_Acct_Status]],Table3[Checking_Acct_Original],Table3[Category])</f>
        <v>Low Balance</v>
      </c>
      <c r="P449" s="10" t="s">
        <v>32</v>
      </c>
      <c r="Q449" s="13" t="str">
        <f>_xlfn.XLOOKUP(Table1[[#This Row],[Saving_Acct_Status]],Table5[Saving_Acct_Original],Table5[Category])</f>
        <v>Low Savings</v>
      </c>
      <c r="R449" t="s">
        <v>63</v>
      </c>
      <c r="S449" s="2" t="str">
        <f>IF(
      OR(Table1[[#This Row],[Job_Type]] = "high qualif/self emp/mgmt", Table1[[#This Row],[Job_Type]] = "skilled"),
      "Skilled", "Unskilled")</f>
        <v>Skilled</v>
      </c>
      <c r="T449" t="str">
        <f>IF(Table1[[#This Row],[Job_Type]] = "unemp/unskilled non res", "Unemployed", "Employed")</f>
        <v>Employed</v>
      </c>
      <c r="U449" t="s">
        <v>38</v>
      </c>
      <c r="V449" s="14" t="str" cm="1">
        <f t="array" ref="V44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49" t="s">
        <v>31</v>
      </c>
      <c r="X449" s="2" t="str">
        <f>_xlfn.XLOOKUP(Table1[[#This Row],[Loan_Credit_History]],Table4[Credit History],Table4[[ Category]])</f>
        <v>Existing Credits Paid</v>
      </c>
      <c r="Y449" s="3">
        <v>4</v>
      </c>
      <c r="Z449" s="3">
        <v>1</v>
      </c>
      <c r="AA449" s="5">
        <v>12579</v>
      </c>
      <c r="AB449" t="s">
        <v>151</v>
      </c>
      <c r="AC449" s="2" t="str" cm="1">
        <f t="array" ref="AC449">_xlfn.IFS(Table1[[#This Row],[Others_Parties]] = "No", "None",
Table1[[#This Row],[Others_Parties]] = "co applicant", "Co-applicant",
Table1[[#This Row],[Others_Parties]] = "guarantor", "Guarantor")</f>
        <v>None</v>
      </c>
      <c r="AD449" s="13" t="s">
        <v>145</v>
      </c>
      <c r="AE449" s="2" t="s">
        <v>107</v>
      </c>
      <c r="AF449" s="28" t="str" cm="1">
        <f t="array" ref="AF44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49" s="21">
        <v>24</v>
      </c>
      <c r="AH449" s="2" t="s">
        <v>153</v>
      </c>
      <c r="AI449"/>
      <c r="AZ449"/>
      <c r="BC449"/>
      <c r="BE449"/>
      <c r="BL449"/>
      <c r="BZ449"/>
      <c r="CA449"/>
      <c r="CF449"/>
      <c r="CG449"/>
      <c r="CH449"/>
      <c r="CI449"/>
      <c r="CK449"/>
      <c r="CN449"/>
    </row>
    <row r="450" spans="1:92" x14ac:dyDescent="0.3">
      <c r="A450" s="4">
        <v>448</v>
      </c>
      <c r="B450" s="11">
        <v>25</v>
      </c>
      <c r="C450" s="2" t="str">
        <f>_xlfn.XLOOKUP(Table1[[#This Row],[Age]],Table7[Start_Age],Table7[Age_Range],,-1)</f>
        <v>19-29</v>
      </c>
      <c r="D450" t="s">
        <v>136</v>
      </c>
      <c r="E450" s="2" t="s">
        <v>131</v>
      </c>
      <c r="F450" s="2" t="s">
        <v>137</v>
      </c>
      <c r="G450" s="3">
        <v>1</v>
      </c>
      <c r="H450" s="13" t="s">
        <v>152</v>
      </c>
      <c r="I450" s="2" t="str" cm="1">
        <f t="array" ref="I450">_xlfn.IFS(Table1[[#This Row],[Job_Type]] = "unskilled resident", "Resident",
Table1[[#This Row],[Job_Type]] = "unemp/unskilled non res", "Non-resident",
TRUE, "Unknown")</f>
        <v>Unknown</v>
      </c>
      <c r="J450" s="2" t="s">
        <v>149</v>
      </c>
      <c r="K450" s="3">
        <v>4</v>
      </c>
      <c r="L450" s="2" t="s">
        <v>143</v>
      </c>
      <c r="M450" s="13" t="s">
        <v>151</v>
      </c>
      <c r="N450" t="s">
        <v>17</v>
      </c>
      <c r="O450" s="2" t="str">
        <f>_xlfn.XLOOKUP(Table1[[#This Row],[Checking_Acct_Status]],Table3[Checking_Acct_Original],Table3[Category])</f>
        <v>No Account</v>
      </c>
      <c r="P450" s="10" t="s">
        <v>47</v>
      </c>
      <c r="Q450" s="13" t="str">
        <f>_xlfn.XLOOKUP(Table1[[#This Row],[Saving_Acct_Status]],Table5[Saving_Acct_Original],Table5[Category])</f>
        <v>No Savings</v>
      </c>
      <c r="R450" t="s">
        <v>41</v>
      </c>
      <c r="S450" s="2" t="str">
        <f>IF(
      OR(Table1[[#This Row],[Job_Type]] = "high qualif/self emp/mgmt", Table1[[#This Row],[Job_Type]] = "skilled"),
      "Skilled", "Unskilled")</f>
        <v>Skilled</v>
      </c>
      <c r="T450" t="str">
        <f>IF(Table1[[#This Row],[Job_Type]] = "unemp/unskilled non res", "Unemployed", "Employed")</f>
        <v>Employed</v>
      </c>
      <c r="U450" t="s">
        <v>49</v>
      </c>
      <c r="V450" s="14" t="str" cm="1">
        <f t="array" ref="V45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50" t="s">
        <v>31</v>
      </c>
      <c r="X450" s="2" t="str">
        <f>_xlfn.XLOOKUP(Table1[[#This Row],[Loan_Credit_History]],Table4[Credit History],Table4[[ Category]])</f>
        <v>Existing Credits Paid</v>
      </c>
      <c r="Y450" s="3">
        <v>4</v>
      </c>
      <c r="Z450" s="3">
        <v>1</v>
      </c>
      <c r="AA450" s="5">
        <v>1283</v>
      </c>
      <c r="AB450" t="s">
        <v>151</v>
      </c>
      <c r="AC450" s="2" t="str" cm="1">
        <f t="array" ref="AC450">_xlfn.IFS(Table1[[#This Row],[Others_Parties]] = "No", "None",
Table1[[#This Row],[Others_Parties]] = "co applicant", "Co-applicant",
Table1[[#This Row],[Others_Parties]] = "guarantor", "Guarantor")</f>
        <v>None</v>
      </c>
      <c r="AD450" s="13" t="s">
        <v>145</v>
      </c>
      <c r="AE450" s="2" t="s">
        <v>141</v>
      </c>
      <c r="AF450" s="28" t="str" cm="1">
        <f t="array" ref="AF45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50" s="21">
        <v>22</v>
      </c>
      <c r="AH450" s="2" t="s">
        <v>154</v>
      </c>
      <c r="AI450"/>
      <c r="AZ450"/>
      <c r="BC450"/>
      <c r="BE450"/>
      <c r="BL450"/>
      <c r="BZ450"/>
      <c r="CA450"/>
      <c r="CF450"/>
      <c r="CG450"/>
      <c r="CH450"/>
      <c r="CI450"/>
      <c r="CK450"/>
      <c r="CN450"/>
    </row>
    <row r="451" spans="1:92" x14ac:dyDescent="0.3">
      <c r="A451" s="4">
        <v>449</v>
      </c>
      <c r="B451" s="11">
        <v>40</v>
      </c>
      <c r="C451" s="2" t="str">
        <f>_xlfn.XLOOKUP(Table1[[#This Row],[Age]],Table7[Start_Age],Table7[Age_Range],,-1)</f>
        <v>39-49</v>
      </c>
      <c r="D451" t="s">
        <v>130</v>
      </c>
      <c r="E451" s="2" t="s">
        <v>129</v>
      </c>
      <c r="F451" s="2" t="s">
        <v>133</v>
      </c>
      <c r="G451" s="3">
        <v>1</v>
      </c>
      <c r="H451" s="13" t="s">
        <v>152</v>
      </c>
      <c r="I451" s="2" t="str" cm="1">
        <f t="array" ref="I451">_xlfn.IFS(Table1[[#This Row],[Job_Type]] = "unskilled resident", "Resident",
Table1[[#This Row],[Job_Type]] = "unemp/unskilled non res", "Non-resident",
TRUE, "Unknown")</f>
        <v>Unknown</v>
      </c>
      <c r="J451" s="2" t="s">
        <v>148</v>
      </c>
      <c r="K451" s="3">
        <v>4</v>
      </c>
      <c r="L451" s="2" t="s">
        <v>140</v>
      </c>
      <c r="M451" s="13" t="s">
        <v>151</v>
      </c>
      <c r="N451" t="s">
        <v>17</v>
      </c>
      <c r="O451" s="2" t="str">
        <f>_xlfn.XLOOKUP(Table1[[#This Row],[Checking_Acct_Status]],Table3[Checking_Acct_Original],Table3[Category])</f>
        <v>No Account</v>
      </c>
      <c r="P451" s="10" t="s">
        <v>37</v>
      </c>
      <c r="Q451" s="13" t="str">
        <f>_xlfn.XLOOKUP(Table1[[#This Row],[Saving_Acct_Status]],Table5[Saving_Acct_Original],Table5[Category])</f>
        <v>High Savings</v>
      </c>
      <c r="R451" t="s">
        <v>41</v>
      </c>
      <c r="S451" s="2" t="str">
        <f>IF(
      OR(Table1[[#This Row],[Job_Type]] = "high qualif/self emp/mgmt", Table1[[#This Row],[Job_Type]] = "skilled"),
      "Skilled", "Unskilled")</f>
        <v>Skilled</v>
      </c>
      <c r="T451" t="str">
        <f>IF(Table1[[#This Row],[Job_Type]] = "unemp/unskilled non res", "Unemployed", "Employed")</f>
        <v>Employed</v>
      </c>
      <c r="U451" t="s">
        <v>38</v>
      </c>
      <c r="V451" s="14" t="str" cm="1">
        <f t="array" ref="V45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51" t="s">
        <v>31</v>
      </c>
      <c r="X451" s="2" t="str">
        <f>_xlfn.XLOOKUP(Table1[[#This Row],[Loan_Credit_History]],Table4[Credit History],Table4[[ Category]])</f>
        <v>Existing Credits Paid</v>
      </c>
      <c r="Y451" s="3">
        <v>3</v>
      </c>
      <c r="Z451" s="3">
        <v>1</v>
      </c>
      <c r="AA451" s="5">
        <v>2675</v>
      </c>
      <c r="AB451" t="s">
        <v>151</v>
      </c>
      <c r="AC451" s="2" t="str" cm="1">
        <f t="array" ref="AC451">_xlfn.IFS(Table1[[#This Row],[Others_Parties]] = "No", "None",
Table1[[#This Row],[Others_Parties]] = "co applicant", "Co-applicant",
Table1[[#This Row],[Others_Parties]] = "guarantor", "Guarantor")</f>
        <v>None</v>
      </c>
      <c r="AD451" s="13" t="s">
        <v>145</v>
      </c>
      <c r="AE451" s="2" t="s">
        <v>111</v>
      </c>
      <c r="AF451" s="28" t="str" cm="1">
        <f t="array" ref="AF45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51" s="21">
        <v>22</v>
      </c>
      <c r="AH451" s="2" t="s">
        <v>154</v>
      </c>
      <c r="AI451"/>
      <c r="AZ451"/>
      <c r="BC451"/>
      <c r="BE451"/>
      <c r="BL451"/>
      <c r="BZ451"/>
      <c r="CA451"/>
      <c r="CF451"/>
      <c r="CG451"/>
      <c r="CH451"/>
      <c r="CI451"/>
      <c r="CK451"/>
      <c r="CN451"/>
    </row>
    <row r="452" spans="1:92" x14ac:dyDescent="0.3">
      <c r="A452" s="4">
        <v>450</v>
      </c>
      <c r="B452" s="11">
        <v>65</v>
      </c>
      <c r="C452" s="2" t="str">
        <f>_xlfn.XLOOKUP(Table1[[#This Row],[Age]],Table7[Start_Age],Table7[Age_Range],,-1)</f>
        <v>59-69</v>
      </c>
      <c r="D452" t="s">
        <v>130</v>
      </c>
      <c r="E452" s="2" t="s">
        <v>129</v>
      </c>
      <c r="F452" s="2" t="s">
        <v>133</v>
      </c>
      <c r="G452" s="3">
        <v>1</v>
      </c>
      <c r="H452" s="13" t="s">
        <v>152</v>
      </c>
      <c r="I452" s="2" t="str" cm="1">
        <f t="array" ref="I452">_xlfn.IFS(Table1[[#This Row],[Job_Type]] = "unskilled resident", "Resident",
Table1[[#This Row],[Job_Type]] = "unemp/unskilled non res", "Non-resident",
TRUE, "Unknown")</f>
        <v>Unknown</v>
      </c>
      <c r="J452" s="2" t="s">
        <v>148</v>
      </c>
      <c r="K452" s="3">
        <v>4</v>
      </c>
      <c r="L452" s="2" t="s">
        <v>144</v>
      </c>
      <c r="M452" s="13" t="s">
        <v>151</v>
      </c>
      <c r="N452" t="s">
        <v>35</v>
      </c>
      <c r="O452" s="2" t="str">
        <f>_xlfn.XLOOKUP(Table1[[#This Row],[Checking_Acct_Status]],Table3[Checking_Acct_Original],Table3[Category])</f>
        <v>Negative Balance</v>
      </c>
      <c r="P452" s="10" t="s">
        <v>32</v>
      </c>
      <c r="Q452" s="13" t="str">
        <f>_xlfn.XLOOKUP(Table1[[#This Row],[Saving_Acct_Status]],Table5[Saving_Acct_Original],Table5[Category])</f>
        <v>Low Savings</v>
      </c>
      <c r="R452" t="s">
        <v>41</v>
      </c>
      <c r="S452" s="2" t="str">
        <f>IF(
      OR(Table1[[#This Row],[Job_Type]] = "high qualif/self emp/mgmt", Table1[[#This Row],[Job_Type]] = "skilled"),
      "Skilled", "Unskilled")</f>
        <v>Skilled</v>
      </c>
      <c r="T452" t="str">
        <f>IF(Table1[[#This Row],[Job_Type]] = "unemp/unskilled non res", "Unemployed", "Employed")</f>
        <v>Employed</v>
      </c>
      <c r="U452" t="s">
        <v>38</v>
      </c>
      <c r="V452" s="14" t="str" cm="1">
        <f t="array" ref="V45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52" t="s">
        <v>103</v>
      </c>
      <c r="X452" s="2" t="str">
        <f>_xlfn.XLOOKUP(Table1[[#This Row],[Loan_Credit_History]],Table4[Credit History],Table4[[ Category]])</f>
        <v>Critical Credit History</v>
      </c>
      <c r="Y452" s="3">
        <v>4</v>
      </c>
      <c r="Z452" s="3">
        <v>2</v>
      </c>
      <c r="AA452" s="5">
        <v>571</v>
      </c>
      <c r="AB452" t="s">
        <v>151</v>
      </c>
      <c r="AC452" s="2" t="str" cm="1">
        <f t="array" ref="AC452">_xlfn.IFS(Table1[[#This Row],[Others_Parties]] = "No", "None",
Table1[[#This Row],[Others_Parties]] = "co applicant", "Co-applicant",
Table1[[#This Row],[Others_Parties]] = "guarantor", "Guarantor")</f>
        <v>None</v>
      </c>
      <c r="AD452" s="13" t="s">
        <v>145</v>
      </c>
      <c r="AE452" s="2" t="s">
        <v>141</v>
      </c>
      <c r="AF452" s="28" t="str" cm="1">
        <f t="array" ref="AF45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52" s="21">
        <v>21</v>
      </c>
      <c r="AH452" s="2" t="s">
        <v>154</v>
      </c>
      <c r="AI452"/>
      <c r="AZ452"/>
      <c r="BC452"/>
      <c r="BE452"/>
      <c r="BL452"/>
      <c r="BZ452"/>
      <c r="CA452"/>
      <c r="CF452"/>
      <c r="CG452"/>
      <c r="CH452"/>
      <c r="CI452"/>
      <c r="CK452"/>
      <c r="CN452"/>
    </row>
    <row r="453" spans="1:92" x14ac:dyDescent="0.3">
      <c r="A453" s="4">
        <v>451</v>
      </c>
      <c r="B453" s="11">
        <v>39</v>
      </c>
      <c r="C453" s="2" t="str">
        <f>_xlfn.XLOOKUP(Table1[[#This Row],[Age]],Table7[Start_Age],Table7[Age_Range],,-1)</f>
        <v>39-49</v>
      </c>
      <c r="D453" t="s">
        <v>136</v>
      </c>
      <c r="E453" s="2" t="s">
        <v>131</v>
      </c>
      <c r="F453" s="2" t="s">
        <v>137</v>
      </c>
      <c r="G453" s="3">
        <v>2</v>
      </c>
      <c r="H453" s="13" t="s">
        <v>152</v>
      </c>
      <c r="I453" s="2" t="str" cm="1">
        <f t="array" ref="I453">_xlfn.IFS(Table1[[#This Row],[Job_Type]] = "unskilled resident", "Resident",
Table1[[#This Row],[Job_Type]] = "unemp/unskilled non res", "Non-resident",
TRUE, "Unknown")</f>
        <v>Unknown</v>
      </c>
      <c r="J453" s="2" t="s">
        <v>148</v>
      </c>
      <c r="K453" s="3">
        <v>4</v>
      </c>
      <c r="L453" s="2" t="s">
        <v>143</v>
      </c>
      <c r="M453" s="13" t="s">
        <v>151</v>
      </c>
      <c r="N453" t="s">
        <v>30</v>
      </c>
      <c r="O453" s="2" t="str">
        <f>_xlfn.XLOOKUP(Table1[[#This Row],[Checking_Acct_Status]],Table3[Checking_Acct_Original],Table3[Category])</f>
        <v>Low Balance</v>
      </c>
      <c r="P453" s="10" t="s">
        <v>32</v>
      </c>
      <c r="Q453" s="13" t="str">
        <f>_xlfn.XLOOKUP(Table1[[#This Row],[Saving_Acct_Status]],Table5[Saving_Acct_Original],Table5[Category])</f>
        <v>Low Savings</v>
      </c>
      <c r="R453" t="s">
        <v>41</v>
      </c>
      <c r="S453" s="2" t="str">
        <f>IF(
      OR(Table1[[#This Row],[Job_Type]] = "high qualif/self emp/mgmt", Table1[[#This Row],[Job_Type]] = "skilled"),
      "Skilled", "Unskilled")</f>
        <v>Skilled</v>
      </c>
      <c r="T453" t="str">
        <f>IF(Table1[[#This Row],[Job_Type]] = "unemp/unskilled non res", "Unemployed", "Employed")</f>
        <v>Employed</v>
      </c>
      <c r="U453" t="s">
        <v>38</v>
      </c>
      <c r="V453" s="14" t="str" cm="1">
        <f t="array" ref="V45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53" t="s">
        <v>31</v>
      </c>
      <c r="X453" s="2" t="str">
        <f>_xlfn.XLOOKUP(Table1[[#This Row],[Loan_Credit_History]],Table4[Credit History],Table4[[ Category]])</f>
        <v>Existing Credits Paid</v>
      </c>
      <c r="Y453" s="3">
        <v>2</v>
      </c>
      <c r="Z453" s="3">
        <v>1</v>
      </c>
      <c r="AA453" s="5">
        <v>1188</v>
      </c>
      <c r="AB453" t="s">
        <v>151</v>
      </c>
      <c r="AC453" s="2" t="str" cm="1">
        <f t="array" ref="AC453">_xlfn.IFS(Table1[[#This Row],[Others_Parties]] = "No", "None",
Table1[[#This Row],[Others_Parties]] = "co applicant", "Co-applicant",
Table1[[#This Row],[Others_Parties]] = "guarantor", "Guarantor")</f>
        <v>None</v>
      </c>
      <c r="AD453" s="13" t="s">
        <v>145</v>
      </c>
      <c r="AE453" s="2" t="s">
        <v>105</v>
      </c>
      <c r="AF453" s="28" t="str" cm="1">
        <f t="array" ref="AF45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53" s="21">
        <v>21</v>
      </c>
      <c r="AH453" s="2" t="s">
        <v>153</v>
      </c>
      <c r="AI453"/>
      <c r="AZ453"/>
      <c r="BC453"/>
      <c r="BE453"/>
      <c r="BL453"/>
      <c r="BZ453"/>
      <c r="CA453"/>
      <c r="CF453"/>
      <c r="CG453"/>
      <c r="CH453"/>
      <c r="CI453"/>
      <c r="CK453"/>
      <c r="CN453"/>
    </row>
    <row r="454" spans="1:92" x14ac:dyDescent="0.3">
      <c r="A454" s="4">
        <v>452</v>
      </c>
      <c r="B454" s="11">
        <v>36</v>
      </c>
      <c r="C454" s="2" t="str">
        <f>_xlfn.XLOOKUP(Table1[[#This Row],[Age]],Table7[Start_Age],Table7[Age_Range],,-1)</f>
        <v>29-39</v>
      </c>
      <c r="D454" t="s">
        <v>136</v>
      </c>
      <c r="E454" s="2" t="s">
        <v>131</v>
      </c>
      <c r="F454" s="2" t="s">
        <v>137</v>
      </c>
      <c r="G454" s="3">
        <v>1</v>
      </c>
      <c r="H454" s="13" t="s">
        <v>152</v>
      </c>
      <c r="I454" s="2" t="str" cm="1">
        <f t="array" ref="I454">_xlfn.IFS(Table1[[#This Row],[Job_Type]] = "unskilled resident", "Resident",
Table1[[#This Row],[Job_Type]] = "unemp/unskilled non res", "Non-resident",
TRUE, "Unknown")</f>
        <v>Resident</v>
      </c>
      <c r="J454" s="2" t="s">
        <v>148</v>
      </c>
      <c r="K454" s="3">
        <v>4</v>
      </c>
      <c r="L454" s="2" t="s">
        <v>144</v>
      </c>
      <c r="M454" s="13" t="s">
        <v>151</v>
      </c>
      <c r="N454" t="s">
        <v>17</v>
      </c>
      <c r="O454" s="2" t="str">
        <f>_xlfn.XLOOKUP(Table1[[#This Row],[Checking_Acct_Status]],Table3[Checking_Acct_Original],Table3[Category])</f>
        <v>No Account</v>
      </c>
      <c r="P454" s="10" t="s">
        <v>20</v>
      </c>
      <c r="Q454" s="13" t="str">
        <f>_xlfn.XLOOKUP(Table1[[#This Row],[Saving_Acct_Status]],Table5[Saving_Acct_Original],Table5[Category])</f>
        <v>Very High Savings</v>
      </c>
      <c r="R454" t="s">
        <v>27</v>
      </c>
      <c r="S454" s="2" t="str">
        <f>IF(
      OR(Table1[[#This Row],[Job_Type]] = "high qualif/self emp/mgmt", Table1[[#This Row],[Job_Type]] = "skilled"),
      "Skilled", "Unskilled")</f>
        <v>Unskilled</v>
      </c>
      <c r="T454" t="str">
        <f>IF(Table1[[#This Row],[Job_Type]] = "unemp/unskilled non res", "Unemployed", "Employed")</f>
        <v>Employed</v>
      </c>
      <c r="U454" t="s">
        <v>38</v>
      </c>
      <c r="V454" s="14" t="str" cm="1">
        <f t="array" ref="V45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54" t="s">
        <v>31</v>
      </c>
      <c r="X454" s="2" t="str">
        <f>_xlfn.XLOOKUP(Table1[[#This Row],[Loan_Credit_History]],Table4[Credit History],Table4[[ Category]])</f>
        <v>Existing Credits Paid</v>
      </c>
      <c r="Y454" s="3">
        <v>4</v>
      </c>
      <c r="Z454" s="3">
        <v>1</v>
      </c>
      <c r="AA454" s="5">
        <v>1572</v>
      </c>
      <c r="AB454" t="s">
        <v>151</v>
      </c>
      <c r="AC454" s="2" t="str" cm="1">
        <f t="array" ref="AC454">_xlfn.IFS(Table1[[#This Row],[Others_Parties]] = "No", "None",
Table1[[#This Row],[Others_Parties]] = "co applicant", "Co-applicant",
Table1[[#This Row],[Others_Parties]] = "guarantor", "Guarantor")</f>
        <v>None</v>
      </c>
      <c r="AD454" s="13" t="s">
        <v>146</v>
      </c>
      <c r="AE454" s="2" t="s">
        <v>105</v>
      </c>
      <c r="AF454" s="28" t="str" cm="1">
        <f t="array" ref="AF45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54" s="21">
        <v>21</v>
      </c>
      <c r="AH454" s="2" t="s">
        <v>154</v>
      </c>
      <c r="AI454"/>
      <c r="AZ454"/>
      <c r="BC454"/>
      <c r="BE454"/>
      <c r="BL454"/>
      <c r="BZ454"/>
      <c r="CA454"/>
      <c r="CF454"/>
      <c r="CG454"/>
      <c r="CH454"/>
      <c r="CI454"/>
      <c r="CK454"/>
      <c r="CN454"/>
    </row>
    <row r="455" spans="1:92" x14ac:dyDescent="0.3">
      <c r="A455" s="4">
        <v>453</v>
      </c>
      <c r="B455" s="11">
        <v>34</v>
      </c>
      <c r="C455" s="2" t="str">
        <f>_xlfn.XLOOKUP(Table1[[#This Row],[Age]],Table7[Start_Age],Table7[Age_Range],,-1)</f>
        <v>29-39</v>
      </c>
      <c r="D455" t="s">
        <v>130</v>
      </c>
      <c r="E455" s="2" t="s">
        <v>129</v>
      </c>
      <c r="F455" s="2" t="s">
        <v>133</v>
      </c>
      <c r="G455" s="3">
        <v>1</v>
      </c>
      <c r="H455" s="13" t="s">
        <v>152</v>
      </c>
      <c r="I455" s="2" t="str" cm="1">
        <f t="array" ref="I455">_xlfn.IFS(Table1[[#This Row],[Job_Type]] = "unskilled resident", "Resident",
Table1[[#This Row],[Job_Type]] = "unemp/unskilled non res", "Non-resident",
TRUE, "Unknown")</f>
        <v>Unknown</v>
      </c>
      <c r="J455" s="2" t="s">
        <v>148</v>
      </c>
      <c r="K455" s="3">
        <v>3</v>
      </c>
      <c r="L455" s="2" t="s">
        <v>144</v>
      </c>
      <c r="M455" s="13" t="s">
        <v>151</v>
      </c>
      <c r="N455" t="s">
        <v>17</v>
      </c>
      <c r="O455" s="2" t="str">
        <f>_xlfn.XLOOKUP(Table1[[#This Row],[Checking_Acct_Status]],Table3[Checking_Acct_Original],Table3[Category])</f>
        <v>No Account</v>
      </c>
      <c r="P455" s="10" t="s">
        <v>46</v>
      </c>
      <c r="Q455" s="13" t="str">
        <f>_xlfn.XLOOKUP(Table1[[#This Row],[Saving_Acct_Status]],Table5[Saving_Acct_Original],Table5[Category])</f>
        <v>Medium Savings</v>
      </c>
      <c r="R455" t="s">
        <v>63</v>
      </c>
      <c r="S455" s="2" t="str">
        <f>IF(
      OR(Table1[[#This Row],[Job_Type]] = "high qualif/self emp/mgmt", Table1[[#This Row],[Job_Type]] = "skilled"),
      "Skilled", "Unskilled")</f>
        <v>Skilled</v>
      </c>
      <c r="T455" t="str">
        <f>IF(Table1[[#This Row],[Job_Type]] = "unemp/unskilled non res", "Unemployed", "Employed")</f>
        <v>Employed</v>
      </c>
      <c r="U455" t="s">
        <v>49</v>
      </c>
      <c r="V455" s="14" t="str" cm="1">
        <f t="array" ref="V45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55" t="s">
        <v>59</v>
      </c>
      <c r="X455" s="2" t="str">
        <f>_xlfn.XLOOKUP(Table1[[#This Row],[Loan_Credit_History]],Table4[Credit History],Table4[[ Category]])</f>
        <v>Previously Delayed</v>
      </c>
      <c r="Y455" s="3">
        <v>4</v>
      </c>
      <c r="Z455" s="3">
        <v>2</v>
      </c>
      <c r="AA455" s="5">
        <v>1591</v>
      </c>
      <c r="AB455" t="s">
        <v>151</v>
      </c>
      <c r="AC455" s="2" t="str" cm="1">
        <f t="array" ref="AC455">_xlfn.IFS(Table1[[#This Row],[Others_Parties]] = "No", "None",
Table1[[#This Row],[Others_Parties]] = "co applicant", "Co-applicant",
Table1[[#This Row],[Others_Parties]] = "guarantor", "Guarantor")</f>
        <v>None</v>
      </c>
      <c r="AD455" s="13" t="s">
        <v>145</v>
      </c>
      <c r="AE455" s="2" t="s">
        <v>108</v>
      </c>
      <c r="AF455" s="28" t="str" cm="1">
        <f t="array" ref="AF45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55" s="21">
        <v>21</v>
      </c>
      <c r="AH455" s="2" t="s">
        <v>154</v>
      </c>
      <c r="AI455"/>
      <c r="AZ455"/>
      <c r="BC455"/>
      <c r="BE455"/>
      <c r="BL455"/>
      <c r="BZ455"/>
      <c r="CA455"/>
      <c r="CF455"/>
      <c r="CG455"/>
      <c r="CH455"/>
      <c r="CI455"/>
      <c r="CK455"/>
      <c r="CN455"/>
    </row>
    <row r="456" spans="1:92" x14ac:dyDescent="0.3">
      <c r="A456" s="4">
        <v>454</v>
      </c>
      <c r="B456" s="11">
        <v>30</v>
      </c>
      <c r="C456" s="2" t="str">
        <f>_xlfn.XLOOKUP(Table1[[#This Row],[Age]],Table7[Start_Age],Table7[Age_Range],,-1)</f>
        <v>29-39</v>
      </c>
      <c r="D456" t="s">
        <v>134</v>
      </c>
      <c r="E456" s="2" t="s">
        <v>129</v>
      </c>
      <c r="F456" s="2" t="s">
        <v>135</v>
      </c>
      <c r="G456" s="3">
        <v>1</v>
      </c>
      <c r="H456" s="13" t="s">
        <v>152</v>
      </c>
      <c r="I456" s="2" t="str" cm="1">
        <f t="array" ref="I456">_xlfn.IFS(Table1[[#This Row],[Job_Type]] = "unskilled resident", "Resident",
Table1[[#This Row],[Job_Type]] = "unemp/unskilled non res", "Non-resident",
TRUE, "Unknown")</f>
        <v>Unknown</v>
      </c>
      <c r="J456" s="2" t="s">
        <v>148</v>
      </c>
      <c r="K456" s="3">
        <v>3</v>
      </c>
      <c r="L456" s="2" t="s">
        <v>140</v>
      </c>
      <c r="M456" s="13" t="s">
        <v>152</v>
      </c>
      <c r="N456" t="s">
        <v>35</v>
      </c>
      <c r="O456" s="2" t="str">
        <f>_xlfn.XLOOKUP(Table1[[#This Row],[Checking_Acct_Status]],Table3[Checking_Acct_Original],Table3[Category])</f>
        <v>Negative Balance</v>
      </c>
      <c r="P456" s="10" t="s">
        <v>32</v>
      </c>
      <c r="Q456" s="13" t="str">
        <f>_xlfn.XLOOKUP(Table1[[#This Row],[Saving_Acct_Status]],Table5[Saving_Acct_Original],Table5[Category])</f>
        <v>Low Savings</v>
      </c>
      <c r="R456" t="s">
        <v>41</v>
      </c>
      <c r="S456" s="2" t="str">
        <f>IF(
      OR(Table1[[#This Row],[Job_Type]] = "high qualif/self emp/mgmt", Table1[[#This Row],[Job_Type]] = "skilled"),
      "Skilled", "Unskilled")</f>
        <v>Skilled</v>
      </c>
      <c r="T456" t="str">
        <f>IF(Table1[[#This Row],[Job_Type]] = "unemp/unskilled non res", "Unemployed", "Employed")</f>
        <v>Employed</v>
      </c>
      <c r="U456" t="s">
        <v>38</v>
      </c>
      <c r="V456" s="14" t="str" cm="1">
        <f t="array" ref="V45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56" t="s">
        <v>103</v>
      </c>
      <c r="X456" s="2" t="str">
        <f>_xlfn.XLOOKUP(Table1[[#This Row],[Loan_Credit_History]],Table4[Credit History],Table4[[ Category]])</f>
        <v>Critical Credit History</v>
      </c>
      <c r="Y456" s="3">
        <v>4</v>
      </c>
      <c r="Z456" s="3">
        <v>2</v>
      </c>
      <c r="AA456" s="5">
        <v>1602</v>
      </c>
      <c r="AB456" t="s">
        <v>151</v>
      </c>
      <c r="AC456" s="2" t="str" cm="1">
        <f t="array" ref="AC456">_xlfn.IFS(Table1[[#This Row],[Others_Parties]] = "No", "None",
Table1[[#This Row],[Others_Parties]] = "co applicant", "Co-applicant",
Table1[[#This Row],[Others_Parties]] = "guarantor", "Guarantor")</f>
        <v>None</v>
      </c>
      <c r="AD456" s="13" t="s">
        <v>145</v>
      </c>
      <c r="AE456" s="2" t="s">
        <v>141</v>
      </c>
      <c r="AF456" s="28" t="str" cm="1">
        <f t="array" ref="AF45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56" s="21">
        <v>21</v>
      </c>
      <c r="AH456" s="2" t="s">
        <v>154</v>
      </c>
      <c r="AI456"/>
      <c r="AZ456"/>
      <c r="BC456"/>
      <c r="BE456"/>
      <c r="BL456"/>
      <c r="BZ456"/>
      <c r="CA456"/>
      <c r="CF456"/>
      <c r="CG456"/>
      <c r="CH456"/>
      <c r="CI456"/>
      <c r="CK456"/>
      <c r="CN456"/>
    </row>
    <row r="457" spans="1:92" x14ac:dyDescent="0.3">
      <c r="A457" s="4">
        <v>455</v>
      </c>
      <c r="B457" s="11">
        <v>40</v>
      </c>
      <c r="C457" s="2" t="str">
        <f>_xlfn.XLOOKUP(Table1[[#This Row],[Age]],Table7[Start_Age],Table7[Age_Range],,-1)</f>
        <v>39-49</v>
      </c>
      <c r="D457" t="s">
        <v>130</v>
      </c>
      <c r="E457" s="2" t="s">
        <v>129</v>
      </c>
      <c r="F457" s="2" t="s">
        <v>133</v>
      </c>
      <c r="G457" s="3">
        <v>2</v>
      </c>
      <c r="H457" s="13" t="s">
        <v>152</v>
      </c>
      <c r="I457" s="2" t="str" cm="1">
        <f t="array" ref="I457">_xlfn.IFS(Table1[[#This Row],[Job_Type]] = "unskilled resident", "Resident",
Table1[[#This Row],[Job_Type]] = "unemp/unskilled non res", "Non-resident",
TRUE, "Unknown")</f>
        <v>Resident</v>
      </c>
      <c r="J457" s="2" t="s">
        <v>148</v>
      </c>
      <c r="K457" s="3">
        <v>2</v>
      </c>
      <c r="L457" s="2" t="s">
        <v>143</v>
      </c>
      <c r="M457" s="13" t="s">
        <v>151</v>
      </c>
      <c r="N457" t="s">
        <v>35</v>
      </c>
      <c r="O457" s="2" t="str">
        <f>_xlfn.XLOOKUP(Table1[[#This Row],[Checking_Acct_Status]],Table3[Checking_Acct_Original],Table3[Category])</f>
        <v>Negative Balance</v>
      </c>
      <c r="P457" s="10" t="s">
        <v>47</v>
      </c>
      <c r="Q457" s="13" t="str">
        <f>_xlfn.XLOOKUP(Table1[[#This Row],[Saving_Acct_Status]],Table5[Saving_Acct_Original],Table5[Category])</f>
        <v>No Savings</v>
      </c>
      <c r="R457" t="s">
        <v>27</v>
      </c>
      <c r="S457" s="2" t="str">
        <f>IF(
      OR(Table1[[#This Row],[Job_Type]] = "high qualif/self emp/mgmt", Table1[[#This Row],[Job_Type]] = "skilled"),
      "Skilled", "Unskilled")</f>
        <v>Unskilled</v>
      </c>
      <c r="T457" t="str">
        <f>IF(Table1[[#This Row],[Job_Type]] = "unemp/unskilled non res", "Unemployed", "Employed")</f>
        <v>Employed</v>
      </c>
      <c r="U457" t="s">
        <v>21</v>
      </c>
      <c r="V457" s="14" t="str" cm="1">
        <f t="array" ref="V45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57" t="s">
        <v>42</v>
      </c>
      <c r="X457" s="2" t="str">
        <f>_xlfn.XLOOKUP(Table1[[#This Row],[Loan_Credit_History]],Table4[Credit History],Table4[[ Category]])</f>
        <v>All Paid</v>
      </c>
      <c r="Y457" s="3">
        <v>4</v>
      </c>
      <c r="Z457" s="3">
        <v>2</v>
      </c>
      <c r="AA457" s="5">
        <v>1647</v>
      </c>
      <c r="AB457" t="s">
        <v>151</v>
      </c>
      <c r="AC457" s="2" t="str" cm="1">
        <f t="array" ref="AC457">_xlfn.IFS(Table1[[#This Row],[Others_Parties]] = "No", "None",
Table1[[#This Row],[Others_Parties]] = "co applicant", "Co-applicant",
Table1[[#This Row],[Others_Parties]] = "guarantor", "Guarantor")</f>
        <v>None</v>
      </c>
      <c r="AD457" s="13" t="s">
        <v>145</v>
      </c>
      <c r="AE457" s="2" t="s">
        <v>141</v>
      </c>
      <c r="AF457" s="28" t="str" cm="1">
        <f t="array" ref="AF45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57" s="21">
        <v>21</v>
      </c>
      <c r="AH457" s="2" t="s">
        <v>153</v>
      </c>
      <c r="AI457"/>
      <c r="AZ457"/>
      <c r="BC457"/>
      <c r="BE457"/>
      <c r="BL457"/>
      <c r="BZ457"/>
      <c r="CA457"/>
      <c r="CF457"/>
      <c r="CG457"/>
      <c r="CH457"/>
      <c r="CI457"/>
      <c r="CK457"/>
      <c r="CN457"/>
    </row>
    <row r="458" spans="1:92" x14ac:dyDescent="0.3">
      <c r="A458" s="4">
        <v>456</v>
      </c>
      <c r="B458" s="11">
        <v>25</v>
      </c>
      <c r="C458" s="2" t="str">
        <f>_xlfn.XLOOKUP(Table1[[#This Row],[Age]],Table7[Start_Age],Table7[Age_Range],,-1)</f>
        <v>19-29</v>
      </c>
      <c r="D458" t="s">
        <v>136</v>
      </c>
      <c r="E458" s="2" t="s">
        <v>131</v>
      </c>
      <c r="F458" s="2" t="s">
        <v>137</v>
      </c>
      <c r="G458" s="3">
        <v>1</v>
      </c>
      <c r="H458" s="13" t="s">
        <v>152</v>
      </c>
      <c r="I458" s="2" t="str" cm="1">
        <f t="array" ref="I458">_xlfn.IFS(Table1[[#This Row],[Job_Type]] = "unskilled resident", "Resident",
Table1[[#This Row],[Job_Type]] = "unemp/unskilled non res", "Non-resident",
TRUE, "Unknown")</f>
        <v>Unknown</v>
      </c>
      <c r="J458" s="2" t="s">
        <v>148</v>
      </c>
      <c r="K458" s="3">
        <v>2</v>
      </c>
      <c r="L458" s="2" t="s">
        <v>144</v>
      </c>
      <c r="M458" s="13" t="s">
        <v>152</v>
      </c>
      <c r="N458" t="s">
        <v>35</v>
      </c>
      <c r="O458" s="2" t="str">
        <f>_xlfn.XLOOKUP(Table1[[#This Row],[Checking_Acct_Status]],Table3[Checking_Acct_Original],Table3[Category])</f>
        <v>Negative Balance</v>
      </c>
      <c r="P458" s="10" t="s">
        <v>32</v>
      </c>
      <c r="Q458" s="13" t="str">
        <f>_xlfn.XLOOKUP(Table1[[#This Row],[Saving_Acct_Status]],Table5[Saving_Acct_Original],Table5[Category])</f>
        <v>Low Savings</v>
      </c>
      <c r="R458" t="s">
        <v>41</v>
      </c>
      <c r="S458" s="2" t="str">
        <f>IF(
      OR(Table1[[#This Row],[Job_Type]] = "high qualif/self emp/mgmt", Table1[[#This Row],[Job_Type]] = "skilled"),
      "Skilled", "Unskilled")</f>
        <v>Skilled</v>
      </c>
      <c r="T458" t="str">
        <f>IF(Table1[[#This Row],[Job_Type]] = "unemp/unskilled non res", "Unemployed", "Employed")</f>
        <v>Employed</v>
      </c>
      <c r="U458" t="s">
        <v>21</v>
      </c>
      <c r="V458" s="14" t="str" cm="1">
        <f t="array" ref="V45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58" t="s">
        <v>31</v>
      </c>
      <c r="X458" s="2" t="str">
        <f>_xlfn.XLOOKUP(Table1[[#This Row],[Loan_Credit_History]],Table4[Credit History],Table4[[ Category]])</f>
        <v>Existing Credits Paid</v>
      </c>
      <c r="Y458" s="3">
        <v>3</v>
      </c>
      <c r="Z458" s="3">
        <v>2</v>
      </c>
      <c r="AA458" s="5">
        <v>1835</v>
      </c>
      <c r="AB458" t="s">
        <v>151</v>
      </c>
      <c r="AC458" s="2" t="str" cm="1">
        <f t="array" ref="AC458">_xlfn.IFS(Table1[[#This Row],[Others_Parties]] = "No", "None",
Table1[[#This Row],[Others_Parties]] = "co applicant", "Co-applicant",
Table1[[#This Row],[Others_Parties]] = "guarantor", "Guarantor")</f>
        <v>None</v>
      </c>
      <c r="AD458" s="13" t="s">
        <v>145</v>
      </c>
      <c r="AE458" s="2" t="s">
        <v>111</v>
      </c>
      <c r="AF458" s="28" t="str" cm="1">
        <f t="array" ref="AF45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58" s="21">
        <v>21</v>
      </c>
      <c r="AH458" s="2" t="s">
        <v>153</v>
      </c>
      <c r="AI458"/>
      <c r="AZ458"/>
      <c r="BC458"/>
      <c r="BE458"/>
      <c r="BL458"/>
      <c r="BZ458"/>
      <c r="CA458"/>
      <c r="CF458"/>
      <c r="CG458"/>
      <c r="CH458"/>
      <c r="CI458"/>
      <c r="CK458"/>
      <c r="CN458"/>
    </row>
    <row r="459" spans="1:92" x14ac:dyDescent="0.3">
      <c r="A459" s="4">
        <v>457</v>
      </c>
      <c r="B459" s="11">
        <v>50</v>
      </c>
      <c r="C459" s="2" t="str">
        <f>_xlfn.XLOOKUP(Table1[[#This Row],[Age]],Table7[Start_Age],Table7[Age_Range],,-1)</f>
        <v>49-59</v>
      </c>
      <c r="D459" t="s">
        <v>130</v>
      </c>
      <c r="E459" s="2" t="s">
        <v>129</v>
      </c>
      <c r="F459" s="2" t="s">
        <v>133</v>
      </c>
      <c r="G459" s="3">
        <v>1</v>
      </c>
      <c r="H459" s="13" t="s">
        <v>152</v>
      </c>
      <c r="I459" s="2" t="str" cm="1">
        <f t="array" ref="I459">_xlfn.IFS(Table1[[#This Row],[Job_Type]] = "unskilled resident", "Resident",
Table1[[#This Row],[Job_Type]] = "unemp/unskilled non res", "Non-resident",
TRUE, "Unknown")</f>
        <v>Unknown</v>
      </c>
      <c r="J459" s="2" t="s">
        <v>148</v>
      </c>
      <c r="K459" s="3">
        <v>2</v>
      </c>
      <c r="L459" s="2" t="s">
        <v>144</v>
      </c>
      <c r="M459" s="13" t="s">
        <v>151</v>
      </c>
      <c r="N459" t="s">
        <v>17</v>
      </c>
      <c r="O459" s="2" t="str">
        <f>_xlfn.XLOOKUP(Table1[[#This Row],[Checking_Acct_Status]],Table3[Checking_Acct_Original],Table3[Category])</f>
        <v>No Account</v>
      </c>
      <c r="P459" s="10" t="s">
        <v>32</v>
      </c>
      <c r="Q459" s="13" t="str">
        <f>_xlfn.XLOOKUP(Table1[[#This Row],[Saving_Acct_Status]],Table5[Saving_Acct_Original],Table5[Category])</f>
        <v>Low Savings</v>
      </c>
      <c r="R459" t="s">
        <v>41</v>
      </c>
      <c r="S459" s="2" t="str">
        <f>IF(
      OR(Table1[[#This Row],[Job_Type]] = "high qualif/self emp/mgmt", Table1[[#This Row],[Job_Type]] = "skilled"),
      "Skilled", "Unskilled")</f>
        <v>Skilled</v>
      </c>
      <c r="T459" t="str">
        <f>IF(Table1[[#This Row],[Job_Type]] = "unemp/unskilled non res", "Unemployed", "Employed")</f>
        <v>Employed</v>
      </c>
      <c r="U459" t="s">
        <v>38</v>
      </c>
      <c r="V459" s="14" t="str" cm="1">
        <f t="array" ref="V45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59" t="s">
        <v>31</v>
      </c>
      <c r="X459" s="2" t="str">
        <f>_xlfn.XLOOKUP(Table1[[#This Row],[Loan_Credit_History]],Table4[Credit History],Table4[[ Category]])</f>
        <v>Existing Credits Paid</v>
      </c>
      <c r="Y459" s="3">
        <v>4</v>
      </c>
      <c r="Z459" s="3">
        <v>2</v>
      </c>
      <c r="AA459" s="5">
        <v>2241</v>
      </c>
      <c r="AB459" t="s">
        <v>151</v>
      </c>
      <c r="AC459" s="2" t="str" cm="1">
        <f t="array" ref="AC459">_xlfn.IFS(Table1[[#This Row],[Others_Parties]] = "No", "None",
Table1[[#This Row],[Others_Parties]] = "co applicant", "Co-applicant",
Table1[[#This Row],[Others_Parties]] = "guarantor", "Guarantor")</f>
        <v>None</v>
      </c>
      <c r="AD459" s="13" t="s">
        <v>145</v>
      </c>
      <c r="AE459" s="2" t="s">
        <v>108</v>
      </c>
      <c r="AF459" s="28" t="str" cm="1">
        <f t="array" ref="AF45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59" s="21">
        <v>21</v>
      </c>
      <c r="AH459" s="2" t="s">
        <v>154</v>
      </c>
      <c r="AI459"/>
      <c r="AZ459"/>
      <c r="BC459"/>
      <c r="BE459"/>
      <c r="BL459"/>
      <c r="BZ459"/>
      <c r="CA459"/>
      <c r="CF459"/>
      <c r="CG459"/>
      <c r="CH459"/>
      <c r="CI459"/>
      <c r="CK459"/>
      <c r="CN459"/>
    </row>
    <row r="460" spans="1:92" x14ac:dyDescent="0.3">
      <c r="A460" s="4">
        <v>458</v>
      </c>
      <c r="B460" s="11">
        <v>23</v>
      </c>
      <c r="C460" s="2" t="str">
        <f>_xlfn.XLOOKUP(Table1[[#This Row],[Age]],Table7[Start_Age],Table7[Age_Range],,-1)</f>
        <v>19-29</v>
      </c>
      <c r="D460" t="s">
        <v>136</v>
      </c>
      <c r="E460" s="2" t="s">
        <v>131</v>
      </c>
      <c r="F460" s="2" t="s">
        <v>137</v>
      </c>
      <c r="G460" s="3">
        <v>1</v>
      </c>
      <c r="H460" s="13" t="s">
        <v>152</v>
      </c>
      <c r="I460" s="2" t="str" cm="1">
        <f t="array" ref="I460">_xlfn.IFS(Table1[[#This Row],[Job_Type]] = "unskilled resident", "Resident",
Table1[[#This Row],[Job_Type]] = "unemp/unskilled non res", "Non-resident",
TRUE, "Unknown")</f>
        <v>Unknown</v>
      </c>
      <c r="J460" s="2" t="s">
        <v>148</v>
      </c>
      <c r="K460" s="3">
        <v>4</v>
      </c>
      <c r="L460" s="2" t="s">
        <v>143</v>
      </c>
      <c r="M460" s="13" t="s">
        <v>152</v>
      </c>
      <c r="N460" t="s">
        <v>17</v>
      </c>
      <c r="O460" s="2" t="str">
        <f>_xlfn.XLOOKUP(Table1[[#This Row],[Checking_Acct_Status]],Table3[Checking_Acct_Original],Table3[Category])</f>
        <v>No Account</v>
      </c>
      <c r="P460" s="10" t="s">
        <v>32</v>
      </c>
      <c r="Q460" s="13" t="str">
        <f>_xlfn.XLOOKUP(Table1[[#This Row],[Saving_Acct_Status]],Table5[Saving_Acct_Original],Table5[Category])</f>
        <v>Low Savings</v>
      </c>
      <c r="R460" t="s">
        <v>41</v>
      </c>
      <c r="S460" s="2" t="str">
        <f>IF(
      OR(Table1[[#This Row],[Job_Type]] = "high qualif/self emp/mgmt", Table1[[#This Row],[Job_Type]] = "skilled"),
      "Skilled", "Unskilled")</f>
        <v>Skilled</v>
      </c>
      <c r="T460" t="str">
        <f>IF(Table1[[#This Row],[Job_Type]] = "unemp/unskilled non res", "Unemployed", "Employed")</f>
        <v>Employed</v>
      </c>
      <c r="U460" t="s">
        <v>45</v>
      </c>
      <c r="V460" s="14" t="str" cm="1">
        <f t="array" ref="V46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60" t="s">
        <v>103</v>
      </c>
      <c r="X460" s="2" t="str">
        <f>_xlfn.XLOOKUP(Table1[[#This Row],[Loan_Credit_History]],Table4[Credit History],Table4[[ Category]])</f>
        <v>Critical Credit History</v>
      </c>
      <c r="Y460" s="3">
        <v>4</v>
      </c>
      <c r="Z460" s="3">
        <v>1</v>
      </c>
      <c r="AA460" s="5">
        <v>2288</v>
      </c>
      <c r="AB460" t="s">
        <v>151</v>
      </c>
      <c r="AC460" s="2" t="str" cm="1">
        <f t="array" ref="AC460">_xlfn.IFS(Table1[[#This Row],[Others_Parties]] = "No", "None",
Table1[[#This Row],[Others_Parties]] = "co applicant", "Co-applicant",
Table1[[#This Row],[Others_Parties]] = "guarantor", "Guarantor")</f>
        <v>None</v>
      </c>
      <c r="AD460" s="13" t="s">
        <v>145</v>
      </c>
      <c r="AE460" s="2" t="s">
        <v>108</v>
      </c>
      <c r="AF460" s="28" t="str" cm="1">
        <f t="array" ref="AF46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60" s="21">
        <v>21</v>
      </c>
      <c r="AH460" s="2" t="s">
        <v>154</v>
      </c>
      <c r="AI460"/>
      <c r="AZ460"/>
      <c r="BC460"/>
      <c r="BE460"/>
      <c r="BL460"/>
      <c r="BZ460"/>
      <c r="CA460"/>
      <c r="CF460"/>
      <c r="CG460"/>
      <c r="CH460"/>
      <c r="CI460"/>
      <c r="CK460"/>
      <c r="CN460"/>
    </row>
    <row r="461" spans="1:92" x14ac:dyDescent="0.3">
      <c r="A461" s="4">
        <v>459</v>
      </c>
      <c r="B461" s="11">
        <v>33</v>
      </c>
      <c r="C461" s="2" t="str">
        <f>_xlfn.XLOOKUP(Table1[[#This Row],[Age]],Table7[Start_Age],Table7[Age_Range],,-1)</f>
        <v>29-39</v>
      </c>
      <c r="D461" t="s">
        <v>138</v>
      </c>
      <c r="E461" s="2" t="s">
        <v>129</v>
      </c>
      <c r="F461" s="2" t="s">
        <v>178</v>
      </c>
      <c r="G461" s="3">
        <v>1</v>
      </c>
      <c r="H461" s="13" t="s">
        <v>152</v>
      </c>
      <c r="I461" s="2" t="str" cm="1">
        <f t="array" ref="I461">_xlfn.IFS(Table1[[#This Row],[Job_Type]] = "unskilled resident", "Resident",
Table1[[#This Row],[Job_Type]] = "unemp/unskilled non res", "Non-resident",
TRUE, "Unknown")</f>
        <v>Unknown</v>
      </c>
      <c r="J461" s="2" t="s">
        <v>149</v>
      </c>
      <c r="K461" s="3">
        <v>1</v>
      </c>
      <c r="L461" s="2" t="s">
        <v>140</v>
      </c>
      <c r="M461" s="13" t="s">
        <v>151</v>
      </c>
      <c r="N461" t="s">
        <v>50</v>
      </c>
      <c r="O461" s="2" t="str">
        <f>_xlfn.XLOOKUP(Table1[[#This Row],[Checking_Acct_Status]],Table3[Checking_Acct_Original],Table3[Category])</f>
        <v>High Balance</v>
      </c>
      <c r="P461" s="10" t="s">
        <v>32</v>
      </c>
      <c r="Q461" s="13" t="str">
        <f>_xlfn.XLOOKUP(Table1[[#This Row],[Saving_Acct_Status]],Table5[Saving_Acct_Original],Table5[Category])</f>
        <v>Low Savings</v>
      </c>
      <c r="R461" t="s">
        <v>41</v>
      </c>
      <c r="S461" s="2" t="str">
        <f>IF(
      OR(Table1[[#This Row],[Job_Type]] = "high qualif/self emp/mgmt", Table1[[#This Row],[Job_Type]] = "skilled"),
      "Skilled", "Unskilled")</f>
        <v>Skilled</v>
      </c>
      <c r="T461" t="str">
        <f>IF(Table1[[#This Row],[Job_Type]] = "unemp/unskilled non res", "Unemployed", "Employed")</f>
        <v>Employed</v>
      </c>
      <c r="U461" t="s">
        <v>45</v>
      </c>
      <c r="V461" s="14" t="str" cm="1">
        <f t="array" ref="V46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61" t="s">
        <v>103</v>
      </c>
      <c r="X461" s="2" t="str">
        <f>_xlfn.XLOOKUP(Table1[[#This Row],[Loan_Credit_History]],Table4[Credit History],Table4[[ Category]])</f>
        <v>Critical Credit History</v>
      </c>
      <c r="Y461" s="3">
        <v>2</v>
      </c>
      <c r="Z461" s="3">
        <v>1</v>
      </c>
      <c r="AA461" s="5">
        <v>2319</v>
      </c>
      <c r="AB461" t="s">
        <v>151</v>
      </c>
      <c r="AC461" s="2" t="str" cm="1">
        <f t="array" ref="AC461">_xlfn.IFS(Table1[[#This Row],[Others_Parties]] = "No", "None",
Table1[[#This Row],[Others_Parties]] = "co applicant", "Co-applicant",
Table1[[#This Row],[Others_Parties]] = "guarantor", "Guarantor")</f>
        <v>None</v>
      </c>
      <c r="AD461" s="13" t="s">
        <v>145</v>
      </c>
      <c r="AE461" s="2" t="s">
        <v>100</v>
      </c>
      <c r="AF461" s="28" t="str" cm="1">
        <f t="array" ref="AF46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61" s="21">
        <v>21</v>
      </c>
      <c r="AH461" s="2" t="s">
        <v>153</v>
      </c>
      <c r="AI461"/>
      <c r="AZ461"/>
      <c r="BC461"/>
      <c r="BE461"/>
      <c r="BL461"/>
      <c r="BZ461"/>
      <c r="CA461"/>
      <c r="CF461"/>
      <c r="CG461"/>
      <c r="CH461"/>
      <c r="CI461"/>
      <c r="CK461"/>
      <c r="CN461"/>
    </row>
    <row r="462" spans="1:92" x14ac:dyDescent="0.3">
      <c r="A462" s="4">
        <v>460</v>
      </c>
      <c r="B462" s="11">
        <v>47</v>
      </c>
      <c r="C462" s="2" t="str">
        <f>_xlfn.XLOOKUP(Table1[[#This Row],[Age]],Table7[Start_Age],Table7[Age_Range],,-1)</f>
        <v>39-49</v>
      </c>
      <c r="D462" t="s">
        <v>138</v>
      </c>
      <c r="E462" s="2" t="s">
        <v>129</v>
      </c>
      <c r="F462" s="2" t="s">
        <v>178</v>
      </c>
      <c r="G462" s="3">
        <v>1</v>
      </c>
      <c r="H462" s="13" t="s">
        <v>152</v>
      </c>
      <c r="I462" s="2" t="str" cm="1">
        <f t="array" ref="I462">_xlfn.IFS(Table1[[#This Row],[Job_Type]] = "unskilled resident", "Resident",
Table1[[#This Row],[Job_Type]] = "unemp/unskilled non res", "Non-resident",
TRUE, "Unknown")</f>
        <v>Unknown</v>
      </c>
      <c r="J462" s="2" t="s">
        <v>148</v>
      </c>
      <c r="K462" s="3">
        <v>4</v>
      </c>
      <c r="L462" s="2" t="s">
        <v>143</v>
      </c>
      <c r="M462" s="13" t="s">
        <v>151</v>
      </c>
      <c r="N462" t="s">
        <v>30</v>
      </c>
      <c r="O462" s="2" t="str">
        <f>_xlfn.XLOOKUP(Table1[[#This Row],[Checking_Acct_Status]],Table3[Checking_Acct_Original],Table3[Category])</f>
        <v>Low Balance</v>
      </c>
      <c r="P462" s="10" t="s">
        <v>32</v>
      </c>
      <c r="Q462" s="13" t="str">
        <f>_xlfn.XLOOKUP(Table1[[#This Row],[Saving_Acct_Status]],Table5[Saving_Acct_Original],Table5[Category])</f>
        <v>Low Savings</v>
      </c>
      <c r="R462" t="s">
        <v>41</v>
      </c>
      <c r="S462" s="2" t="str">
        <f>IF(
      OR(Table1[[#This Row],[Job_Type]] = "high qualif/self emp/mgmt", Table1[[#This Row],[Job_Type]] = "skilled"),
      "Skilled", "Unskilled")</f>
        <v>Skilled</v>
      </c>
      <c r="T462" t="str">
        <f>IF(Table1[[#This Row],[Job_Type]] = "unemp/unskilled non res", "Unemployed", "Employed")</f>
        <v>Employed</v>
      </c>
      <c r="U462" t="s">
        <v>21</v>
      </c>
      <c r="V462" s="14" t="str" cm="1">
        <f t="array" ref="V46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62" t="s">
        <v>59</v>
      </c>
      <c r="X462" s="2" t="str">
        <f>_xlfn.XLOOKUP(Table1[[#This Row],[Loan_Credit_History]],Table4[Credit History],Table4[[ Category]])</f>
        <v>Previously Delayed</v>
      </c>
      <c r="Y462" s="3">
        <v>1</v>
      </c>
      <c r="Z462" s="3">
        <v>2</v>
      </c>
      <c r="AA462" s="5">
        <v>2353</v>
      </c>
      <c r="AB462" t="s">
        <v>151</v>
      </c>
      <c r="AC462" s="2" t="str" cm="1">
        <f t="array" ref="AC462">_xlfn.IFS(Table1[[#This Row],[Others_Parties]] = "No", "None",
Table1[[#This Row],[Others_Parties]] = "co applicant", "Co-applicant",
Table1[[#This Row],[Others_Parties]] = "guarantor", "Guarantor")</f>
        <v>None</v>
      </c>
      <c r="AD462" s="13" t="s">
        <v>145</v>
      </c>
      <c r="AE462" s="2" t="s">
        <v>141</v>
      </c>
      <c r="AF462" s="28" t="str" cm="1">
        <f t="array" ref="AF46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62" s="21">
        <v>21</v>
      </c>
      <c r="AH462" s="2" t="s">
        <v>154</v>
      </c>
      <c r="AI462"/>
      <c r="AZ462"/>
      <c r="BC462"/>
      <c r="BE462"/>
      <c r="BL462"/>
      <c r="BZ462"/>
      <c r="CA462"/>
      <c r="CF462"/>
      <c r="CG462"/>
      <c r="CH462"/>
      <c r="CI462"/>
      <c r="CK462"/>
      <c r="CN462"/>
    </row>
    <row r="463" spans="1:92" x14ac:dyDescent="0.3">
      <c r="A463" s="4">
        <v>461</v>
      </c>
      <c r="B463" s="11">
        <v>46</v>
      </c>
      <c r="C463" s="2" t="str">
        <f>_xlfn.XLOOKUP(Table1[[#This Row],[Age]],Table7[Start_Age],Table7[Age_Range],,-1)</f>
        <v>39-49</v>
      </c>
      <c r="D463" t="s">
        <v>130</v>
      </c>
      <c r="E463" s="2" t="s">
        <v>129</v>
      </c>
      <c r="F463" s="2" t="s">
        <v>133</v>
      </c>
      <c r="G463" s="3">
        <v>1</v>
      </c>
      <c r="H463" s="13" t="s">
        <v>152</v>
      </c>
      <c r="I463" s="2" t="str" cm="1">
        <f t="array" ref="I463">_xlfn.IFS(Table1[[#This Row],[Job_Type]] = "unskilled resident", "Resident",
Table1[[#This Row],[Job_Type]] = "unemp/unskilled non res", "Non-resident",
TRUE, "Unknown")</f>
        <v>Unknown</v>
      </c>
      <c r="J463" s="2" t="s">
        <v>148</v>
      </c>
      <c r="K463" s="3">
        <v>4</v>
      </c>
      <c r="L463" s="2" t="s">
        <v>144</v>
      </c>
      <c r="M463" s="13" t="s">
        <v>152</v>
      </c>
      <c r="N463" t="s">
        <v>17</v>
      </c>
      <c r="O463" s="2" t="str">
        <f>_xlfn.XLOOKUP(Table1[[#This Row],[Checking_Acct_Status]],Table3[Checking_Acct_Original],Table3[Category])</f>
        <v>No Account</v>
      </c>
      <c r="P463" s="10" t="s">
        <v>47</v>
      </c>
      <c r="Q463" s="13" t="str">
        <f>_xlfn.XLOOKUP(Table1[[#This Row],[Saving_Acct_Status]],Table5[Saving_Acct_Original],Table5[Category])</f>
        <v>No Savings</v>
      </c>
      <c r="R463" t="s">
        <v>63</v>
      </c>
      <c r="S463" s="2" t="str">
        <f>IF(
      OR(Table1[[#This Row],[Job_Type]] = "high qualif/self emp/mgmt", Table1[[#This Row],[Job_Type]] = "skilled"),
      "Skilled", "Unskilled")</f>
        <v>Skilled</v>
      </c>
      <c r="T463" t="str">
        <f>IF(Table1[[#This Row],[Job_Type]] = "unemp/unskilled non res", "Unemployed", "Employed")</f>
        <v>Employed</v>
      </c>
      <c r="U463" t="s">
        <v>38</v>
      </c>
      <c r="V463" s="14" t="str" cm="1">
        <f t="array" ref="V46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63" t="s">
        <v>31</v>
      </c>
      <c r="X463" s="2" t="str">
        <f>_xlfn.XLOOKUP(Table1[[#This Row],[Loan_Credit_History]],Table4[Credit History],Table4[[ Category]])</f>
        <v>Existing Credits Paid</v>
      </c>
      <c r="Y463" s="3">
        <v>4</v>
      </c>
      <c r="Z463" s="3">
        <v>1</v>
      </c>
      <c r="AA463" s="5">
        <v>2476</v>
      </c>
      <c r="AB463" t="s">
        <v>151</v>
      </c>
      <c r="AC463" s="2" t="str" cm="1">
        <f t="array" ref="AC463">_xlfn.IFS(Table1[[#This Row],[Others_Parties]] = "No", "None",
Table1[[#This Row],[Others_Parties]] = "co applicant", "Co-applicant",
Table1[[#This Row],[Others_Parties]] = "guarantor", "Guarantor")</f>
        <v>None</v>
      </c>
      <c r="AD463" s="13" t="s">
        <v>145</v>
      </c>
      <c r="AE463" s="2" t="s">
        <v>107</v>
      </c>
      <c r="AF463" s="28" t="str" cm="1">
        <f t="array" ref="AF46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63" s="21">
        <v>21</v>
      </c>
      <c r="AH463" s="2" t="s">
        <v>154</v>
      </c>
      <c r="AI463"/>
      <c r="AZ463"/>
      <c r="BC463"/>
      <c r="BE463"/>
      <c r="BL463"/>
      <c r="BZ463"/>
      <c r="CA463"/>
      <c r="CF463"/>
      <c r="CG463"/>
      <c r="CH463"/>
      <c r="CI463"/>
      <c r="CK463"/>
      <c r="CN463"/>
    </row>
    <row r="464" spans="1:92" x14ac:dyDescent="0.3">
      <c r="A464" s="4">
        <v>462</v>
      </c>
      <c r="B464" s="11">
        <v>41</v>
      </c>
      <c r="C464" s="2" t="str">
        <f>_xlfn.XLOOKUP(Table1[[#This Row],[Age]],Table7[Start_Age],Table7[Age_Range],,-1)</f>
        <v>39-49</v>
      </c>
      <c r="D464" t="s">
        <v>130</v>
      </c>
      <c r="E464" s="2" t="s">
        <v>129</v>
      </c>
      <c r="F464" s="2" t="s">
        <v>133</v>
      </c>
      <c r="G464" s="3">
        <v>2</v>
      </c>
      <c r="H464" s="13" t="s">
        <v>152</v>
      </c>
      <c r="I464" s="2" t="str" cm="1">
        <f t="array" ref="I464">_xlfn.IFS(Table1[[#This Row],[Job_Type]] = "unskilled resident", "Resident",
Table1[[#This Row],[Job_Type]] = "unemp/unskilled non res", "Non-resident",
TRUE, "Unknown")</f>
        <v>Resident</v>
      </c>
      <c r="J464" s="2" t="s">
        <v>148</v>
      </c>
      <c r="K464" s="3">
        <v>2</v>
      </c>
      <c r="L464" s="2" t="s">
        <v>144</v>
      </c>
      <c r="M464" s="13" t="s">
        <v>151</v>
      </c>
      <c r="N464" t="s">
        <v>17</v>
      </c>
      <c r="O464" s="2" t="str">
        <f>_xlfn.XLOOKUP(Table1[[#This Row],[Checking_Acct_Status]],Table3[Checking_Acct_Original],Table3[Category])</f>
        <v>No Account</v>
      </c>
      <c r="P464" s="10" t="s">
        <v>37</v>
      </c>
      <c r="Q464" s="13" t="str">
        <f>_xlfn.XLOOKUP(Table1[[#This Row],[Saving_Acct_Status]],Table5[Saving_Acct_Original],Table5[Category])</f>
        <v>High Savings</v>
      </c>
      <c r="R464" t="s">
        <v>27</v>
      </c>
      <c r="S464" s="2" t="str">
        <f>IF(
      OR(Table1[[#This Row],[Job_Type]] = "high qualif/self emp/mgmt", Table1[[#This Row],[Job_Type]] = "skilled"),
      "Skilled", "Unskilled")</f>
        <v>Unskilled</v>
      </c>
      <c r="T464" t="str">
        <f>IF(Table1[[#This Row],[Job_Type]] = "unemp/unskilled non res", "Unemployed", "Employed")</f>
        <v>Employed</v>
      </c>
      <c r="U464" t="s">
        <v>45</v>
      </c>
      <c r="V464" s="14" t="str" cm="1">
        <f t="array" ref="V46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64" t="s">
        <v>59</v>
      </c>
      <c r="X464" s="2" t="str">
        <f>_xlfn.XLOOKUP(Table1[[#This Row],[Loan_Credit_History]],Table4[Credit History],Table4[[ Category]])</f>
        <v>Previously Delayed</v>
      </c>
      <c r="Y464" s="3">
        <v>4</v>
      </c>
      <c r="Z464" s="3">
        <v>1</v>
      </c>
      <c r="AA464" s="5">
        <v>2580</v>
      </c>
      <c r="AB464" t="s">
        <v>151</v>
      </c>
      <c r="AC464" s="2" t="str" cm="1">
        <f t="array" ref="AC464">_xlfn.IFS(Table1[[#This Row],[Others_Parties]] = "No", "None",
Table1[[#This Row],[Others_Parties]] = "co applicant", "Co-applicant",
Table1[[#This Row],[Others_Parties]] = "guarantor", "Guarantor")</f>
        <v>None</v>
      </c>
      <c r="AD464" s="13" t="s">
        <v>146</v>
      </c>
      <c r="AE464" s="2" t="s">
        <v>105</v>
      </c>
      <c r="AF464" s="28" t="str" cm="1">
        <f t="array" ref="AF46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64" s="21">
        <v>21</v>
      </c>
      <c r="AH464" s="2" t="s">
        <v>153</v>
      </c>
      <c r="AI464"/>
      <c r="AZ464"/>
      <c r="BC464"/>
      <c r="BE464"/>
      <c r="BL464"/>
      <c r="BZ464"/>
      <c r="CA464"/>
      <c r="CF464"/>
      <c r="CG464"/>
      <c r="CH464"/>
      <c r="CI464"/>
      <c r="CK464"/>
      <c r="CN464"/>
    </row>
    <row r="465" spans="1:92" x14ac:dyDescent="0.3">
      <c r="A465" s="4">
        <v>463</v>
      </c>
      <c r="B465" s="11">
        <v>28</v>
      </c>
      <c r="C465" s="2" t="str">
        <f>_xlfn.XLOOKUP(Table1[[#This Row],[Age]],Table7[Start_Age],Table7[Age_Range],,-1)</f>
        <v>19-29</v>
      </c>
      <c r="D465" t="s">
        <v>136</v>
      </c>
      <c r="E465" s="2" t="s">
        <v>131</v>
      </c>
      <c r="F465" s="2" t="s">
        <v>137</v>
      </c>
      <c r="G465" s="3">
        <v>1</v>
      </c>
      <c r="H465" s="13" t="s">
        <v>152</v>
      </c>
      <c r="I465" s="2" t="str" cm="1">
        <f t="array" ref="I465">_xlfn.IFS(Table1[[#This Row],[Job_Type]] = "unskilled resident", "Resident",
Table1[[#This Row],[Job_Type]] = "unemp/unskilled non res", "Non-resident",
TRUE, "Unknown")</f>
        <v>Unknown</v>
      </c>
      <c r="J465" s="2" t="s">
        <v>149</v>
      </c>
      <c r="K465" s="3">
        <v>4</v>
      </c>
      <c r="L465" s="2" t="s">
        <v>143</v>
      </c>
      <c r="M465" s="13" t="s">
        <v>152</v>
      </c>
      <c r="N465" t="s">
        <v>35</v>
      </c>
      <c r="O465" s="2" t="str">
        <f>_xlfn.XLOOKUP(Table1[[#This Row],[Checking_Acct_Status]],Table3[Checking_Acct_Original],Table3[Category])</f>
        <v>Negative Balance</v>
      </c>
      <c r="P465" s="10" t="s">
        <v>32</v>
      </c>
      <c r="Q465" s="13" t="str">
        <f>_xlfn.XLOOKUP(Table1[[#This Row],[Saving_Acct_Status]],Table5[Saving_Acct_Original],Table5[Category])</f>
        <v>Low Savings</v>
      </c>
      <c r="R465" t="s">
        <v>63</v>
      </c>
      <c r="S465" s="2" t="str">
        <f>IF(
      OR(Table1[[#This Row],[Job_Type]] = "high qualif/self emp/mgmt", Table1[[#This Row],[Job_Type]] = "skilled"),
      "Skilled", "Unskilled")</f>
        <v>Skilled</v>
      </c>
      <c r="T465" t="str">
        <f>IF(Table1[[#This Row],[Job_Type]] = "unemp/unskilled non res", "Unemployed", "Employed")</f>
        <v>Employed</v>
      </c>
      <c r="U465" t="s">
        <v>45</v>
      </c>
      <c r="V465" s="14" t="str" cm="1">
        <f t="array" ref="V46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65" t="s">
        <v>31</v>
      </c>
      <c r="X465" s="2" t="str">
        <f>_xlfn.XLOOKUP(Table1[[#This Row],[Loan_Credit_History]],Table4[Credit History],Table4[[ Category]])</f>
        <v>Existing Credits Paid</v>
      </c>
      <c r="Y465" s="3">
        <v>4</v>
      </c>
      <c r="Z465" s="3">
        <v>1</v>
      </c>
      <c r="AA465" s="5">
        <v>2606</v>
      </c>
      <c r="AB465" t="s">
        <v>151</v>
      </c>
      <c r="AC465" s="2" t="str" cm="1">
        <f t="array" ref="AC465">_xlfn.IFS(Table1[[#This Row],[Others_Parties]] = "No", "None",
Table1[[#This Row],[Others_Parties]] = "co applicant", "Co-applicant",
Table1[[#This Row],[Others_Parties]] = "guarantor", "Guarantor")</f>
        <v>None</v>
      </c>
      <c r="AD465" s="13" t="s">
        <v>145</v>
      </c>
      <c r="AE465" s="2" t="s">
        <v>111</v>
      </c>
      <c r="AF465" s="28" t="str" cm="1">
        <f t="array" ref="AF46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65" s="21">
        <v>21</v>
      </c>
      <c r="AH465" s="2" t="s">
        <v>154</v>
      </c>
      <c r="AI465"/>
      <c r="AZ465"/>
      <c r="BC465"/>
      <c r="BE465"/>
      <c r="BL465"/>
      <c r="BZ465"/>
      <c r="CA465"/>
      <c r="CF465"/>
      <c r="CG465"/>
      <c r="CH465"/>
      <c r="CI465"/>
      <c r="CK465"/>
      <c r="CN465"/>
    </row>
    <row r="466" spans="1:92" x14ac:dyDescent="0.3">
      <c r="A466" s="4">
        <v>464</v>
      </c>
      <c r="B466" s="11">
        <v>32</v>
      </c>
      <c r="C466" s="2" t="str">
        <f>_xlfn.XLOOKUP(Table1[[#This Row],[Age]],Table7[Start_Age],Table7[Age_Range],,-1)</f>
        <v>29-39</v>
      </c>
      <c r="D466" t="s">
        <v>130</v>
      </c>
      <c r="E466" s="2" t="s">
        <v>129</v>
      </c>
      <c r="F466" s="2" t="s">
        <v>133</v>
      </c>
      <c r="G466" s="3">
        <v>1</v>
      </c>
      <c r="H466" s="13" t="s">
        <v>152</v>
      </c>
      <c r="I466" s="2" t="str" cm="1">
        <f t="array" ref="I466">_xlfn.IFS(Table1[[#This Row],[Job_Type]] = "unskilled resident", "Resident",
Table1[[#This Row],[Job_Type]] = "unemp/unskilled non res", "Non-resident",
TRUE, "Unknown")</f>
        <v>Unknown</v>
      </c>
      <c r="J466" s="2" t="s">
        <v>148</v>
      </c>
      <c r="K466" s="3">
        <v>2</v>
      </c>
      <c r="L466" s="2" t="s">
        <v>140</v>
      </c>
      <c r="M466" s="13" t="s">
        <v>152</v>
      </c>
      <c r="N466" t="s">
        <v>30</v>
      </c>
      <c r="O466" s="2" t="str">
        <f>_xlfn.XLOOKUP(Table1[[#This Row],[Checking_Acct_Status]],Table3[Checking_Acct_Original],Table3[Category])</f>
        <v>Low Balance</v>
      </c>
      <c r="P466" s="10" t="s">
        <v>20</v>
      </c>
      <c r="Q466" s="13" t="str">
        <f>_xlfn.XLOOKUP(Table1[[#This Row],[Saving_Acct_Status]],Table5[Saving_Acct_Original],Table5[Category])</f>
        <v>Very High Savings</v>
      </c>
      <c r="R466" t="s">
        <v>41</v>
      </c>
      <c r="S466" s="2" t="str">
        <f>IF(
      OR(Table1[[#This Row],[Job_Type]] = "high qualif/self emp/mgmt", Table1[[#This Row],[Job_Type]] = "skilled"),
      "Skilled", "Unskilled")</f>
        <v>Skilled</v>
      </c>
      <c r="T466" t="str">
        <f>IF(Table1[[#This Row],[Job_Type]] = "unemp/unskilled non res", "Unemployed", "Employed")</f>
        <v>Employed</v>
      </c>
      <c r="U466" t="s">
        <v>49</v>
      </c>
      <c r="V466" s="14" t="str" cm="1">
        <f t="array" ref="V46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66" t="s">
        <v>103</v>
      </c>
      <c r="X466" s="2" t="str">
        <f>_xlfn.XLOOKUP(Table1[[#This Row],[Loan_Credit_History]],Table4[Credit History],Table4[[ Category]])</f>
        <v>Critical Credit History</v>
      </c>
      <c r="Y466" s="3">
        <v>3</v>
      </c>
      <c r="Z466" s="3">
        <v>2</v>
      </c>
      <c r="AA466" s="5">
        <v>2745</v>
      </c>
      <c r="AB466" t="s">
        <v>151</v>
      </c>
      <c r="AC466" s="2" t="str" cm="1">
        <f t="array" ref="AC466">_xlfn.IFS(Table1[[#This Row],[Others_Parties]] = "No", "None",
Table1[[#This Row],[Others_Parties]] = "co applicant", "Co-applicant",
Table1[[#This Row],[Others_Parties]] = "guarantor", "Guarantor")</f>
        <v>None</v>
      </c>
      <c r="AD466" s="13" t="s">
        <v>145</v>
      </c>
      <c r="AE466" s="2" t="s">
        <v>108</v>
      </c>
      <c r="AF466" s="28" t="str" cm="1">
        <f t="array" ref="AF46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66" s="21">
        <v>21</v>
      </c>
      <c r="AH466" s="2" t="s">
        <v>154</v>
      </c>
      <c r="AI466"/>
      <c r="AZ466"/>
      <c r="BC466"/>
      <c r="BE466"/>
      <c r="BL466"/>
      <c r="BZ466"/>
      <c r="CA466"/>
      <c r="CF466"/>
      <c r="CG466"/>
      <c r="CH466"/>
      <c r="CI466"/>
      <c r="CK466"/>
      <c r="CN466"/>
    </row>
    <row r="467" spans="1:92" x14ac:dyDescent="0.3">
      <c r="A467" s="4">
        <v>465</v>
      </c>
      <c r="B467" s="11">
        <v>61</v>
      </c>
      <c r="C467" s="2" t="str">
        <f>_xlfn.XLOOKUP(Table1[[#This Row],[Age]],Table7[Start_Age],Table7[Age_Range],,-1)</f>
        <v>59-69</v>
      </c>
      <c r="D467" t="s">
        <v>138</v>
      </c>
      <c r="E467" s="2" t="s">
        <v>129</v>
      </c>
      <c r="F467" s="2" t="s">
        <v>178</v>
      </c>
      <c r="G467" s="3">
        <v>1</v>
      </c>
      <c r="H467" s="13" t="s">
        <v>152</v>
      </c>
      <c r="I467" s="2" t="str" cm="1">
        <f t="array" ref="I467">_xlfn.IFS(Table1[[#This Row],[Job_Type]] = "unskilled resident", "Resident",
Table1[[#This Row],[Job_Type]] = "unemp/unskilled non res", "Non-resident",
TRUE, "Unknown")</f>
        <v>Resident</v>
      </c>
      <c r="J467" s="2" t="s">
        <v>149</v>
      </c>
      <c r="K467" s="3">
        <v>2</v>
      </c>
      <c r="L467" s="2" t="s">
        <v>140</v>
      </c>
      <c r="M467" s="13" t="s">
        <v>151</v>
      </c>
      <c r="N467" t="s">
        <v>30</v>
      </c>
      <c r="O467" s="2" t="str">
        <f>_xlfn.XLOOKUP(Table1[[#This Row],[Checking_Acct_Status]],Table3[Checking_Acct_Original],Table3[Category])</f>
        <v>Low Balance</v>
      </c>
      <c r="P467" s="10" t="s">
        <v>46</v>
      </c>
      <c r="Q467" s="13" t="str">
        <f>_xlfn.XLOOKUP(Table1[[#This Row],[Saving_Acct_Status]],Table5[Saving_Acct_Original],Table5[Category])</f>
        <v>Medium Savings</v>
      </c>
      <c r="R467" t="s">
        <v>27</v>
      </c>
      <c r="S467" s="2" t="str">
        <f>IF(
      OR(Table1[[#This Row],[Job_Type]] = "high qualif/self emp/mgmt", Table1[[#This Row],[Job_Type]] = "skilled"),
      "Skilled", "Unskilled")</f>
        <v>Unskilled</v>
      </c>
      <c r="T467" t="str">
        <f>IF(Table1[[#This Row],[Job_Type]] = "unemp/unskilled non res", "Unemployed", "Employed")</f>
        <v>Employed</v>
      </c>
      <c r="U467" t="s">
        <v>38</v>
      </c>
      <c r="V467" s="14" t="str" cm="1">
        <f t="array" ref="V46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67" t="s">
        <v>31</v>
      </c>
      <c r="X467" s="2" t="str">
        <f>_xlfn.XLOOKUP(Table1[[#This Row],[Loan_Credit_History]],Table4[Credit History],Table4[[ Category]])</f>
        <v>Existing Credits Paid</v>
      </c>
      <c r="Y467" s="3">
        <v>4</v>
      </c>
      <c r="Z467" s="3">
        <v>2</v>
      </c>
      <c r="AA467" s="5">
        <v>2767</v>
      </c>
      <c r="AB467" t="s">
        <v>151</v>
      </c>
      <c r="AC467" s="2" t="str" cm="1">
        <f t="array" ref="AC467">_xlfn.IFS(Table1[[#This Row],[Others_Parties]] = "No", "None",
Table1[[#This Row],[Others_Parties]] = "co applicant", "Co-applicant",
Table1[[#This Row],[Others_Parties]] = "guarantor", "Guarantor")</f>
        <v>None</v>
      </c>
      <c r="AD467" s="13" t="s">
        <v>146</v>
      </c>
      <c r="AE467" s="2" t="s">
        <v>105</v>
      </c>
      <c r="AF467" s="28" t="str" cm="1">
        <f t="array" ref="AF46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67" s="21">
        <v>21</v>
      </c>
      <c r="AH467" s="2" t="s">
        <v>153</v>
      </c>
      <c r="AI467"/>
      <c r="AZ467"/>
      <c r="BC467"/>
      <c r="BE467"/>
      <c r="BL467"/>
      <c r="BZ467"/>
      <c r="CA467"/>
      <c r="CF467"/>
      <c r="CG467"/>
      <c r="CH467"/>
      <c r="CI467"/>
      <c r="CK467"/>
      <c r="CN467"/>
    </row>
    <row r="468" spans="1:92" x14ac:dyDescent="0.3">
      <c r="A468" s="4">
        <v>466</v>
      </c>
      <c r="B468" s="11">
        <v>31</v>
      </c>
      <c r="C468" s="2" t="str">
        <f>_xlfn.XLOOKUP(Table1[[#This Row],[Age]],Table7[Start_Age],Table7[Age_Range],,-1)</f>
        <v>29-39</v>
      </c>
      <c r="D468" t="s">
        <v>136</v>
      </c>
      <c r="E468" s="2" t="s">
        <v>131</v>
      </c>
      <c r="F468" s="2" t="s">
        <v>137</v>
      </c>
      <c r="G468" s="3">
        <v>1</v>
      </c>
      <c r="H468" s="13" t="s">
        <v>152</v>
      </c>
      <c r="I468" s="2" t="str" cm="1">
        <f t="array" ref="I468">_xlfn.IFS(Table1[[#This Row],[Job_Type]] = "unskilled resident", "Resident",
Table1[[#This Row],[Job_Type]] = "unemp/unskilled non res", "Non-resident",
TRUE, "Unknown")</f>
        <v>Unknown</v>
      </c>
      <c r="J468" s="2" t="s">
        <v>148</v>
      </c>
      <c r="K468" s="3">
        <v>2</v>
      </c>
      <c r="L468" s="2" t="s">
        <v>140</v>
      </c>
      <c r="M468" s="13" t="s">
        <v>151</v>
      </c>
      <c r="N468" t="s">
        <v>17</v>
      </c>
      <c r="O468" s="2" t="str">
        <f>_xlfn.XLOOKUP(Table1[[#This Row],[Checking_Acct_Status]],Table3[Checking_Acct_Original],Table3[Category])</f>
        <v>No Account</v>
      </c>
      <c r="P468" s="10" t="s">
        <v>37</v>
      </c>
      <c r="Q468" s="13" t="str">
        <f>_xlfn.XLOOKUP(Table1[[#This Row],[Saving_Acct_Status]],Table5[Saving_Acct_Original],Table5[Category])</f>
        <v>High Savings</v>
      </c>
      <c r="R468" t="s">
        <v>63</v>
      </c>
      <c r="S468" s="2" t="str">
        <f>IF(
      OR(Table1[[#This Row],[Job_Type]] = "high qualif/self emp/mgmt", Table1[[#This Row],[Job_Type]] = "skilled"),
      "Skilled", "Unskilled")</f>
        <v>Skilled</v>
      </c>
      <c r="T468" t="str">
        <f>IF(Table1[[#This Row],[Job_Type]] = "unemp/unskilled non res", "Unemployed", "Employed")</f>
        <v>Employed</v>
      </c>
      <c r="U468" t="s">
        <v>49</v>
      </c>
      <c r="V468" s="14" t="str" cm="1">
        <f t="array" ref="V46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68" t="s">
        <v>31</v>
      </c>
      <c r="X468" s="2" t="str">
        <f>_xlfn.XLOOKUP(Table1[[#This Row],[Loan_Credit_History]],Table4[Credit History],Table4[[ Category]])</f>
        <v>Existing Credits Paid</v>
      </c>
      <c r="Y468" s="3">
        <v>1</v>
      </c>
      <c r="Z468" s="3">
        <v>1</v>
      </c>
      <c r="AA468" s="5">
        <v>2782</v>
      </c>
      <c r="AB468" t="s">
        <v>151</v>
      </c>
      <c r="AC468" s="2" t="str" cm="1">
        <f t="array" ref="AC468">_xlfn.IFS(Table1[[#This Row],[Others_Parties]] = "No", "None",
Table1[[#This Row],[Others_Parties]] = "co applicant", "Co-applicant",
Table1[[#This Row],[Others_Parties]] = "guarantor", "Guarantor")</f>
        <v>None</v>
      </c>
      <c r="AD468" s="13" t="s">
        <v>146</v>
      </c>
      <c r="AE468" s="2" t="s">
        <v>141</v>
      </c>
      <c r="AF468" s="28" t="str" cm="1">
        <f t="array" ref="AF46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68" s="21">
        <v>21</v>
      </c>
      <c r="AH468" s="2" t="s">
        <v>154</v>
      </c>
      <c r="AI468"/>
      <c r="AZ468"/>
      <c r="BC468"/>
      <c r="BE468"/>
      <c r="BL468"/>
      <c r="BZ468"/>
      <c r="CA468"/>
      <c r="CF468"/>
      <c r="CG468"/>
      <c r="CH468"/>
      <c r="CI468"/>
      <c r="CK468"/>
      <c r="CN468"/>
    </row>
    <row r="469" spans="1:92" x14ac:dyDescent="0.3">
      <c r="A469" s="4">
        <v>467</v>
      </c>
      <c r="B469" s="11">
        <v>28</v>
      </c>
      <c r="C469" s="2" t="str">
        <f>_xlfn.XLOOKUP(Table1[[#This Row],[Age]],Table7[Start_Age],Table7[Age_Range],,-1)</f>
        <v>19-29</v>
      </c>
      <c r="D469" t="s">
        <v>136</v>
      </c>
      <c r="E469" s="2" t="s">
        <v>131</v>
      </c>
      <c r="F469" s="2" t="s">
        <v>137</v>
      </c>
      <c r="G469" s="3">
        <v>1</v>
      </c>
      <c r="H469" s="13" t="s">
        <v>152</v>
      </c>
      <c r="I469" s="2" t="str" cm="1">
        <f t="array" ref="I469">_xlfn.IFS(Table1[[#This Row],[Job_Type]] = "unskilled resident", "Resident",
Table1[[#This Row],[Job_Type]] = "unemp/unskilled non res", "Non-resident",
TRUE, "Unknown")</f>
        <v>Unknown</v>
      </c>
      <c r="J469" s="2" t="s">
        <v>148</v>
      </c>
      <c r="K469" s="3">
        <v>1</v>
      </c>
      <c r="L469" s="2" t="s">
        <v>140</v>
      </c>
      <c r="M469" s="13" t="s">
        <v>152</v>
      </c>
      <c r="N469" t="s">
        <v>50</v>
      </c>
      <c r="O469" s="2" t="str">
        <f>_xlfn.XLOOKUP(Table1[[#This Row],[Checking_Acct_Status]],Table3[Checking_Acct_Original],Table3[Category])</f>
        <v>High Balance</v>
      </c>
      <c r="P469" s="10" t="s">
        <v>46</v>
      </c>
      <c r="Q469" s="13" t="str">
        <f>_xlfn.XLOOKUP(Table1[[#This Row],[Saving_Acct_Status]],Table5[Saving_Acct_Original],Table5[Category])</f>
        <v>Medium Savings</v>
      </c>
      <c r="R469" t="s">
        <v>63</v>
      </c>
      <c r="S469" s="2" t="str">
        <f>IF(
      OR(Table1[[#This Row],[Job_Type]] = "high qualif/self emp/mgmt", Table1[[#This Row],[Job_Type]] = "skilled"),
      "Skilled", "Unskilled")</f>
        <v>Skilled</v>
      </c>
      <c r="T469" t="str">
        <f>IF(Table1[[#This Row],[Job_Type]] = "unemp/unskilled non res", "Unemployed", "Employed")</f>
        <v>Employed</v>
      </c>
      <c r="U469" t="s">
        <v>21</v>
      </c>
      <c r="V469" s="14" t="str" cm="1">
        <f t="array" ref="V46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69" t="s">
        <v>31</v>
      </c>
      <c r="X469" s="2" t="str">
        <f>_xlfn.XLOOKUP(Table1[[#This Row],[Loan_Credit_History]],Table4[Credit History],Table4[[ Category]])</f>
        <v>Existing Credits Paid</v>
      </c>
      <c r="Y469" s="3">
        <v>1</v>
      </c>
      <c r="Z469" s="3">
        <v>1</v>
      </c>
      <c r="AA469" s="5">
        <v>2923</v>
      </c>
      <c r="AB469" t="s">
        <v>151</v>
      </c>
      <c r="AC469" s="2" t="str" cm="1">
        <f t="array" ref="AC469">_xlfn.IFS(Table1[[#This Row],[Others_Parties]] = "No", "None",
Table1[[#This Row],[Others_Parties]] = "co applicant", "Co-applicant",
Table1[[#This Row],[Others_Parties]] = "guarantor", "Guarantor")</f>
        <v>None</v>
      </c>
      <c r="AD469" s="13" t="s">
        <v>146</v>
      </c>
      <c r="AE469" s="2" t="s">
        <v>141</v>
      </c>
      <c r="AF469" s="28" t="str" cm="1">
        <f t="array" ref="AF46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69" s="21">
        <v>21</v>
      </c>
      <c r="AH469" s="2" t="s">
        <v>154</v>
      </c>
      <c r="AI469"/>
      <c r="AZ469"/>
      <c r="BC469"/>
      <c r="BE469"/>
      <c r="BL469"/>
      <c r="BZ469"/>
      <c r="CA469"/>
      <c r="CF469"/>
      <c r="CG469"/>
      <c r="CH469"/>
      <c r="CI469"/>
      <c r="CK469"/>
      <c r="CN469"/>
    </row>
    <row r="470" spans="1:92" x14ac:dyDescent="0.3">
      <c r="A470" s="4">
        <v>468</v>
      </c>
      <c r="B470" s="11">
        <v>28</v>
      </c>
      <c r="C470" s="2" t="str">
        <f>_xlfn.XLOOKUP(Table1[[#This Row],[Age]],Table7[Start_Age],Table7[Age_Range],,-1)</f>
        <v>19-29</v>
      </c>
      <c r="D470" t="s">
        <v>130</v>
      </c>
      <c r="E470" s="2" t="s">
        <v>129</v>
      </c>
      <c r="F470" s="2" t="s">
        <v>133</v>
      </c>
      <c r="G470" s="3">
        <v>1</v>
      </c>
      <c r="H470" s="13" t="s">
        <v>152</v>
      </c>
      <c r="I470" s="2" t="str" cm="1">
        <f t="array" ref="I470">_xlfn.IFS(Table1[[#This Row],[Job_Type]] = "unskilled resident", "Resident",
Table1[[#This Row],[Job_Type]] = "unemp/unskilled non res", "Non-resident",
TRUE, "Unknown")</f>
        <v>Resident</v>
      </c>
      <c r="J470" s="2" t="s">
        <v>148</v>
      </c>
      <c r="K470" s="3">
        <v>2</v>
      </c>
      <c r="L470" s="2" t="s">
        <v>144</v>
      </c>
      <c r="M470" s="13" t="s">
        <v>151</v>
      </c>
      <c r="N470" t="s">
        <v>17</v>
      </c>
      <c r="O470" s="2" t="str">
        <f>_xlfn.XLOOKUP(Table1[[#This Row],[Checking_Acct_Status]],Table3[Checking_Acct_Original],Table3[Category])</f>
        <v>No Account</v>
      </c>
      <c r="P470" s="10" t="s">
        <v>32</v>
      </c>
      <c r="Q470" s="13" t="str">
        <f>_xlfn.XLOOKUP(Table1[[#This Row],[Saving_Acct_Status]],Table5[Saving_Acct_Original],Table5[Category])</f>
        <v>Low Savings</v>
      </c>
      <c r="R470" t="s">
        <v>27</v>
      </c>
      <c r="S470" s="2" t="str">
        <f>IF(
      OR(Table1[[#This Row],[Job_Type]] = "high qualif/self emp/mgmt", Table1[[#This Row],[Job_Type]] = "skilled"),
      "Skilled", "Unskilled")</f>
        <v>Unskilled</v>
      </c>
      <c r="T470" t="str">
        <f>IF(Table1[[#This Row],[Job_Type]] = "unemp/unskilled non res", "Unemployed", "Employed")</f>
        <v>Employed</v>
      </c>
      <c r="U470" t="s">
        <v>21</v>
      </c>
      <c r="V470" s="14" t="str" cm="1">
        <f t="array" ref="V47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70" t="s">
        <v>59</v>
      </c>
      <c r="X470" s="2" t="str">
        <f>_xlfn.XLOOKUP(Table1[[#This Row],[Loan_Credit_History]],Table4[Credit History],Table4[[ Category]])</f>
        <v>Previously Delayed</v>
      </c>
      <c r="Y470" s="3">
        <v>3</v>
      </c>
      <c r="Z470" s="3">
        <v>2</v>
      </c>
      <c r="AA470" s="5">
        <v>2993</v>
      </c>
      <c r="AB470" t="s">
        <v>151</v>
      </c>
      <c r="AC470" s="2" t="str" cm="1">
        <f t="array" ref="AC470">_xlfn.IFS(Table1[[#This Row],[Others_Parties]] = "No", "None",
Table1[[#This Row],[Others_Parties]] = "co applicant", "Co-applicant",
Table1[[#This Row],[Others_Parties]] = "guarantor", "Guarantor")</f>
        <v>None</v>
      </c>
      <c r="AD470" s="13" t="s">
        <v>147</v>
      </c>
      <c r="AE470" s="2" t="s">
        <v>107</v>
      </c>
      <c r="AF470" s="28" t="str" cm="1">
        <f t="array" ref="AF47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70" s="21">
        <v>21</v>
      </c>
      <c r="AH470" s="2" t="s">
        <v>154</v>
      </c>
      <c r="AI470"/>
      <c r="AZ470"/>
      <c r="BC470"/>
      <c r="BE470"/>
      <c r="BL470"/>
      <c r="BZ470"/>
      <c r="CA470"/>
      <c r="CF470"/>
      <c r="CG470"/>
      <c r="CH470"/>
      <c r="CI470"/>
      <c r="CK470"/>
      <c r="CN470"/>
    </row>
    <row r="471" spans="1:92" x14ac:dyDescent="0.3">
      <c r="A471" s="4">
        <v>469</v>
      </c>
      <c r="B471" s="11">
        <v>41</v>
      </c>
      <c r="C471" s="2" t="str">
        <f>_xlfn.XLOOKUP(Table1[[#This Row],[Age]],Table7[Start_Age],Table7[Age_Range],,-1)</f>
        <v>39-49</v>
      </c>
      <c r="D471" t="s">
        <v>130</v>
      </c>
      <c r="E471" s="2" t="s">
        <v>129</v>
      </c>
      <c r="F471" s="2" t="s">
        <v>133</v>
      </c>
      <c r="G471" s="3">
        <v>1</v>
      </c>
      <c r="H471" s="13" t="s">
        <v>152</v>
      </c>
      <c r="I471" s="2" t="str" cm="1">
        <f t="array" ref="I471">_xlfn.IFS(Table1[[#This Row],[Job_Type]] = "unskilled resident", "Resident",
Table1[[#This Row],[Job_Type]] = "unemp/unskilled non res", "Non-resident",
TRUE, "Unknown")</f>
        <v>Unknown</v>
      </c>
      <c r="J471" s="2" t="s">
        <v>148</v>
      </c>
      <c r="K471" s="3">
        <v>3</v>
      </c>
      <c r="L471" s="2" t="s">
        <v>143</v>
      </c>
      <c r="M471" s="13" t="s">
        <v>152</v>
      </c>
      <c r="N471" t="s">
        <v>17</v>
      </c>
      <c r="O471" s="2" t="str">
        <f>_xlfn.XLOOKUP(Table1[[#This Row],[Checking_Acct_Status]],Table3[Checking_Acct_Original],Table3[Category])</f>
        <v>No Account</v>
      </c>
      <c r="P471" s="10" t="s">
        <v>47</v>
      </c>
      <c r="Q471" s="13" t="str">
        <f>_xlfn.XLOOKUP(Table1[[#This Row],[Saving_Acct_Status]],Table5[Saving_Acct_Original],Table5[Category])</f>
        <v>No Savings</v>
      </c>
      <c r="R471" t="s">
        <v>41</v>
      </c>
      <c r="S471" s="2" t="str">
        <f>IF(
      OR(Table1[[#This Row],[Job_Type]] = "high qualif/self emp/mgmt", Table1[[#This Row],[Job_Type]] = "skilled"),
      "Skilled", "Unskilled")</f>
        <v>Skilled</v>
      </c>
      <c r="T471" t="str">
        <f>IF(Table1[[#This Row],[Job_Type]] = "unemp/unskilled non res", "Unemployed", "Employed")</f>
        <v>Employed</v>
      </c>
      <c r="U471" t="s">
        <v>38</v>
      </c>
      <c r="V471" s="14" t="str" cm="1">
        <f t="array" ref="V47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71" t="s">
        <v>31</v>
      </c>
      <c r="X471" s="2" t="str">
        <f>_xlfn.XLOOKUP(Table1[[#This Row],[Loan_Credit_History]],Table4[Credit History],Table4[[ Category]])</f>
        <v>Existing Credits Paid</v>
      </c>
      <c r="Y471" s="3">
        <v>4</v>
      </c>
      <c r="Z471" s="3">
        <v>1</v>
      </c>
      <c r="AA471" s="5">
        <v>3160</v>
      </c>
      <c r="AB471" t="s">
        <v>151</v>
      </c>
      <c r="AC471" s="2" t="str" cm="1">
        <f t="array" ref="AC471">_xlfn.IFS(Table1[[#This Row],[Others_Parties]] = "No", "None",
Table1[[#This Row],[Others_Parties]] = "co applicant", "Co-applicant",
Table1[[#This Row],[Others_Parties]] = "guarantor", "Guarantor")</f>
        <v>None</v>
      </c>
      <c r="AD471" s="13" t="s">
        <v>145</v>
      </c>
      <c r="AE471" s="2" t="s">
        <v>111</v>
      </c>
      <c r="AF471" s="28" t="str" cm="1">
        <f t="array" ref="AF47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71" s="21">
        <v>21</v>
      </c>
      <c r="AH471" s="2" t="s">
        <v>154</v>
      </c>
      <c r="AI471"/>
      <c r="AZ471"/>
      <c r="BC471"/>
      <c r="BE471"/>
      <c r="BL471"/>
      <c r="BZ471"/>
      <c r="CA471"/>
      <c r="CF471"/>
      <c r="CG471"/>
      <c r="CH471"/>
      <c r="CI471"/>
      <c r="CK471"/>
      <c r="CN471"/>
    </row>
    <row r="472" spans="1:92" x14ac:dyDescent="0.3">
      <c r="A472" s="4">
        <v>470</v>
      </c>
      <c r="B472" s="11">
        <v>36</v>
      </c>
      <c r="C472" s="2" t="str">
        <f>_xlfn.XLOOKUP(Table1[[#This Row],[Age]],Table7[Start_Age],Table7[Age_Range],,-1)</f>
        <v>29-39</v>
      </c>
      <c r="D472" t="s">
        <v>130</v>
      </c>
      <c r="E472" s="2" t="s">
        <v>129</v>
      </c>
      <c r="F472" s="2" t="s">
        <v>133</v>
      </c>
      <c r="G472" s="3">
        <v>1</v>
      </c>
      <c r="H472" s="13" t="s">
        <v>152</v>
      </c>
      <c r="I472" s="2" t="str" cm="1">
        <f t="array" ref="I472">_xlfn.IFS(Table1[[#This Row],[Job_Type]] = "unskilled resident", "Resident",
Table1[[#This Row],[Job_Type]] = "unemp/unskilled non res", "Non-resident",
TRUE, "Unknown")</f>
        <v>Unknown</v>
      </c>
      <c r="J472" s="2" t="s">
        <v>148</v>
      </c>
      <c r="K472" s="3">
        <v>4</v>
      </c>
      <c r="L472" s="2" t="s">
        <v>140</v>
      </c>
      <c r="M472" s="13" t="s">
        <v>152</v>
      </c>
      <c r="N472" t="s">
        <v>17</v>
      </c>
      <c r="O472" s="2" t="str">
        <f>_xlfn.XLOOKUP(Table1[[#This Row],[Checking_Acct_Status]],Table3[Checking_Acct_Original],Table3[Category])</f>
        <v>No Account</v>
      </c>
      <c r="P472" s="10" t="s">
        <v>32</v>
      </c>
      <c r="Q472" s="13" t="str">
        <f>_xlfn.XLOOKUP(Table1[[#This Row],[Saving_Acct_Status]],Table5[Saving_Acct_Original],Table5[Category])</f>
        <v>Low Savings</v>
      </c>
      <c r="R472" t="s">
        <v>63</v>
      </c>
      <c r="S472" s="2" t="str">
        <f>IF(
      OR(Table1[[#This Row],[Job_Type]] = "high qualif/self emp/mgmt", Table1[[#This Row],[Job_Type]] = "skilled"),
      "Skilled", "Unskilled")</f>
        <v>Skilled</v>
      </c>
      <c r="T472" t="str">
        <f>IF(Table1[[#This Row],[Job_Type]] = "unemp/unskilled non res", "Unemployed", "Employed")</f>
        <v>Employed</v>
      </c>
      <c r="U472" t="s">
        <v>38</v>
      </c>
      <c r="V472" s="14" t="str" cm="1">
        <f t="array" ref="V47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72" t="s">
        <v>103</v>
      </c>
      <c r="X472" s="2" t="str">
        <f>_xlfn.XLOOKUP(Table1[[#This Row],[Loan_Credit_History]],Table4[Credit History],Table4[[ Category]])</f>
        <v>Critical Credit History</v>
      </c>
      <c r="Y472" s="3">
        <v>1</v>
      </c>
      <c r="Z472" s="3">
        <v>1</v>
      </c>
      <c r="AA472" s="5">
        <v>3275</v>
      </c>
      <c r="AB472" t="s">
        <v>151</v>
      </c>
      <c r="AC472" s="2" t="str" cm="1">
        <f t="array" ref="AC472">_xlfn.IFS(Table1[[#This Row],[Others_Parties]] = "No", "None",
Table1[[#This Row],[Others_Parties]] = "co applicant", "Co-applicant",
Table1[[#This Row],[Others_Parties]] = "guarantor", "Guarantor")</f>
        <v>None</v>
      </c>
      <c r="AD472" s="13" t="s">
        <v>145</v>
      </c>
      <c r="AE472" s="2" t="s">
        <v>107</v>
      </c>
      <c r="AF472" s="28" t="str" cm="1">
        <f t="array" ref="AF47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72" s="21">
        <v>21</v>
      </c>
      <c r="AH472" s="2" t="s">
        <v>154</v>
      </c>
      <c r="AI472"/>
      <c r="AZ472"/>
      <c r="BC472"/>
      <c r="BE472"/>
      <c r="BL472"/>
      <c r="BZ472"/>
      <c r="CA472"/>
      <c r="CF472"/>
      <c r="CG472"/>
      <c r="CH472"/>
      <c r="CI472"/>
      <c r="CK472"/>
      <c r="CN472"/>
    </row>
    <row r="473" spans="1:92" x14ac:dyDescent="0.3">
      <c r="A473" s="4">
        <v>471</v>
      </c>
      <c r="B473" s="11">
        <v>29</v>
      </c>
      <c r="C473" s="2" t="str">
        <f>_xlfn.XLOOKUP(Table1[[#This Row],[Age]],Table7[Start_Age],Table7[Age_Range],,-1)</f>
        <v>29-39</v>
      </c>
      <c r="D473" t="s">
        <v>136</v>
      </c>
      <c r="E473" s="2" t="s">
        <v>131</v>
      </c>
      <c r="F473" s="2" t="s">
        <v>137</v>
      </c>
      <c r="G473" s="3">
        <v>1</v>
      </c>
      <c r="H473" s="13" t="s">
        <v>152</v>
      </c>
      <c r="I473" s="2" t="str" cm="1">
        <f t="array" ref="I473">_xlfn.IFS(Table1[[#This Row],[Job_Type]] = "unskilled resident", "Resident",
Table1[[#This Row],[Job_Type]] = "unemp/unskilled non res", "Non-resident",
TRUE, "Unknown")</f>
        <v>Unknown</v>
      </c>
      <c r="J473" s="2" t="s">
        <v>148</v>
      </c>
      <c r="K473" s="3">
        <v>2</v>
      </c>
      <c r="L473" s="2" t="s">
        <v>140</v>
      </c>
      <c r="M473" s="13" t="s">
        <v>151</v>
      </c>
      <c r="N473" t="s">
        <v>35</v>
      </c>
      <c r="O473" s="2" t="str">
        <f>_xlfn.XLOOKUP(Table1[[#This Row],[Checking_Acct_Status]],Table3[Checking_Acct_Original],Table3[Category])</f>
        <v>Negative Balance</v>
      </c>
      <c r="P473" s="10" t="s">
        <v>20</v>
      </c>
      <c r="Q473" s="13" t="str">
        <f>_xlfn.XLOOKUP(Table1[[#This Row],[Saving_Acct_Status]],Table5[Saving_Acct_Original],Table5[Category])</f>
        <v>Very High Savings</v>
      </c>
      <c r="R473" t="s">
        <v>41</v>
      </c>
      <c r="S473" s="2" t="str">
        <f>IF(
      OR(Table1[[#This Row],[Job_Type]] = "high qualif/self emp/mgmt", Table1[[#This Row],[Job_Type]] = "skilled"),
      "Skilled", "Unskilled")</f>
        <v>Skilled</v>
      </c>
      <c r="T473" t="str">
        <f>IF(Table1[[#This Row],[Job_Type]] = "unemp/unskilled non res", "Unemployed", "Employed")</f>
        <v>Employed</v>
      </c>
      <c r="U473" t="s">
        <v>45</v>
      </c>
      <c r="V473" s="14" t="str" cm="1">
        <f t="array" ref="V47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73" t="s">
        <v>31</v>
      </c>
      <c r="X473" s="2" t="str">
        <f>_xlfn.XLOOKUP(Table1[[#This Row],[Loan_Credit_History]],Table4[Credit History],Table4[[ Category]])</f>
        <v>Existing Credits Paid</v>
      </c>
      <c r="Y473" s="3">
        <v>4</v>
      </c>
      <c r="Z473" s="3">
        <v>1</v>
      </c>
      <c r="AA473" s="5">
        <v>3357</v>
      </c>
      <c r="AB473" t="s">
        <v>151</v>
      </c>
      <c r="AC473" s="2" t="str" cm="1">
        <f t="array" ref="AC473">_xlfn.IFS(Table1[[#This Row],[Others_Parties]] = "No", "None",
Table1[[#This Row],[Others_Parties]] = "co applicant", "Co-applicant",
Table1[[#This Row],[Others_Parties]] = "guarantor", "Guarantor")</f>
        <v>None</v>
      </c>
      <c r="AD473" s="13" t="s">
        <v>146</v>
      </c>
      <c r="AE473" s="2" t="s">
        <v>111</v>
      </c>
      <c r="AF473" s="28" t="str" cm="1">
        <f t="array" ref="AF47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73" s="21">
        <v>21</v>
      </c>
      <c r="AH473" s="2" t="s">
        <v>154</v>
      </c>
      <c r="AI473"/>
      <c r="AZ473"/>
      <c r="BC473"/>
      <c r="BE473"/>
      <c r="BL473"/>
      <c r="BZ473"/>
      <c r="CA473"/>
      <c r="CF473"/>
      <c r="CG473"/>
      <c r="CH473"/>
      <c r="CI473"/>
      <c r="CK473"/>
      <c r="CN473"/>
    </row>
    <row r="474" spans="1:92" x14ac:dyDescent="0.3">
      <c r="A474" s="4">
        <v>472</v>
      </c>
      <c r="B474" s="11">
        <v>26</v>
      </c>
      <c r="C474" s="2" t="str">
        <f>_xlfn.XLOOKUP(Table1[[#This Row],[Age]],Table7[Start_Age],Table7[Age_Range],,-1)</f>
        <v>19-29</v>
      </c>
      <c r="D474" t="s">
        <v>130</v>
      </c>
      <c r="E474" s="2" t="s">
        <v>129</v>
      </c>
      <c r="F474" s="2" t="s">
        <v>133</v>
      </c>
      <c r="G474" s="3">
        <v>1</v>
      </c>
      <c r="H474" s="13" t="s">
        <v>152</v>
      </c>
      <c r="I474" s="2" t="str" cm="1">
        <f t="array" ref="I474">_xlfn.IFS(Table1[[#This Row],[Job_Type]] = "unskilled resident", "Resident",
Table1[[#This Row],[Job_Type]] = "unemp/unskilled non res", "Non-resident",
TRUE, "Unknown")</f>
        <v>Unknown</v>
      </c>
      <c r="J474" s="2" t="s">
        <v>148</v>
      </c>
      <c r="K474" s="3">
        <v>1</v>
      </c>
      <c r="L474" s="2" t="s">
        <v>143</v>
      </c>
      <c r="M474" s="13" t="s">
        <v>151</v>
      </c>
      <c r="N474" t="s">
        <v>35</v>
      </c>
      <c r="O474" s="2" t="str">
        <f>_xlfn.XLOOKUP(Table1[[#This Row],[Checking_Acct_Status]],Table3[Checking_Acct_Original],Table3[Category])</f>
        <v>Negative Balance</v>
      </c>
      <c r="P474" s="10" t="s">
        <v>32</v>
      </c>
      <c r="Q474" s="13" t="str">
        <f>_xlfn.XLOOKUP(Table1[[#This Row],[Saving_Acct_Status]],Table5[Saving_Acct_Original],Table5[Category])</f>
        <v>Low Savings</v>
      </c>
      <c r="R474" t="s">
        <v>41</v>
      </c>
      <c r="S474" s="2" t="str">
        <f>IF(
      OR(Table1[[#This Row],[Job_Type]] = "high qualif/self emp/mgmt", Table1[[#This Row],[Job_Type]] = "skilled"),
      "Skilled", "Unskilled")</f>
        <v>Skilled</v>
      </c>
      <c r="T474" t="str">
        <f>IF(Table1[[#This Row],[Job_Type]] = "unemp/unskilled non res", "Unemployed", "Employed")</f>
        <v>Employed</v>
      </c>
      <c r="U474" t="s">
        <v>45</v>
      </c>
      <c r="V474" s="14" t="str" cm="1">
        <f t="array" ref="V47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74" t="s">
        <v>59</v>
      </c>
      <c r="X474" s="2" t="str">
        <f>_xlfn.XLOOKUP(Table1[[#This Row],[Loan_Credit_History]],Table4[Credit History],Table4[[ Category]])</f>
        <v>Previously Delayed</v>
      </c>
      <c r="Y474" s="3">
        <v>2</v>
      </c>
      <c r="Z474" s="3">
        <v>2</v>
      </c>
      <c r="AA474" s="5">
        <v>3414</v>
      </c>
      <c r="AB474" t="s">
        <v>151</v>
      </c>
      <c r="AC474" s="2" t="str" cm="1">
        <f t="array" ref="AC474">_xlfn.IFS(Table1[[#This Row],[Others_Parties]] = "No", "None",
Table1[[#This Row],[Others_Parties]] = "co applicant", "Co-applicant",
Table1[[#This Row],[Others_Parties]] = "guarantor", "Guarantor")</f>
        <v>None</v>
      </c>
      <c r="AD474" s="13" t="s">
        <v>145</v>
      </c>
      <c r="AE474" s="2" t="s">
        <v>100</v>
      </c>
      <c r="AF474" s="28" t="str" cm="1">
        <f t="array" ref="AF47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74" s="21">
        <v>21</v>
      </c>
      <c r="AH474" s="2" t="s">
        <v>153</v>
      </c>
      <c r="AI474"/>
      <c r="AZ474"/>
      <c r="BC474"/>
      <c r="BE474"/>
      <c r="BL474"/>
      <c r="BZ474"/>
      <c r="CA474"/>
      <c r="CF474"/>
      <c r="CG474"/>
      <c r="CH474"/>
      <c r="CI474"/>
      <c r="CK474"/>
      <c r="CN474"/>
    </row>
    <row r="475" spans="1:92" x14ac:dyDescent="0.3">
      <c r="A475" s="4">
        <v>473</v>
      </c>
      <c r="B475" s="11">
        <v>26</v>
      </c>
      <c r="C475" s="2" t="str">
        <f>_xlfn.XLOOKUP(Table1[[#This Row],[Age]],Table7[Start_Age],Table7[Age_Range],,-1)</f>
        <v>19-29</v>
      </c>
      <c r="D475" t="s">
        <v>136</v>
      </c>
      <c r="E475" s="2" t="s">
        <v>131</v>
      </c>
      <c r="F475" s="2" t="s">
        <v>137</v>
      </c>
      <c r="G475" s="3">
        <v>1</v>
      </c>
      <c r="H475" s="13" t="s">
        <v>152</v>
      </c>
      <c r="I475" s="2" t="str" cm="1">
        <f t="array" ref="I475">_xlfn.IFS(Table1[[#This Row],[Job_Type]] = "unskilled resident", "Resident",
Table1[[#This Row],[Job_Type]] = "unemp/unskilled non res", "Non-resident",
TRUE, "Unknown")</f>
        <v>Resident</v>
      </c>
      <c r="J475" s="2" t="s">
        <v>149</v>
      </c>
      <c r="K475" s="3">
        <v>4</v>
      </c>
      <c r="L475" s="2" t="s">
        <v>140</v>
      </c>
      <c r="M475" s="13" t="s">
        <v>151</v>
      </c>
      <c r="N475" t="s">
        <v>35</v>
      </c>
      <c r="O475" s="2" t="str">
        <f>_xlfn.XLOOKUP(Table1[[#This Row],[Checking_Acct_Status]],Table3[Checking_Acct_Original],Table3[Category])</f>
        <v>Negative Balance</v>
      </c>
      <c r="P475" s="10" t="s">
        <v>32</v>
      </c>
      <c r="Q475" s="13" t="str">
        <f>_xlfn.XLOOKUP(Table1[[#This Row],[Saving_Acct_Status]],Table5[Saving_Acct_Original],Table5[Category])</f>
        <v>Low Savings</v>
      </c>
      <c r="R475" t="s">
        <v>27</v>
      </c>
      <c r="S475" s="2" t="str">
        <f>IF(
      OR(Table1[[#This Row],[Job_Type]] = "high qualif/self emp/mgmt", Table1[[#This Row],[Job_Type]] = "skilled"),
      "Skilled", "Unskilled")</f>
        <v>Unskilled</v>
      </c>
      <c r="T475" t="str">
        <f>IF(Table1[[#This Row],[Job_Type]] = "unemp/unskilled non res", "Unemployed", "Employed")</f>
        <v>Employed</v>
      </c>
      <c r="U475" t="s">
        <v>49</v>
      </c>
      <c r="V475" s="14" t="str" cm="1">
        <f t="array" ref="V47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75" t="s">
        <v>31</v>
      </c>
      <c r="X475" s="2" t="str">
        <f>_xlfn.XLOOKUP(Table1[[#This Row],[Loan_Credit_History]],Table4[Credit History],Table4[[ Category]])</f>
        <v>Existing Credits Paid</v>
      </c>
      <c r="Y475" s="3">
        <v>1</v>
      </c>
      <c r="Z475" s="3">
        <v>1</v>
      </c>
      <c r="AA475" s="5">
        <v>3599</v>
      </c>
      <c r="AB475" t="s">
        <v>151</v>
      </c>
      <c r="AC475" s="2" t="str" cm="1">
        <f t="array" ref="AC475">_xlfn.IFS(Table1[[#This Row],[Others_Parties]] = "No", "None",
Table1[[#This Row],[Others_Parties]] = "co applicant", "Co-applicant",
Table1[[#This Row],[Others_Parties]] = "guarantor", "Guarantor")</f>
        <v>None</v>
      </c>
      <c r="AD475" s="13" t="s">
        <v>145</v>
      </c>
      <c r="AE475" s="2" t="s">
        <v>108</v>
      </c>
      <c r="AF475" s="28" t="str" cm="1">
        <f t="array" ref="AF47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75" s="21">
        <v>21</v>
      </c>
      <c r="AH475" s="2" t="s">
        <v>154</v>
      </c>
      <c r="AI475"/>
      <c r="AZ475"/>
      <c r="BC475"/>
      <c r="BE475"/>
      <c r="BL475"/>
      <c r="BZ475"/>
      <c r="CA475"/>
      <c r="CF475"/>
      <c r="CG475"/>
      <c r="CH475"/>
      <c r="CI475"/>
      <c r="CK475"/>
      <c r="CN475"/>
    </row>
    <row r="476" spans="1:92" x14ac:dyDescent="0.3">
      <c r="A476" s="4">
        <v>474</v>
      </c>
      <c r="B476" s="11">
        <v>27</v>
      </c>
      <c r="C476" s="2" t="str">
        <f>_xlfn.XLOOKUP(Table1[[#This Row],[Age]],Table7[Start_Age],Table7[Age_Range],,-1)</f>
        <v>19-29</v>
      </c>
      <c r="D476" t="s">
        <v>130</v>
      </c>
      <c r="E476" s="2" t="s">
        <v>129</v>
      </c>
      <c r="F476" s="2" t="s">
        <v>133</v>
      </c>
      <c r="G476" s="3">
        <v>1</v>
      </c>
      <c r="H476" s="13" t="s">
        <v>152</v>
      </c>
      <c r="I476" s="2" t="str" cm="1">
        <f t="array" ref="I476">_xlfn.IFS(Table1[[#This Row],[Job_Type]] = "unskilled resident", "Resident",
Table1[[#This Row],[Job_Type]] = "unemp/unskilled non res", "Non-resident",
TRUE, "Unknown")</f>
        <v>Unknown</v>
      </c>
      <c r="J476" s="2" t="s">
        <v>148</v>
      </c>
      <c r="K476" s="3">
        <v>3</v>
      </c>
      <c r="L476" s="2" t="s">
        <v>143</v>
      </c>
      <c r="M476" s="13" t="s">
        <v>151</v>
      </c>
      <c r="N476" t="s">
        <v>30</v>
      </c>
      <c r="O476" s="2" t="str">
        <f>_xlfn.XLOOKUP(Table1[[#This Row],[Checking_Acct_Status]],Table3[Checking_Acct_Original],Table3[Category])</f>
        <v>Low Balance</v>
      </c>
      <c r="P476" s="10" t="s">
        <v>32</v>
      </c>
      <c r="Q476" s="13" t="str">
        <f>_xlfn.XLOOKUP(Table1[[#This Row],[Saving_Acct_Status]],Table5[Saving_Acct_Original],Table5[Category])</f>
        <v>Low Savings</v>
      </c>
      <c r="R476" t="s">
        <v>41</v>
      </c>
      <c r="S476" s="2" t="str">
        <f>IF(
      OR(Table1[[#This Row],[Job_Type]] = "high qualif/self emp/mgmt", Table1[[#This Row],[Job_Type]] = "skilled"),
      "Skilled", "Unskilled")</f>
        <v>Skilled</v>
      </c>
      <c r="T476" t="str">
        <f>IF(Table1[[#This Row],[Job_Type]] = "unemp/unskilled non res", "Unemployed", "Employed")</f>
        <v>Employed</v>
      </c>
      <c r="U476" t="s">
        <v>49</v>
      </c>
      <c r="V476" s="14" t="str" cm="1">
        <f t="array" ref="V47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76" t="s">
        <v>103</v>
      </c>
      <c r="X476" s="2" t="str">
        <f>_xlfn.XLOOKUP(Table1[[#This Row],[Loan_Credit_History]],Table4[Credit History],Table4[[ Category]])</f>
        <v>Critical Credit History</v>
      </c>
      <c r="Y476" s="3">
        <v>2</v>
      </c>
      <c r="Z476" s="3">
        <v>2</v>
      </c>
      <c r="AA476" s="5">
        <v>3652</v>
      </c>
      <c r="AB476" t="s">
        <v>151</v>
      </c>
      <c r="AC476" s="2" t="str" cm="1">
        <f t="array" ref="AC476">_xlfn.IFS(Table1[[#This Row],[Others_Parties]] = "No", "None",
Table1[[#This Row],[Others_Parties]] = "co applicant", "Co-applicant",
Table1[[#This Row],[Others_Parties]] = "guarantor", "Guarantor")</f>
        <v>None</v>
      </c>
      <c r="AD476" s="13" t="s">
        <v>145</v>
      </c>
      <c r="AE476" s="2" t="s">
        <v>105</v>
      </c>
      <c r="AF476" s="28" t="str" cm="1">
        <f t="array" ref="AF47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76" s="21">
        <v>21</v>
      </c>
      <c r="AH476" s="2" t="s">
        <v>154</v>
      </c>
      <c r="AI476"/>
      <c r="AZ476"/>
      <c r="BC476"/>
      <c r="BE476"/>
      <c r="BL476"/>
      <c r="BZ476"/>
      <c r="CA476"/>
      <c r="CF476"/>
      <c r="CG476"/>
      <c r="CH476"/>
      <c r="CI476"/>
      <c r="CK476"/>
      <c r="CN476"/>
    </row>
    <row r="477" spans="1:92" x14ac:dyDescent="0.3">
      <c r="A477" s="4">
        <v>475</v>
      </c>
      <c r="B477" s="11">
        <v>35</v>
      </c>
      <c r="C477" s="2" t="str">
        <f>_xlfn.XLOOKUP(Table1[[#This Row],[Age]],Table7[Start_Age],Table7[Age_Range],,-1)</f>
        <v>29-39</v>
      </c>
      <c r="D477" t="s">
        <v>130</v>
      </c>
      <c r="E477" s="2" t="s">
        <v>129</v>
      </c>
      <c r="F477" s="2" t="s">
        <v>133</v>
      </c>
      <c r="G477" s="3">
        <v>1</v>
      </c>
      <c r="H477" s="13" t="s">
        <v>152</v>
      </c>
      <c r="I477" s="2" t="str" cm="1">
        <f t="array" ref="I477">_xlfn.IFS(Table1[[#This Row],[Job_Type]] = "unskilled resident", "Resident",
Table1[[#This Row],[Job_Type]] = "unemp/unskilled non res", "Non-resident",
TRUE, "Unknown")</f>
        <v>Unknown</v>
      </c>
      <c r="J477" s="2" t="s">
        <v>148</v>
      </c>
      <c r="K477" s="3">
        <v>3</v>
      </c>
      <c r="L477" s="2" t="s">
        <v>140</v>
      </c>
      <c r="M477" s="13" t="s">
        <v>152</v>
      </c>
      <c r="N477" t="s">
        <v>30</v>
      </c>
      <c r="O477" s="2" t="str">
        <f>_xlfn.XLOOKUP(Table1[[#This Row],[Checking_Acct_Status]],Table3[Checking_Acct_Original],Table3[Category])</f>
        <v>Low Balance</v>
      </c>
      <c r="P477" s="10" t="s">
        <v>47</v>
      </c>
      <c r="Q477" s="13" t="str">
        <f>_xlfn.XLOOKUP(Table1[[#This Row],[Saving_Acct_Status]],Table5[Saving_Acct_Original],Table5[Category])</f>
        <v>No Savings</v>
      </c>
      <c r="R477" t="s">
        <v>41</v>
      </c>
      <c r="S477" s="2" t="str">
        <f>IF(
      OR(Table1[[#This Row],[Job_Type]] = "high qualif/self emp/mgmt", Table1[[#This Row],[Job_Type]] = "skilled"),
      "Skilled", "Unskilled")</f>
        <v>Skilled</v>
      </c>
      <c r="T477" t="str">
        <f>IF(Table1[[#This Row],[Job_Type]] = "unemp/unskilled non res", "Unemployed", "Employed")</f>
        <v>Employed</v>
      </c>
      <c r="U477" t="s">
        <v>49</v>
      </c>
      <c r="V477" s="14" t="str" cm="1">
        <f t="array" ref="V47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77" t="s">
        <v>31</v>
      </c>
      <c r="X477" s="2" t="str">
        <f>_xlfn.XLOOKUP(Table1[[#This Row],[Loan_Credit_History]],Table4[Credit History],Table4[[ Category]])</f>
        <v>Existing Credits Paid</v>
      </c>
      <c r="Y477" s="3">
        <v>2</v>
      </c>
      <c r="Z477" s="3">
        <v>1</v>
      </c>
      <c r="AA477" s="5">
        <v>3976</v>
      </c>
      <c r="AB477" t="s">
        <v>151</v>
      </c>
      <c r="AC477" s="2" t="str" cm="1">
        <f t="array" ref="AC477">_xlfn.IFS(Table1[[#This Row],[Others_Parties]] = "No", "None",
Table1[[#This Row],[Others_Parties]] = "co applicant", "Co-applicant",
Table1[[#This Row],[Others_Parties]] = "guarantor", "Guarantor")</f>
        <v>None</v>
      </c>
      <c r="AD477" s="13" t="s">
        <v>145</v>
      </c>
      <c r="AE477" s="2" t="s">
        <v>108</v>
      </c>
      <c r="AF477" s="28" t="str" cm="1">
        <f t="array" ref="AF47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77" s="21">
        <v>21</v>
      </c>
      <c r="AH477" s="2" t="s">
        <v>154</v>
      </c>
      <c r="AI477"/>
      <c r="AZ477"/>
      <c r="BC477"/>
      <c r="BE477"/>
      <c r="BL477"/>
      <c r="BZ477"/>
      <c r="CA477"/>
      <c r="CF477"/>
      <c r="CG477"/>
      <c r="CH477"/>
      <c r="CI477"/>
      <c r="CK477"/>
      <c r="CN477"/>
    </row>
    <row r="478" spans="1:92" x14ac:dyDescent="0.3">
      <c r="A478" s="4">
        <v>476</v>
      </c>
      <c r="B478" s="11">
        <v>29</v>
      </c>
      <c r="C478" s="2" t="str">
        <f>_xlfn.XLOOKUP(Table1[[#This Row],[Age]],Table7[Start_Age],Table7[Age_Range],,-1)</f>
        <v>29-39</v>
      </c>
      <c r="D478" t="s">
        <v>136</v>
      </c>
      <c r="E478" s="2" t="s">
        <v>131</v>
      </c>
      <c r="F478" s="2" t="s">
        <v>137</v>
      </c>
      <c r="G478" s="3">
        <v>1</v>
      </c>
      <c r="H478" s="13" t="s">
        <v>152</v>
      </c>
      <c r="I478" s="2" t="str" cm="1">
        <f t="array" ref="I478">_xlfn.IFS(Table1[[#This Row],[Job_Type]] = "unskilled resident", "Resident",
Table1[[#This Row],[Job_Type]] = "unemp/unskilled non res", "Non-resident",
TRUE, "Unknown")</f>
        <v>Unknown</v>
      </c>
      <c r="J478" s="2" t="s">
        <v>148</v>
      </c>
      <c r="K478" s="3">
        <v>4</v>
      </c>
      <c r="L478" s="2" t="s">
        <v>143</v>
      </c>
      <c r="M478" s="13" t="s">
        <v>152</v>
      </c>
      <c r="N478" t="s">
        <v>17</v>
      </c>
      <c r="O478" s="2" t="str">
        <f>_xlfn.XLOOKUP(Table1[[#This Row],[Checking_Acct_Status]],Table3[Checking_Acct_Original],Table3[Category])</f>
        <v>No Account</v>
      </c>
      <c r="P478" s="10" t="s">
        <v>47</v>
      </c>
      <c r="Q478" s="13" t="str">
        <f>_xlfn.XLOOKUP(Table1[[#This Row],[Saving_Acct_Status]],Table5[Saving_Acct_Original],Table5[Category])</f>
        <v>No Savings</v>
      </c>
      <c r="R478" t="s">
        <v>41</v>
      </c>
      <c r="S478" s="2" t="str">
        <f>IF(
      OR(Table1[[#This Row],[Job_Type]] = "high qualif/self emp/mgmt", Table1[[#This Row],[Job_Type]] = "skilled"),
      "Skilled", "Unskilled")</f>
        <v>Skilled</v>
      </c>
      <c r="T478" t="str">
        <f>IF(Table1[[#This Row],[Job_Type]] = "unemp/unskilled non res", "Unemployed", "Employed")</f>
        <v>Employed</v>
      </c>
      <c r="U478" t="s">
        <v>21</v>
      </c>
      <c r="V478" s="14" t="str" cm="1">
        <f t="array" ref="V47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78" t="s">
        <v>52</v>
      </c>
      <c r="X478" s="2" t="str">
        <f>_xlfn.XLOOKUP(Table1[[#This Row],[Loan_Credit_History]],Table4[Credit History],Table4[[ Category]])</f>
        <v>No Credit History</v>
      </c>
      <c r="Y478" s="3">
        <v>1</v>
      </c>
      <c r="Z478" s="3">
        <v>2</v>
      </c>
      <c r="AA478" s="5">
        <v>5003</v>
      </c>
      <c r="AB478" t="s">
        <v>151</v>
      </c>
      <c r="AC478" s="2" t="str" cm="1">
        <f t="array" ref="AC478">_xlfn.IFS(Table1[[#This Row],[Others_Parties]] = "No", "None",
Table1[[#This Row],[Others_Parties]] = "co applicant", "Co-applicant",
Table1[[#This Row],[Others_Parties]] = "guarantor", "Guarantor")</f>
        <v>None</v>
      </c>
      <c r="AD478" s="13" t="s">
        <v>146</v>
      </c>
      <c r="AE478" s="2" t="s">
        <v>141</v>
      </c>
      <c r="AF478" s="28" t="str" cm="1">
        <f t="array" ref="AF47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78" s="21">
        <v>21</v>
      </c>
      <c r="AH478" s="2" t="s">
        <v>153</v>
      </c>
      <c r="AI478"/>
      <c r="AZ478"/>
      <c r="BC478"/>
      <c r="BE478"/>
      <c r="BL478"/>
      <c r="BZ478"/>
      <c r="CA478"/>
      <c r="CF478"/>
      <c r="CG478"/>
      <c r="CH478"/>
      <c r="CI478"/>
      <c r="CK478"/>
      <c r="CN478"/>
    </row>
    <row r="479" spans="1:92" x14ac:dyDescent="0.3">
      <c r="A479" s="4">
        <v>477</v>
      </c>
      <c r="B479" s="11">
        <v>26</v>
      </c>
      <c r="C479" s="2" t="str">
        <f>_xlfn.XLOOKUP(Table1[[#This Row],[Age]],Table7[Start_Age],Table7[Age_Range],,-1)</f>
        <v>19-29</v>
      </c>
      <c r="D479" t="s">
        <v>130</v>
      </c>
      <c r="E479" s="2" t="s">
        <v>129</v>
      </c>
      <c r="F479" s="2" t="s">
        <v>133</v>
      </c>
      <c r="G479" s="3">
        <v>1</v>
      </c>
      <c r="H479" s="13" t="s">
        <v>152</v>
      </c>
      <c r="I479" s="2" t="str" cm="1">
        <f t="array" ref="I479">_xlfn.IFS(Table1[[#This Row],[Job_Type]] = "unskilled resident", "Resident",
Table1[[#This Row],[Job_Type]] = "unemp/unskilled non res", "Non-resident",
TRUE, "Unknown")</f>
        <v>Unknown</v>
      </c>
      <c r="J479" s="2" t="s">
        <v>148</v>
      </c>
      <c r="K479" s="3">
        <v>3</v>
      </c>
      <c r="L479" s="2" t="s">
        <v>140</v>
      </c>
      <c r="M479" s="13" t="s">
        <v>151</v>
      </c>
      <c r="N479" t="s">
        <v>17</v>
      </c>
      <c r="O479" s="2" t="str">
        <f>_xlfn.XLOOKUP(Table1[[#This Row],[Checking_Acct_Status]],Table3[Checking_Acct_Original],Table3[Category])</f>
        <v>No Account</v>
      </c>
      <c r="P479" s="10" t="s">
        <v>47</v>
      </c>
      <c r="Q479" s="13" t="str">
        <f>_xlfn.XLOOKUP(Table1[[#This Row],[Saving_Acct_Status]],Table5[Saving_Acct_Original],Table5[Category])</f>
        <v>No Savings</v>
      </c>
      <c r="R479" t="s">
        <v>41</v>
      </c>
      <c r="S479" s="2" t="str">
        <f>IF(
      OR(Table1[[#This Row],[Job_Type]] = "high qualif/self emp/mgmt", Table1[[#This Row],[Job_Type]] = "skilled"),
      "Skilled", "Unskilled")</f>
        <v>Skilled</v>
      </c>
      <c r="T479" t="str">
        <f>IF(Table1[[#This Row],[Job_Type]] = "unemp/unskilled non res", "Unemployed", "Employed")</f>
        <v>Employed</v>
      </c>
      <c r="U479" t="s">
        <v>21</v>
      </c>
      <c r="V479" s="14" t="str" cm="1">
        <f t="array" ref="V47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79" t="s">
        <v>31</v>
      </c>
      <c r="X479" s="2" t="str">
        <f>_xlfn.XLOOKUP(Table1[[#This Row],[Loan_Credit_History]],Table4[Credit History],Table4[[ Category]])</f>
        <v>Existing Credits Paid</v>
      </c>
      <c r="Y479" s="3">
        <v>1</v>
      </c>
      <c r="Z479" s="3">
        <v>1</v>
      </c>
      <c r="AA479" s="5">
        <v>5248</v>
      </c>
      <c r="AB479" t="s">
        <v>151</v>
      </c>
      <c r="AC479" s="2" t="str" cm="1">
        <f t="array" ref="AC479">_xlfn.IFS(Table1[[#This Row],[Others_Parties]] = "No", "None",
Table1[[#This Row],[Others_Parties]] = "co applicant", "Co-applicant",
Table1[[#This Row],[Others_Parties]] = "guarantor", "Guarantor")</f>
        <v>None</v>
      </c>
      <c r="AD479" s="13" t="s">
        <v>145</v>
      </c>
      <c r="AE479" s="2" t="s">
        <v>107</v>
      </c>
      <c r="AF479" s="28" t="str" cm="1">
        <f t="array" ref="AF47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79" s="21">
        <v>21</v>
      </c>
      <c r="AH479" s="2" t="s">
        <v>154</v>
      </c>
      <c r="AI479"/>
      <c r="AZ479"/>
      <c r="BC479"/>
      <c r="BE479"/>
      <c r="BL479"/>
      <c r="BZ479"/>
      <c r="CA479"/>
      <c r="CF479"/>
      <c r="CG479"/>
      <c r="CH479"/>
      <c r="CI479"/>
      <c r="CK479"/>
      <c r="CN479"/>
    </row>
    <row r="480" spans="1:92" x14ac:dyDescent="0.3">
      <c r="A480" s="4">
        <v>478</v>
      </c>
      <c r="B480" s="11">
        <v>30</v>
      </c>
      <c r="C480" s="2" t="str">
        <f>_xlfn.XLOOKUP(Table1[[#This Row],[Age]],Table7[Start_Age],Table7[Age_Range],,-1)</f>
        <v>29-39</v>
      </c>
      <c r="D480" t="s">
        <v>130</v>
      </c>
      <c r="E480" s="2" t="s">
        <v>129</v>
      </c>
      <c r="F480" s="2" t="s">
        <v>133</v>
      </c>
      <c r="G480" s="3">
        <v>1</v>
      </c>
      <c r="H480" s="13" t="s">
        <v>152</v>
      </c>
      <c r="I480" s="2" t="str" cm="1">
        <f t="array" ref="I480">_xlfn.IFS(Table1[[#This Row],[Job_Type]] = "unskilled resident", "Resident",
Table1[[#This Row],[Job_Type]] = "unemp/unskilled non res", "Non-resident",
TRUE, "Unknown")</f>
        <v>Unknown</v>
      </c>
      <c r="J480" s="2" t="s">
        <v>150</v>
      </c>
      <c r="K480" s="3">
        <v>4</v>
      </c>
      <c r="L480" s="2" t="s">
        <v>142</v>
      </c>
      <c r="M480" s="13" t="s">
        <v>152</v>
      </c>
      <c r="N480" t="s">
        <v>17</v>
      </c>
      <c r="O480" s="2" t="str">
        <f>_xlfn.XLOOKUP(Table1[[#This Row],[Checking_Acct_Status]],Table3[Checking_Acct_Original],Table3[Category])</f>
        <v>No Account</v>
      </c>
      <c r="P480" s="10" t="s">
        <v>47</v>
      </c>
      <c r="Q480" s="13" t="str">
        <f>_xlfn.XLOOKUP(Table1[[#This Row],[Saving_Acct_Status]],Table5[Saving_Acct_Original],Table5[Category])</f>
        <v>No Savings</v>
      </c>
      <c r="R480" t="s">
        <v>63</v>
      </c>
      <c r="S480" s="2" t="str">
        <f>IF(
      OR(Table1[[#This Row],[Job_Type]] = "high qualif/self emp/mgmt", Table1[[#This Row],[Job_Type]] = "skilled"),
      "Skilled", "Unskilled")</f>
        <v>Skilled</v>
      </c>
      <c r="T480" t="str">
        <f>IF(Table1[[#This Row],[Job_Type]] = "unemp/unskilled non res", "Unemployed", "Employed")</f>
        <v>Employed</v>
      </c>
      <c r="U480" t="s">
        <v>38</v>
      </c>
      <c r="V480" s="14" t="str" cm="1">
        <f t="array" ref="V48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80" t="s">
        <v>103</v>
      </c>
      <c r="X480" s="2" t="str">
        <f>_xlfn.XLOOKUP(Table1[[#This Row],[Loan_Credit_History]],Table4[Credit History],Table4[[ Category]])</f>
        <v>Critical Credit History</v>
      </c>
      <c r="Y480" s="3">
        <v>4</v>
      </c>
      <c r="Z480" s="3">
        <v>1</v>
      </c>
      <c r="AA480" s="5">
        <v>12680</v>
      </c>
      <c r="AB480" t="s">
        <v>151</v>
      </c>
      <c r="AC480" s="2" t="str" cm="1">
        <f t="array" ref="AC480">_xlfn.IFS(Table1[[#This Row],[Others_Parties]] = "No", "None",
Table1[[#This Row],[Others_Parties]] = "co applicant", "Co-applicant",
Table1[[#This Row],[Others_Parties]] = "guarantor", "Guarantor")</f>
        <v>None</v>
      </c>
      <c r="AD480" s="13" t="s">
        <v>145</v>
      </c>
      <c r="AE480" s="2" t="s">
        <v>141</v>
      </c>
      <c r="AF480" s="28" t="str" cm="1">
        <f t="array" ref="AF48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80" s="21">
        <v>21</v>
      </c>
      <c r="AH480" s="2" t="s">
        <v>153</v>
      </c>
      <c r="AI480"/>
      <c r="AZ480"/>
      <c r="BC480"/>
      <c r="BE480"/>
      <c r="BL480"/>
      <c r="BZ480"/>
      <c r="CA480"/>
      <c r="CF480"/>
      <c r="CG480"/>
      <c r="CH480"/>
      <c r="CI480"/>
      <c r="CK480"/>
      <c r="CN480"/>
    </row>
    <row r="481" spans="1:92" x14ac:dyDescent="0.3">
      <c r="A481" s="4">
        <v>479</v>
      </c>
      <c r="B481" s="11">
        <v>39</v>
      </c>
      <c r="C481" s="2" t="str">
        <f>_xlfn.XLOOKUP(Table1[[#This Row],[Age]],Table7[Start_Age],Table7[Age_Range],,-1)</f>
        <v>39-49</v>
      </c>
      <c r="D481" t="s">
        <v>130</v>
      </c>
      <c r="E481" s="2" t="s">
        <v>129</v>
      </c>
      <c r="F481" s="2" t="s">
        <v>133</v>
      </c>
      <c r="G481" s="3">
        <v>1</v>
      </c>
      <c r="H481" s="13" t="s">
        <v>152</v>
      </c>
      <c r="I481" s="2" t="str" cm="1">
        <f t="array" ref="I481">_xlfn.IFS(Table1[[#This Row],[Job_Type]] = "unskilled resident", "Resident",
Table1[[#This Row],[Job_Type]] = "unemp/unskilled non res", "Non-resident",
TRUE, "Unknown")</f>
        <v>Unknown</v>
      </c>
      <c r="J481" s="2" t="s">
        <v>148</v>
      </c>
      <c r="K481" s="3">
        <v>4</v>
      </c>
      <c r="L481" s="2" t="s">
        <v>140</v>
      </c>
      <c r="M481" s="13" t="s">
        <v>152</v>
      </c>
      <c r="N481" t="s">
        <v>35</v>
      </c>
      <c r="O481" s="2" t="str">
        <f>_xlfn.XLOOKUP(Table1[[#This Row],[Checking_Acct_Status]],Table3[Checking_Acct_Original],Table3[Category])</f>
        <v>Negative Balance</v>
      </c>
      <c r="P481" s="10" t="s">
        <v>47</v>
      </c>
      <c r="Q481" s="13" t="str">
        <f>_xlfn.XLOOKUP(Table1[[#This Row],[Saving_Acct_Status]],Table5[Saving_Acct_Original],Table5[Category])</f>
        <v>No Savings</v>
      </c>
      <c r="R481" t="s">
        <v>41</v>
      </c>
      <c r="S481" s="2" t="str">
        <f>IF(
      OR(Table1[[#This Row],[Job_Type]] = "high qualif/self emp/mgmt", Table1[[#This Row],[Job_Type]] = "skilled"),
      "Skilled", "Unskilled")</f>
        <v>Skilled</v>
      </c>
      <c r="T481" t="str">
        <f>IF(Table1[[#This Row],[Job_Type]] = "unemp/unskilled non res", "Unemployed", "Employed")</f>
        <v>Employed</v>
      </c>
      <c r="U481" t="s">
        <v>49</v>
      </c>
      <c r="V481" s="14" t="str" cm="1">
        <f t="array" ref="V48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81" t="s">
        <v>31</v>
      </c>
      <c r="X481" s="2" t="str">
        <f>_xlfn.XLOOKUP(Table1[[#This Row],[Loan_Credit_History]],Table4[Credit History],Table4[[ Category]])</f>
        <v>Existing Credits Paid</v>
      </c>
      <c r="Y481" s="3">
        <v>4</v>
      </c>
      <c r="Z481" s="3">
        <v>1</v>
      </c>
      <c r="AA481" s="5">
        <v>2212</v>
      </c>
      <c r="AB481" t="s">
        <v>151</v>
      </c>
      <c r="AC481" s="2" t="str" cm="1">
        <f t="array" ref="AC481">_xlfn.IFS(Table1[[#This Row],[Others_Parties]] = "No", "None",
Table1[[#This Row],[Others_Parties]] = "co applicant", "Co-applicant",
Table1[[#This Row],[Others_Parties]] = "guarantor", "Guarantor")</f>
        <v>None</v>
      </c>
      <c r="AD481" s="13" t="s">
        <v>145</v>
      </c>
      <c r="AE481" s="2" t="s">
        <v>108</v>
      </c>
      <c r="AF481" s="28" t="str" cm="1">
        <f t="array" ref="AF48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81" s="21">
        <v>20</v>
      </c>
      <c r="AH481" s="2" t="s">
        <v>154</v>
      </c>
      <c r="AI481"/>
      <c r="AZ481"/>
      <c r="BC481"/>
      <c r="BE481"/>
      <c r="BL481"/>
      <c r="BZ481"/>
      <c r="CA481"/>
      <c r="CF481"/>
      <c r="CG481"/>
      <c r="CH481"/>
      <c r="CI481"/>
      <c r="CK481"/>
      <c r="CN481"/>
    </row>
    <row r="482" spans="1:92" x14ac:dyDescent="0.3">
      <c r="A482" s="4">
        <v>480</v>
      </c>
      <c r="B482" s="11">
        <v>29</v>
      </c>
      <c r="C482" s="2" t="str">
        <f>_xlfn.XLOOKUP(Table1[[#This Row],[Age]],Table7[Start_Age],Table7[Age_Range],,-1)</f>
        <v>29-39</v>
      </c>
      <c r="D482" t="s">
        <v>130</v>
      </c>
      <c r="E482" s="2" t="s">
        <v>129</v>
      </c>
      <c r="F482" s="2" t="s">
        <v>133</v>
      </c>
      <c r="G482" s="3">
        <v>1</v>
      </c>
      <c r="H482" s="13" t="s">
        <v>152</v>
      </c>
      <c r="I482" s="2" t="str" cm="1">
        <f t="array" ref="I482">_xlfn.IFS(Table1[[#This Row],[Job_Type]] = "unskilled resident", "Resident",
Table1[[#This Row],[Job_Type]] = "unemp/unskilled non res", "Non-resident",
TRUE, "Unknown")</f>
        <v>Unknown</v>
      </c>
      <c r="J482" s="2" t="s">
        <v>148</v>
      </c>
      <c r="K482" s="3">
        <v>3</v>
      </c>
      <c r="L482" s="2" t="s">
        <v>140</v>
      </c>
      <c r="M482" s="13" t="s">
        <v>152</v>
      </c>
      <c r="N482" t="s">
        <v>30</v>
      </c>
      <c r="O482" s="2" t="str">
        <f>_xlfn.XLOOKUP(Table1[[#This Row],[Checking_Acct_Status]],Table3[Checking_Acct_Original],Table3[Category])</f>
        <v>Low Balance</v>
      </c>
      <c r="P482" s="10" t="s">
        <v>32</v>
      </c>
      <c r="Q482" s="13" t="str">
        <f>_xlfn.XLOOKUP(Table1[[#This Row],[Saving_Acct_Status]],Table5[Saving_Acct_Original],Table5[Category])</f>
        <v>Low Savings</v>
      </c>
      <c r="R482" t="s">
        <v>41</v>
      </c>
      <c r="S482" s="2" t="str">
        <f>IF(
      OR(Table1[[#This Row],[Job_Type]] = "high qualif/self emp/mgmt", Table1[[#This Row],[Job_Type]] = "skilled"),
      "Skilled", "Unskilled")</f>
        <v>Skilled</v>
      </c>
      <c r="T482" t="str">
        <f>IF(Table1[[#This Row],[Job_Type]] = "unemp/unskilled non res", "Unemployed", "Employed")</f>
        <v>Employed</v>
      </c>
      <c r="U482" t="s">
        <v>21</v>
      </c>
      <c r="V482" s="14" t="str" cm="1">
        <f t="array" ref="V48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82" t="s">
        <v>59</v>
      </c>
      <c r="X482" s="2" t="str">
        <f>_xlfn.XLOOKUP(Table1[[#This Row],[Loan_Credit_History]],Table4[Credit History],Table4[[ Category]])</f>
        <v>Previously Delayed</v>
      </c>
      <c r="Y482" s="3">
        <v>2</v>
      </c>
      <c r="Z482" s="3">
        <v>2</v>
      </c>
      <c r="AA482" s="5">
        <v>2629</v>
      </c>
      <c r="AB482" t="s">
        <v>151</v>
      </c>
      <c r="AC482" s="2" t="str" cm="1">
        <f t="array" ref="AC482">_xlfn.IFS(Table1[[#This Row],[Others_Parties]] = "No", "None",
Table1[[#This Row],[Others_Parties]] = "co applicant", "Co-applicant",
Table1[[#This Row],[Others_Parties]] = "guarantor", "Guarantor")</f>
        <v>None</v>
      </c>
      <c r="AD482" s="13" t="s">
        <v>146</v>
      </c>
      <c r="AE482" s="2" t="s">
        <v>104</v>
      </c>
      <c r="AF482" s="28" t="str" cm="1">
        <f t="array" ref="AF48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82" s="21">
        <v>20</v>
      </c>
      <c r="AH482" s="2" t="s">
        <v>154</v>
      </c>
      <c r="AI482"/>
      <c r="AZ482"/>
      <c r="BC482"/>
      <c r="BE482"/>
      <c r="BL482"/>
      <c r="BZ482"/>
      <c r="CA482"/>
      <c r="CF482"/>
      <c r="CG482"/>
      <c r="CH482"/>
      <c r="CI482"/>
      <c r="CK482"/>
      <c r="CN482"/>
    </row>
    <row r="483" spans="1:92" x14ac:dyDescent="0.3">
      <c r="A483" s="4">
        <v>481</v>
      </c>
      <c r="B483" s="11">
        <v>44</v>
      </c>
      <c r="C483" s="2" t="str">
        <f>_xlfn.XLOOKUP(Table1[[#This Row],[Age]],Table7[Start_Age],Table7[Age_Range],,-1)</f>
        <v>39-49</v>
      </c>
      <c r="D483" t="s">
        <v>138</v>
      </c>
      <c r="E483" s="2" t="s">
        <v>129</v>
      </c>
      <c r="F483" s="2" t="s">
        <v>178</v>
      </c>
      <c r="G483" s="3">
        <v>1</v>
      </c>
      <c r="H483" s="13" t="s">
        <v>152</v>
      </c>
      <c r="I483" s="2" t="str" cm="1">
        <f t="array" ref="I483">_xlfn.IFS(Table1[[#This Row],[Job_Type]] = "unskilled resident", "Resident",
Table1[[#This Row],[Job_Type]] = "unemp/unskilled non res", "Non-resident",
TRUE, "Unknown")</f>
        <v>Unknown</v>
      </c>
      <c r="J483" s="2" t="s">
        <v>148</v>
      </c>
      <c r="K483" s="3">
        <v>4</v>
      </c>
      <c r="L483" s="2" t="s">
        <v>144</v>
      </c>
      <c r="M483" s="13" t="s">
        <v>152</v>
      </c>
      <c r="N483" t="s">
        <v>17</v>
      </c>
      <c r="O483" s="2" t="str">
        <f>_xlfn.XLOOKUP(Table1[[#This Row],[Checking_Acct_Status]],Table3[Checking_Acct_Original],Table3[Category])</f>
        <v>No Account</v>
      </c>
      <c r="P483" s="10" t="s">
        <v>47</v>
      </c>
      <c r="Q483" s="13" t="str">
        <f>_xlfn.XLOOKUP(Table1[[#This Row],[Saving_Acct_Status]],Table5[Saving_Acct_Original],Table5[Category])</f>
        <v>No Savings</v>
      </c>
      <c r="R483" t="s">
        <v>41</v>
      </c>
      <c r="S483" s="2" t="str">
        <f>IF(
      OR(Table1[[#This Row],[Job_Type]] = "high qualif/self emp/mgmt", Table1[[#This Row],[Job_Type]] = "skilled"),
      "Skilled", "Unskilled")</f>
        <v>Skilled</v>
      </c>
      <c r="T483" t="str">
        <f>IF(Table1[[#This Row],[Job_Type]] = "unemp/unskilled non res", "Unemployed", "Employed")</f>
        <v>Employed</v>
      </c>
      <c r="U483" t="s">
        <v>45</v>
      </c>
      <c r="V483" s="14" t="str" cm="1">
        <f t="array" ref="V48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83" t="s">
        <v>103</v>
      </c>
      <c r="X483" s="2" t="str">
        <f>_xlfn.XLOOKUP(Table1[[#This Row],[Loan_Credit_History]],Table4[Credit History],Table4[[ Category]])</f>
        <v>Critical Credit History</v>
      </c>
      <c r="Y483" s="3">
        <v>2</v>
      </c>
      <c r="Z483" s="3">
        <v>2</v>
      </c>
      <c r="AA483" s="5">
        <v>3485</v>
      </c>
      <c r="AB483" t="s">
        <v>151</v>
      </c>
      <c r="AC483" s="2" t="str" cm="1">
        <f t="array" ref="AC483">_xlfn.IFS(Table1[[#This Row],[Others_Parties]] = "No", "None",
Table1[[#This Row],[Others_Parties]] = "co applicant", "Co-applicant",
Table1[[#This Row],[Others_Parties]] = "guarantor", "Guarantor")</f>
        <v>None</v>
      </c>
      <c r="AD483" s="13" t="s">
        <v>145</v>
      </c>
      <c r="AE483" s="2" t="s">
        <v>141</v>
      </c>
      <c r="AF483" s="28" t="str" cm="1">
        <f t="array" ref="AF48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83" s="21">
        <v>20</v>
      </c>
      <c r="AH483" s="2" t="s">
        <v>154</v>
      </c>
      <c r="AI483"/>
      <c r="AZ483"/>
      <c r="BC483"/>
      <c r="BE483"/>
      <c r="BL483"/>
      <c r="BZ483"/>
      <c r="CA483"/>
      <c r="CF483"/>
      <c r="CG483"/>
      <c r="CH483"/>
      <c r="CI483"/>
      <c r="CK483"/>
      <c r="CN483"/>
    </row>
    <row r="484" spans="1:92" x14ac:dyDescent="0.3">
      <c r="A484" s="4">
        <v>482</v>
      </c>
      <c r="B484" s="11">
        <v>24</v>
      </c>
      <c r="C484" s="2" t="str">
        <f>_xlfn.XLOOKUP(Table1[[#This Row],[Age]],Table7[Start_Age],Table7[Age_Range],,-1)</f>
        <v>19-29</v>
      </c>
      <c r="D484" t="s">
        <v>136</v>
      </c>
      <c r="E484" s="2" t="s">
        <v>131</v>
      </c>
      <c r="F484" s="2" t="s">
        <v>137</v>
      </c>
      <c r="G484" s="3">
        <v>1</v>
      </c>
      <c r="H484" s="13" t="s">
        <v>152</v>
      </c>
      <c r="I484" s="2" t="str" cm="1">
        <f t="array" ref="I484">_xlfn.IFS(Table1[[#This Row],[Job_Type]] = "unskilled resident", "Resident",
Table1[[#This Row],[Job_Type]] = "unemp/unskilled non res", "Non-resident",
TRUE, "Unknown")</f>
        <v>Unknown</v>
      </c>
      <c r="J484" s="2" t="s">
        <v>148</v>
      </c>
      <c r="K484" s="3">
        <v>4</v>
      </c>
      <c r="L484" s="2" t="s">
        <v>143</v>
      </c>
      <c r="M484" s="13" t="s">
        <v>151</v>
      </c>
      <c r="N484" t="s">
        <v>35</v>
      </c>
      <c r="O484" s="2" t="str">
        <f>_xlfn.XLOOKUP(Table1[[#This Row],[Checking_Acct_Status]],Table3[Checking_Acct_Original],Table3[Category])</f>
        <v>Negative Balance</v>
      </c>
      <c r="P484" s="10" t="s">
        <v>32</v>
      </c>
      <c r="Q484" s="13" t="str">
        <f>_xlfn.XLOOKUP(Table1[[#This Row],[Saving_Acct_Status]],Table5[Saving_Acct_Original],Table5[Category])</f>
        <v>Low Savings</v>
      </c>
      <c r="R484" t="s">
        <v>41</v>
      </c>
      <c r="S484" s="2" t="str">
        <f>IF(
      OR(Table1[[#This Row],[Job_Type]] = "high qualif/self emp/mgmt", Table1[[#This Row],[Job_Type]] = "skilled"),
      "Skilled", "Unskilled")</f>
        <v>Skilled</v>
      </c>
      <c r="T484" t="str">
        <f>IF(Table1[[#This Row],[Job_Type]] = "unemp/unskilled non res", "Unemployed", "Employed")</f>
        <v>Employed</v>
      </c>
      <c r="U484" t="s">
        <v>38</v>
      </c>
      <c r="V484" s="14" t="str" cm="1">
        <f t="array" ref="V48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84" t="s">
        <v>103</v>
      </c>
      <c r="X484" s="2" t="str">
        <f>_xlfn.XLOOKUP(Table1[[#This Row],[Loan_Credit_History]],Table4[Credit History],Table4[[ Category]])</f>
        <v>Critical Credit History</v>
      </c>
      <c r="Y484" s="3">
        <v>1</v>
      </c>
      <c r="Z484" s="3">
        <v>2</v>
      </c>
      <c r="AA484" s="5">
        <v>4272</v>
      </c>
      <c r="AB484" t="s">
        <v>151</v>
      </c>
      <c r="AC484" s="2" t="str" cm="1">
        <f t="array" ref="AC484">_xlfn.IFS(Table1[[#This Row],[Others_Parties]] = "No", "None",
Table1[[#This Row],[Others_Parties]] = "co applicant", "Co-applicant",
Table1[[#This Row],[Others_Parties]] = "guarantor", "Guarantor")</f>
        <v>None</v>
      </c>
      <c r="AD484" s="13" t="s">
        <v>145</v>
      </c>
      <c r="AE484" s="2" t="s">
        <v>108</v>
      </c>
      <c r="AF484" s="28" t="str" cm="1">
        <f t="array" ref="AF48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84" s="21">
        <v>20</v>
      </c>
      <c r="AH484" s="2" t="s">
        <v>154</v>
      </c>
      <c r="AI484"/>
      <c r="AZ484"/>
      <c r="BC484"/>
      <c r="BE484"/>
      <c r="BL484"/>
      <c r="BZ484"/>
      <c r="CA484"/>
      <c r="CF484"/>
      <c r="CG484"/>
      <c r="CH484"/>
      <c r="CI484"/>
      <c r="CK484"/>
      <c r="CN484"/>
    </row>
    <row r="485" spans="1:92" x14ac:dyDescent="0.3">
      <c r="A485" s="4">
        <v>483</v>
      </c>
      <c r="B485" s="11">
        <v>31</v>
      </c>
      <c r="C485" s="2" t="str">
        <f>_xlfn.XLOOKUP(Table1[[#This Row],[Age]],Table7[Start_Age],Table7[Age_Range],,-1)</f>
        <v>29-39</v>
      </c>
      <c r="D485" t="s">
        <v>134</v>
      </c>
      <c r="E485" s="2" t="s">
        <v>129</v>
      </c>
      <c r="F485" s="2" t="s">
        <v>135</v>
      </c>
      <c r="G485" s="3">
        <v>1</v>
      </c>
      <c r="H485" s="13" t="s">
        <v>152</v>
      </c>
      <c r="I485" s="2" t="str" cm="1">
        <f t="array" ref="I485">_xlfn.IFS(Table1[[#This Row],[Job_Type]] = "unskilled resident", "Resident",
Table1[[#This Row],[Job_Type]] = "unemp/unskilled non res", "Non-resident",
TRUE, "Unknown")</f>
        <v>Unknown</v>
      </c>
      <c r="J485" s="2" t="s">
        <v>148</v>
      </c>
      <c r="K485" s="3">
        <v>4</v>
      </c>
      <c r="L485" s="2" t="s">
        <v>140</v>
      </c>
      <c r="M485" s="13" t="s">
        <v>152</v>
      </c>
      <c r="N485" t="s">
        <v>30</v>
      </c>
      <c r="O485" s="2" t="str">
        <f>_xlfn.XLOOKUP(Table1[[#This Row],[Checking_Acct_Status]],Table3[Checking_Acct_Original],Table3[Category])</f>
        <v>Low Balance</v>
      </c>
      <c r="P485" s="10" t="s">
        <v>46</v>
      </c>
      <c r="Q485" s="13" t="str">
        <f>_xlfn.XLOOKUP(Table1[[#This Row],[Saving_Acct_Status]],Table5[Saving_Acct_Original],Table5[Category])</f>
        <v>Medium Savings</v>
      </c>
      <c r="R485" t="s">
        <v>41</v>
      </c>
      <c r="S485" s="2" t="str">
        <f>IF(
      OR(Table1[[#This Row],[Job_Type]] = "high qualif/self emp/mgmt", Table1[[#This Row],[Job_Type]] = "skilled"),
      "Skilled", "Unskilled")</f>
        <v>Skilled</v>
      </c>
      <c r="T485" t="str">
        <f>IF(Table1[[#This Row],[Job_Type]] = "unemp/unskilled non res", "Unemployed", "Employed")</f>
        <v>Employed</v>
      </c>
      <c r="U485" t="s">
        <v>38</v>
      </c>
      <c r="V485" s="14" t="str" cm="1">
        <f t="array" ref="V48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85" t="s">
        <v>52</v>
      </c>
      <c r="X485" s="2" t="str">
        <f>_xlfn.XLOOKUP(Table1[[#This Row],[Loan_Credit_History]],Table4[Credit History],Table4[[ Category]])</f>
        <v>No Credit History</v>
      </c>
      <c r="Y485" s="3">
        <v>3</v>
      </c>
      <c r="Z485" s="3">
        <v>2</v>
      </c>
      <c r="AA485" s="5">
        <v>6148</v>
      </c>
      <c r="AB485" t="s">
        <v>151</v>
      </c>
      <c r="AC485" s="2" t="str" cm="1">
        <f t="array" ref="AC485">_xlfn.IFS(Table1[[#This Row],[Others_Parties]] = "No", "None",
Table1[[#This Row],[Others_Parties]] = "co applicant", "Co-applicant",
Table1[[#This Row],[Others_Parties]] = "guarantor", "Guarantor")</f>
        <v>None</v>
      </c>
      <c r="AD485" s="13" t="s">
        <v>146</v>
      </c>
      <c r="AE485" s="2" t="s">
        <v>107</v>
      </c>
      <c r="AF485" s="28" t="str" cm="1">
        <f t="array" ref="AF48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85" s="21">
        <v>20</v>
      </c>
      <c r="AH485" s="2" t="s">
        <v>154</v>
      </c>
      <c r="AI485"/>
      <c r="AZ485"/>
      <c r="BC485"/>
      <c r="BE485"/>
      <c r="BL485"/>
      <c r="BZ485"/>
      <c r="CA485"/>
      <c r="CF485"/>
      <c r="CG485"/>
      <c r="CH485"/>
      <c r="CI485"/>
      <c r="CK485"/>
      <c r="CN485"/>
    </row>
    <row r="486" spans="1:92" x14ac:dyDescent="0.3">
      <c r="A486" s="4">
        <v>484</v>
      </c>
      <c r="B486" s="11">
        <v>60</v>
      </c>
      <c r="C486" s="2" t="str">
        <f>_xlfn.XLOOKUP(Table1[[#This Row],[Age]],Table7[Start_Age],Table7[Age_Range],,-1)</f>
        <v>59-69</v>
      </c>
      <c r="D486" t="s">
        <v>138</v>
      </c>
      <c r="E486" s="2" t="s">
        <v>129</v>
      </c>
      <c r="F486" s="2" t="s">
        <v>178</v>
      </c>
      <c r="G486" s="3">
        <v>1</v>
      </c>
      <c r="H486" s="13" t="s">
        <v>152</v>
      </c>
      <c r="I486" s="2" t="str" cm="1">
        <f t="array" ref="I486">_xlfn.IFS(Table1[[#This Row],[Job_Type]] = "unskilled resident", "Resident",
Table1[[#This Row],[Job_Type]] = "unemp/unskilled non res", "Non-resident",
TRUE, "Unknown")</f>
        <v>Unknown</v>
      </c>
      <c r="J486" s="2" t="s">
        <v>148</v>
      </c>
      <c r="K486" s="3">
        <v>4</v>
      </c>
      <c r="L486" s="2" t="s">
        <v>144</v>
      </c>
      <c r="M486" s="13" t="s">
        <v>152</v>
      </c>
      <c r="N486" t="s">
        <v>30</v>
      </c>
      <c r="O486" s="2" t="str">
        <f>_xlfn.XLOOKUP(Table1[[#This Row],[Checking_Acct_Status]],Table3[Checking_Acct_Original],Table3[Category])</f>
        <v>Low Balance</v>
      </c>
      <c r="P486" s="10" t="s">
        <v>47</v>
      </c>
      <c r="Q486" s="13" t="str">
        <f>_xlfn.XLOOKUP(Table1[[#This Row],[Saving_Acct_Status]],Table5[Saving_Acct_Original],Table5[Category])</f>
        <v>No Savings</v>
      </c>
      <c r="R486" t="s">
        <v>63</v>
      </c>
      <c r="S486" s="2" t="str">
        <f>IF(
      OR(Table1[[#This Row],[Job_Type]] = "high qualif/self emp/mgmt", Table1[[#This Row],[Job_Type]] = "skilled"),
      "Skilled", "Unskilled")</f>
        <v>Skilled</v>
      </c>
      <c r="T486" t="str">
        <f>IF(Table1[[#This Row],[Job_Type]] = "unemp/unskilled non res", "Unemployed", "Employed")</f>
        <v>Employed</v>
      </c>
      <c r="U486" t="s">
        <v>54</v>
      </c>
      <c r="V486" s="14" t="str" cm="1">
        <f t="array" ref="V486">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486" t="s">
        <v>31</v>
      </c>
      <c r="X486" s="2" t="str">
        <f>_xlfn.XLOOKUP(Table1[[#This Row],[Loan_Credit_History]],Table4[Credit History],Table4[[ Category]])</f>
        <v>Existing Credits Paid</v>
      </c>
      <c r="Y486" s="3">
        <v>1</v>
      </c>
      <c r="Z486" s="3">
        <v>1</v>
      </c>
      <c r="AA486" s="5">
        <v>6468</v>
      </c>
      <c r="AB486" t="s">
        <v>151</v>
      </c>
      <c r="AC486" s="2" t="str" cm="1">
        <f t="array" ref="AC486">_xlfn.IFS(Table1[[#This Row],[Others_Parties]] = "No", "None",
Table1[[#This Row],[Others_Parties]] = "co applicant", "Co-applicant",
Table1[[#This Row],[Others_Parties]] = "guarantor", "Guarantor")</f>
        <v>None</v>
      </c>
      <c r="AD486" s="13" t="s">
        <v>145</v>
      </c>
      <c r="AE486" s="2" t="s">
        <v>107</v>
      </c>
      <c r="AF486" s="28" t="str" cm="1">
        <f t="array" ref="AF48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86" s="21">
        <v>20</v>
      </c>
      <c r="AH486" s="2" t="s">
        <v>154</v>
      </c>
      <c r="AI486"/>
      <c r="AZ486"/>
      <c r="BC486"/>
      <c r="BE486"/>
      <c r="BL486"/>
      <c r="BZ486"/>
      <c r="CA486"/>
      <c r="CF486"/>
      <c r="CG486"/>
      <c r="CH486"/>
      <c r="CI486"/>
      <c r="CK486"/>
      <c r="CN486"/>
    </row>
    <row r="487" spans="1:92" x14ac:dyDescent="0.3">
      <c r="A487" s="4">
        <v>485</v>
      </c>
      <c r="B487" s="11">
        <v>36</v>
      </c>
      <c r="C487" s="2" t="str">
        <f>_xlfn.XLOOKUP(Table1[[#This Row],[Age]],Table7[Start_Age],Table7[Age_Range],,-1)</f>
        <v>29-39</v>
      </c>
      <c r="D487" t="s">
        <v>130</v>
      </c>
      <c r="E487" s="2" t="s">
        <v>129</v>
      </c>
      <c r="F487" s="2" t="s">
        <v>133</v>
      </c>
      <c r="G487" s="3">
        <v>2</v>
      </c>
      <c r="H487" s="13" t="s">
        <v>152</v>
      </c>
      <c r="I487" s="2" t="str" cm="1">
        <f t="array" ref="I487">_xlfn.IFS(Table1[[#This Row],[Job_Type]] = "unskilled resident", "Resident",
Table1[[#This Row],[Job_Type]] = "unemp/unskilled non res", "Non-resident",
TRUE, "Unknown")</f>
        <v>Unknown</v>
      </c>
      <c r="J487" s="2" t="s">
        <v>149</v>
      </c>
      <c r="K487" s="3">
        <v>4</v>
      </c>
      <c r="L487" s="2" t="s">
        <v>143</v>
      </c>
      <c r="M487" s="13" t="s">
        <v>152</v>
      </c>
      <c r="N487" t="s">
        <v>30</v>
      </c>
      <c r="O487" s="2" t="str">
        <f>_xlfn.XLOOKUP(Table1[[#This Row],[Checking_Acct_Status]],Table3[Checking_Acct_Original],Table3[Category])</f>
        <v>Low Balance</v>
      </c>
      <c r="P487" s="10" t="s">
        <v>47</v>
      </c>
      <c r="Q487" s="13" t="str">
        <f>_xlfn.XLOOKUP(Table1[[#This Row],[Saving_Acct_Status]],Table5[Saving_Acct_Original],Table5[Category])</f>
        <v>No Savings</v>
      </c>
      <c r="R487" t="s">
        <v>63</v>
      </c>
      <c r="S487" s="2" t="str">
        <f>IF(
      OR(Table1[[#This Row],[Job_Type]] = "high qualif/self emp/mgmt", Table1[[#This Row],[Job_Type]] = "skilled"),
      "Skilled", "Unskilled")</f>
        <v>Skilled</v>
      </c>
      <c r="T487" t="str">
        <f>IF(Table1[[#This Row],[Job_Type]] = "unemp/unskilled non res", "Unemployed", "Employed")</f>
        <v>Employed</v>
      </c>
      <c r="U487" t="s">
        <v>49</v>
      </c>
      <c r="V487" s="14" t="str" cm="1">
        <f t="array" ref="V48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487" t="s">
        <v>59</v>
      </c>
      <c r="X487" s="2" t="str">
        <f>_xlfn.XLOOKUP(Table1[[#This Row],[Loan_Credit_History]],Table4[Credit History],Table4[[ Category]])</f>
        <v>Previously Delayed</v>
      </c>
      <c r="Y487" s="3">
        <v>3</v>
      </c>
      <c r="Z487" s="3">
        <v>2</v>
      </c>
      <c r="AA487" s="5">
        <v>7057</v>
      </c>
      <c r="AB487" t="s">
        <v>151</v>
      </c>
      <c r="AC487" s="2" t="str" cm="1">
        <f t="array" ref="AC487">_xlfn.IFS(Table1[[#This Row],[Others_Parties]] = "No", "None",
Table1[[#This Row],[Others_Parties]] = "co applicant", "Co-applicant",
Table1[[#This Row],[Others_Parties]] = "guarantor", "Guarantor")</f>
        <v>None</v>
      </c>
      <c r="AD487" s="13" t="s">
        <v>146</v>
      </c>
      <c r="AE487" s="2" t="s">
        <v>107</v>
      </c>
      <c r="AF487" s="28" t="str" cm="1">
        <f t="array" ref="AF48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87" s="21">
        <v>20</v>
      </c>
      <c r="AH487" s="2" t="s">
        <v>154</v>
      </c>
      <c r="AI487"/>
      <c r="AZ487"/>
      <c r="BC487"/>
      <c r="BE487"/>
      <c r="BL487"/>
      <c r="BZ487"/>
      <c r="CA487"/>
      <c r="CF487"/>
      <c r="CG487"/>
      <c r="CH487"/>
      <c r="CI487"/>
      <c r="CK487"/>
      <c r="CN487"/>
    </row>
    <row r="488" spans="1:92" x14ac:dyDescent="0.3">
      <c r="A488" s="4">
        <v>486</v>
      </c>
      <c r="B488" s="11">
        <v>22</v>
      </c>
      <c r="C488" s="2" t="str">
        <f>_xlfn.XLOOKUP(Table1[[#This Row],[Age]],Table7[Start_Age],Table7[Age_Range],,-1)</f>
        <v>19-29</v>
      </c>
      <c r="D488" t="s">
        <v>136</v>
      </c>
      <c r="E488" s="2" t="s">
        <v>131</v>
      </c>
      <c r="F488" s="2" t="s">
        <v>137</v>
      </c>
      <c r="G488" s="3">
        <v>1</v>
      </c>
      <c r="H488" s="13" t="s">
        <v>152</v>
      </c>
      <c r="I488" s="2" t="str" cm="1">
        <f t="array" ref="I488">_xlfn.IFS(Table1[[#This Row],[Job_Type]] = "unskilled resident", "Resident",
Table1[[#This Row],[Job_Type]] = "unemp/unskilled non res", "Non-resident",
TRUE, "Unknown")</f>
        <v>Unknown</v>
      </c>
      <c r="J488" s="2" t="s">
        <v>149</v>
      </c>
      <c r="K488" s="3">
        <v>4</v>
      </c>
      <c r="L488" s="2" t="s">
        <v>144</v>
      </c>
      <c r="M488" s="13" t="s">
        <v>151</v>
      </c>
      <c r="N488" t="s">
        <v>17</v>
      </c>
      <c r="O488" s="2" t="str">
        <f>_xlfn.XLOOKUP(Table1[[#This Row],[Checking_Acct_Status]],Table3[Checking_Acct_Original],Table3[Category])</f>
        <v>No Account</v>
      </c>
      <c r="P488" s="10" t="s">
        <v>32</v>
      </c>
      <c r="Q488" s="13" t="str">
        <f>_xlfn.XLOOKUP(Table1[[#This Row],[Saving_Acct_Status]],Table5[Saving_Acct_Original],Table5[Category])</f>
        <v>Low Savings</v>
      </c>
      <c r="R488" t="s">
        <v>41</v>
      </c>
      <c r="S488" s="2" t="str">
        <f>IF(
      OR(Table1[[#This Row],[Job_Type]] = "high qualif/self emp/mgmt", Table1[[#This Row],[Job_Type]] = "skilled"),
      "Skilled", "Unskilled")</f>
        <v>Skilled</v>
      </c>
      <c r="T488" t="str">
        <f>IF(Table1[[#This Row],[Job_Type]] = "unemp/unskilled non res", "Unemployed", "Employed")</f>
        <v>Employed</v>
      </c>
      <c r="U488" t="s">
        <v>54</v>
      </c>
      <c r="V488" s="14" t="str" cm="1">
        <f t="array" ref="V488">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488" t="s">
        <v>31</v>
      </c>
      <c r="X488" s="2" t="str">
        <f>_xlfn.XLOOKUP(Table1[[#This Row],[Loan_Credit_History]],Table4[Credit History],Table4[[ Category]])</f>
        <v>Existing Credits Paid</v>
      </c>
      <c r="Y488" s="3">
        <v>3</v>
      </c>
      <c r="Z488" s="3">
        <v>1</v>
      </c>
      <c r="AA488" s="5">
        <v>433</v>
      </c>
      <c r="AB488" t="s">
        <v>55</v>
      </c>
      <c r="AC488" s="2" t="str" cm="1">
        <f t="array" ref="AC488">_xlfn.IFS(Table1[[#This Row],[Others_Parties]] = "No", "None",
Table1[[#This Row],[Others_Parties]] = "co applicant", "Co-applicant",
Table1[[#This Row],[Others_Parties]] = "guarantor", "Guarantor")</f>
        <v>Co-applicant</v>
      </c>
      <c r="AD488" s="13" t="s">
        <v>145</v>
      </c>
      <c r="AE488" s="2" t="s">
        <v>111</v>
      </c>
      <c r="AF488" s="28" t="str" cm="1">
        <f t="array" ref="AF48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88" s="21">
        <v>18</v>
      </c>
      <c r="AH488" s="2" t="s">
        <v>153</v>
      </c>
      <c r="AI488"/>
      <c r="AZ488"/>
      <c r="BC488"/>
      <c r="BE488"/>
      <c r="BL488"/>
      <c r="BZ488"/>
      <c r="CA488"/>
      <c r="CF488"/>
      <c r="CG488"/>
      <c r="CH488"/>
      <c r="CI488"/>
      <c r="CK488"/>
      <c r="CN488"/>
    </row>
    <row r="489" spans="1:92" x14ac:dyDescent="0.3">
      <c r="A489" s="4">
        <v>487</v>
      </c>
      <c r="B489" s="11">
        <v>32</v>
      </c>
      <c r="C489" s="2" t="str">
        <f>_xlfn.XLOOKUP(Table1[[#This Row],[Age]],Table7[Start_Age],Table7[Age_Range],,-1)</f>
        <v>29-39</v>
      </c>
      <c r="D489" t="s">
        <v>130</v>
      </c>
      <c r="E489" s="2" t="s">
        <v>129</v>
      </c>
      <c r="F489" s="2" t="s">
        <v>133</v>
      </c>
      <c r="G489" s="3">
        <v>1</v>
      </c>
      <c r="H489" s="13" t="s">
        <v>152</v>
      </c>
      <c r="I489" s="2" t="str" cm="1">
        <f t="array" ref="I489">_xlfn.IFS(Table1[[#This Row],[Job_Type]] = "unskilled resident", "Resident",
Table1[[#This Row],[Job_Type]] = "unemp/unskilled non res", "Non-resident",
TRUE, "Unknown")</f>
        <v>Unknown</v>
      </c>
      <c r="J489" s="2" t="s">
        <v>148</v>
      </c>
      <c r="K489" s="3">
        <v>3</v>
      </c>
      <c r="L489" s="2" t="s">
        <v>143</v>
      </c>
      <c r="M489" s="13" t="s">
        <v>152</v>
      </c>
      <c r="N489" t="s">
        <v>17</v>
      </c>
      <c r="O489" s="2" t="str">
        <f>_xlfn.XLOOKUP(Table1[[#This Row],[Checking_Acct_Status]],Table3[Checking_Acct_Original],Table3[Category])</f>
        <v>No Account</v>
      </c>
      <c r="P489" s="10" t="s">
        <v>37</v>
      </c>
      <c r="Q489" s="13" t="str">
        <f>_xlfn.XLOOKUP(Table1[[#This Row],[Saving_Acct_Status]],Table5[Saving_Acct_Original],Table5[Category])</f>
        <v>High Savings</v>
      </c>
      <c r="R489" t="s">
        <v>63</v>
      </c>
      <c r="S489" s="2" t="str">
        <f>IF(
      OR(Table1[[#This Row],[Job_Type]] = "high qualif/self emp/mgmt", Table1[[#This Row],[Job_Type]] = "skilled"),
      "Skilled", "Unskilled")</f>
        <v>Skilled</v>
      </c>
      <c r="T489" t="str">
        <f>IF(Table1[[#This Row],[Job_Type]] = "unemp/unskilled non res", "Unemployed", "Employed")</f>
        <v>Employed</v>
      </c>
      <c r="U489" t="s">
        <v>38</v>
      </c>
      <c r="V489" s="14" t="str" cm="1">
        <f t="array" ref="V48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89" t="s">
        <v>103</v>
      </c>
      <c r="X489" s="2" t="str">
        <f>_xlfn.XLOOKUP(Table1[[#This Row],[Loan_Credit_History]],Table4[Credit History],Table4[[ Category]])</f>
        <v>Critical Credit History</v>
      </c>
      <c r="Y489" s="3">
        <v>4</v>
      </c>
      <c r="Z489" s="3">
        <v>2</v>
      </c>
      <c r="AA489" s="5">
        <v>629</v>
      </c>
      <c r="AB489" t="s">
        <v>151</v>
      </c>
      <c r="AC489" s="2" t="str" cm="1">
        <f t="array" ref="AC489">_xlfn.IFS(Table1[[#This Row],[Others_Parties]] = "No", "None",
Table1[[#This Row],[Others_Parties]] = "co applicant", "Co-applicant",
Table1[[#This Row],[Others_Parties]] = "guarantor", "Guarantor")</f>
        <v>None</v>
      </c>
      <c r="AD489" s="13" t="s">
        <v>146</v>
      </c>
      <c r="AE489" s="2" t="s">
        <v>111</v>
      </c>
      <c r="AF489" s="28" t="str" cm="1">
        <f t="array" ref="AF48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89" s="21">
        <v>18</v>
      </c>
      <c r="AH489" s="2" t="s">
        <v>154</v>
      </c>
      <c r="AI489"/>
      <c r="AZ489"/>
      <c r="BC489"/>
      <c r="BE489"/>
      <c r="BL489"/>
      <c r="BZ489"/>
      <c r="CA489"/>
      <c r="CF489"/>
      <c r="CG489"/>
      <c r="CH489"/>
      <c r="CI489"/>
      <c r="CK489"/>
      <c r="CN489"/>
    </row>
    <row r="490" spans="1:92" x14ac:dyDescent="0.3">
      <c r="A490" s="4">
        <v>488</v>
      </c>
      <c r="B490" s="11">
        <v>27</v>
      </c>
      <c r="C490" s="2" t="str">
        <f>_xlfn.XLOOKUP(Table1[[#This Row],[Age]],Table7[Start_Age],Table7[Age_Range],,-1)</f>
        <v>19-29</v>
      </c>
      <c r="D490" t="s">
        <v>136</v>
      </c>
      <c r="E490" s="2" t="s">
        <v>131</v>
      </c>
      <c r="F490" s="2" t="s">
        <v>137</v>
      </c>
      <c r="G490" s="3">
        <v>1</v>
      </c>
      <c r="H490" s="13" t="s">
        <v>152</v>
      </c>
      <c r="I490" s="2" t="str" cm="1">
        <f t="array" ref="I490">_xlfn.IFS(Table1[[#This Row],[Job_Type]] = "unskilled resident", "Resident",
Table1[[#This Row],[Job_Type]] = "unemp/unskilled non res", "Non-resident",
TRUE, "Unknown")</f>
        <v>Non-resident</v>
      </c>
      <c r="J490" s="2" t="s">
        <v>148</v>
      </c>
      <c r="K490" s="3">
        <v>1</v>
      </c>
      <c r="L490" s="2" t="s">
        <v>144</v>
      </c>
      <c r="M490" s="13" t="s">
        <v>151</v>
      </c>
      <c r="N490" t="s">
        <v>35</v>
      </c>
      <c r="O490" s="2" t="str">
        <f>_xlfn.XLOOKUP(Table1[[#This Row],[Checking_Acct_Status]],Table3[Checking_Acct_Original],Table3[Category])</f>
        <v>Negative Balance</v>
      </c>
      <c r="P490" s="10" t="s">
        <v>32</v>
      </c>
      <c r="Q490" s="13" t="str">
        <f>_xlfn.XLOOKUP(Table1[[#This Row],[Saving_Acct_Status]],Table5[Saving_Acct_Original],Table5[Category])</f>
        <v>Low Savings</v>
      </c>
      <c r="R490" t="s">
        <v>62</v>
      </c>
      <c r="S490" s="2" t="str">
        <f>IF(
      OR(Table1[[#This Row],[Job_Type]] = "high qualif/self emp/mgmt", Table1[[#This Row],[Job_Type]] = "skilled"),
      "Skilled", "Unskilled")</f>
        <v>Unskilled</v>
      </c>
      <c r="T490" t="str">
        <f>IF(Table1[[#This Row],[Job_Type]] = "unemp/unskilled non res", "Unemployed", "Employed")</f>
        <v>Unemployed</v>
      </c>
      <c r="U490" t="s">
        <v>54</v>
      </c>
      <c r="V490" s="14" t="str" cm="1">
        <f t="array" ref="V490">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490" t="s">
        <v>31</v>
      </c>
      <c r="X490" s="2" t="str">
        <f>_xlfn.XLOOKUP(Table1[[#This Row],[Loan_Credit_History]],Table4[Credit History],Table4[[ Category]])</f>
        <v>Existing Credits Paid</v>
      </c>
      <c r="Y490" s="3">
        <v>4</v>
      </c>
      <c r="Z490" s="3">
        <v>1</v>
      </c>
      <c r="AA490" s="5">
        <v>750</v>
      </c>
      <c r="AB490" t="s">
        <v>151</v>
      </c>
      <c r="AC490" s="2" t="str" cm="1">
        <f t="array" ref="AC490">_xlfn.IFS(Table1[[#This Row],[Others_Parties]] = "No", "None",
Table1[[#This Row],[Others_Parties]] = "co applicant", "Co-applicant",
Table1[[#This Row],[Others_Parties]] = "guarantor", "Guarantor")</f>
        <v>None</v>
      </c>
      <c r="AD490" s="13" t="s">
        <v>145</v>
      </c>
      <c r="AE490" s="2" t="s">
        <v>100</v>
      </c>
      <c r="AF490" s="28" t="str" cm="1">
        <f t="array" ref="AF49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90" s="21">
        <v>18</v>
      </c>
      <c r="AH490" s="2" t="s">
        <v>153</v>
      </c>
      <c r="AI490"/>
      <c r="AZ490"/>
      <c r="BC490"/>
      <c r="BE490"/>
      <c r="BL490"/>
      <c r="BZ490"/>
      <c r="CA490"/>
      <c r="CF490"/>
      <c r="CG490"/>
      <c r="CH490"/>
      <c r="CI490"/>
      <c r="CK490"/>
      <c r="CN490"/>
    </row>
    <row r="491" spans="1:92" x14ac:dyDescent="0.3">
      <c r="A491" s="4">
        <v>489</v>
      </c>
      <c r="B491" s="11">
        <v>25</v>
      </c>
      <c r="C491" s="2" t="str">
        <f>_xlfn.XLOOKUP(Table1[[#This Row],[Age]],Table7[Start_Age],Table7[Age_Range],,-1)</f>
        <v>19-29</v>
      </c>
      <c r="D491" t="s">
        <v>134</v>
      </c>
      <c r="E491" s="2" t="s">
        <v>129</v>
      </c>
      <c r="F491" s="2" t="s">
        <v>135</v>
      </c>
      <c r="G491" s="3">
        <v>1</v>
      </c>
      <c r="H491" s="13" t="s">
        <v>152</v>
      </c>
      <c r="I491" s="2" t="str" cm="1">
        <f t="array" ref="I491">_xlfn.IFS(Table1[[#This Row],[Job_Type]] = "unskilled resident", "Resident",
Table1[[#This Row],[Job_Type]] = "unemp/unskilled non res", "Non-resident",
TRUE, "Unknown")</f>
        <v>Resident</v>
      </c>
      <c r="J491" s="2" t="s">
        <v>148</v>
      </c>
      <c r="K491" s="3">
        <v>2</v>
      </c>
      <c r="L491" s="2" t="s">
        <v>144</v>
      </c>
      <c r="M491" s="13" t="s">
        <v>151</v>
      </c>
      <c r="N491" t="s">
        <v>30</v>
      </c>
      <c r="O491" s="2" t="str">
        <f>_xlfn.XLOOKUP(Table1[[#This Row],[Checking_Acct_Status]],Table3[Checking_Acct_Original],Table3[Category])</f>
        <v>Low Balance</v>
      </c>
      <c r="P491" s="10" t="s">
        <v>32</v>
      </c>
      <c r="Q491" s="13" t="str">
        <f>_xlfn.XLOOKUP(Table1[[#This Row],[Saving_Acct_Status]],Table5[Saving_Acct_Original],Table5[Category])</f>
        <v>Low Savings</v>
      </c>
      <c r="R491" t="s">
        <v>27</v>
      </c>
      <c r="S491" s="2" t="str">
        <f>IF(
      OR(Table1[[#This Row],[Job_Type]] = "high qualif/self emp/mgmt", Table1[[#This Row],[Job_Type]] = "skilled"),
      "Skilled", "Unskilled")</f>
        <v>Unskilled</v>
      </c>
      <c r="T491" t="str">
        <f>IF(Table1[[#This Row],[Job_Type]] = "unemp/unskilled non res", "Unemployed", "Employed")</f>
        <v>Employed</v>
      </c>
      <c r="U491" t="s">
        <v>21</v>
      </c>
      <c r="V491" s="14" t="str" cm="1">
        <f t="array" ref="V49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91" t="s">
        <v>31</v>
      </c>
      <c r="X491" s="2" t="str">
        <f>_xlfn.XLOOKUP(Table1[[#This Row],[Loan_Credit_History]],Table4[Credit History],Table4[[ Category]])</f>
        <v>Existing Credits Paid</v>
      </c>
      <c r="Y491" s="3">
        <v>4</v>
      </c>
      <c r="Z491" s="3">
        <v>1</v>
      </c>
      <c r="AA491" s="5">
        <v>866</v>
      </c>
      <c r="AB491" t="s">
        <v>58</v>
      </c>
      <c r="AC491" s="2" t="str" cm="1">
        <f t="array" ref="AC491">_xlfn.IFS(Table1[[#This Row],[Others_Parties]] = "No", "None",
Table1[[#This Row],[Others_Parties]] = "co applicant", "Co-applicant",
Table1[[#This Row],[Others_Parties]] = "guarantor", "Guarantor")</f>
        <v>Guarantor</v>
      </c>
      <c r="AD491" s="13" t="s">
        <v>145</v>
      </c>
      <c r="AE491" s="2" t="s">
        <v>111</v>
      </c>
      <c r="AF491" s="28" t="str" cm="1">
        <f t="array" ref="AF49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91" s="21">
        <v>18</v>
      </c>
      <c r="AH491" s="2" t="s">
        <v>154</v>
      </c>
      <c r="AI491"/>
      <c r="AZ491"/>
      <c r="BC491"/>
      <c r="BE491"/>
      <c r="BL491"/>
      <c r="BZ491"/>
      <c r="CA491"/>
      <c r="CF491"/>
      <c r="CG491"/>
      <c r="CH491"/>
      <c r="CI491"/>
      <c r="CK491"/>
      <c r="CN491"/>
    </row>
    <row r="492" spans="1:92" x14ac:dyDescent="0.3">
      <c r="A492" s="4">
        <v>490</v>
      </c>
      <c r="B492" s="11">
        <v>36</v>
      </c>
      <c r="C492" s="2" t="str">
        <f>_xlfn.XLOOKUP(Table1[[#This Row],[Age]],Table7[Start_Age],Table7[Age_Range],,-1)</f>
        <v>29-39</v>
      </c>
      <c r="D492" t="s">
        <v>130</v>
      </c>
      <c r="E492" s="2" t="s">
        <v>129</v>
      </c>
      <c r="F492" s="2" t="s">
        <v>133</v>
      </c>
      <c r="G492" s="3">
        <v>2</v>
      </c>
      <c r="H492" s="13" t="s">
        <v>152</v>
      </c>
      <c r="I492" s="2" t="str" cm="1">
        <f t="array" ref="I492">_xlfn.IFS(Table1[[#This Row],[Job_Type]] = "unskilled resident", "Resident",
Table1[[#This Row],[Job_Type]] = "unemp/unskilled non res", "Non-resident",
TRUE, "Unknown")</f>
        <v>Unknown</v>
      </c>
      <c r="J492" s="2" t="s">
        <v>148</v>
      </c>
      <c r="K492" s="3">
        <v>4</v>
      </c>
      <c r="L492" s="2" t="s">
        <v>140</v>
      </c>
      <c r="M492" s="13" t="s">
        <v>152</v>
      </c>
      <c r="N492" t="s">
        <v>30</v>
      </c>
      <c r="O492" s="2" t="str">
        <f>_xlfn.XLOOKUP(Table1[[#This Row],[Checking_Acct_Status]],Table3[Checking_Acct_Original],Table3[Category])</f>
        <v>Low Balance</v>
      </c>
      <c r="P492" s="10" t="s">
        <v>32</v>
      </c>
      <c r="Q492" s="13" t="str">
        <f>_xlfn.XLOOKUP(Table1[[#This Row],[Saving_Acct_Status]],Table5[Saving_Acct_Original],Table5[Category])</f>
        <v>Low Savings</v>
      </c>
      <c r="R492" t="s">
        <v>41</v>
      </c>
      <c r="S492" s="2" t="str">
        <f>IF(
      OR(Table1[[#This Row],[Job_Type]] = "high qualif/self emp/mgmt", Table1[[#This Row],[Job_Type]] = "skilled"),
      "Skilled", "Unskilled")</f>
        <v>Skilled</v>
      </c>
      <c r="T492" t="str">
        <f>IF(Table1[[#This Row],[Job_Type]] = "unemp/unskilled non res", "Unemployed", "Employed")</f>
        <v>Employed</v>
      </c>
      <c r="U492" t="s">
        <v>38</v>
      </c>
      <c r="V492" s="14" t="str" cm="1">
        <f t="array" ref="V49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92" t="s">
        <v>103</v>
      </c>
      <c r="X492" s="2" t="str">
        <f>_xlfn.XLOOKUP(Table1[[#This Row],[Loan_Credit_History]],Table4[Credit History],Table4[[ Category]])</f>
        <v>Critical Credit History</v>
      </c>
      <c r="Y492" s="3">
        <v>4</v>
      </c>
      <c r="Z492" s="3">
        <v>1</v>
      </c>
      <c r="AA492" s="5">
        <v>884</v>
      </c>
      <c r="AB492" t="s">
        <v>151</v>
      </c>
      <c r="AC492" s="2" t="str" cm="1">
        <f t="array" ref="AC492">_xlfn.IFS(Table1[[#This Row],[Others_Parties]] = "No", "None",
Table1[[#This Row],[Others_Parties]] = "co applicant", "Co-applicant",
Table1[[#This Row],[Others_Parties]] = "guarantor", "Guarantor")</f>
        <v>None</v>
      </c>
      <c r="AD492" s="13" t="s">
        <v>146</v>
      </c>
      <c r="AE492" s="2" t="s">
        <v>141</v>
      </c>
      <c r="AF492" s="28" t="str" cm="1">
        <f t="array" ref="AF49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92" s="21">
        <v>18</v>
      </c>
      <c r="AH492" s="2" t="s">
        <v>153</v>
      </c>
      <c r="AI492"/>
      <c r="AZ492"/>
      <c r="BC492"/>
      <c r="BE492"/>
      <c r="BL492"/>
      <c r="BZ492"/>
      <c r="CA492"/>
      <c r="CF492"/>
      <c r="CG492"/>
      <c r="CH492"/>
      <c r="CI492"/>
      <c r="CK492"/>
      <c r="CN492"/>
    </row>
    <row r="493" spans="1:92" x14ac:dyDescent="0.3">
      <c r="A493" s="4">
        <v>491</v>
      </c>
      <c r="B493" s="11">
        <v>23</v>
      </c>
      <c r="C493" s="2" t="str">
        <f>_xlfn.XLOOKUP(Table1[[#This Row],[Age]],Table7[Start_Age],Table7[Age_Range],,-1)</f>
        <v>19-29</v>
      </c>
      <c r="D493" t="s">
        <v>136</v>
      </c>
      <c r="E493" s="2" t="s">
        <v>131</v>
      </c>
      <c r="F493" s="2" t="s">
        <v>137</v>
      </c>
      <c r="G493" s="3">
        <v>1</v>
      </c>
      <c r="H493" s="13" t="s">
        <v>152</v>
      </c>
      <c r="I493" s="2" t="str" cm="1">
        <f t="array" ref="I493">_xlfn.IFS(Table1[[#This Row],[Job_Type]] = "unskilled resident", "Resident",
Table1[[#This Row],[Job_Type]] = "unemp/unskilled non res", "Non-resident",
TRUE, "Unknown")</f>
        <v>Resident</v>
      </c>
      <c r="J493" s="2" t="s">
        <v>148</v>
      </c>
      <c r="K493" s="3">
        <v>2</v>
      </c>
      <c r="L493" s="2" t="s">
        <v>140</v>
      </c>
      <c r="M493" s="13" t="s">
        <v>151</v>
      </c>
      <c r="N493" t="s">
        <v>35</v>
      </c>
      <c r="O493" s="2" t="str">
        <f>_xlfn.XLOOKUP(Table1[[#This Row],[Checking_Acct_Status]],Table3[Checking_Acct_Original],Table3[Category])</f>
        <v>Negative Balance</v>
      </c>
      <c r="P493" s="10" t="s">
        <v>32</v>
      </c>
      <c r="Q493" s="13" t="str">
        <f>_xlfn.XLOOKUP(Table1[[#This Row],[Saving_Acct_Status]],Table5[Saving_Acct_Original],Table5[Category])</f>
        <v>Low Savings</v>
      </c>
      <c r="R493" t="s">
        <v>27</v>
      </c>
      <c r="S493" s="2" t="str">
        <f>IF(
      OR(Table1[[#This Row],[Job_Type]] = "high qualif/self emp/mgmt", Table1[[#This Row],[Job_Type]] = "skilled"),
      "Skilled", "Unskilled")</f>
        <v>Unskilled</v>
      </c>
      <c r="T493" t="str">
        <f>IF(Table1[[#This Row],[Job_Type]] = "unemp/unskilled non res", "Unemployed", "Employed")</f>
        <v>Employed</v>
      </c>
      <c r="U493" t="s">
        <v>45</v>
      </c>
      <c r="V493" s="14" t="str" cm="1">
        <f t="array" ref="V49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93" t="s">
        <v>31</v>
      </c>
      <c r="X493" s="2" t="str">
        <f>_xlfn.XLOOKUP(Table1[[#This Row],[Loan_Credit_History]],Table4[Credit History],Table4[[ Category]])</f>
        <v>Existing Credits Paid</v>
      </c>
      <c r="Y493" s="3">
        <v>1</v>
      </c>
      <c r="Z493" s="3">
        <v>1</v>
      </c>
      <c r="AA493" s="5">
        <v>976</v>
      </c>
      <c r="AB493" t="s">
        <v>151</v>
      </c>
      <c r="AC493" s="2" t="str" cm="1">
        <f t="array" ref="AC493">_xlfn.IFS(Table1[[#This Row],[Others_Parties]] = "No", "None",
Table1[[#This Row],[Others_Parties]] = "co applicant", "Co-applicant",
Table1[[#This Row],[Others_Parties]] = "guarantor", "Guarantor")</f>
        <v>None</v>
      </c>
      <c r="AD493" s="13" t="s">
        <v>145</v>
      </c>
      <c r="AE493" s="2" t="s">
        <v>141</v>
      </c>
      <c r="AF493" s="28" t="str" cm="1">
        <f t="array" ref="AF49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93" s="21">
        <v>18</v>
      </c>
      <c r="AH493" s="2" t="s">
        <v>153</v>
      </c>
      <c r="AI493"/>
      <c r="AZ493"/>
      <c r="BC493"/>
      <c r="BE493"/>
      <c r="BL493"/>
      <c r="BZ493"/>
      <c r="CA493"/>
      <c r="CF493"/>
      <c r="CG493"/>
      <c r="CH493"/>
      <c r="CI493"/>
      <c r="CK493"/>
      <c r="CN493"/>
    </row>
    <row r="494" spans="1:92" x14ac:dyDescent="0.3">
      <c r="A494" s="4">
        <v>492</v>
      </c>
      <c r="B494" s="11">
        <v>36</v>
      </c>
      <c r="C494" s="2" t="str">
        <f>_xlfn.XLOOKUP(Table1[[#This Row],[Age]],Table7[Start_Age],Table7[Age_Range],,-1)</f>
        <v>29-39</v>
      </c>
      <c r="D494" t="s">
        <v>136</v>
      </c>
      <c r="E494" s="2" t="s">
        <v>131</v>
      </c>
      <c r="F494" s="2" t="s">
        <v>137</v>
      </c>
      <c r="G494" s="3">
        <v>1</v>
      </c>
      <c r="H494" s="13" t="s">
        <v>152</v>
      </c>
      <c r="I494" s="2" t="str" cm="1">
        <f t="array" ref="I494">_xlfn.IFS(Table1[[#This Row],[Job_Type]] = "unskilled resident", "Resident",
Table1[[#This Row],[Job_Type]] = "unemp/unskilled non res", "Non-resident",
TRUE, "Unknown")</f>
        <v>Unknown</v>
      </c>
      <c r="J494" s="2" t="s">
        <v>148</v>
      </c>
      <c r="K494" s="3">
        <v>3</v>
      </c>
      <c r="L494" s="2" t="s">
        <v>144</v>
      </c>
      <c r="M494" s="13" t="s">
        <v>151</v>
      </c>
      <c r="N494" t="s">
        <v>17</v>
      </c>
      <c r="O494" s="2" t="str">
        <f>_xlfn.XLOOKUP(Table1[[#This Row],[Checking_Acct_Status]],Table3[Checking_Acct_Original],Table3[Category])</f>
        <v>No Account</v>
      </c>
      <c r="P494" s="10" t="s">
        <v>32</v>
      </c>
      <c r="Q494" s="13" t="str">
        <f>_xlfn.XLOOKUP(Table1[[#This Row],[Saving_Acct_Status]],Table5[Saving_Acct_Original],Table5[Category])</f>
        <v>Low Savings</v>
      </c>
      <c r="R494" t="s">
        <v>41</v>
      </c>
      <c r="S494" s="2" t="str">
        <f>IF(
      OR(Table1[[#This Row],[Job_Type]] = "high qualif/self emp/mgmt", Table1[[#This Row],[Job_Type]] = "skilled"),
      "Skilled", "Unskilled")</f>
        <v>Skilled</v>
      </c>
      <c r="T494" t="str">
        <f>IF(Table1[[#This Row],[Job_Type]] = "unemp/unskilled non res", "Unemployed", "Employed")</f>
        <v>Employed</v>
      </c>
      <c r="U494" t="s">
        <v>21</v>
      </c>
      <c r="V494" s="14" t="str" cm="1">
        <f t="array" ref="V49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94" t="s">
        <v>103</v>
      </c>
      <c r="X494" s="2" t="str">
        <f>_xlfn.XLOOKUP(Table1[[#This Row],[Loan_Credit_History]],Table4[Credit History],Table4[[ Category]])</f>
        <v>Critical Credit History</v>
      </c>
      <c r="Y494" s="3">
        <v>4</v>
      </c>
      <c r="Z494" s="3">
        <v>2</v>
      </c>
      <c r="AA494" s="5">
        <v>1028</v>
      </c>
      <c r="AB494" t="s">
        <v>151</v>
      </c>
      <c r="AC494" s="2" t="str" cm="1">
        <f t="array" ref="AC494">_xlfn.IFS(Table1[[#This Row],[Others_Parties]] = "No", "None",
Table1[[#This Row],[Others_Parties]] = "co applicant", "Co-applicant",
Table1[[#This Row],[Others_Parties]] = "guarantor", "Guarantor")</f>
        <v>None</v>
      </c>
      <c r="AD494" s="13" t="s">
        <v>145</v>
      </c>
      <c r="AE494" s="2" t="s">
        <v>141</v>
      </c>
      <c r="AF494" s="28" t="str" cm="1">
        <f t="array" ref="AF49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94" s="21">
        <v>18</v>
      </c>
      <c r="AH494" s="2" t="s">
        <v>154</v>
      </c>
      <c r="AI494"/>
      <c r="AZ494"/>
      <c r="BC494"/>
      <c r="BE494"/>
      <c r="BL494"/>
      <c r="BZ494"/>
      <c r="CA494"/>
      <c r="CF494"/>
      <c r="CG494"/>
      <c r="CH494"/>
      <c r="CI494"/>
      <c r="CK494"/>
      <c r="CN494"/>
    </row>
    <row r="495" spans="1:92" x14ac:dyDescent="0.3">
      <c r="A495" s="4">
        <v>493</v>
      </c>
      <c r="B495" s="11">
        <v>33</v>
      </c>
      <c r="C495" s="2" t="str">
        <f>_xlfn.XLOOKUP(Table1[[#This Row],[Age]],Table7[Start_Age],Table7[Age_Range],,-1)</f>
        <v>29-39</v>
      </c>
      <c r="D495" t="s">
        <v>136</v>
      </c>
      <c r="E495" s="2" t="s">
        <v>131</v>
      </c>
      <c r="F495" s="2" t="s">
        <v>137</v>
      </c>
      <c r="G495" s="3">
        <v>1</v>
      </c>
      <c r="H495" s="13" t="s">
        <v>152</v>
      </c>
      <c r="I495" s="2" t="str" cm="1">
        <f t="array" ref="I495">_xlfn.IFS(Table1[[#This Row],[Job_Type]] = "unskilled resident", "Resident",
Table1[[#This Row],[Job_Type]] = "unemp/unskilled non res", "Non-resident",
TRUE, "Unknown")</f>
        <v>Unknown</v>
      </c>
      <c r="J495" s="2" t="s">
        <v>148</v>
      </c>
      <c r="K495" s="3">
        <v>2</v>
      </c>
      <c r="L495" s="2" t="s">
        <v>143</v>
      </c>
      <c r="M495" s="13" t="s">
        <v>151</v>
      </c>
      <c r="N495" t="s">
        <v>30</v>
      </c>
      <c r="O495" s="2" t="str">
        <f>_xlfn.XLOOKUP(Table1[[#This Row],[Checking_Acct_Status]],Table3[Checking_Acct_Original],Table3[Category])</f>
        <v>Low Balance</v>
      </c>
      <c r="P495" s="10" t="s">
        <v>47</v>
      </c>
      <c r="Q495" s="13" t="str">
        <f>_xlfn.XLOOKUP(Table1[[#This Row],[Saving_Acct_Status]],Table5[Saving_Acct_Original],Table5[Category])</f>
        <v>No Savings</v>
      </c>
      <c r="R495" t="s">
        <v>41</v>
      </c>
      <c r="S495" s="2" t="str">
        <f>IF(
      OR(Table1[[#This Row],[Job_Type]] = "high qualif/self emp/mgmt", Table1[[#This Row],[Job_Type]] = "skilled"),
      "Skilled", "Unskilled")</f>
        <v>Skilled</v>
      </c>
      <c r="T495" t="str">
        <f>IF(Table1[[#This Row],[Job_Type]] = "unemp/unskilled non res", "Unemployed", "Employed")</f>
        <v>Employed</v>
      </c>
      <c r="U495" t="s">
        <v>21</v>
      </c>
      <c r="V495" s="14" t="str" cm="1">
        <f t="array" ref="V49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495" t="s">
        <v>31</v>
      </c>
      <c r="X495" s="2" t="str">
        <f>_xlfn.XLOOKUP(Table1[[#This Row],[Loan_Credit_History]],Table4[Credit History],Table4[[ Category]])</f>
        <v>Existing Credits Paid</v>
      </c>
      <c r="Y495" s="3">
        <v>4</v>
      </c>
      <c r="Z495" s="3">
        <v>1</v>
      </c>
      <c r="AA495" s="5">
        <v>1042</v>
      </c>
      <c r="AB495" t="s">
        <v>151</v>
      </c>
      <c r="AC495" s="2" t="str" cm="1">
        <f t="array" ref="AC495">_xlfn.IFS(Table1[[#This Row],[Others_Parties]] = "No", "None",
Table1[[#This Row],[Others_Parties]] = "co applicant", "Co-applicant",
Table1[[#This Row],[Others_Parties]] = "guarantor", "Guarantor")</f>
        <v>None</v>
      </c>
      <c r="AD495" s="13" t="s">
        <v>145</v>
      </c>
      <c r="AE495" s="2" t="s">
        <v>141</v>
      </c>
      <c r="AF495" s="28" t="str" cm="1">
        <f t="array" ref="AF49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95" s="21">
        <v>18</v>
      </c>
      <c r="AH495" s="2" t="s">
        <v>153</v>
      </c>
      <c r="AI495"/>
      <c r="AZ495"/>
      <c r="BC495"/>
      <c r="BE495"/>
      <c r="BL495"/>
      <c r="BZ495"/>
      <c r="CA495"/>
      <c r="CF495"/>
      <c r="CG495"/>
      <c r="CH495"/>
      <c r="CI495"/>
      <c r="CK495"/>
      <c r="CN495"/>
    </row>
    <row r="496" spans="1:92" x14ac:dyDescent="0.3">
      <c r="A496" s="4">
        <v>494</v>
      </c>
      <c r="B496" s="11">
        <v>21</v>
      </c>
      <c r="C496" s="2" t="str">
        <f>_xlfn.XLOOKUP(Table1[[#This Row],[Age]],Table7[Start_Age],Table7[Age_Range],,-1)</f>
        <v>19-29</v>
      </c>
      <c r="D496" t="s">
        <v>136</v>
      </c>
      <c r="E496" s="2" t="s">
        <v>131</v>
      </c>
      <c r="F496" s="2" t="s">
        <v>137</v>
      </c>
      <c r="G496" s="3">
        <v>1</v>
      </c>
      <c r="H496" s="13" t="s">
        <v>152</v>
      </c>
      <c r="I496" s="2" t="str" cm="1">
        <f t="array" ref="I496">_xlfn.IFS(Table1[[#This Row],[Job_Type]] = "unskilled resident", "Resident",
Table1[[#This Row],[Job_Type]] = "unemp/unskilled non res", "Non-resident",
TRUE, "Unknown")</f>
        <v>Unknown</v>
      </c>
      <c r="J496" s="2" t="s">
        <v>149</v>
      </c>
      <c r="K496" s="3">
        <v>4</v>
      </c>
      <c r="L496" s="2" t="s">
        <v>143</v>
      </c>
      <c r="M496" s="13" t="s">
        <v>151</v>
      </c>
      <c r="N496" t="s">
        <v>35</v>
      </c>
      <c r="O496" s="2" t="str">
        <f>_xlfn.XLOOKUP(Table1[[#This Row],[Checking_Acct_Status]],Table3[Checking_Acct_Original],Table3[Category])</f>
        <v>Negative Balance</v>
      </c>
      <c r="P496" s="10" t="s">
        <v>32</v>
      </c>
      <c r="Q496" s="13" t="str">
        <f>_xlfn.XLOOKUP(Table1[[#This Row],[Saving_Acct_Status]],Table5[Saving_Acct_Original],Table5[Category])</f>
        <v>Low Savings</v>
      </c>
      <c r="R496" t="s">
        <v>41</v>
      </c>
      <c r="S496" s="2" t="str">
        <f>IF(
      OR(Table1[[#This Row],[Job_Type]] = "high qualif/self emp/mgmt", Table1[[#This Row],[Job_Type]] = "skilled"),
      "Skilled", "Unskilled")</f>
        <v>Skilled</v>
      </c>
      <c r="T496" t="str">
        <f>IF(Table1[[#This Row],[Job_Type]] = "unemp/unskilled non res", "Unemployed", "Employed")</f>
        <v>Employed</v>
      </c>
      <c r="U496" t="s">
        <v>45</v>
      </c>
      <c r="V496" s="14" t="str" cm="1">
        <f t="array" ref="V49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96" t="s">
        <v>103</v>
      </c>
      <c r="X496" s="2" t="str">
        <f>_xlfn.XLOOKUP(Table1[[#This Row],[Loan_Credit_History]],Table4[Credit History],Table4[[ Category]])</f>
        <v>Critical Credit History</v>
      </c>
      <c r="Y496" s="3">
        <v>4</v>
      </c>
      <c r="Z496" s="3">
        <v>1</v>
      </c>
      <c r="AA496" s="5">
        <v>1049</v>
      </c>
      <c r="AB496" t="s">
        <v>151</v>
      </c>
      <c r="AC496" s="2" t="str" cm="1">
        <f t="array" ref="AC496">_xlfn.IFS(Table1[[#This Row],[Others_Parties]] = "No", "None",
Table1[[#This Row],[Others_Parties]] = "co applicant", "Co-applicant",
Table1[[#This Row],[Others_Parties]] = "guarantor", "Guarantor")</f>
        <v>None</v>
      </c>
      <c r="AD496" s="13" t="s">
        <v>145</v>
      </c>
      <c r="AE496" s="2" t="s">
        <v>108</v>
      </c>
      <c r="AF496" s="28" t="str" cm="1">
        <f t="array" ref="AF49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96" s="21">
        <v>18</v>
      </c>
      <c r="AH496" s="2" t="s">
        <v>154</v>
      </c>
      <c r="AI496"/>
      <c r="AZ496"/>
      <c r="BC496"/>
      <c r="BE496"/>
      <c r="BL496"/>
      <c r="BZ496"/>
      <c r="CA496"/>
      <c r="CF496"/>
      <c r="CG496"/>
      <c r="CH496"/>
      <c r="CI496"/>
      <c r="CK496"/>
      <c r="CN496"/>
    </row>
    <row r="497" spans="1:92" x14ac:dyDescent="0.3">
      <c r="A497" s="4">
        <v>495</v>
      </c>
      <c r="B497" s="11">
        <v>30</v>
      </c>
      <c r="C497" s="2" t="str">
        <f>_xlfn.XLOOKUP(Table1[[#This Row],[Age]],Table7[Start_Age],Table7[Age_Range],,-1)</f>
        <v>29-39</v>
      </c>
      <c r="D497" t="s">
        <v>136</v>
      </c>
      <c r="E497" s="2" t="s">
        <v>131</v>
      </c>
      <c r="F497" s="2" t="s">
        <v>137</v>
      </c>
      <c r="G497" s="3">
        <v>1</v>
      </c>
      <c r="H497" s="13" t="s">
        <v>152</v>
      </c>
      <c r="I497" s="2" t="str" cm="1">
        <f t="array" ref="I497">_xlfn.IFS(Table1[[#This Row],[Job_Type]] = "unskilled resident", "Resident",
Table1[[#This Row],[Job_Type]] = "unemp/unskilled non res", "Non-resident",
TRUE, "Unknown")</f>
        <v>Unknown</v>
      </c>
      <c r="J497" s="2" t="s">
        <v>148</v>
      </c>
      <c r="K497" s="3">
        <v>1</v>
      </c>
      <c r="L497" s="2" t="s">
        <v>143</v>
      </c>
      <c r="M497" s="13" t="s">
        <v>151</v>
      </c>
      <c r="N497" t="s">
        <v>17</v>
      </c>
      <c r="O497" s="2" t="str">
        <f>_xlfn.XLOOKUP(Table1[[#This Row],[Checking_Acct_Status]],Table3[Checking_Acct_Original],Table3[Category])</f>
        <v>No Account</v>
      </c>
      <c r="P497" s="10" t="s">
        <v>32</v>
      </c>
      <c r="Q497" s="13" t="str">
        <f>_xlfn.XLOOKUP(Table1[[#This Row],[Saving_Acct_Status]],Table5[Saving_Acct_Original],Table5[Category])</f>
        <v>Low Savings</v>
      </c>
      <c r="R497" t="s">
        <v>41</v>
      </c>
      <c r="S497" s="2" t="str">
        <f>IF(
      OR(Table1[[#This Row],[Job_Type]] = "high qualif/self emp/mgmt", Table1[[#This Row],[Job_Type]] = "skilled"),
      "Skilled", "Unskilled")</f>
        <v>Skilled</v>
      </c>
      <c r="T497" t="str">
        <f>IF(Table1[[#This Row],[Job_Type]] = "unemp/unskilled non res", "Unemployed", "Employed")</f>
        <v>Employed</v>
      </c>
      <c r="U497" t="s">
        <v>45</v>
      </c>
      <c r="V497" s="14" t="str" cm="1">
        <f t="array" ref="V49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497" t="s">
        <v>103</v>
      </c>
      <c r="X497" s="2" t="str">
        <f>_xlfn.XLOOKUP(Table1[[#This Row],[Loan_Credit_History]],Table4[Credit History],Table4[[ Category]])</f>
        <v>Critical Credit History</v>
      </c>
      <c r="Y497" s="3">
        <v>4</v>
      </c>
      <c r="Z497" s="3">
        <v>2</v>
      </c>
      <c r="AA497" s="5">
        <v>1055</v>
      </c>
      <c r="AB497" t="s">
        <v>151</v>
      </c>
      <c r="AC497" s="2" t="str" cm="1">
        <f t="array" ref="AC497">_xlfn.IFS(Table1[[#This Row],[Others_Parties]] = "No", "None",
Table1[[#This Row],[Others_Parties]] = "co applicant", "Co-applicant",
Table1[[#This Row],[Others_Parties]] = "guarantor", "Guarantor")</f>
        <v>None</v>
      </c>
      <c r="AD497" s="13" t="s">
        <v>145</v>
      </c>
      <c r="AE497" s="2" t="s">
        <v>141</v>
      </c>
      <c r="AF497" s="28" t="str" cm="1">
        <f t="array" ref="AF49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97" s="21">
        <v>18</v>
      </c>
      <c r="AH497" s="2" t="s">
        <v>154</v>
      </c>
      <c r="AI497"/>
      <c r="AZ497"/>
      <c r="BC497"/>
      <c r="BE497"/>
      <c r="BL497"/>
      <c r="BZ497"/>
      <c r="CA497"/>
      <c r="CF497"/>
      <c r="CG497"/>
      <c r="CH497"/>
      <c r="CI497"/>
      <c r="CK497"/>
      <c r="CN497"/>
    </row>
    <row r="498" spans="1:92" x14ac:dyDescent="0.3">
      <c r="A498" s="4">
        <v>496</v>
      </c>
      <c r="B498" s="11">
        <v>30</v>
      </c>
      <c r="C498" s="2" t="str">
        <f>_xlfn.XLOOKUP(Table1[[#This Row],[Age]],Table7[Start_Age],Table7[Age_Range],,-1)</f>
        <v>29-39</v>
      </c>
      <c r="D498" t="s">
        <v>130</v>
      </c>
      <c r="E498" s="2" t="s">
        <v>129</v>
      </c>
      <c r="F498" s="2" t="s">
        <v>133</v>
      </c>
      <c r="G498" s="3">
        <v>1</v>
      </c>
      <c r="H498" s="13" t="s">
        <v>152</v>
      </c>
      <c r="I498" s="2" t="str" cm="1">
        <f t="array" ref="I498">_xlfn.IFS(Table1[[#This Row],[Job_Type]] = "unskilled resident", "Resident",
Table1[[#This Row],[Job_Type]] = "unemp/unskilled non res", "Non-resident",
TRUE, "Unknown")</f>
        <v>Unknown</v>
      </c>
      <c r="J498" s="2" t="s">
        <v>148</v>
      </c>
      <c r="K498" s="3">
        <v>3</v>
      </c>
      <c r="L498" s="2" t="s">
        <v>144</v>
      </c>
      <c r="M498" s="13" t="s">
        <v>151</v>
      </c>
      <c r="N498" t="s">
        <v>30</v>
      </c>
      <c r="O498" s="2" t="str">
        <f>_xlfn.XLOOKUP(Table1[[#This Row],[Checking_Acct_Status]],Table3[Checking_Acct_Original],Table3[Category])</f>
        <v>Low Balance</v>
      </c>
      <c r="P498" s="10" t="s">
        <v>32</v>
      </c>
      <c r="Q498" s="13" t="str">
        <f>_xlfn.XLOOKUP(Table1[[#This Row],[Saving_Acct_Status]],Table5[Saving_Acct_Original],Table5[Category])</f>
        <v>Low Savings</v>
      </c>
      <c r="R498" t="s">
        <v>41</v>
      </c>
      <c r="S498" s="2" t="str">
        <f>IF(
      OR(Table1[[#This Row],[Job_Type]] = "high qualif/self emp/mgmt", Table1[[#This Row],[Job_Type]] = "skilled"),
      "Skilled", "Unskilled")</f>
        <v>Skilled</v>
      </c>
      <c r="T498" t="str">
        <f>IF(Table1[[#This Row],[Job_Type]] = "unemp/unskilled non res", "Unemployed", "Employed")</f>
        <v>Employed</v>
      </c>
      <c r="U498" t="s">
        <v>38</v>
      </c>
      <c r="V498" s="14" t="str" cm="1">
        <f t="array" ref="V49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498" t="s">
        <v>103</v>
      </c>
      <c r="X498" s="2" t="str">
        <f>_xlfn.XLOOKUP(Table1[[#This Row],[Loan_Credit_History]],Table4[Credit History],Table4[[ Category]])</f>
        <v>Critical Credit History</v>
      </c>
      <c r="Y498" s="3">
        <v>3</v>
      </c>
      <c r="Z498" s="3">
        <v>2</v>
      </c>
      <c r="AA498" s="5">
        <v>1056</v>
      </c>
      <c r="AB498" t="s">
        <v>58</v>
      </c>
      <c r="AC498" s="2" t="str" cm="1">
        <f t="array" ref="AC498">_xlfn.IFS(Table1[[#This Row],[Others_Parties]] = "No", "None",
Table1[[#This Row],[Others_Parties]] = "co applicant", "Co-applicant",
Table1[[#This Row],[Others_Parties]] = "guarantor", "Guarantor")</f>
        <v>Guarantor</v>
      </c>
      <c r="AD498" s="13" t="s">
        <v>146</v>
      </c>
      <c r="AE498" s="2" t="s">
        <v>141</v>
      </c>
      <c r="AF498" s="28" t="str" cm="1">
        <f t="array" ref="AF49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98" s="21">
        <v>18</v>
      </c>
      <c r="AH498" s="2" t="s">
        <v>153</v>
      </c>
      <c r="AI498"/>
      <c r="AZ498"/>
      <c r="BC498"/>
      <c r="BE498"/>
      <c r="BL498"/>
      <c r="BZ498"/>
      <c r="CA498"/>
      <c r="CF498"/>
      <c r="CG498"/>
      <c r="CH498"/>
      <c r="CI498"/>
      <c r="CK498"/>
      <c r="CN498"/>
    </row>
    <row r="499" spans="1:92" x14ac:dyDescent="0.3">
      <c r="A499" s="4">
        <v>497</v>
      </c>
      <c r="B499" s="11">
        <v>65</v>
      </c>
      <c r="C499" s="2" t="str">
        <f>_xlfn.XLOOKUP(Table1[[#This Row],[Age]],Table7[Start_Age],Table7[Age_Range],,-1)</f>
        <v>59-69</v>
      </c>
      <c r="D499" t="s">
        <v>136</v>
      </c>
      <c r="E499" s="2" t="s">
        <v>131</v>
      </c>
      <c r="F499" s="2" t="s">
        <v>137</v>
      </c>
      <c r="G499" s="3">
        <v>1</v>
      </c>
      <c r="H499" s="13" t="s">
        <v>152</v>
      </c>
      <c r="I499" s="2" t="str" cm="1">
        <f t="array" ref="I499">_xlfn.IFS(Table1[[#This Row],[Job_Type]] = "unskilled resident", "Resident",
Table1[[#This Row],[Job_Type]] = "unemp/unskilled non res", "Non-resident",
TRUE, "Unknown")</f>
        <v>Non-resident</v>
      </c>
      <c r="J499" s="2" t="s">
        <v>148</v>
      </c>
      <c r="K499" s="3">
        <v>4</v>
      </c>
      <c r="L499" s="2" t="s">
        <v>140</v>
      </c>
      <c r="M499" s="13" t="s">
        <v>151</v>
      </c>
      <c r="N499" t="s">
        <v>17</v>
      </c>
      <c r="O499" s="2" t="str">
        <f>_xlfn.XLOOKUP(Table1[[#This Row],[Checking_Acct_Status]],Table3[Checking_Acct_Original],Table3[Category])</f>
        <v>No Account</v>
      </c>
      <c r="P499" s="10" t="s">
        <v>32</v>
      </c>
      <c r="Q499" s="13" t="str">
        <f>_xlfn.XLOOKUP(Table1[[#This Row],[Saving_Acct_Status]],Table5[Saving_Acct_Original],Table5[Category])</f>
        <v>Low Savings</v>
      </c>
      <c r="R499" t="s">
        <v>62</v>
      </c>
      <c r="S499" s="2" t="str">
        <f>IF(
      OR(Table1[[#This Row],[Job_Type]] = "high qualif/self emp/mgmt", Table1[[#This Row],[Job_Type]] = "skilled"),
      "Skilled", "Unskilled")</f>
        <v>Unskilled</v>
      </c>
      <c r="T499" t="str">
        <f>IF(Table1[[#This Row],[Job_Type]] = "unemp/unskilled non res", "Unemployed", "Employed")</f>
        <v>Unemployed</v>
      </c>
      <c r="U499" t="s">
        <v>54</v>
      </c>
      <c r="V499" s="14" t="str" cm="1">
        <f t="array" ref="V499">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499" t="s">
        <v>103</v>
      </c>
      <c r="X499" s="2" t="str">
        <f>_xlfn.XLOOKUP(Table1[[#This Row],[Loan_Credit_History]],Table4[Credit History],Table4[[ Category]])</f>
        <v>Critical Credit History</v>
      </c>
      <c r="Y499" s="3">
        <v>4</v>
      </c>
      <c r="Z499" s="3">
        <v>2</v>
      </c>
      <c r="AA499" s="5">
        <v>1098</v>
      </c>
      <c r="AB499" t="s">
        <v>151</v>
      </c>
      <c r="AC499" s="2" t="str" cm="1">
        <f t="array" ref="AC499">_xlfn.IFS(Table1[[#This Row],[Others_Parties]] = "No", "None",
Table1[[#This Row],[Others_Parties]] = "co applicant", "Co-applicant",
Table1[[#This Row],[Others_Parties]] = "guarantor", "Guarantor")</f>
        <v>None</v>
      </c>
      <c r="AD499" s="13" t="s">
        <v>145</v>
      </c>
      <c r="AE499" s="2" t="s">
        <v>111</v>
      </c>
      <c r="AF499" s="28" t="str" cm="1">
        <f t="array" ref="AF49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499" s="21">
        <v>18</v>
      </c>
      <c r="AH499" s="2" t="s">
        <v>154</v>
      </c>
      <c r="AI499"/>
      <c r="AZ499"/>
      <c r="BC499"/>
      <c r="BE499"/>
      <c r="BL499"/>
      <c r="BZ499"/>
      <c r="CA499"/>
      <c r="CF499"/>
      <c r="CG499"/>
      <c r="CH499"/>
      <c r="CI499"/>
      <c r="CK499"/>
      <c r="CN499"/>
    </row>
    <row r="500" spans="1:92" x14ac:dyDescent="0.3">
      <c r="A500" s="4">
        <v>498</v>
      </c>
      <c r="B500" s="11">
        <v>26</v>
      </c>
      <c r="C500" s="2" t="str">
        <f>_xlfn.XLOOKUP(Table1[[#This Row],[Age]],Table7[Start_Age],Table7[Age_Range],,-1)</f>
        <v>19-29</v>
      </c>
      <c r="D500" t="s">
        <v>136</v>
      </c>
      <c r="E500" s="2" t="s">
        <v>131</v>
      </c>
      <c r="F500" s="2" t="s">
        <v>137</v>
      </c>
      <c r="G500" s="3">
        <v>2</v>
      </c>
      <c r="H500" s="13" t="s">
        <v>152</v>
      </c>
      <c r="I500" s="2" t="str" cm="1">
        <f t="array" ref="I500">_xlfn.IFS(Table1[[#This Row],[Job_Type]] = "unskilled resident", "Resident",
Table1[[#This Row],[Job_Type]] = "unemp/unskilled non res", "Non-resident",
TRUE, "Unknown")</f>
        <v>Resident</v>
      </c>
      <c r="J500" s="2" t="s">
        <v>148</v>
      </c>
      <c r="K500" s="3">
        <v>4</v>
      </c>
      <c r="L500" s="2" t="s">
        <v>144</v>
      </c>
      <c r="M500" s="13" t="s">
        <v>151</v>
      </c>
      <c r="N500" t="s">
        <v>30</v>
      </c>
      <c r="O500" s="2" t="str">
        <f>_xlfn.XLOOKUP(Table1[[#This Row],[Checking_Acct_Status]],Table3[Checking_Acct_Original],Table3[Category])</f>
        <v>Low Balance</v>
      </c>
      <c r="P500" s="10" t="s">
        <v>32</v>
      </c>
      <c r="Q500" s="13" t="str">
        <f>_xlfn.XLOOKUP(Table1[[#This Row],[Saving_Acct_Status]],Table5[Saving_Acct_Original],Table5[Category])</f>
        <v>Low Savings</v>
      </c>
      <c r="R500" t="s">
        <v>27</v>
      </c>
      <c r="S500" s="2" t="str">
        <f>IF(
      OR(Table1[[#This Row],[Job_Type]] = "high qualif/self emp/mgmt", Table1[[#This Row],[Job_Type]] = "skilled"),
      "Skilled", "Unskilled")</f>
        <v>Unskilled</v>
      </c>
      <c r="T500" t="str">
        <f>IF(Table1[[#This Row],[Job_Type]] = "unemp/unskilled non res", "Unemployed", "Employed")</f>
        <v>Employed</v>
      </c>
      <c r="U500" t="s">
        <v>21</v>
      </c>
      <c r="V500" s="14" t="str" cm="1">
        <f t="array" ref="V50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00" t="s">
        <v>31</v>
      </c>
      <c r="X500" s="2" t="str">
        <f>_xlfn.XLOOKUP(Table1[[#This Row],[Loan_Credit_History]],Table4[Credit History],Table4[[ Category]])</f>
        <v>Existing Credits Paid</v>
      </c>
      <c r="Y500" s="3">
        <v>4</v>
      </c>
      <c r="Z500" s="3">
        <v>1</v>
      </c>
      <c r="AA500" s="5">
        <v>1113</v>
      </c>
      <c r="AB500" t="s">
        <v>58</v>
      </c>
      <c r="AC500" s="2" t="str" cm="1">
        <f t="array" ref="AC500">_xlfn.IFS(Table1[[#This Row],[Others_Parties]] = "No", "None",
Table1[[#This Row],[Others_Parties]] = "co applicant", "Co-applicant",
Table1[[#This Row],[Others_Parties]] = "guarantor", "Guarantor")</f>
        <v>Guarantor</v>
      </c>
      <c r="AD500" s="13" t="s">
        <v>145</v>
      </c>
      <c r="AE500" s="2" t="s">
        <v>111</v>
      </c>
      <c r="AF500" s="28" t="str" cm="1">
        <f t="array" ref="AF50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00" s="21">
        <v>18</v>
      </c>
      <c r="AH500" s="2" t="s">
        <v>154</v>
      </c>
      <c r="AI500"/>
      <c r="AZ500"/>
      <c r="BC500"/>
      <c r="BE500"/>
      <c r="BL500"/>
      <c r="BZ500"/>
      <c r="CA500"/>
      <c r="CF500"/>
      <c r="CG500"/>
      <c r="CH500"/>
      <c r="CI500"/>
      <c r="CK500"/>
      <c r="CN500"/>
    </row>
    <row r="501" spans="1:92" x14ac:dyDescent="0.3">
      <c r="A501" s="4">
        <v>499</v>
      </c>
      <c r="B501" s="11">
        <v>21</v>
      </c>
      <c r="C501" s="2" t="str">
        <f>_xlfn.XLOOKUP(Table1[[#This Row],[Age]],Table7[Start_Age],Table7[Age_Range],,-1)</f>
        <v>19-29</v>
      </c>
      <c r="D501" t="s">
        <v>136</v>
      </c>
      <c r="E501" s="2" t="s">
        <v>131</v>
      </c>
      <c r="F501" s="2" t="s">
        <v>137</v>
      </c>
      <c r="G501" s="3">
        <v>1</v>
      </c>
      <c r="H501" s="13" t="s">
        <v>152</v>
      </c>
      <c r="I501" s="2" t="str" cm="1">
        <f t="array" ref="I501">_xlfn.IFS(Table1[[#This Row],[Job_Type]] = "unskilled resident", "Resident",
Table1[[#This Row],[Job_Type]] = "unemp/unskilled non res", "Non-resident",
TRUE, "Unknown")</f>
        <v>Unknown</v>
      </c>
      <c r="J501" s="2" t="s">
        <v>149</v>
      </c>
      <c r="K501" s="3">
        <v>2</v>
      </c>
      <c r="L501" s="2" t="s">
        <v>144</v>
      </c>
      <c r="M501" s="13" t="s">
        <v>152</v>
      </c>
      <c r="N501" t="s">
        <v>17</v>
      </c>
      <c r="O501" s="2" t="str">
        <f>_xlfn.XLOOKUP(Table1[[#This Row],[Checking_Acct_Status]],Table3[Checking_Acct_Original],Table3[Category])</f>
        <v>No Account</v>
      </c>
      <c r="P501" s="10" t="s">
        <v>47</v>
      </c>
      <c r="Q501" s="13" t="str">
        <f>_xlfn.XLOOKUP(Table1[[#This Row],[Saving_Acct_Status]],Table5[Saving_Acct_Original],Table5[Category])</f>
        <v>No Savings</v>
      </c>
      <c r="R501" t="s">
        <v>41</v>
      </c>
      <c r="S501" s="2" t="str">
        <f>IF(
      OR(Table1[[#This Row],[Job_Type]] = "high qualif/self emp/mgmt", Table1[[#This Row],[Job_Type]] = "skilled"),
      "Skilled", "Unskilled")</f>
        <v>Skilled</v>
      </c>
      <c r="T501" t="str">
        <f>IF(Table1[[#This Row],[Job_Type]] = "unemp/unskilled non res", "Unemployed", "Employed")</f>
        <v>Employed</v>
      </c>
      <c r="U501" t="s">
        <v>45</v>
      </c>
      <c r="V501" s="14" t="str" cm="1">
        <f t="array" ref="V50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01" t="s">
        <v>31</v>
      </c>
      <c r="X501" s="2" t="str">
        <f>_xlfn.XLOOKUP(Table1[[#This Row],[Loan_Credit_History]],Table4[Credit History],Table4[[ Category]])</f>
        <v>Existing Credits Paid</v>
      </c>
      <c r="Y501" s="3">
        <v>4</v>
      </c>
      <c r="Z501" s="3">
        <v>1</v>
      </c>
      <c r="AA501" s="5">
        <v>1126</v>
      </c>
      <c r="AB501" t="s">
        <v>151</v>
      </c>
      <c r="AC501" s="2" t="str" cm="1">
        <f t="array" ref="AC501">_xlfn.IFS(Table1[[#This Row],[Others_Parties]] = "No", "None",
Table1[[#This Row],[Others_Parties]] = "co applicant", "Co-applicant",
Table1[[#This Row],[Others_Parties]] = "guarantor", "Guarantor")</f>
        <v>None</v>
      </c>
      <c r="AD501" s="13" t="s">
        <v>145</v>
      </c>
      <c r="AE501" s="2" t="s">
        <v>111</v>
      </c>
      <c r="AF501" s="28" t="str" cm="1">
        <f t="array" ref="AF50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01" s="21">
        <v>18</v>
      </c>
      <c r="AH501" s="2" t="s">
        <v>154</v>
      </c>
      <c r="AI501"/>
      <c r="AZ501"/>
      <c r="BC501"/>
      <c r="BE501"/>
      <c r="BL501"/>
      <c r="BZ501"/>
      <c r="CA501"/>
      <c r="CF501"/>
      <c r="CG501"/>
      <c r="CH501"/>
      <c r="CI501"/>
      <c r="CK501"/>
      <c r="CN501"/>
    </row>
    <row r="502" spans="1:92" x14ac:dyDescent="0.3">
      <c r="A502" s="4">
        <v>500</v>
      </c>
      <c r="B502" s="11">
        <v>33</v>
      </c>
      <c r="C502" s="2" t="str">
        <f>_xlfn.XLOOKUP(Table1[[#This Row],[Age]],Table7[Start_Age],Table7[Age_Range],,-1)</f>
        <v>29-39</v>
      </c>
      <c r="D502" t="s">
        <v>136</v>
      </c>
      <c r="E502" s="2" t="s">
        <v>131</v>
      </c>
      <c r="F502" s="2" t="s">
        <v>137</v>
      </c>
      <c r="G502" s="3">
        <v>1</v>
      </c>
      <c r="H502" s="13" t="s">
        <v>152</v>
      </c>
      <c r="I502" s="2" t="str" cm="1">
        <f t="array" ref="I502">_xlfn.IFS(Table1[[#This Row],[Job_Type]] = "unskilled resident", "Resident",
Table1[[#This Row],[Job_Type]] = "unemp/unskilled non res", "Non-resident",
TRUE, "Unknown")</f>
        <v>Unknown</v>
      </c>
      <c r="J502" s="2" t="s">
        <v>148</v>
      </c>
      <c r="K502" s="3">
        <v>2</v>
      </c>
      <c r="L502" s="2" t="s">
        <v>140</v>
      </c>
      <c r="M502" s="13" t="s">
        <v>151</v>
      </c>
      <c r="N502" t="s">
        <v>35</v>
      </c>
      <c r="O502" s="2" t="str">
        <f>_xlfn.XLOOKUP(Table1[[#This Row],[Checking_Acct_Status]],Table3[Checking_Acct_Original],Table3[Category])</f>
        <v>Negative Balance</v>
      </c>
      <c r="P502" s="10" t="s">
        <v>32</v>
      </c>
      <c r="Q502" s="13" t="str">
        <f>_xlfn.XLOOKUP(Table1[[#This Row],[Saving_Acct_Status]],Table5[Saving_Acct_Original],Table5[Category])</f>
        <v>Low Savings</v>
      </c>
      <c r="R502" t="s">
        <v>41</v>
      </c>
      <c r="S502" s="2" t="str">
        <f>IF(
      OR(Table1[[#This Row],[Job_Type]] = "high qualif/self emp/mgmt", Table1[[#This Row],[Job_Type]] = "skilled"),
      "Skilled", "Unskilled")</f>
        <v>Skilled</v>
      </c>
      <c r="T502" t="str">
        <f>IF(Table1[[#This Row],[Job_Type]] = "unemp/unskilled non res", "Unemployed", "Employed")</f>
        <v>Employed</v>
      </c>
      <c r="U502" t="s">
        <v>54</v>
      </c>
      <c r="V502" s="14" t="str" cm="1">
        <f t="array" ref="V502">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502" t="s">
        <v>31</v>
      </c>
      <c r="X502" s="2" t="str">
        <f>_xlfn.XLOOKUP(Table1[[#This Row],[Loan_Credit_History]],Table4[Credit History],Table4[[ Category]])</f>
        <v>Existing Credits Paid</v>
      </c>
      <c r="Y502" s="3">
        <v>4</v>
      </c>
      <c r="Z502" s="3">
        <v>1</v>
      </c>
      <c r="AA502" s="5">
        <v>1131</v>
      </c>
      <c r="AB502" t="s">
        <v>151</v>
      </c>
      <c r="AC502" s="2" t="str" cm="1">
        <f t="array" ref="AC502">_xlfn.IFS(Table1[[#This Row],[Others_Parties]] = "No", "None",
Table1[[#This Row],[Others_Parties]] = "co applicant", "Co-applicant",
Table1[[#This Row],[Others_Parties]] = "guarantor", "Guarantor")</f>
        <v>None</v>
      </c>
      <c r="AD502" s="13" t="s">
        <v>145</v>
      </c>
      <c r="AE502" s="2" t="s">
        <v>108</v>
      </c>
      <c r="AF502" s="28" t="str" cm="1">
        <f t="array" ref="AF50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02" s="21">
        <v>18</v>
      </c>
      <c r="AH502" s="2" t="s">
        <v>153</v>
      </c>
      <c r="AI502"/>
      <c r="AZ502"/>
      <c r="BC502"/>
      <c r="BE502"/>
      <c r="BL502"/>
      <c r="BZ502"/>
      <c r="CA502"/>
      <c r="CF502"/>
      <c r="CG502"/>
      <c r="CH502"/>
      <c r="CI502"/>
      <c r="CK502"/>
      <c r="CN502"/>
    </row>
    <row r="503" spans="1:92" x14ac:dyDescent="0.3">
      <c r="A503" s="4">
        <v>501</v>
      </c>
      <c r="B503" s="11">
        <v>46</v>
      </c>
      <c r="C503" s="2" t="str">
        <f>_xlfn.XLOOKUP(Table1[[#This Row],[Age]],Table7[Start_Age],Table7[Age_Range],,-1)</f>
        <v>39-49</v>
      </c>
      <c r="D503" t="s">
        <v>130</v>
      </c>
      <c r="E503" s="2" t="s">
        <v>129</v>
      </c>
      <c r="F503" s="2" t="s">
        <v>133</v>
      </c>
      <c r="G503" s="3">
        <v>1</v>
      </c>
      <c r="H503" s="13" t="s">
        <v>152</v>
      </c>
      <c r="I503" s="2" t="str" cm="1">
        <f t="array" ref="I503">_xlfn.IFS(Table1[[#This Row],[Job_Type]] = "unskilled resident", "Resident",
Table1[[#This Row],[Job_Type]] = "unemp/unskilled non res", "Non-resident",
TRUE, "Unknown")</f>
        <v>Unknown</v>
      </c>
      <c r="J503" s="2" t="s">
        <v>148</v>
      </c>
      <c r="K503" s="3">
        <v>3</v>
      </c>
      <c r="L503" s="2" t="s">
        <v>144</v>
      </c>
      <c r="M503" s="13" t="s">
        <v>151</v>
      </c>
      <c r="N503" t="s">
        <v>17</v>
      </c>
      <c r="O503" s="2" t="str">
        <f>_xlfn.XLOOKUP(Table1[[#This Row],[Checking_Acct_Status]],Table3[Checking_Acct_Original],Table3[Category])</f>
        <v>No Account</v>
      </c>
      <c r="P503" s="10" t="s">
        <v>20</v>
      </c>
      <c r="Q503" s="13" t="str">
        <f>_xlfn.XLOOKUP(Table1[[#This Row],[Saving_Acct_Status]],Table5[Saving_Acct_Original],Table5[Category])</f>
        <v>Very High Savings</v>
      </c>
      <c r="R503" t="s">
        <v>41</v>
      </c>
      <c r="S503" s="2" t="str">
        <f>IF(
      OR(Table1[[#This Row],[Job_Type]] = "high qualif/self emp/mgmt", Table1[[#This Row],[Job_Type]] = "skilled"),
      "Skilled", "Unskilled")</f>
        <v>Skilled</v>
      </c>
      <c r="T503" t="str">
        <f>IF(Table1[[#This Row],[Job_Type]] = "unemp/unskilled non res", "Unemployed", "Employed")</f>
        <v>Employed</v>
      </c>
      <c r="U503" t="s">
        <v>21</v>
      </c>
      <c r="V503" s="14" t="str" cm="1">
        <f t="array" ref="V50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03" t="s">
        <v>103</v>
      </c>
      <c r="X503" s="2" t="str">
        <f>_xlfn.XLOOKUP(Table1[[#This Row],[Loan_Credit_History]],Table4[Credit History],Table4[[ Category]])</f>
        <v>Critical Credit History</v>
      </c>
      <c r="Y503" s="3">
        <v>4</v>
      </c>
      <c r="Z503" s="3">
        <v>2</v>
      </c>
      <c r="AA503" s="5">
        <v>1149</v>
      </c>
      <c r="AB503" t="s">
        <v>151</v>
      </c>
      <c r="AC503" s="2" t="str" cm="1">
        <f t="array" ref="AC503">_xlfn.IFS(Table1[[#This Row],[Others_Parties]] = "No", "None",
Table1[[#This Row],[Others_Parties]] = "co applicant", "Co-applicant",
Table1[[#This Row],[Others_Parties]] = "guarantor", "Guarantor")</f>
        <v>None</v>
      </c>
      <c r="AD503" s="13" t="s">
        <v>145</v>
      </c>
      <c r="AE503" s="2" t="s">
        <v>111</v>
      </c>
      <c r="AF503" s="28" t="str" cm="1">
        <f t="array" ref="AF50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03" s="21">
        <v>18</v>
      </c>
      <c r="AH503" s="2" t="s">
        <v>154</v>
      </c>
      <c r="AI503"/>
      <c r="AZ503"/>
      <c r="BC503"/>
      <c r="BE503"/>
      <c r="BL503"/>
      <c r="BZ503"/>
      <c r="CA503"/>
      <c r="CF503"/>
      <c r="CG503"/>
      <c r="CH503"/>
      <c r="CI503"/>
      <c r="CK503"/>
      <c r="CN503"/>
    </row>
    <row r="504" spans="1:92" x14ac:dyDescent="0.3">
      <c r="A504" s="4">
        <v>502</v>
      </c>
      <c r="B504" s="11">
        <v>29</v>
      </c>
      <c r="C504" s="2" t="str">
        <f>_xlfn.XLOOKUP(Table1[[#This Row],[Age]],Table7[Start_Age],Table7[Age_Range],,-1)</f>
        <v>29-39</v>
      </c>
      <c r="D504" t="s">
        <v>130</v>
      </c>
      <c r="E504" s="2" t="s">
        <v>129</v>
      </c>
      <c r="F504" s="2" t="s">
        <v>133</v>
      </c>
      <c r="G504" s="3">
        <v>1</v>
      </c>
      <c r="H504" s="13" t="s">
        <v>152</v>
      </c>
      <c r="I504" s="2" t="str" cm="1">
        <f t="array" ref="I504">_xlfn.IFS(Table1[[#This Row],[Job_Type]] = "unskilled resident", "Resident",
Table1[[#This Row],[Job_Type]] = "unemp/unskilled non res", "Non-resident",
TRUE, "Unknown")</f>
        <v>Unknown</v>
      </c>
      <c r="J504" s="2" t="s">
        <v>148</v>
      </c>
      <c r="K504" s="3">
        <v>3</v>
      </c>
      <c r="L504" s="2" t="s">
        <v>143</v>
      </c>
      <c r="M504" s="13" t="s">
        <v>152</v>
      </c>
      <c r="N504" t="s">
        <v>17</v>
      </c>
      <c r="O504" s="2" t="str">
        <f>_xlfn.XLOOKUP(Table1[[#This Row],[Checking_Acct_Status]],Table3[Checking_Acct_Original],Table3[Category])</f>
        <v>No Account</v>
      </c>
      <c r="P504" s="10" t="s">
        <v>47</v>
      </c>
      <c r="Q504" s="13" t="str">
        <f>_xlfn.XLOOKUP(Table1[[#This Row],[Saving_Acct_Status]],Table5[Saving_Acct_Original],Table5[Category])</f>
        <v>No Savings</v>
      </c>
      <c r="R504" t="s">
        <v>41</v>
      </c>
      <c r="S504" s="2" t="str">
        <f>IF(
      OR(Table1[[#This Row],[Job_Type]] = "high qualif/self emp/mgmt", Table1[[#This Row],[Job_Type]] = "skilled"),
      "Skilled", "Unskilled")</f>
        <v>Skilled</v>
      </c>
      <c r="T504" t="str">
        <f>IF(Table1[[#This Row],[Job_Type]] = "unemp/unskilled non res", "Unemployed", "Employed")</f>
        <v>Employed</v>
      </c>
      <c r="U504" t="s">
        <v>21</v>
      </c>
      <c r="V504" s="14" t="str" cm="1">
        <f t="array" ref="V50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04" t="s">
        <v>103</v>
      </c>
      <c r="X504" s="2" t="str">
        <f>_xlfn.XLOOKUP(Table1[[#This Row],[Loan_Credit_History]],Table4[Credit History],Table4[[ Category]])</f>
        <v>Critical Credit History</v>
      </c>
      <c r="Y504" s="3">
        <v>4</v>
      </c>
      <c r="Z504" s="3">
        <v>2</v>
      </c>
      <c r="AA504" s="5">
        <v>1169</v>
      </c>
      <c r="AB504" t="s">
        <v>151</v>
      </c>
      <c r="AC504" s="2" t="str" cm="1">
        <f t="array" ref="AC504">_xlfn.IFS(Table1[[#This Row],[Others_Parties]] = "No", "None",
Table1[[#This Row],[Others_Parties]] = "co applicant", "Co-applicant",
Table1[[#This Row],[Others_Parties]] = "guarantor", "Guarantor")</f>
        <v>None</v>
      </c>
      <c r="AD504" s="13" t="s">
        <v>145</v>
      </c>
      <c r="AE504" s="2" t="s">
        <v>111</v>
      </c>
      <c r="AF504" s="28" t="str" cm="1">
        <f t="array" ref="AF50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04" s="21">
        <v>18</v>
      </c>
      <c r="AH504" s="2" t="s">
        <v>154</v>
      </c>
      <c r="AI504"/>
      <c r="AZ504"/>
      <c r="BC504"/>
      <c r="BE504"/>
      <c r="BL504"/>
      <c r="BZ504"/>
      <c r="CA504"/>
      <c r="CF504"/>
      <c r="CG504"/>
      <c r="CH504"/>
      <c r="CI504"/>
      <c r="CK504"/>
      <c r="CN504"/>
    </row>
    <row r="505" spans="1:92" x14ac:dyDescent="0.3">
      <c r="A505" s="4">
        <v>503</v>
      </c>
      <c r="B505" s="11">
        <v>55</v>
      </c>
      <c r="C505" s="2" t="str">
        <f>_xlfn.XLOOKUP(Table1[[#This Row],[Age]],Table7[Start_Age],Table7[Age_Range],,-1)</f>
        <v>49-59</v>
      </c>
      <c r="D505" t="s">
        <v>136</v>
      </c>
      <c r="E505" s="2" t="s">
        <v>131</v>
      </c>
      <c r="F505" s="2" t="s">
        <v>137</v>
      </c>
      <c r="G505" s="3">
        <v>2</v>
      </c>
      <c r="H505" s="13" t="s">
        <v>152</v>
      </c>
      <c r="I505" s="2" t="str" cm="1">
        <f t="array" ref="I505">_xlfn.IFS(Table1[[#This Row],[Job_Type]] = "unskilled resident", "Resident",
Table1[[#This Row],[Job_Type]] = "unemp/unskilled non res", "Non-resident",
TRUE, "Unknown")</f>
        <v>Non-resident</v>
      </c>
      <c r="J505" s="2" t="s">
        <v>150</v>
      </c>
      <c r="K505" s="3">
        <v>4</v>
      </c>
      <c r="L505" s="2" t="s">
        <v>142</v>
      </c>
      <c r="M505" s="13" t="s">
        <v>151</v>
      </c>
      <c r="N505" t="s">
        <v>35</v>
      </c>
      <c r="O505" s="2" t="str">
        <f>_xlfn.XLOOKUP(Table1[[#This Row],[Checking_Acct_Status]],Table3[Checking_Acct_Original],Table3[Category])</f>
        <v>Negative Balance</v>
      </c>
      <c r="P505" s="10" t="s">
        <v>32</v>
      </c>
      <c r="Q505" s="13" t="str">
        <f>_xlfn.XLOOKUP(Table1[[#This Row],[Saving_Acct_Status]],Table5[Saving_Acct_Original],Table5[Category])</f>
        <v>Low Savings</v>
      </c>
      <c r="R505" t="s">
        <v>62</v>
      </c>
      <c r="S505" s="2" t="str">
        <f>IF(
      OR(Table1[[#This Row],[Job_Type]] = "high qualif/self emp/mgmt", Table1[[#This Row],[Job_Type]] = "skilled"),
      "Skilled", "Unskilled")</f>
        <v>Unskilled</v>
      </c>
      <c r="T505" t="str">
        <f>IF(Table1[[#This Row],[Job_Type]] = "unemp/unskilled non res", "Unemployed", "Employed")</f>
        <v>Unemployed</v>
      </c>
      <c r="U505" t="s">
        <v>54</v>
      </c>
      <c r="V505" s="14" t="str" cm="1">
        <f t="array" ref="V505">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505" t="s">
        <v>103</v>
      </c>
      <c r="X505" s="2" t="str">
        <f>_xlfn.XLOOKUP(Table1[[#This Row],[Loan_Credit_History]],Table4[Credit History],Table4[[ Category]])</f>
        <v>Critical Credit History</v>
      </c>
      <c r="Y505" s="3">
        <v>2</v>
      </c>
      <c r="Z505" s="3">
        <v>3</v>
      </c>
      <c r="AA505" s="5">
        <v>1190</v>
      </c>
      <c r="AB505" t="s">
        <v>151</v>
      </c>
      <c r="AC505" s="2" t="str" cm="1">
        <f t="array" ref="AC505">_xlfn.IFS(Table1[[#This Row],[Others_Parties]] = "No", "None",
Table1[[#This Row],[Others_Parties]] = "co applicant", "Co-applicant",
Table1[[#This Row],[Others_Parties]] = "guarantor", "Guarantor")</f>
        <v>None</v>
      </c>
      <c r="AD505" s="13" t="s">
        <v>145</v>
      </c>
      <c r="AE505" s="2" t="s">
        <v>109</v>
      </c>
      <c r="AF505" s="28" t="str" cm="1">
        <f t="array" ref="AF50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05" s="21">
        <v>18</v>
      </c>
      <c r="AH505" s="2" t="s">
        <v>153</v>
      </c>
      <c r="AI505"/>
      <c r="AZ505"/>
      <c r="BC505"/>
      <c r="BE505"/>
      <c r="BL505"/>
      <c r="BZ505"/>
      <c r="CA505"/>
      <c r="CF505"/>
      <c r="CG505"/>
      <c r="CH505"/>
      <c r="CI505"/>
      <c r="CK505"/>
      <c r="CN505"/>
    </row>
    <row r="506" spans="1:92" x14ac:dyDescent="0.3">
      <c r="A506" s="4">
        <v>504</v>
      </c>
      <c r="B506" s="11">
        <v>23</v>
      </c>
      <c r="C506" s="2" t="str">
        <f>_xlfn.XLOOKUP(Table1[[#This Row],[Age]],Table7[Start_Age],Table7[Age_Range],,-1)</f>
        <v>19-29</v>
      </c>
      <c r="D506" t="s">
        <v>136</v>
      </c>
      <c r="E506" s="2" t="s">
        <v>131</v>
      </c>
      <c r="F506" s="2" t="s">
        <v>137</v>
      </c>
      <c r="G506" s="3">
        <v>1</v>
      </c>
      <c r="H506" s="13" t="s">
        <v>152</v>
      </c>
      <c r="I506" s="2" t="str" cm="1">
        <f t="array" ref="I506">_xlfn.IFS(Table1[[#This Row],[Job_Type]] = "unskilled resident", "Resident",
Table1[[#This Row],[Job_Type]] = "unemp/unskilled non res", "Non-resident",
TRUE, "Unknown")</f>
        <v>Unknown</v>
      </c>
      <c r="J506" s="2" t="s">
        <v>149</v>
      </c>
      <c r="K506" s="3">
        <v>3</v>
      </c>
      <c r="L506" s="2" t="s">
        <v>140</v>
      </c>
      <c r="M506" s="13" t="s">
        <v>152</v>
      </c>
      <c r="N506" t="s">
        <v>35</v>
      </c>
      <c r="O506" s="2" t="str">
        <f>_xlfn.XLOOKUP(Table1[[#This Row],[Checking_Acct_Status]],Table3[Checking_Acct_Original],Table3[Category])</f>
        <v>Negative Balance</v>
      </c>
      <c r="P506" s="10" t="s">
        <v>32</v>
      </c>
      <c r="Q506" s="13" t="str">
        <f>_xlfn.XLOOKUP(Table1[[#This Row],[Saving_Acct_Status]],Table5[Saving_Acct_Original],Table5[Category])</f>
        <v>Low Savings</v>
      </c>
      <c r="R506" t="s">
        <v>41</v>
      </c>
      <c r="S506" s="2" t="str">
        <f>IF(
      OR(Table1[[#This Row],[Job_Type]] = "high qualif/self emp/mgmt", Table1[[#This Row],[Job_Type]] = "skilled"),
      "Skilled", "Unskilled")</f>
        <v>Skilled</v>
      </c>
      <c r="T506" t="str">
        <f>IF(Table1[[#This Row],[Job_Type]] = "unemp/unskilled non res", "Unemployed", "Employed")</f>
        <v>Employed</v>
      </c>
      <c r="U506" t="s">
        <v>45</v>
      </c>
      <c r="V506" s="14" t="str" cm="1">
        <f t="array" ref="V50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06" t="s">
        <v>31</v>
      </c>
      <c r="X506" s="2" t="str">
        <f>_xlfn.XLOOKUP(Table1[[#This Row],[Loan_Credit_History]],Table4[Credit History],Table4[[ Category]])</f>
        <v>Existing Credits Paid</v>
      </c>
      <c r="Y506" s="3">
        <v>4</v>
      </c>
      <c r="Z506" s="3">
        <v>1</v>
      </c>
      <c r="AA506" s="5">
        <v>1216</v>
      </c>
      <c r="AB506" t="s">
        <v>151</v>
      </c>
      <c r="AC506" s="2" t="str" cm="1">
        <f t="array" ref="AC506">_xlfn.IFS(Table1[[#This Row],[Others_Parties]] = "No", "None",
Table1[[#This Row],[Others_Parties]] = "co applicant", "Co-applicant",
Table1[[#This Row],[Others_Parties]] = "guarantor", "Guarantor")</f>
        <v>None</v>
      </c>
      <c r="AD506" s="13" t="s">
        <v>145</v>
      </c>
      <c r="AE506" s="2" t="s">
        <v>141</v>
      </c>
      <c r="AF506" s="28" t="str" cm="1">
        <f t="array" ref="AF50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06" s="21">
        <v>18</v>
      </c>
      <c r="AH506" s="2" t="s">
        <v>153</v>
      </c>
      <c r="AI506"/>
      <c r="AZ506"/>
      <c r="BC506"/>
      <c r="BE506"/>
      <c r="BL506"/>
      <c r="BZ506"/>
      <c r="CA506"/>
      <c r="CF506"/>
      <c r="CG506"/>
      <c r="CH506"/>
      <c r="CI506"/>
      <c r="CK506"/>
      <c r="CN506"/>
    </row>
    <row r="507" spans="1:92" x14ac:dyDescent="0.3">
      <c r="A507" s="4">
        <v>505</v>
      </c>
      <c r="B507" s="11">
        <v>47</v>
      </c>
      <c r="C507" s="2" t="str">
        <f>_xlfn.XLOOKUP(Table1[[#This Row],[Age]],Table7[Start_Age],Table7[Age_Range],,-1)</f>
        <v>39-49</v>
      </c>
      <c r="D507" t="s">
        <v>134</v>
      </c>
      <c r="E507" s="2" t="s">
        <v>129</v>
      </c>
      <c r="F507" s="2" t="s">
        <v>135</v>
      </c>
      <c r="G507" s="3">
        <v>1</v>
      </c>
      <c r="H507" s="13" t="s">
        <v>152</v>
      </c>
      <c r="I507" s="2" t="str" cm="1">
        <f t="array" ref="I507">_xlfn.IFS(Table1[[#This Row],[Job_Type]] = "unskilled resident", "Resident",
Table1[[#This Row],[Job_Type]] = "unemp/unskilled non res", "Non-resident",
TRUE, "Unknown")</f>
        <v>Resident</v>
      </c>
      <c r="J507" s="2" t="s">
        <v>148</v>
      </c>
      <c r="K507" s="3">
        <v>3</v>
      </c>
      <c r="L507" s="2" t="s">
        <v>144</v>
      </c>
      <c r="M507" s="13" t="s">
        <v>152</v>
      </c>
      <c r="N507" t="s">
        <v>35</v>
      </c>
      <c r="O507" s="2" t="str">
        <f>_xlfn.XLOOKUP(Table1[[#This Row],[Checking_Acct_Status]],Table3[Checking_Acct_Original],Table3[Category])</f>
        <v>Negative Balance</v>
      </c>
      <c r="P507" s="10" t="s">
        <v>32</v>
      </c>
      <c r="Q507" s="13" t="str">
        <f>_xlfn.XLOOKUP(Table1[[#This Row],[Saving_Acct_Status]],Table5[Saving_Acct_Original],Table5[Category])</f>
        <v>Low Savings</v>
      </c>
      <c r="R507" t="s">
        <v>27</v>
      </c>
      <c r="S507" s="2" t="str">
        <f>IF(
      OR(Table1[[#This Row],[Job_Type]] = "high qualif/self emp/mgmt", Table1[[#This Row],[Job_Type]] = "skilled"),
      "Skilled", "Unskilled")</f>
        <v>Unskilled</v>
      </c>
      <c r="T507" t="str">
        <f>IF(Table1[[#This Row],[Job_Type]] = "unemp/unskilled non res", "Unemployed", "Employed")</f>
        <v>Employed</v>
      </c>
      <c r="U507" t="s">
        <v>21</v>
      </c>
      <c r="V507" s="14" t="str" cm="1">
        <f t="array" ref="V50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07" t="s">
        <v>31</v>
      </c>
      <c r="X507" s="2" t="str">
        <f>_xlfn.XLOOKUP(Table1[[#This Row],[Loan_Credit_History]],Table4[Credit History],Table4[[ Category]])</f>
        <v>Existing Credits Paid</v>
      </c>
      <c r="Y507" s="3">
        <v>4</v>
      </c>
      <c r="Z507" s="3">
        <v>1</v>
      </c>
      <c r="AA507" s="5">
        <v>1217</v>
      </c>
      <c r="AB507" t="s">
        <v>151</v>
      </c>
      <c r="AC507" s="2" t="str" cm="1">
        <f t="array" ref="AC507">_xlfn.IFS(Table1[[#This Row],[Others_Parties]] = "No", "None",
Table1[[#This Row],[Others_Parties]] = "co applicant", "Co-applicant",
Table1[[#This Row],[Others_Parties]] = "guarantor", "Guarantor")</f>
        <v>None</v>
      </c>
      <c r="AD507" s="13" t="s">
        <v>145</v>
      </c>
      <c r="AE507" s="2" t="s">
        <v>106</v>
      </c>
      <c r="AF507" s="28" t="str" cm="1">
        <f t="array" ref="AF50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07" s="21">
        <v>18</v>
      </c>
      <c r="AH507" s="2" t="s">
        <v>153</v>
      </c>
      <c r="AI507"/>
      <c r="AZ507"/>
      <c r="BC507"/>
      <c r="BE507"/>
      <c r="BL507"/>
      <c r="BZ507"/>
      <c r="CA507"/>
      <c r="CF507"/>
      <c r="CG507"/>
      <c r="CH507"/>
      <c r="CI507"/>
      <c r="CK507"/>
      <c r="CN507"/>
    </row>
    <row r="508" spans="1:92" x14ac:dyDescent="0.3">
      <c r="A508" s="4">
        <v>506</v>
      </c>
      <c r="B508" s="11">
        <v>61</v>
      </c>
      <c r="C508" s="2" t="str">
        <f>_xlfn.XLOOKUP(Table1[[#This Row],[Age]],Table7[Start_Age],Table7[Age_Range],,-1)</f>
        <v>59-69</v>
      </c>
      <c r="D508" t="s">
        <v>130</v>
      </c>
      <c r="E508" s="2" t="s">
        <v>129</v>
      </c>
      <c r="F508" s="2" t="s">
        <v>133</v>
      </c>
      <c r="G508" s="3">
        <v>1</v>
      </c>
      <c r="H508" s="13" t="s">
        <v>152</v>
      </c>
      <c r="I508" s="2" t="str" cm="1">
        <f t="array" ref="I508">_xlfn.IFS(Table1[[#This Row],[Job_Type]] = "unskilled resident", "Resident",
Table1[[#This Row],[Job_Type]] = "unemp/unskilled non res", "Non-resident",
TRUE, "Unknown")</f>
        <v>Unknown</v>
      </c>
      <c r="J508" s="2" t="s">
        <v>150</v>
      </c>
      <c r="K508" s="3">
        <v>4</v>
      </c>
      <c r="L508" s="2" t="s">
        <v>142</v>
      </c>
      <c r="M508" s="13" t="s">
        <v>151</v>
      </c>
      <c r="N508" t="s">
        <v>30</v>
      </c>
      <c r="O508" s="2" t="str">
        <f>_xlfn.XLOOKUP(Table1[[#This Row],[Checking_Acct_Status]],Table3[Checking_Acct_Original],Table3[Category])</f>
        <v>Low Balance</v>
      </c>
      <c r="P508" s="10" t="s">
        <v>47</v>
      </c>
      <c r="Q508" s="13" t="str">
        <f>_xlfn.XLOOKUP(Table1[[#This Row],[Saving_Acct_Status]],Table5[Saving_Acct_Original],Table5[Category])</f>
        <v>No Savings</v>
      </c>
      <c r="R508" t="s">
        <v>41</v>
      </c>
      <c r="S508" s="2" t="str">
        <f>IF(
      OR(Table1[[#This Row],[Job_Type]] = "high qualif/self emp/mgmt", Table1[[#This Row],[Job_Type]] = "skilled"),
      "Skilled", "Unskilled")</f>
        <v>Skilled</v>
      </c>
      <c r="T508" t="str">
        <f>IF(Table1[[#This Row],[Job_Type]] = "unemp/unskilled non res", "Unemployed", "Employed")</f>
        <v>Employed</v>
      </c>
      <c r="U508" t="s">
        <v>21</v>
      </c>
      <c r="V508" s="14" t="str" cm="1">
        <f t="array" ref="V50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08" t="s">
        <v>31</v>
      </c>
      <c r="X508" s="2" t="str">
        <f>_xlfn.XLOOKUP(Table1[[#This Row],[Loan_Credit_History]],Table4[Credit History],Table4[[ Category]])</f>
        <v>Existing Credits Paid</v>
      </c>
      <c r="Y508" s="3">
        <v>4</v>
      </c>
      <c r="Z508" s="3">
        <v>1</v>
      </c>
      <c r="AA508" s="5">
        <v>1239</v>
      </c>
      <c r="AB508" t="s">
        <v>151</v>
      </c>
      <c r="AC508" s="2" t="str" cm="1">
        <f t="array" ref="AC508">_xlfn.IFS(Table1[[#This Row],[Others_Parties]] = "No", "None",
Table1[[#This Row],[Others_Parties]] = "co applicant", "Co-applicant",
Table1[[#This Row],[Others_Parties]] = "guarantor", "Guarantor")</f>
        <v>None</v>
      </c>
      <c r="AD508" s="13" t="s">
        <v>145</v>
      </c>
      <c r="AE508" s="2" t="s">
        <v>100</v>
      </c>
      <c r="AF508" s="28" t="str" cm="1">
        <f t="array" ref="AF50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08" s="21">
        <v>18</v>
      </c>
      <c r="AH508" s="2" t="s">
        <v>154</v>
      </c>
      <c r="AI508"/>
      <c r="AZ508"/>
      <c r="BC508"/>
      <c r="BE508"/>
      <c r="BL508"/>
      <c r="BZ508"/>
      <c r="CA508"/>
      <c r="CF508"/>
      <c r="CG508"/>
      <c r="CH508"/>
      <c r="CI508"/>
      <c r="CK508"/>
      <c r="CN508"/>
    </row>
    <row r="509" spans="1:92" x14ac:dyDescent="0.3">
      <c r="A509" s="4">
        <v>507</v>
      </c>
      <c r="B509" s="11">
        <v>33</v>
      </c>
      <c r="C509" s="2" t="str">
        <f>_xlfn.XLOOKUP(Table1[[#This Row],[Age]],Table7[Start_Age],Table7[Age_Range],,-1)</f>
        <v>29-39</v>
      </c>
      <c r="D509" t="s">
        <v>134</v>
      </c>
      <c r="E509" s="2" t="s">
        <v>129</v>
      </c>
      <c r="F509" s="2" t="s">
        <v>135</v>
      </c>
      <c r="G509" s="3">
        <v>1</v>
      </c>
      <c r="H509" s="13" t="s">
        <v>152</v>
      </c>
      <c r="I509" s="2" t="str" cm="1">
        <f t="array" ref="I509">_xlfn.IFS(Table1[[#This Row],[Job_Type]] = "unskilled resident", "Resident",
Table1[[#This Row],[Job_Type]] = "unemp/unskilled non res", "Non-resident",
TRUE, "Unknown")</f>
        <v>Unknown</v>
      </c>
      <c r="J509" s="2" t="s">
        <v>148</v>
      </c>
      <c r="K509" s="3">
        <v>2</v>
      </c>
      <c r="L509" s="2" t="s">
        <v>140</v>
      </c>
      <c r="M509" s="13" t="s">
        <v>151</v>
      </c>
      <c r="N509" t="s">
        <v>30</v>
      </c>
      <c r="O509" s="2" t="str">
        <f>_xlfn.XLOOKUP(Table1[[#This Row],[Checking_Acct_Status]],Table3[Checking_Acct_Original],Table3[Category])</f>
        <v>Low Balance</v>
      </c>
      <c r="P509" s="10" t="s">
        <v>32</v>
      </c>
      <c r="Q509" s="13" t="str">
        <f>_xlfn.XLOOKUP(Table1[[#This Row],[Saving_Acct_Status]],Table5[Saving_Acct_Original],Table5[Category])</f>
        <v>Low Savings</v>
      </c>
      <c r="R509" t="s">
        <v>41</v>
      </c>
      <c r="S509" s="2" t="str">
        <f>IF(
      OR(Table1[[#This Row],[Job_Type]] = "high qualif/self emp/mgmt", Table1[[#This Row],[Job_Type]] = "skilled"),
      "Skilled", "Unskilled")</f>
        <v>Skilled</v>
      </c>
      <c r="T509" t="str">
        <f>IF(Table1[[#This Row],[Job_Type]] = "unemp/unskilled non res", "Unemployed", "Employed")</f>
        <v>Employed</v>
      </c>
      <c r="U509" t="s">
        <v>21</v>
      </c>
      <c r="V509" s="14" t="str" cm="1">
        <f t="array" ref="V50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09" t="s">
        <v>103</v>
      </c>
      <c r="X509" s="2" t="str">
        <f>_xlfn.XLOOKUP(Table1[[#This Row],[Loan_Credit_History]],Table4[Credit History],Table4[[ Category]])</f>
        <v>Critical Credit History</v>
      </c>
      <c r="Y509" s="3">
        <v>4</v>
      </c>
      <c r="Z509" s="3">
        <v>1</v>
      </c>
      <c r="AA509" s="5">
        <v>1245</v>
      </c>
      <c r="AB509" t="s">
        <v>151</v>
      </c>
      <c r="AC509" s="2" t="str" cm="1">
        <f t="array" ref="AC509">_xlfn.IFS(Table1[[#This Row],[Others_Parties]] = "No", "None",
Table1[[#This Row],[Others_Parties]] = "co applicant", "Co-applicant",
Table1[[#This Row],[Others_Parties]] = "guarantor", "Guarantor")</f>
        <v>None</v>
      </c>
      <c r="AD509" s="13" t="s">
        <v>145</v>
      </c>
      <c r="AE509" s="2" t="s">
        <v>111</v>
      </c>
      <c r="AF509" s="28" t="str" cm="1">
        <f t="array" ref="AF50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09" s="21">
        <v>18</v>
      </c>
      <c r="AH509" s="2" t="s">
        <v>153</v>
      </c>
      <c r="AI509"/>
      <c r="AZ509"/>
      <c r="BC509"/>
      <c r="BE509"/>
      <c r="BL509"/>
      <c r="BZ509"/>
      <c r="CA509"/>
      <c r="CF509"/>
      <c r="CG509"/>
      <c r="CH509"/>
      <c r="CI509"/>
      <c r="CK509"/>
      <c r="CN509"/>
    </row>
    <row r="510" spans="1:92" x14ac:dyDescent="0.3">
      <c r="A510" s="4">
        <v>508</v>
      </c>
      <c r="B510" s="11">
        <v>27</v>
      </c>
      <c r="C510" s="2" t="str">
        <f>_xlfn.XLOOKUP(Table1[[#This Row],[Age]],Table7[Start_Age],Table7[Age_Range],,-1)</f>
        <v>19-29</v>
      </c>
      <c r="D510" t="s">
        <v>136</v>
      </c>
      <c r="E510" s="2" t="s">
        <v>131</v>
      </c>
      <c r="F510" s="2" t="s">
        <v>137</v>
      </c>
      <c r="G510" s="3">
        <v>1</v>
      </c>
      <c r="H510" s="13" t="s">
        <v>152</v>
      </c>
      <c r="I510" s="2" t="str" cm="1">
        <f t="array" ref="I510">_xlfn.IFS(Table1[[#This Row],[Job_Type]] = "unskilled resident", "Resident",
Table1[[#This Row],[Job_Type]] = "unemp/unskilled non res", "Non-resident",
TRUE, "Unknown")</f>
        <v>Unknown</v>
      </c>
      <c r="J510" s="2" t="s">
        <v>148</v>
      </c>
      <c r="K510" s="3">
        <v>1</v>
      </c>
      <c r="L510" s="2" t="s">
        <v>143</v>
      </c>
      <c r="M510" s="13" t="s">
        <v>151</v>
      </c>
      <c r="N510" t="s">
        <v>30</v>
      </c>
      <c r="O510" s="2" t="str">
        <f>_xlfn.XLOOKUP(Table1[[#This Row],[Checking_Acct_Status]],Table3[Checking_Acct_Original],Table3[Category])</f>
        <v>Low Balance</v>
      </c>
      <c r="P510" s="10" t="s">
        <v>32</v>
      </c>
      <c r="Q510" s="13" t="str">
        <f>_xlfn.XLOOKUP(Table1[[#This Row],[Saving_Acct_Status]],Table5[Saving_Acct_Original],Table5[Category])</f>
        <v>Low Savings</v>
      </c>
      <c r="R510" t="s">
        <v>41</v>
      </c>
      <c r="S510" s="2" t="str">
        <f>IF(
      OR(Table1[[#This Row],[Job_Type]] = "high qualif/self emp/mgmt", Table1[[#This Row],[Job_Type]] = "skilled"),
      "Skilled", "Unskilled")</f>
        <v>Skilled</v>
      </c>
      <c r="T510" t="str">
        <f>IF(Table1[[#This Row],[Job_Type]] = "unemp/unskilled non res", "Unemployed", "Employed")</f>
        <v>Employed</v>
      </c>
      <c r="U510" t="s">
        <v>45</v>
      </c>
      <c r="V510" s="14" t="str" cm="1">
        <f t="array" ref="V51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10" t="s">
        <v>103</v>
      </c>
      <c r="X510" s="2" t="str">
        <f>_xlfn.XLOOKUP(Table1[[#This Row],[Loan_Credit_History]],Table4[Credit History],Table4[[ Category]])</f>
        <v>Critical Credit History</v>
      </c>
      <c r="Y510" s="3">
        <v>4</v>
      </c>
      <c r="Z510" s="3">
        <v>2</v>
      </c>
      <c r="AA510" s="5">
        <v>1295</v>
      </c>
      <c r="AB510" t="s">
        <v>151</v>
      </c>
      <c r="AC510" s="2" t="str" cm="1">
        <f t="array" ref="AC510">_xlfn.IFS(Table1[[#This Row],[Others_Parties]] = "No", "None",
Table1[[#This Row],[Others_Parties]] = "co applicant", "Co-applicant",
Table1[[#This Row],[Others_Parties]] = "guarantor", "Guarantor")</f>
        <v>None</v>
      </c>
      <c r="AD510" s="13" t="s">
        <v>145</v>
      </c>
      <c r="AE510" s="2" t="s">
        <v>108</v>
      </c>
      <c r="AF510" s="28" t="str" cm="1">
        <f t="array" ref="AF51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10" s="21">
        <v>18</v>
      </c>
      <c r="AH510" s="2" t="s">
        <v>154</v>
      </c>
      <c r="AI510"/>
      <c r="AZ510"/>
      <c r="BC510"/>
      <c r="BE510"/>
      <c r="BL510"/>
      <c r="BZ510"/>
      <c r="CA510"/>
      <c r="CF510"/>
      <c r="CG510"/>
      <c r="CH510"/>
      <c r="CI510"/>
      <c r="CK510"/>
      <c r="CN510"/>
    </row>
    <row r="511" spans="1:92" x14ac:dyDescent="0.3">
      <c r="A511" s="4">
        <v>509</v>
      </c>
      <c r="B511" s="11">
        <v>32</v>
      </c>
      <c r="C511" s="2" t="str">
        <f>_xlfn.XLOOKUP(Table1[[#This Row],[Age]],Table7[Start_Age],Table7[Age_Range],,-1)</f>
        <v>29-39</v>
      </c>
      <c r="D511" t="s">
        <v>134</v>
      </c>
      <c r="E511" s="2" t="s">
        <v>129</v>
      </c>
      <c r="F511" s="2" t="s">
        <v>135</v>
      </c>
      <c r="G511" s="3">
        <v>1</v>
      </c>
      <c r="H511" s="13" t="s">
        <v>152</v>
      </c>
      <c r="I511" s="2" t="str" cm="1">
        <f t="array" ref="I511">_xlfn.IFS(Table1[[#This Row],[Job_Type]] = "unskilled resident", "Resident",
Table1[[#This Row],[Job_Type]] = "unemp/unskilled non res", "Non-resident",
TRUE, "Unknown")</f>
        <v>Resident</v>
      </c>
      <c r="J511" s="2" t="s">
        <v>148</v>
      </c>
      <c r="K511" s="3">
        <v>2</v>
      </c>
      <c r="L511" s="2" t="s">
        <v>144</v>
      </c>
      <c r="M511" s="13" t="s">
        <v>151</v>
      </c>
      <c r="N511" t="s">
        <v>30</v>
      </c>
      <c r="O511" s="2" t="str">
        <f>_xlfn.XLOOKUP(Table1[[#This Row],[Checking_Acct_Status]],Table3[Checking_Acct_Original],Table3[Category])</f>
        <v>Low Balance</v>
      </c>
      <c r="P511" s="10" t="s">
        <v>32</v>
      </c>
      <c r="Q511" s="13" t="str">
        <f>_xlfn.XLOOKUP(Table1[[#This Row],[Saving_Acct_Status]],Table5[Saving_Acct_Original],Table5[Category])</f>
        <v>Low Savings</v>
      </c>
      <c r="R511" t="s">
        <v>27</v>
      </c>
      <c r="S511" s="2" t="str">
        <f>IF(
      OR(Table1[[#This Row],[Job_Type]] = "high qualif/self emp/mgmt", Table1[[#This Row],[Job_Type]] = "skilled"),
      "Skilled", "Unskilled")</f>
        <v>Unskilled</v>
      </c>
      <c r="T511" t="str">
        <f>IF(Table1[[#This Row],[Job_Type]] = "unemp/unskilled non res", "Unemployed", "Employed")</f>
        <v>Employed</v>
      </c>
      <c r="U511" t="s">
        <v>38</v>
      </c>
      <c r="V511" s="14" t="str" cm="1">
        <f t="array" ref="V51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11" t="s">
        <v>31</v>
      </c>
      <c r="X511" s="2" t="str">
        <f>_xlfn.XLOOKUP(Table1[[#This Row],[Loan_Credit_History]],Table4[Credit History],Table4[[ Category]])</f>
        <v>Existing Credits Paid</v>
      </c>
      <c r="Y511" s="3">
        <v>4</v>
      </c>
      <c r="Z511" s="3">
        <v>1</v>
      </c>
      <c r="AA511" s="5">
        <v>1301</v>
      </c>
      <c r="AB511" t="s">
        <v>58</v>
      </c>
      <c r="AC511" s="2" t="str" cm="1">
        <f t="array" ref="AC511">_xlfn.IFS(Table1[[#This Row],[Others_Parties]] = "No", "None",
Table1[[#This Row],[Others_Parties]] = "co applicant", "Co-applicant",
Table1[[#This Row],[Others_Parties]] = "guarantor", "Guarantor")</f>
        <v>Guarantor</v>
      </c>
      <c r="AD511" s="13" t="s">
        <v>145</v>
      </c>
      <c r="AE511" s="2" t="s">
        <v>111</v>
      </c>
      <c r="AF511" s="28" t="str" cm="1">
        <f t="array" ref="AF51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11" s="21">
        <v>18</v>
      </c>
      <c r="AH511" s="2" t="s">
        <v>154</v>
      </c>
      <c r="AI511"/>
      <c r="AZ511"/>
      <c r="BC511"/>
      <c r="BE511"/>
      <c r="BL511"/>
      <c r="BZ511"/>
      <c r="CA511"/>
      <c r="CF511"/>
      <c r="CG511"/>
      <c r="CH511"/>
      <c r="CI511"/>
      <c r="CK511"/>
      <c r="CN511"/>
    </row>
    <row r="512" spans="1:92" x14ac:dyDescent="0.3">
      <c r="A512" s="4">
        <v>510</v>
      </c>
      <c r="B512" s="11">
        <v>26</v>
      </c>
      <c r="C512" s="2" t="str">
        <f>_xlfn.XLOOKUP(Table1[[#This Row],[Age]],Table7[Start_Age],Table7[Age_Range],,-1)</f>
        <v>19-29</v>
      </c>
      <c r="D512" t="s">
        <v>134</v>
      </c>
      <c r="E512" s="2" t="s">
        <v>129</v>
      </c>
      <c r="F512" s="2" t="s">
        <v>135</v>
      </c>
      <c r="G512" s="3">
        <v>1</v>
      </c>
      <c r="H512" s="13" t="s">
        <v>152</v>
      </c>
      <c r="I512" s="2" t="str" cm="1">
        <f t="array" ref="I512">_xlfn.IFS(Table1[[#This Row],[Job_Type]] = "unskilled resident", "Resident",
Table1[[#This Row],[Job_Type]] = "unemp/unskilled non res", "Non-resident",
TRUE, "Unknown")</f>
        <v>Unknown</v>
      </c>
      <c r="J512" s="2" t="s">
        <v>148</v>
      </c>
      <c r="K512" s="3">
        <v>3</v>
      </c>
      <c r="L512" s="2" t="s">
        <v>144</v>
      </c>
      <c r="M512" s="13" t="s">
        <v>151</v>
      </c>
      <c r="N512" t="s">
        <v>35</v>
      </c>
      <c r="O512" s="2" t="str">
        <f>_xlfn.XLOOKUP(Table1[[#This Row],[Checking_Acct_Status]],Table3[Checking_Acct_Original],Table3[Category])</f>
        <v>Negative Balance</v>
      </c>
      <c r="P512" s="10" t="s">
        <v>32</v>
      </c>
      <c r="Q512" s="13" t="str">
        <f>_xlfn.XLOOKUP(Table1[[#This Row],[Saving_Acct_Status]],Table5[Saving_Acct_Original],Table5[Category])</f>
        <v>Low Savings</v>
      </c>
      <c r="R512" t="s">
        <v>41</v>
      </c>
      <c r="S512" s="2" t="str">
        <f>IF(
      OR(Table1[[#This Row],[Job_Type]] = "high qualif/self emp/mgmt", Table1[[#This Row],[Job_Type]] = "skilled"),
      "Skilled", "Unskilled")</f>
        <v>Skilled</v>
      </c>
      <c r="T512" t="str">
        <f>IF(Table1[[#This Row],[Job_Type]] = "unemp/unskilled non res", "Unemployed", "Employed")</f>
        <v>Employed</v>
      </c>
      <c r="U512" t="s">
        <v>21</v>
      </c>
      <c r="V512" s="14" t="str" cm="1">
        <f t="array" ref="V51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12" t="s">
        <v>31</v>
      </c>
      <c r="X512" s="2" t="str">
        <f>_xlfn.XLOOKUP(Table1[[#This Row],[Loan_Credit_History]],Table4[Credit History],Table4[[ Category]])</f>
        <v>Existing Credits Paid</v>
      </c>
      <c r="Y512" s="3">
        <v>4</v>
      </c>
      <c r="Z512" s="3">
        <v>1</v>
      </c>
      <c r="AA512" s="5">
        <v>1345</v>
      </c>
      <c r="AB512" t="s">
        <v>151</v>
      </c>
      <c r="AC512" s="2" t="str" cm="1">
        <f t="array" ref="AC512">_xlfn.IFS(Table1[[#This Row],[Others_Parties]] = "No", "None",
Table1[[#This Row],[Others_Parties]] = "co applicant", "Co-applicant",
Table1[[#This Row],[Others_Parties]] = "guarantor", "Guarantor")</f>
        <v>None</v>
      </c>
      <c r="AD512" s="13" t="s">
        <v>146</v>
      </c>
      <c r="AE512" s="2" t="s">
        <v>111</v>
      </c>
      <c r="AF512" s="28" t="str" cm="1">
        <f t="array" ref="AF51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12" s="21">
        <v>18</v>
      </c>
      <c r="AH512" s="2" t="s">
        <v>153</v>
      </c>
      <c r="AI512"/>
      <c r="AZ512"/>
      <c r="BC512"/>
      <c r="BE512"/>
      <c r="BL512"/>
      <c r="BZ512"/>
      <c r="CA512"/>
      <c r="CF512"/>
      <c r="CG512"/>
      <c r="CH512"/>
      <c r="CI512"/>
      <c r="CK512"/>
      <c r="CN512"/>
    </row>
    <row r="513" spans="1:92" x14ac:dyDescent="0.3">
      <c r="A513" s="4">
        <v>511</v>
      </c>
      <c r="B513" s="11">
        <v>32</v>
      </c>
      <c r="C513" s="2" t="str">
        <f>_xlfn.XLOOKUP(Table1[[#This Row],[Age]],Table7[Start_Age],Table7[Age_Range],,-1)</f>
        <v>29-39</v>
      </c>
      <c r="D513" t="s">
        <v>130</v>
      </c>
      <c r="E513" s="2" t="s">
        <v>129</v>
      </c>
      <c r="F513" s="2" t="s">
        <v>133</v>
      </c>
      <c r="G513" s="3">
        <v>2</v>
      </c>
      <c r="H513" s="13" t="s">
        <v>152</v>
      </c>
      <c r="I513" s="2" t="str" cm="1">
        <f t="array" ref="I513">_xlfn.IFS(Table1[[#This Row],[Job_Type]] = "unskilled resident", "Resident",
Table1[[#This Row],[Job_Type]] = "unemp/unskilled non res", "Non-resident",
TRUE, "Unknown")</f>
        <v>Resident</v>
      </c>
      <c r="J513" s="2" t="s">
        <v>150</v>
      </c>
      <c r="K513" s="3">
        <v>4</v>
      </c>
      <c r="L513" s="2" t="s">
        <v>142</v>
      </c>
      <c r="M513" s="13" t="s">
        <v>151</v>
      </c>
      <c r="N513" t="s">
        <v>35</v>
      </c>
      <c r="O513" s="2" t="str">
        <f>_xlfn.XLOOKUP(Table1[[#This Row],[Checking_Acct_Status]],Table3[Checking_Acct_Original],Table3[Category])</f>
        <v>Negative Balance</v>
      </c>
      <c r="P513" s="10" t="s">
        <v>32</v>
      </c>
      <c r="Q513" s="13" t="str">
        <f>_xlfn.XLOOKUP(Table1[[#This Row],[Saving_Acct_Status]],Table5[Saving_Acct_Original],Table5[Category])</f>
        <v>Low Savings</v>
      </c>
      <c r="R513" t="s">
        <v>27</v>
      </c>
      <c r="S513" s="2" t="str">
        <f>IF(
      OR(Table1[[#This Row],[Job_Type]] = "high qualif/self emp/mgmt", Table1[[#This Row],[Job_Type]] = "skilled"),
      "Skilled", "Unskilled")</f>
        <v>Unskilled</v>
      </c>
      <c r="T513" t="str">
        <f>IF(Table1[[#This Row],[Job_Type]] = "unemp/unskilled non res", "Unemployed", "Employed")</f>
        <v>Employed</v>
      </c>
      <c r="U513" t="s">
        <v>49</v>
      </c>
      <c r="V513" s="14" t="str" cm="1">
        <f t="array" ref="V51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13" t="s">
        <v>42</v>
      </c>
      <c r="X513" s="2" t="str">
        <f>_xlfn.XLOOKUP(Table1[[#This Row],[Loan_Credit_History]],Table4[Credit History],Table4[[ Category]])</f>
        <v>All Paid</v>
      </c>
      <c r="Y513" s="3">
        <v>4</v>
      </c>
      <c r="Z513" s="3">
        <v>2</v>
      </c>
      <c r="AA513" s="5">
        <v>1442</v>
      </c>
      <c r="AB513" t="s">
        <v>151</v>
      </c>
      <c r="AC513" s="2" t="str" cm="1">
        <f t="array" ref="AC513">_xlfn.IFS(Table1[[#This Row],[Others_Parties]] = "No", "None",
Table1[[#This Row],[Others_Parties]] = "co applicant", "Co-applicant",
Table1[[#This Row],[Others_Parties]] = "guarantor", "Guarantor")</f>
        <v>None</v>
      </c>
      <c r="AD513" s="13" t="s">
        <v>145</v>
      </c>
      <c r="AE513" s="2" t="s">
        <v>141</v>
      </c>
      <c r="AF513" s="28" t="str" cm="1">
        <f t="array" ref="AF51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13" s="21">
        <v>18</v>
      </c>
      <c r="AH513" s="2" t="s">
        <v>153</v>
      </c>
      <c r="AI513"/>
      <c r="AZ513"/>
      <c r="BC513"/>
      <c r="BE513"/>
      <c r="BL513"/>
      <c r="BZ513"/>
      <c r="CA513"/>
      <c r="CF513"/>
      <c r="CG513"/>
      <c r="CH513"/>
      <c r="CI513"/>
      <c r="CK513"/>
      <c r="CN513"/>
    </row>
    <row r="514" spans="1:92" x14ac:dyDescent="0.3">
      <c r="A514" s="4">
        <v>512</v>
      </c>
      <c r="B514" s="11">
        <v>49</v>
      </c>
      <c r="C514" s="2" t="str">
        <f>_xlfn.XLOOKUP(Table1[[#This Row],[Age]],Table7[Start_Age],Table7[Age_Range],,-1)</f>
        <v>49-59</v>
      </c>
      <c r="D514" t="s">
        <v>130</v>
      </c>
      <c r="E514" s="2" t="s">
        <v>129</v>
      </c>
      <c r="F514" s="2" t="s">
        <v>133</v>
      </c>
      <c r="G514" s="3">
        <v>1</v>
      </c>
      <c r="H514" s="13" t="s">
        <v>152</v>
      </c>
      <c r="I514" s="2" t="str" cm="1">
        <f t="array" ref="I514">_xlfn.IFS(Table1[[#This Row],[Job_Type]] = "unskilled resident", "Resident",
Table1[[#This Row],[Job_Type]] = "unemp/unskilled non res", "Non-resident",
TRUE, "Unknown")</f>
        <v>Resident</v>
      </c>
      <c r="J514" s="2" t="s">
        <v>148</v>
      </c>
      <c r="K514" s="3">
        <v>4</v>
      </c>
      <c r="L514" s="2" t="s">
        <v>140</v>
      </c>
      <c r="M514" s="13" t="s">
        <v>151</v>
      </c>
      <c r="N514" t="s">
        <v>50</v>
      </c>
      <c r="O514" s="2" t="str">
        <f>_xlfn.XLOOKUP(Table1[[#This Row],[Checking_Acct_Status]],Table3[Checking_Acct_Original],Table3[Category])</f>
        <v>High Balance</v>
      </c>
      <c r="P514" s="10" t="s">
        <v>47</v>
      </c>
      <c r="Q514" s="13" t="str">
        <f>_xlfn.XLOOKUP(Table1[[#This Row],[Saving_Acct_Status]],Table5[Saving_Acct_Original],Table5[Category])</f>
        <v>No Savings</v>
      </c>
      <c r="R514" t="s">
        <v>27</v>
      </c>
      <c r="S514" s="2" t="str">
        <f>IF(
      OR(Table1[[#This Row],[Job_Type]] = "high qualif/self emp/mgmt", Table1[[#This Row],[Job_Type]] = "skilled"),
      "Skilled", "Unskilled")</f>
        <v>Unskilled</v>
      </c>
      <c r="T514" t="str">
        <f>IF(Table1[[#This Row],[Job_Type]] = "unemp/unskilled non res", "Unemployed", "Employed")</f>
        <v>Employed</v>
      </c>
      <c r="U514" t="s">
        <v>49</v>
      </c>
      <c r="V514" s="14" t="str" cm="1">
        <f t="array" ref="V51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14" t="s">
        <v>42</v>
      </c>
      <c r="X514" s="2" t="str">
        <f>_xlfn.XLOOKUP(Table1[[#This Row],[Loan_Credit_History]],Table4[Credit History],Table4[[ Category]])</f>
        <v>All Paid</v>
      </c>
      <c r="Y514" s="3">
        <v>4</v>
      </c>
      <c r="Z514" s="3">
        <v>1</v>
      </c>
      <c r="AA514" s="5">
        <v>1445</v>
      </c>
      <c r="AB514" t="s">
        <v>151</v>
      </c>
      <c r="AC514" s="2" t="str" cm="1">
        <f t="array" ref="AC514">_xlfn.IFS(Table1[[#This Row],[Others_Parties]] = "No", "None",
Table1[[#This Row],[Others_Parties]] = "co applicant", "Co-applicant",
Table1[[#This Row],[Others_Parties]] = "guarantor", "Guarantor")</f>
        <v>None</v>
      </c>
      <c r="AD514" s="13" t="s">
        <v>146</v>
      </c>
      <c r="AE514" s="2" t="s">
        <v>111</v>
      </c>
      <c r="AF514" s="28" t="str" cm="1">
        <f t="array" ref="AF51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14" s="21">
        <v>18</v>
      </c>
      <c r="AH514" s="2" t="s">
        <v>154</v>
      </c>
      <c r="AI514"/>
      <c r="AZ514"/>
      <c r="BC514"/>
      <c r="BE514"/>
      <c r="BL514"/>
      <c r="BZ514"/>
      <c r="CA514"/>
      <c r="CF514"/>
      <c r="CG514"/>
      <c r="CH514"/>
      <c r="CI514"/>
      <c r="CK514"/>
      <c r="CN514"/>
    </row>
    <row r="515" spans="1:92" x14ac:dyDescent="0.3">
      <c r="A515" s="4">
        <v>513</v>
      </c>
      <c r="B515" s="11">
        <v>26</v>
      </c>
      <c r="C515" s="2" t="str">
        <f>_xlfn.XLOOKUP(Table1[[#This Row],[Age]],Table7[Start_Age],Table7[Age_Range],,-1)</f>
        <v>19-29</v>
      </c>
      <c r="D515" t="s">
        <v>136</v>
      </c>
      <c r="E515" s="2" t="s">
        <v>131</v>
      </c>
      <c r="F515" s="2" t="s">
        <v>137</v>
      </c>
      <c r="G515" s="3">
        <v>1</v>
      </c>
      <c r="H515" s="13" t="s">
        <v>152</v>
      </c>
      <c r="I515" s="2" t="str" cm="1">
        <f t="array" ref="I515">_xlfn.IFS(Table1[[#This Row],[Job_Type]] = "unskilled resident", "Resident",
Table1[[#This Row],[Job_Type]] = "unemp/unskilled non res", "Non-resident",
TRUE, "Unknown")</f>
        <v>Unknown</v>
      </c>
      <c r="J515" s="2" t="s">
        <v>148</v>
      </c>
      <c r="K515" s="3">
        <v>1</v>
      </c>
      <c r="L515" s="2" t="s">
        <v>144</v>
      </c>
      <c r="M515" s="13" t="s">
        <v>151</v>
      </c>
      <c r="N515" t="s">
        <v>17</v>
      </c>
      <c r="O515" s="2" t="str">
        <f>_xlfn.XLOOKUP(Table1[[#This Row],[Checking_Acct_Status]],Table3[Checking_Acct_Original],Table3[Category])</f>
        <v>No Account</v>
      </c>
      <c r="P515" s="10" t="s">
        <v>32</v>
      </c>
      <c r="Q515" s="13" t="str">
        <f>_xlfn.XLOOKUP(Table1[[#This Row],[Saving_Acct_Status]],Table5[Saving_Acct_Original],Table5[Category])</f>
        <v>Low Savings</v>
      </c>
      <c r="R515" t="s">
        <v>41</v>
      </c>
      <c r="S515" s="2" t="str">
        <f>IF(
      OR(Table1[[#This Row],[Job_Type]] = "high qualif/self emp/mgmt", Table1[[#This Row],[Job_Type]] = "skilled"),
      "Skilled", "Unskilled")</f>
        <v>Skilled</v>
      </c>
      <c r="T515" t="str">
        <f>IF(Table1[[#This Row],[Job_Type]] = "unemp/unskilled non res", "Unemployed", "Employed")</f>
        <v>Employed</v>
      </c>
      <c r="U515" t="s">
        <v>45</v>
      </c>
      <c r="V515" s="14" t="str" cm="1">
        <f t="array" ref="V51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15" t="s">
        <v>31</v>
      </c>
      <c r="X515" s="2" t="str">
        <f>_xlfn.XLOOKUP(Table1[[#This Row],[Loan_Credit_History]],Table4[Credit History],Table4[[ Category]])</f>
        <v>Existing Credits Paid</v>
      </c>
      <c r="Y515" s="3">
        <v>3</v>
      </c>
      <c r="Z515" s="3">
        <v>1</v>
      </c>
      <c r="AA515" s="5">
        <v>1453</v>
      </c>
      <c r="AB515" t="s">
        <v>151</v>
      </c>
      <c r="AC515" s="2" t="str" cm="1">
        <f t="array" ref="AC515">_xlfn.IFS(Table1[[#This Row],[Others_Parties]] = "No", "None",
Table1[[#This Row],[Others_Parties]] = "co applicant", "Co-applicant",
Table1[[#This Row],[Others_Parties]] = "guarantor", "Guarantor")</f>
        <v>None</v>
      </c>
      <c r="AD515" s="13" t="s">
        <v>145</v>
      </c>
      <c r="AE515" s="2" t="s">
        <v>111</v>
      </c>
      <c r="AF515" s="28" t="str" cm="1">
        <f t="array" ref="AF51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15" s="21">
        <v>18</v>
      </c>
      <c r="AH515" s="2" t="s">
        <v>154</v>
      </c>
      <c r="AI515"/>
      <c r="AZ515"/>
      <c r="BC515"/>
      <c r="BE515"/>
      <c r="BL515"/>
      <c r="BZ515"/>
      <c r="CA515"/>
      <c r="CF515"/>
      <c r="CG515"/>
      <c r="CH515"/>
      <c r="CI515"/>
      <c r="CK515"/>
      <c r="CN515"/>
    </row>
    <row r="516" spans="1:92" x14ac:dyDescent="0.3">
      <c r="A516" s="4">
        <v>514</v>
      </c>
      <c r="B516" s="11">
        <v>39</v>
      </c>
      <c r="C516" s="2" t="str">
        <f>_xlfn.XLOOKUP(Table1[[#This Row],[Age]],Table7[Start_Age],Table7[Age_Range],,-1)</f>
        <v>39-49</v>
      </c>
      <c r="D516" t="s">
        <v>134</v>
      </c>
      <c r="E516" s="2" t="s">
        <v>129</v>
      </c>
      <c r="F516" s="2" t="s">
        <v>135</v>
      </c>
      <c r="G516" s="3">
        <v>1</v>
      </c>
      <c r="H516" s="13" t="s">
        <v>152</v>
      </c>
      <c r="I516" s="2" t="str" cm="1">
        <f t="array" ref="I516">_xlfn.IFS(Table1[[#This Row],[Job_Type]] = "unskilled resident", "Resident",
Table1[[#This Row],[Job_Type]] = "unemp/unskilled non res", "Non-resident",
TRUE, "Unknown")</f>
        <v>Unknown</v>
      </c>
      <c r="J516" s="2" t="s">
        <v>148</v>
      </c>
      <c r="K516" s="3">
        <v>4</v>
      </c>
      <c r="L516" s="2" t="s">
        <v>144</v>
      </c>
      <c r="M516" s="13" t="s">
        <v>152</v>
      </c>
      <c r="N516" t="s">
        <v>17</v>
      </c>
      <c r="O516" s="2" t="str">
        <f>_xlfn.XLOOKUP(Table1[[#This Row],[Checking_Acct_Status]],Table3[Checking_Acct_Original],Table3[Category])</f>
        <v>No Account</v>
      </c>
      <c r="P516" s="10" t="s">
        <v>32</v>
      </c>
      <c r="Q516" s="13" t="str">
        <f>_xlfn.XLOOKUP(Table1[[#This Row],[Saving_Acct_Status]],Table5[Saving_Acct_Original],Table5[Category])</f>
        <v>Low Savings</v>
      </c>
      <c r="R516" t="s">
        <v>41</v>
      </c>
      <c r="S516" s="2" t="str">
        <f>IF(
      OR(Table1[[#This Row],[Job_Type]] = "high qualif/self emp/mgmt", Table1[[#This Row],[Job_Type]] = "skilled"),
      "Skilled", "Unskilled")</f>
        <v>Skilled</v>
      </c>
      <c r="T516" t="str">
        <f>IF(Table1[[#This Row],[Job_Type]] = "unemp/unskilled non res", "Unemployed", "Employed")</f>
        <v>Employed</v>
      </c>
      <c r="U516" t="s">
        <v>45</v>
      </c>
      <c r="V516" s="14" t="str" cm="1">
        <f t="array" ref="V51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16" t="s">
        <v>31</v>
      </c>
      <c r="X516" s="2" t="str">
        <f>_xlfn.XLOOKUP(Table1[[#This Row],[Loan_Credit_History]],Table4[Credit History],Table4[[ Category]])</f>
        <v>Existing Credits Paid</v>
      </c>
      <c r="Y516" s="3">
        <v>3</v>
      </c>
      <c r="Z516" s="3">
        <v>1</v>
      </c>
      <c r="AA516" s="5">
        <v>1473</v>
      </c>
      <c r="AB516" t="s">
        <v>151</v>
      </c>
      <c r="AC516" s="2" t="str" cm="1">
        <f t="array" ref="AC516">_xlfn.IFS(Table1[[#This Row],[Others_Parties]] = "No", "None",
Table1[[#This Row],[Others_Parties]] = "co applicant", "Co-applicant",
Table1[[#This Row],[Others_Parties]] = "guarantor", "Guarantor")</f>
        <v>None</v>
      </c>
      <c r="AD516" s="13" t="s">
        <v>145</v>
      </c>
      <c r="AE516" s="2" t="s">
        <v>111</v>
      </c>
      <c r="AF516" s="28" t="str" cm="1">
        <f t="array" ref="AF51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16" s="21">
        <v>18</v>
      </c>
      <c r="AH516" s="2" t="s">
        <v>154</v>
      </c>
      <c r="AI516"/>
      <c r="AZ516"/>
      <c r="BC516"/>
      <c r="BE516"/>
      <c r="BL516"/>
      <c r="BZ516"/>
      <c r="CA516"/>
      <c r="CF516"/>
      <c r="CG516"/>
      <c r="CH516"/>
      <c r="CI516"/>
      <c r="CK516"/>
      <c r="CN516"/>
    </row>
    <row r="517" spans="1:92" x14ac:dyDescent="0.3">
      <c r="A517" s="4">
        <v>515</v>
      </c>
      <c r="B517" s="11">
        <v>32</v>
      </c>
      <c r="C517" s="2" t="str">
        <f>_xlfn.XLOOKUP(Table1[[#This Row],[Age]],Table7[Start_Age],Table7[Age_Range],,-1)</f>
        <v>29-39</v>
      </c>
      <c r="D517" t="s">
        <v>130</v>
      </c>
      <c r="E517" s="2" t="s">
        <v>129</v>
      </c>
      <c r="F517" s="2" t="s">
        <v>133</v>
      </c>
      <c r="G517" s="3">
        <v>1</v>
      </c>
      <c r="H517" s="13" t="s">
        <v>152</v>
      </c>
      <c r="I517" s="2" t="str" cm="1">
        <f t="array" ref="I517">_xlfn.IFS(Table1[[#This Row],[Job_Type]] = "unskilled resident", "Resident",
Table1[[#This Row],[Job_Type]] = "unemp/unskilled non res", "Non-resident",
TRUE, "Unknown")</f>
        <v>Unknown</v>
      </c>
      <c r="J517" s="2" t="s">
        <v>150</v>
      </c>
      <c r="K517" s="3">
        <v>2</v>
      </c>
      <c r="L517" s="2" t="s">
        <v>142</v>
      </c>
      <c r="M517" s="13" t="s">
        <v>152</v>
      </c>
      <c r="N517" t="s">
        <v>17</v>
      </c>
      <c r="O517" s="2" t="str">
        <f>_xlfn.XLOOKUP(Table1[[#This Row],[Checking_Acct_Status]],Table3[Checking_Acct_Original],Table3[Category])</f>
        <v>No Account</v>
      </c>
      <c r="P517" s="10" t="s">
        <v>32</v>
      </c>
      <c r="Q517" s="13" t="str">
        <f>_xlfn.XLOOKUP(Table1[[#This Row],[Saving_Acct_Status]],Table5[Saving_Acct_Original],Table5[Category])</f>
        <v>Low Savings</v>
      </c>
      <c r="R517" t="s">
        <v>63</v>
      </c>
      <c r="S517" s="2" t="str">
        <f>IF(
      OR(Table1[[#This Row],[Job_Type]] = "high qualif/self emp/mgmt", Table1[[#This Row],[Job_Type]] = "skilled"),
      "Skilled", "Unskilled")</f>
        <v>Skilled</v>
      </c>
      <c r="T517" t="str">
        <f>IF(Table1[[#This Row],[Job_Type]] = "unemp/unskilled non res", "Unemployed", "Employed")</f>
        <v>Employed</v>
      </c>
      <c r="U517" t="s">
        <v>21</v>
      </c>
      <c r="V517" s="14" t="str" cm="1">
        <f t="array" ref="V51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17" t="s">
        <v>31</v>
      </c>
      <c r="X517" s="2" t="str">
        <f>_xlfn.XLOOKUP(Table1[[#This Row],[Loan_Credit_History]],Table4[Credit History],Table4[[ Category]])</f>
        <v>Existing Credits Paid</v>
      </c>
      <c r="Y517" s="3">
        <v>4</v>
      </c>
      <c r="Z517" s="3">
        <v>1</v>
      </c>
      <c r="AA517" s="5">
        <v>1505</v>
      </c>
      <c r="AB517" t="s">
        <v>151</v>
      </c>
      <c r="AC517" s="2" t="str" cm="1">
        <f t="array" ref="AC517">_xlfn.IFS(Table1[[#This Row],[Others_Parties]] = "No", "None",
Table1[[#This Row],[Others_Parties]] = "co applicant", "Co-applicant",
Table1[[#This Row],[Others_Parties]] = "guarantor", "Guarantor")</f>
        <v>None</v>
      </c>
      <c r="AD517" s="13" t="s">
        <v>145</v>
      </c>
      <c r="AE517" s="2" t="s">
        <v>111</v>
      </c>
      <c r="AF517" s="28" t="str" cm="1">
        <f t="array" ref="AF51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17" s="21">
        <v>18</v>
      </c>
      <c r="AH517" s="2" t="s">
        <v>154</v>
      </c>
      <c r="AI517"/>
      <c r="AZ517"/>
      <c r="BC517"/>
      <c r="BE517"/>
      <c r="BL517"/>
      <c r="BZ517"/>
      <c r="CA517"/>
      <c r="CF517"/>
      <c r="CG517"/>
      <c r="CH517"/>
      <c r="CI517"/>
      <c r="CK517"/>
      <c r="CN517"/>
    </row>
    <row r="518" spans="1:92" x14ac:dyDescent="0.3">
      <c r="A518" s="4">
        <v>516</v>
      </c>
      <c r="B518" s="11">
        <v>32</v>
      </c>
      <c r="C518" s="2" t="str">
        <f>_xlfn.XLOOKUP(Table1[[#This Row],[Age]],Table7[Start_Age],Table7[Age_Range],,-1)</f>
        <v>29-39</v>
      </c>
      <c r="D518" t="s">
        <v>130</v>
      </c>
      <c r="E518" s="2" t="s">
        <v>129</v>
      </c>
      <c r="F518" s="2" t="s">
        <v>133</v>
      </c>
      <c r="G518" s="3">
        <v>1</v>
      </c>
      <c r="H518" s="13" t="s">
        <v>152</v>
      </c>
      <c r="I518" s="2" t="str" cm="1">
        <f t="array" ref="I518">_xlfn.IFS(Table1[[#This Row],[Job_Type]] = "unskilled resident", "Resident",
Table1[[#This Row],[Job_Type]] = "unemp/unskilled non res", "Non-resident",
TRUE, "Unknown")</f>
        <v>Unknown</v>
      </c>
      <c r="J518" s="2" t="s">
        <v>148</v>
      </c>
      <c r="K518" s="3">
        <v>2</v>
      </c>
      <c r="L518" s="2" t="s">
        <v>143</v>
      </c>
      <c r="M518" s="13" t="s">
        <v>151</v>
      </c>
      <c r="N518" t="s">
        <v>17</v>
      </c>
      <c r="O518" s="2" t="str">
        <f>_xlfn.XLOOKUP(Table1[[#This Row],[Checking_Acct_Status]],Table3[Checking_Acct_Original],Table3[Category])</f>
        <v>No Account</v>
      </c>
      <c r="P518" s="10" t="s">
        <v>32</v>
      </c>
      <c r="Q518" s="13" t="str">
        <f>_xlfn.XLOOKUP(Table1[[#This Row],[Saving_Acct_Status]],Table5[Saving_Acct_Original],Table5[Category])</f>
        <v>Low Savings</v>
      </c>
      <c r="R518" t="s">
        <v>41</v>
      </c>
      <c r="S518" s="2" t="str">
        <f>IF(
      OR(Table1[[#This Row],[Job_Type]] = "high qualif/self emp/mgmt", Table1[[#This Row],[Job_Type]] = "skilled"),
      "Skilled", "Unskilled")</f>
        <v>Skilled</v>
      </c>
      <c r="T518" t="str">
        <f>IF(Table1[[#This Row],[Job_Type]] = "unemp/unskilled non res", "Unemployed", "Employed")</f>
        <v>Employed</v>
      </c>
      <c r="U518" t="s">
        <v>21</v>
      </c>
      <c r="V518" s="14" t="str" cm="1">
        <f t="array" ref="V51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18" t="s">
        <v>103</v>
      </c>
      <c r="X518" s="2" t="str">
        <f>_xlfn.XLOOKUP(Table1[[#This Row],[Loan_Credit_History]],Table4[Credit History],Table4[[ Category]])</f>
        <v>Critical Credit History</v>
      </c>
      <c r="Y518" s="3">
        <v>3</v>
      </c>
      <c r="Z518" s="3">
        <v>2</v>
      </c>
      <c r="AA518" s="5">
        <v>1530</v>
      </c>
      <c r="AB518" t="s">
        <v>151</v>
      </c>
      <c r="AC518" s="2" t="str" cm="1">
        <f t="array" ref="AC518">_xlfn.IFS(Table1[[#This Row],[Others_Parties]] = "No", "None",
Table1[[#This Row],[Others_Parties]] = "co applicant", "Co-applicant",
Table1[[#This Row],[Others_Parties]] = "guarantor", "Guarantor")</f>
        <v>None</v>
      </c>
      <c r="AD518" s="13" t="s">
        <v>146</v>
      </c>
      <c r="AE518" s="2" t="s">
        <v>141</v>
      </c>
      <c r="AF518" s="28" t="str" cm="1">
        <f t="array" ref="AF51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18" s="21">
        <v>18</v>
      </c>
      <c r="AH518" s="2" t="s">
        <v>153</v>
      </c>
      <c r="AI518"/>
      <c r="AZ518"/>
      <c r="BC518"/>
      <c r="BE518"/>
      <c r="BL518"/>
      <c r="BZ518"/>
      <c r="CA518"/>
      <c r="CF518"/>
      <c r="CG518"/>
      <c r="CH518"/>
      <c r="CI518"/>
      <c r="CK518"/>
      <c r="CN518"/>
    </row>
    <row r="519" spans="1:92" x14ac:dyDescent="0.3">
      <c r="A519" s="4">
        <v>517</v>
      </c>
      <c r="B519" s="11">
        <v>43</v>
      </c>
      <c r="C519" s="2" t="str">
        <f>_xlfn.XLOOKUP(Table1[[#This Row],[Age]],Table7[Start_Age],Table7[Age_Range],,-1)</f>
        <v>39-49</v>
      </c>
      <c r="D519" t="s">
        <v>134</v>
      </c>
      <c r="E519" s="2" t="s">
        <v>129</v>
      </c>
      <c r="F519" s="2" t="s">
        <v>135</v>
      </c>
      <c r="G519" s="3">
        <v>2</v>
      </c>
      <c r="H519" s="13" t="s">
        <v>152</v>
      </c>
      <c r="I519" s="2" t="str" cm="1">
        <f t="array" ref="I519">_xlfn.IFS(Table1[[#This Row],[Job_Type]] = "unskilled resident", "Resident",
Table1[[#This Row],[Job_Type]] = "unemp/unskilled non res", "Non-resident",
TRUE, "Unknown")</f>
        <v>Resident</v>
      </c>
      <c r="J519" s="2" t="s">
        <v>148</v>
      </c>
      <c r="K519" s="3">
        <v>1</v>
      </c>
      <c r="L519" s="2" t="s">
        <v>143</v>
      </c>
      <c r="M519" s="13" t="s">
        <v>151</v>
      </c>
      <c r="N519" t="s">
        <v>17</v>
      </c>
      <c r="O519" s="2" t="str">
        <f>_xlfn.XLOOKUP(Table1[[#This Row],[Checking_Acct_Status]],Table3[Checking_Acct_Original],Table3[Category])</f>
        <v>No Account</v>
      </c>
      <c r="P519" s="10" t="s">
        <v>32</v>
      </c>
      <c r="Q519" s="13" t="str">
        <f>_xlfn.XLOOKUP(Table1[[#This Row],[Saving_Acct_Status]],Table5[Saving_Acct_Original],Table5[Category])</f>
        <v>Low Savings</v>
      </c>
      <c r="R519" t="s">
        <v>27</v>
      </c>
      <c r="S519" s="2" t="str">
        <f>IF(
      OR(Table1[[#This Row],[Job_Type]] = "high qualif/self emp/mgmt", Table1[[#This Row],[Job_Type]] = "skilled"),
      "Skilled", "Unskilled")</f>
        <v>Unskilled</v>
      </c>
      <c r="T519" t="str">
        <f>IF(Table1[[#This Row],[Job_Type]] = "unemp/unskilled non res", "Unemployed", "Employed")</f>
        <v>Employed</v>
      </c>
      <c r="U519" t="s">
        <v>45</v>
      </c>
      <c r="V519" s="14" t="str" cm="1">
        <f t="array" ref="V51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19" t="s">
        <v>31</v>
      </c>
      <c r="X519" s="2" t="str">
        <f>_xlfn.XLOOKUP(Table1[[#This Row],[Loan_Credit_History]],Table4[Credit History],Table4[[ Category]])</f>
        <v>Existing Credits Paid</v>
      </c>
      <c r="Y519" s="3">
        <v>4</v>
      </c>
      <c r="Z519" s="3">
        <v>1</v>
      </c>
      <c r="AA519" s="5">
        <v>1533</v>
      </c>
      <c r="AB519" t="s">
        <v>55</v>
      </c>
      <c r="AC519" s="2" t="str" cm="1">
        <f t="array" ref="AC519">_xlfn.IFS(Table1[[#This Row],[Others_Parties]] = "No", "None",
Table1[[#This Row],[Others_Parties]] = "co applicant", "Co-applicant",
Table1[[#This Row],[Others_Parties]] = "guarantor", "Guarantor")</f>
        <v>Co-applicant</v>
      </c>
      <c r="AD519" s="13" t="s">
        <v>145</v>
      </c>
      <c r="AE519" s="2" t="s">
        <v>108</v>
      </c>
      <c r="AF519" s="28" t="str" cm="1">
        <f t="array" ref="AF51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19" s="21">
        <v>18</v>
      </c>
      <c r="AH519" s="2" t="s">
        <v>153</v>
      </c>
      <c r="AI519"/>
      <c r="AZ519"/>
      <c r="BC519"/>
      <c r="BE519"/>
      <c r="BL519"/>
      <c r="BZ519"/>
      <c r="CA519"/>
      <c r="CF519"/>
      <c r="CG519"/>
      <c r="CH519"/>
      <c r="CI519"/>
      <c r="CK519"/>
      <c r="CN519"/>
    </row>
    <row r="520" spans="1:92" x14ac:dyDescent="0.3">
      <c r="A520" s="4">
        <v>518</v>
      </c>
      <c r="B520" s="11">
        <v>44</v>
      </c>
      <c r="C520" s="2" t="str">
        <f>_xlfn.XLOOKUP(Table1[[#This Row],[Age]],Table7[Start_Age],Table7[Age_Range],,-1)</f>
        <v>39-49</v>
      </c>
      <c r="D520" t="s">
        <v>130</v>
      </c>
      <c r="E520" s="2" t="s">
        <v>129</v>
      </c>
      <c r="F520" s="2" t="s">
        <v>133</v>
      </c>
      <c r="G520" s="3">
        <v>1</v>
      </c>
      <c r="H520" s="13" t="s">
        <v>152</v>
      </c>
      <c r="I520" s="2" t="str" cm="1">
        <f t="array" ref="I520">_xlfn.IFS(Table1[[#This Row],[Job_Type]] = "unskilled resident", "Resident",
Table1[[#This Row],[Job_Type]] = "unemp/unskilled non res", "Non-resident",
TRUE, "Unknown")</f>
        <v>Unknown</v>
      </c>
      <c r="J520" s="2" t="s">
        <v>148</v>
      </c>
      <c r="K520" s="3">
        <v>3</v>
      </c>
      <c r="L520" s="2" t="s">
        <v>140</v>
      </c>
      <c r="M520" s="13" t="s">
        <v>151</v>
      </c>
      <c r="N520" t="s">
        <v>35</v>
      </c>
      <c r="O520" s="2" t="str">
        <f>_xlfn.XLOOKUP(Table1[[#This Row],[Checking_Acct_Status]],Table3[Checking_Acct_Original],Table3[Category])</f>
        <v>Negative Balance</v>
      </c>
      <c r="P520" s="10" t="s">
        <v>32</v>
      </c>
      <c r="Q520" s="13" t="str">
        <f>_xlfn.XLOOKUP(Table1[[#This Row],[Saving_Acct_Status]],Table5[Saving_Acct_Original],Table5[Category])</f>
        <v>Low Savings</v>
      </c>
      <c r="R520" t="s">
        <v>41</v>
      </c>
      <c r="S520" s="2" t="str">
        <f>IF(
      OR(Table1[[#This Row],[Job_Type]] = "high qualif/self emp/mgmt", Table1[[#This Row],[Job_Type]] = "skilled"),
      "Skilled", "Unskilled")</f>
        <v>Skilled</v>
      </c>
      <c r="T520" t="str">
        <f>IF(Table1[[#This Row],[Job_Type]] = "unemp/unskilled non res", "Unemployed", "Employed")</f>
        <v>Employed</v>
      </c>
      <c r="U520" t="s">
        <v>21</v>
      </c>
      <c r="V520" s="14" t="str" cm="1">
        <f t="array" ref="V52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20" t="s">
        <v>42</v>
      </c>
      <c r="X520" s="2" t="str">
        <f>_xlfn.XLOOKUP(Table1[[#This Row],[Loan_Credit_History]],Table4[Credit History],Table4[[ Category]])</f>
        <v>All Paid</v>
      </c>
      <c r="Y520" s="3">
        <v>4</v>
      </c>
      <c r="Z520" s="3">
        <v>1</v>
      </c>
      <c r="AA520" s="5">
        <v>1553</v>
      </c>
      <c r="AB520" t="s">
        <v>151</v>
      </c>
      <c r="AC520" s="2" t="str" cm="1">
        <f t="array" ref="AC520">_xlfn.IFS(Table1[[#This Row],[Others_Parties]] = "No", "None",
Table1[[#This Row],[Others_Parties]] = "co applicant", "Co-applicant",
Table1[[#This Row],[Others_Parties]] = "guarantor", "Guarantor")</f>
        <v>None</v>
      </c>
      <c r="AD520" s="13" t="s">
        <v>146</v>
      </c>
      <c r="AE520" s="2" t="s">
        <v>108</v>
      </c>
      <c r="AF520" s="28" t="str" cm="1">
        <f t="array" ref="AF52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20" s="21">
        <v>18</v>
      </c>
      <c r="AH520" s="2" t="s">
        <v>153</v>
      </c>
      <c r="AI520"/>
      <c r="AZ520"/>
      <c r="BC520"/>
      <c r="BE520"/>
      <c r="BL520"/>
      <c r="BZ520"/>
      <c r="CA520"/>
      <c r="CF520"/>
      <c r="CG520"/>
      <c r="CH520"/>
      <c r="CI520"/>
      <c r="CK520"/>
      <c r="CN520"/>
    </row>
    <row r="521" spans="1:92" x14ac:dyDescent="0.3">
      <c r="A521" s="4">
        <v>519</v>
      </c>
      <c r="B521" s="11">
        <v>24</v>
      </c>
      <c r="C521" s="2" t="str">
        <f>_xlfn.XLOOKUP(Table1[[#This Row],[Age]],Table7[Start_Age],Table7[Age_Range],,-1)</f>
        <v>19-29</v>
      </c>
      <c r="D521" t="s">
        <v>136</v>
      </c>
      <c r="E521" s="2" t="s">
        <v>131</v>
      </c>
      <c r="F521" s="2" t="s">
        <v>137</v>
      </c>
      <c r="G521" s="3">
        <v>1</v>
      </c>
      <c r="H521" s="13" t="s">
        <v>152</v>
      </c>
      <c r="I521" s="2" t="str" cm="1">
        <f t="array" ref="I521">_xlfn.IFS(Table1[[#This Row],[Job_Type]] = "unskilled resident", "Resident",
Table1[[#This Row],[Job_Type]] = "unemp/unskilled non res", "Non-resident",
TRUE, "Unknown")</f>
        <v>Resident</v>
      </c>
      <c r="J521" s="2" t="s">
        <v>149</v>
      </c>
      <c r="K521" s="3">
        <v>4</v>
      </c>
      <c r="L521" s="2" t="s">
        <v>143</v>
      </c>
      <c r="M521" s="13" t="s">
        <v>151</v>
      </c>
      <c r="N521" t="s">
        <v>17</v>
      </c>
      <c r="O521" s="2" t="str">
        <f>_xlfn.XLOOKUP(Table1[[#This Row],[Checking_Acct_Status]],Table3[Checking_Acct_Original],Table3[Category])</f>
        <v>No Account</v>
      </c>
      <c r="P521" s="10" t="s">
        <v>46</v>
      </c>
      <c r="Q521" s="13" t="str">
        <f>_xlfn.XLOOKUP(Table1[[#This Row],[Saving_Acct_Status]],Table5[Saving_Acct_Original],Table5[Category])</f>
        <v>Medium Savings</v>
      </c>
      <c r="R521" t="s">
        <v>27</v>
      </c>
      <c r="S521" s="2" t="str">
        <f>IF(
      OR(Table1[[#This Row],[Job_Type]] = "high qualif/self emp/mgmt", Table1[[#This Row],[Job_Type]] = "skilled"),
      "Skilled", "Unskilled")</f>
        <v>Unskilled</v>
      </c>
      <c r="T521" t="str">
        <f>IF(Table1[[#This Row],[Job_Type]] = "unemp/unskilled non res", "Unemployed", "Employed")</f>
        <v>Employed</v>
      </c>
      <c r="U521" t="s">
        <v>21</v>
      </c>
      <c r="V521" s="14" t="str" cm="1">
        <f t="array" ref="V52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21" t="s">
        <v>31</v>
      </c>
      <c r="X521" s="2" t="str">
        <f>_xlfn.XLOOKUP(Table1[[#This Row],[Loan_Credit_History]],Table4[Credit History],Table4[[ Category]])</f>
        <v>Existing Credits Paid</v>
      </c>
      <c r="Y521" s="3">
        <v>3</v>
      </c>
      <c r="Z521" s="3">
        <v>1</v>
      </c>
      <c r="AA521" s="5">
        <v>1568</v>
      </c>
      <c r="AB521" t="s">
        <v>151</v>
      </c>
      <c r="AC521" s="2" t="str" cm="1">
        <f t="array" ref="AC521">_xlfn.IFS(Table1[[#This Row],[Others_Parties]] = "No", "None",
Table1[[#This Row],[Others_Parties]] = "co applicant", "Co-applicant",
Table1[[#This Row],[Others_Parties]] = "guarantor", "Guarantor")</f>
        <v>None</v>
      </c>
      <c r="AD521" s="13" t="s">
        <v>145</v>
      </c>
      <c r="AE521" s="2" t="s">
        <v>105</v>
      </c>
      <c r="AF521" s="28" t="str" cm="1">
        <f t="array" ref="AF52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21" s="21">
        <v>18</v>
      </c>
      <c r="AH521" s="2" t="s">
        <v>154</v>
      </c>
      <c r="AI521"/>
      <c r="AZ521"/>
      <c r="BC521"/>
      <c r="BE521"/>
      <c r="BL521"/>
      <c r="BZ521"/>
      <c r="CA521"/>
      <c r="CF521"/>
      <c r="CG521"/>
      <c r="CH521"/>
      <c r="CI521"/>
      <c r="CK521"/>
      <c r="CN521"/>
    </row>
    <row r="522" spans="1:92" x14ac:dyDescent="0.3">
      <c r="A522" s="4">
        <v>520</v>
      </c>
      <c r="B522" s="11">
        <v>46</v>
      </c>
      <c r="C522" s="2" t="str">
        <f>_xlfn.XLOOKUP(Table1[[#This Row],[Age]],Table7[Start_Age],Table7[Age_Range],,-1)</f>
        <v>39-49</v>
      </c>
      <c r="D522" t="s">
        <v>130</v>
      </c>
      <c r="E522" s="2" t="s">
        <v>129</v>
      </c>
      <c r="F522" s="2" t="s">
        <v>133</v>
      </c>
      <c r="G522" s="3">
        <v>1</v>
      </c>
      <c r="H522" s="13" t="s">
        <v>152</v>
      </c>
      <c r="I522" s="2" t="str" cm="1">
        <f t="array" ref="I522">_xlfn.IFS(Table1[[#This Row],[Job_Type]] = "unskilled resident", "Resident",
Table1[[#This Row],[Job_Type]] = "unemp/unskilled non res", "Non-resident",
TRUE, "Unknown")</f>
        <v>Unknown</v>
      </c>
      <c r="J522" s="2" t="s">
        <v>148</v>
      </c>
      <c r="K522" s="3">
        <v>4</v>
      </c>
      <c r="L522" s="2" t="s">
        <v>140</v>
      </c>
      <c r="M522" s="13" t="s">
        <v>151</v>
      </c>
      <c r="N522" t="s">
        <v>17</v>
      </c>
      <c r="O522" s="2" t="str">
        <f>_xlfn.XLOOKUP(Table1[[#This Row],[Checking_Acct_Status]],Table3[Checking_Acct_Original],Table3[Category])</f>
        <v>No Account</v>
      </c>
      <c r="P522" s="10" t="s">
        <v>20</v>
      </c>
      <c r="Q522" s="13" t="str">
        <f>_xlfn.XLOOKUP(Table1[[#This Row],[Saving_Acct_Status]],Table5[Saving_Acct_Original],Table5[Category])</f>
        <v>Very High Savings</v>
      </c>
      <c r="R522" t="s">
        <v>41</v>
      </c>
      <c r="S522" s="2" t="str">
        <f>IF(
      OR(Table1[[#This Row],[Job_Type]] = "high qualif/self emp/mgmt", Table1[[#This Row],[Job_Type]] = "skilled"),
      "Skilled", "Unskilled")</f>
        <v>Skilled</v>
      </c>
      <c r="T522" t="str">
        <f>IF(Table1[[#This Row],[Job_Type]] = "unemp/unskilled non res", "Unemployed", "Employed")</f>
        <v>Employed</v>
      </c>
      <c r="U522" t="s">
        <v>38</v>
      </c>
      <c r="V522" s="14" t="str" cm="1">
        <f t="array" ref="V52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22" t="s">
        <v>103</v>
      </c>
      <c r="X522" s="2" t="str">
        <f>_xlfn.XLOOKUP(Table1[[#This Row],[Loan_Credit_History]],Table4[Credit History],Table4[[ Category]])</f>
        <v>Critical Credit History</v>
      </c>
      <c r="Y522" s="3">
        <v>4</v>
      </c>
      <c r="Z522" s="3">
        <v>2</v>
      </c>
      <c r="AA522" s="5">
        <v>1582</v>
      </c>
      <c r="AB522" t="s">
        <v>151</v>
      </c>
      <c r="AC522" s="2" t="str" cm="1">
        <f t="array" ref="AC522">_xlfn.IFS(Table1[[#This Row],[Others_Parties]] = "No", "None",
Table1[[#This Row],[Others_Parties]] = "co applicant", "Co-applicant",
Table1[[#This Row],[Others_Parties]] = "guarantor", "Guarantor")</f>
        <v>None</v>
      </c>
      <c r="AD522" s="13" t="s">
        <v>145</v>
      </c>
      <c r="AE522" s="2" t="s">
        <v>111</v>
      </c>
      <c r="AF522" s="28" t="str" cm="1">
        <f t="array" ref="AF52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22" s="21">
        <v>18</v>
      </c>
      <c r="AH522" s="2" t="s">
        <v>154</v>
      </c>
      <c r="AI522"/>
      <c r="AZ522"/>
      <c r="BC522"/>
      <c r="BE522"/>
      <c r="BL522"/>
      <c r="BZ522"/>
      <c r="CA522"/>
      <c r="CF522"/>
      <c r="CG522"/>
      <c r="CH522"/>
      <c r="CI522"/>
      <c r="CK522"/>
      <c r="CN522"/>
    </row>
    <row r="523" spans="1:92" x14ac:dyDescent="0.3">
      <c r="A523" s="4">
        <v>521</v>
      </c>
      <c r="B523" s="11">
        <v>48</v>
      </c>
      <c r="C523" s="2" t="str">
        <f>_xlfn.XLOOKUP(Table1[[#This Row],[Age]],Table7[Start_Age],Table7[Age_Range],,-1)</f>
        <v>39-49</v>
      </c>
      <c r="D523" t="s">
        <v>136</v>
      </c>
      <c r="E523" s="2" t="s">
        <v>131</v>
      </c>
      <c r="F523" s="2" t="s">
        <v>137</v>
      </c>
      <c r="G523" s="3">
        <v>1</v>
      </c>
      <c r="H523" s="13" t="s">
        <v>152</v>
      </c>
      <c r="I523" s="2" t="str" cm="1">
        <f t="array" ref="I523">_xlfn.IFS(Table1[[#This Row],[Job_Type]] = "unskilled resident", "Resident",
Table1[[#This Row],[Job_Type]] = "unemp/unskilled non res", "Non-resident",
TRUE, "Unknown")</f>
        <v>Resident</v>
      </c>
      <c r="J523" s="2" t="s">
        <v>149</v>
      </c>
      <c r="K523" s="3">
        <v>4</v>
      </c>
      <c r="L523" s="2" t="s">
        <v>144</v>
      </c>
      <c r="M523" s="13" t="s">
        <v>152</v>
      </c>
      <c r="N523" t="s">
        <v>30</v>
      </c>
      <c r="O523" s="2" t="str">
        <f>_xlfn.XLOOKUP(Table1[[#This Row],[Checking_Acct_Status]],Table3[Checking_Acct_Original],Table3[Category])</f>
        <v>Low Balance</v>
      </c>
      <c r="P523" s="10" t="s">
        <v>32</v>
      </c>
      <c r="Q523" s="13" t="str">
        <f>_xlfn.XLOOKUP(Table1[[#This Row],[Saving_Acct_Status]],Table5[Saving_Acct_Original],Table5[Category])</f>
        <v>Low Savings</v>
      </c>
      <c r="R523" t="s">
        <v>27</v>
      </c>
      <c r="S523" s="2" t="str">
        <f>IF(
      OR(Table1[[#This Row],[Job_Type]] = "high qualif/self emp/mgmt", Table1[[#This Row],[Job_Type]] = "skilled"),
      "Skilled", "Unskilled")</f>
        <v>Unskilled</v>
      </c>
      <c r="T523" t="str">
        <f>IF(Table1[[#This Row],[Job_Type]] = "unemp/unskilled non res", "Unemployed", "Employed")</f>
        <v>Employed</v>
      </c>
      <c r="U523" t="s">
        <v>38</v>
      </c>
      <c r="V523" s="14" t="str" cm="1">
        <f t="array" ref="V52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23" t="s">
        <v>103</v>
      </c>
      <c r="X523" s="2" t="str">
        <f>_xlfn.XLOOKUP(Table1[[#This Row],[Loan_Credit_History]],Table4[Credit History],Table4[[ Category]])</f>
        <v>Critical Credit History</v>
      </c>
      <c r="Y523" s="3">
        <v>3</v>
      </c>
      <c r="Z523" s="3">
        <v>2</v>
      </c>
      <c r="AA523" s="5">
        <v>1795</v>
      </c>
      <c r="AB523" t="s">
        <v>58</v>
      </c>
      <c r="AC523" s="2" t="str" cm="1">
        <f t="array" ref="AC523">_xlfn.IFS(Table1[[#This Row],[Others_Parties]] = "No", "None",
Table1[[#This Row],[Others_Parties]] = "co applicant", "Co-applicant",
Table1[[#This Row],[Others_Parties]] = "guarantor", "Guarantor")</f>
        <v>Guarantor</v>
      </c>
      <c r="AD523" s="13" t="s">
        <v>146</v>
      </c>
      <c r="AE523" s="2" t="s">
        <v>111</v>
      </c>
      <c r="AF523" s="28" t="str" cm="1">
        <f t="array" ref="AF52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23" s="21">
        <v>18</v>
      </c>
      <c r="AH523" s="2" t="s">
        <v>154</v>
      </c>
      <c r="AI523"/>
      <c r="AZ523"/>
      <c r="BC523"/>
      <c r="BE523"/>
      <c r="BL523"/>
      <c r="BZ523"/>
      <c r="CA523"/>
      <c r="CF523"/>
      <c r="CG523"/>
      <c r="CH523"/>
      <c r="CI523"/>
      <c r="CK523"/>
      <c r="CN523"/>
    </row>
    <row r="524" spans="1:92" x14ac:dyDescent="0.3">
      <c r="A524" s="4">
        <v>522</v>
      </c>
      <c r="B524" s="11">
        <v>24</v>
      </c>
      <c r="C524" s="2" t="str">
        <f>_xlfn.XLOOKUP(Table1[[#This Row],[Age]],Table7[Start_Age],Table7[Age_Range],,-1)</f>
        <v>19-29</v>
      </c>
      <c r="D524" t="s">
        <v>130</v>
      </c>
      <c r="E524" s="2" t="s">
        <v>129</v>
      </c>
      <c r="F524" s="2" t="s">
        <v>133</v>
      </c>
      <c r="G524" s="3">
        <v>1</v>
      </c>
      <c r="H524" s="13" t="s">
        <v>152</v>
      </c>
      <c r="I524" s="2" t="str" cm="1">
        <f t="array" ref="I524">_xlfn.IFS(Table1[[#This Row],[Job_Type]] = "unskilled resident", "Resident",
Table1[[#This Row],[Job_Type]] = "unemp/unskilled non res", "Non-resident",
TRUE, "Unknown")</f>
        <v>Unknown</v>
      </c>
      <c r="J524" s="2" t="s">
        <v>148</v>
      </c>
      <c r="K524" s="3">
        <v>2</v>
      </c>
      <c r="L524" s="2" t="s">
        <v>140</v>
      </c>
      <c r="M524" s="13" t="s">
        <v>151</v>
      </c>
      <c r="N524" t="s">
        <v>17</v>
      </c>
      <c r="O524" s="2" t="str">
        <f>_xlfn.XLOOKUP(Table1[[#This Row],[Checking_Acct_Status]],Table3[Checking_Acct_Original],Table3[Category])</f>
        <v>No Account</v>
      </c>
      <c r="P524" s="10" t="s">
        <v>32</v>
      </c>
      <c r="Q524" s="13" t="str">
        <f>_xlfn.XLOOKUP(Table1[[#This Row],[Saving_Acct_Status]],Table5[Saving_Acct_Original],Table5[Category])</f>
        <v>Low Savings</v>
      </c>
      <c r="R524" t="s">
        <v>41</v>
      </c>
      <c r="S524" s="2" t="str">
        <f>IF(
      OR(Table1[[#This Row],[Job_Type]] = "high qualif/self emp/mgmt", Table1[[#This Row],[Job_Type]] = "skilled"),
      "Skilled", "Unskilled")</f>
        <v>Skilled</v>
      </c>
      <c r="T524" t="str">
        <f>IF(Table1[[#This Row],[Job_Type]] = "unemp/unskilled non res", "Unemployed", "Employed")</f>
        <v>Employed</v>
      </c>
      <c r="U524" t="s">
        <v>21</v>
      </c>
      <c r="V524" s="14" t="str" cm="1">
        <f t="array" ref="V52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24" t="s">
        <v>103</v>
      </c>
      <c r="X524" s="2" t="str">
        <f>_xlfn.XLOOKUP(Table1[[#This Row],[Loan_Credit_History]],Table4[Credit History],Table4[[ Category]])</f>
        <v>Critical Credit History</v>
      </c>
      <c r="Y524" s="3">
        <v>4</v>
      </c>
      <c r="Z524" s="3">
        <v>2</v>
      </c>
      <c r="AA524" s="5">
        <v>1800</v>
      </c>
      <c r="AB524" t="s">
        <v>151</v>
      </c>
      <c r="AC524" s="2" t="str" cm="1">
        <f t="array" ref="AC524">_xlfn.IFS(Table1[[#This Row],[Others_Parties]] = "No", "None",
Table1[[#This Row],[Others_Parties]] = "co applicant", "Co-applicant",
Table1[[#This Row],[Others_Parties]] = "guarantor", "Guarantor")</f>
        <v>None</v>
      </c>
      <c r="AD524" s="13" t="s">
        <v>145</v>
      </c>
      <c r="AE524" s="2" t="s">
        <v>111</v>
      </c>
      <c r="AF524" s="28" t="str" cm="1">
        <f t="array" ref="AF52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24" s="21">
        <v>18</v>
      </c>
      <c r="AH524" s="2" t="s">
        <v>154</v>
      </c>
      <c r="AI524"/>
      <c r="AZ524"/>
      <c r="BC524"/>
      <c r="BE524"/>
      <c r="BL524"/>
      <c r="BZ524"/>
      <c r="CA524"/>
      <c r="CF524"/>
      <c r="CG524"/>
      <c r="CH524"/>
      <c r="CI524"/>
      <c r="CK524"/>
      <c r="CN524"/>
    </row>
    <row r="525" spans="1:92" x14ac:dyDescent="0.3">
      <c r="A525" s="4">
        <v>523</v>
      </c>
      <c r="B525" s="11">
        <v>22</v>
      </c>
      <c r="C525" s="2" t="str">
        <f>_xlfn.XLOOKUP(Table1[[#This Row],[Age]],Table7[Start_Age],Table7[Age_Range],,-1)</f>
        <v>19-29</v>
      </c>
      <c r="D525" t="s">
        <v>136</v>
      </c>
      <c r="E525" s="2" t="s">
        <v>131</v>
      </c>
      <c r="F525" s="2" t="s">
        <v>137</v>
      </c>
      <c r="G525" s="3">
        <v>1</v>
      </c>
      <c r="H525" s="13" t="s">
        <v>152</v>
      </c>
      <c r="I525" s="2" t="str" cm="1">
        <f t="array" ref="I525">_xlfn.IFS(Table1[[#This Row],[Job_Type]] = "unskilled resident", "Resident",
Table1[[#This Row],[Job_Type]] = "unemp/unskilled non res", "Non-resident",
TRUE, "Unknown")</f>
        <v>Unknown</v>
      </c>
      <c r="J525" s="2" t="s">
        <v>148</v>
      </c>
      <c r="K525" s="3">
        <v>1</v>
      </c>
      <c r="L525" s="2" t="s">
        <v>144</v>
      </c>
      <c r="M525" s="13" t="s">
        <v>151</v>
      </c>
      <c r="N525" t="s">
        <v>17</v>
      </c>
      <c r="O525" s="2" t="str">
        <f>_xlfn.XLOOKUP(Table1[[#This Row],[Checking_Acct_Status]],Table3[Checking_Acct_Original],Table3[Category])</f>
        <v>No Account</v>
      </c>
      <c r="P525" s="10" t="s">
        <v>32</v>
      </c>
      <c r="Q525" s="13" t="str">
        <f>_xlfn.XLOOKUP(Table1[[#This Row],[Saving_Acct_Status]],Table5[Saving_Acct_Original],Table5[Category])</f>
        <v>Low Savings</v>
      </c>
      <c r="R525" t="s">
        <v>41</v>
      </c>
      <c r="S525" s="2" t="str">
        <f>IF(
      OR(Table1[[#This Row],[Job_Type]] = "high qualif/self emp/mgmt", Table1[[#This Row],[Job_Type]] = "skilled"),
      "Skilled", "Unskilled")</f>
        <v>Skilled</v>
      </c>
      <c r="T525" t="str">
        <f>IF(Table1[[#This Row],[Job_Type]] = "unemp/unskilled non res", "Unemployed", "Employed")</f>
        <v>Employed</v>
      </c>
      <c r="U525" t="s">
        <v>49</v>
      </c>
      <c r="V525" s="14" t="str" cm="1">
        <f t="array" ref="V52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25" t="s">
        <v>59</v>
      </c>
      <c r="X525" s="2" t="str">
        <f>_xlfn.XLOOKUP(Table1[[#This Row],[Loan_Credit_History]],Table4[Credit History],Table4[[ Category]])</f>
        <v>Previously Delayed</v>
      </c>
      <c r="Y525" s="3">
        <v>4</v>
      </c>
      <c r="Z525" s="3">
        <v>1</v>
      </c>
      <c r="AA525" s="5">
        <v>1808</v>
      </c>
      <c r="AB525" t="s">
        <v>151</v>
      </c>
      <c r="AC525" s="2" t="str" cm="1">
        <f t="array" ref="AC525">_xlfn.IFS(Table1[[#This Row],[Others_Parties]] = "No", "None",
Table1[[#This Row],[Others_Parties]] = "co applicant", "Co-applicant",
Table1[[#This Row],[Others_Parties]] = "guarantor", "Guarantor")</f>
        <v>None</v>
      </c>
      <c r="AD525" s="13" t="s">
        <v>145</v>
      </c>
      <c r="AE525" s="2" t="s">
        <v>108</v>
      </c>
      <c r="AF525" s="28" t="str" cm="1">
        <f t="array" ref="AF52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25" s="21">
        <v>18</v>
      </c>
      <c r="AH525" s="2" t="s">
        <v>153</v>
      </c>
      <c r="AI525"/>
      <c r="AZ525"/>
      <c r="BC525"/>
      <c r="BE525"/>
      <c r="BL525"/>
      <c r="BZ525"/>
      <c r="CA525"/>
      <c r="CF525"/>
      <c r="CG525"/>
      <c r="CH525"/>
      <c r="CI525"/>
      <c r="CK525"/>
      <c r="CN525"/>
    </row>
    <row r="526" spans="1:92" x14ac:dyDescent="0.3">
      <c r="A526" s="4">
        <v>524</v>
      </c>
      <c r="B526" s="11">
        <v>28</v>
      </c>
      <c r="C526" s="2" t="str">
        <f>_xlfn.XLOOKUP(Table1[[#This Row],[Age]],Table7[Start_Age],Table7[Age_Range],,-1)</f>
        <v>19-29</v>
      </c>
      <c r="D526" t="s">
        <v>136</v>
      </c>
      <c r="E526" s="2" t="s">
        <v>131</v>
      </c>
      <c r="F526" s="2" t="s">
        <v>137</v>
      </c>
      <c r="G526" s="3">
        <v>1</v>
      </c>
      <c r="H526" s="13" t="s">
        <v>152</v>
      </c>
      <c r="I526" s="2" t="str" cm="1">
        <f t="array" ref="I526">_xlfn.IFS(Table1[[#This Row],[Job_Type]] = "unskilled resident", "Resident",
Table1[[#This Row],[Job_Type]] = "unemp/unskilled non res", "Non-resident",
TRUE, "Unknown")</f>
        <v>Unknown</v>
      </c>
      <c r="J526" s="2" t="s">
        <v>148</v>
      </c>
      <c r="K526" s="3">
        <v>2</v>
      </c>
      <c r="L526" s="2" t="s">
        <v>142</v>
      </c>
      <c r="M526" s="13" t="s">
        <v>151</v>
      </c>
      <c r="N526" t="s">
        <v>17</v>
      </c>
      <c r="O526" s="2" t="str">
        <f>_xlfn.XLOOKUP(Table1[[#This Row],[Checking_Acct_Status]],Table3[Checking_Acct_Original],Table3[Category])</f>
        <v>No Account</v>
      </c>
      <c r="P526" s="10" t="s">
        <v>32</v>
      </c>
      <c r="Q526" s="13" t="str">
        <f>_xlfn.XLOOKUP(Table1[[#This Row],[Saving_Acct_Status]],Table5[Saving_Acct_Original],Table5[Category])</f>
        <v>Low Savings</v>
      </c>
      <c r="R526" t="s">
        <v>41</v>
      </c>
      <c r="S526" s="2" t="str">
        <f>IF(
      OR(Table1[[#This Row],[Job_Type]] = "high qualif/self emp/mgmt", Table1[[#This Row],[Job_Type]] = "skilled"),
      "Skilled", "Unskilled")</f>
        <v>Skilled</v>
      </c>
      <c r="T526" t="str">
        <f>IF(Table1[[#This Row],[Job_Type]] = "unemp/unskilled non res", "Unemployed", "Employed")</f>
        <v>Employed</v>
      </c>
      <c r="U526" t="s">
        <v>21</v>
      </c>
      <c r="V526" s="14" t="str" cm="1">
        <f t="array" ref="V52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26" t="s">
        <v>103</v>
      </c>
      <c r="X526" s="2" t="str">
        <f>_xlfn.XLOOKUP(Table1[[#This Row],[Loan_Credit_History]],Table4[Credit History],Table4[[ Category]])</f>
        <v>Critical Credit History</v>
      </c>
      <c r="Y526" s="3">
        <v>4</v>
      </c>
      <c r="Z526" s="3">
        <v>2</v>
      </c>
      <c r="AA526" s="5">
        <v>1817</v>
      </c>
      <c r="AB526" t="s">
        <v>151</v>
      </c>
      <c r="AC526" s="2" t="str" cm="1">
        <f t="array" ref="AC526">_xlfn.IFS(Table1[[#This Row],[Others_Parties]] = "No", "None",
Table1[[#This Row],[Others_Parties]] = "co applicant", "Co-applicant",
Table1[[#This Row],[Others_Parties]] = "guarantor", "Guarantor")</f>
        <v>None</v>
      </c>
      <c r="AD526" s="13" t="s">
        <v>145</v>
      </c>
      <c r="AE526" s="2" t="s">
        <v>108</v>
      </c>
      <c r="AF526" s="28" t="str" cm="1">
        <f t="array" ref="AF52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26" s="21">
        <v>18</v>
      </c>
      <c r="AH526" s="2" t="s">
        <v>154</v>
      </c>
      <c r="AI526"/>
      <c r="AZ526"/>
      <c r="BC526"/>
      <c r="BE526"/>
      <c r="BL526"/>
      <c r="BZ526"/>
      <c r="CA526"/>
      <c r="CF526"/>
      <c r="CG526"/>
      <c r="CH526"/>
      <c r="CI526"/>
      <c r="CK526"/>
      <c r="CN526"/>
    </row>
    <row r="527" spans="1:92" x14ac:dyDescent="0.3">
      <c r="A527" s="4">
        <v>525</v>
      </c>
      <c r="B527" s="11">
        <v>30</v>
      </c>
      <c r="C527" s="2" t="str">
        <f>_xlfn.XLOOKUP(Table1[[#This Row],[Age]],Table7[Start_Age],Table7[Age_Range],,-1)</f>
        <v>29-39</v>
      </c>
      <c r="D527" t="s">
        <v>134</v>
      </c>
      <c r="E527" s="2" t="s">
        <v>129</v>
      </c>
      <c r="F527" s="2" t="s">
        <v>135</v>
      </c>
      <c r="G527" s="3">
        <v>1</v>
      </c>
      <c r="H527" s="13" t="s">
        <v>152</v>
      </c>
      <c r="I527" s="2" t="str" cm="1">
        <f t="array" ref="I527">_xlfn.IFS(Table1[[#This Row],[Job_Type]] = "unskilled resident", "Resident",
Table1[[#This Row],[Job_Type]] = "unemp/unskilled non res", "Non-resident",
TRUE, "Unknown")</f>
        <v>Unknown</v>
      </c>
      <c r="J527" s="2" t="s">
        <v>148</v>
      </c>
      <c r="K527" s="3">
        <v>2</v>
      </c>
      <c r="L527" s="2" t="s">
        <v>143</v>
      </c>
      <c r="M527" s="13" t="s">
        <v>152</v>
      </c>
      <c r="N527" t="s">
        <v>17</v>
      </c>
      <c r="O527" s="2" t="str">
        <f>_xlfn.XLOOKUP(Table1[[#This Row],[Checking_Acct_Status]],Table3[Checking_Acct_Original],Table3[Category])</f>
        <v>No Account</v>
      </c>
      <c r="P527" s="10" t="s">
        <v>32</v>
      </c>
      <c r="Q527" s="13" t="str">
        <f>_xlfn.XLOOKUP(Table1[[#This Row],[Saving_Acct_Status]],Table5[Saving_Acct_Original],Table5[Category])</f>
        <v>Low Savings</v>
      </c>
      <c r="R527" t="s">
        <v>63</v>
      </c>
      <c r="S527" s="2" t="str">
        <f>IF(
      OR(Table1[[#This Row],[Job_Type]] = "high qualif/self emp/mgmt", Table1[[#This Row],[Job_Type]] = "skilled"),
      "Skilled", "Unskilled")</f>
        <v>Skilled</v>
      </c>
      <c r="T527" t="str">
        <f>IF(Table1[[#This Row],[Job_Type]] = "unemp/unskilled non res", "Unemployed", "Employed")</f>
        <v>Employed</v>
      </c>
      <c r="U527" t="s">
        <v>21</v>
      </c>
      <c r="V527" s="14" t="str" cm="1">
        <f t="array" ref="V52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27" t="s">
        <v>31</v>
      </c>
      <c r="X527" s="2" t="str">
        <f>_xlfn.XLOOKUP(Table1[[#This Row],[Loan_Credit_History]],Table4[Credit History],Table4[[ Category]])</f>
        <v>Existing Credits Paid</v>
      </c>
      <c r="Y527" s="3">
        <v>2</v>
      </c>
      <c r="Z527" s="3">
        <v>1</v>
      </c>
      <c r="AA527" s="5">
        <v>1820</v>
      </c>
      <c r="AB527" t="s">
        <v>151</v>
      </c>
      <c r="AC527" s="2" t="str" cm="1">
        <f t="array" ref="AC527">_xlfn.IFS(Table1[[#This Row],[Others_Parties]] = "No", "None",
Table1[[#This Row],[Others_Parties]] = "co applicant", "Co-applicant",
Table1[[#This Row],[Others_Parties]] = "guarantor", "Guarantor")</f>
        <v>None</v>
      </c>
      <c r="AD527" s="13" t="s">
        <v>145</v>
      </c>
      <c r="AE527" s="2" t="s">
        <v>141</v>
      </c>
      <c r="AF527" s="28" t="str" cm="1">
        <f t="array" ref="AF52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27" s="21">
        <v>18</v>
      </c>
      <c r="AH527" s="2" t="s">
        <v>154</v>
      </c>
      <c r="AI527"/>
      <c r="AZ527"/>
      <c r="BC527"/>
      <c r="BE527"/>
      <c r="BL527"/>
      <c r="BZ527"/>
      <c r="CA527"/>
      <c r="CF527"/>
      <c r="CG527"/>
      <c r="CH527"/>
      <c r="CI527"/>
      <c r="CK527"/>
      <c r="CN527"/>
    </row>
    <row r="528" spans="1:92" x14ac:dyDescent="0.3">
      <c r="A528" s="4">
        <v>526</v>
      </c>
      <c r="B528" s="11">
        <v>30</v>
      </c>
      <c r="C528" s="2" t="str">
        <f>_xlfn.XLOOKUP(Table1[[#This Row],[Age]],Table7[Start_Age],Table7[Age_Range],,-1)</f>
        <v>29-39</v>
      </c>
      <c r="D528" t="s">
        <v>136</v>
      </c>
      <c r="E528" s="2" t="s">
        <v>131</v>
      </c>
      <c r="F528" s="2" t="s">
        <v>137</v>
      </c>
      <c r="G528" s="3">
        <v>1</v>
      </c>
      <c r="H528" s="13" t="s">
        <v>152</v>
      </c>
      <c r="I528" s="2" t="str" cm="1">
        <f t="array" ref="I528">_xlfn.IFS(Table1[[#This Row],[Job_Type]] = "unskilled resident", "Resident",
Table1[[#This Row],[Job_Type]] = "unemp/unskilled non res", "Non-resident",
TRUE, "Unknown")</f>
        <v>Unknown</v>
      </c>
      <c r="J528" s="2" t="s">
        <v>148</v>
      </c>
      <c r="K528" s="3">
        <v>2</v>
      </c>
      <c r="L528" s="2" t="s">
        <v>144</v>
      </c>
      <c r="M528" s="13" t="s">
        <v>151</v>
      </c>
      <c r="N528" t="s">
        <v>17</v>
      </c>
      <c r="O528" s="2" t="str">
        <f>_xlfn.XLOOKUP(Table1[[#This Row],[Checking_Acct_Status]],Table3[Checking_Acct_Original],Table3[Category])</f>
        <v>No Account</v>
      </c>
      <c r="P528" s="10" t="s">
        <v>46</v>
      </c>
      <c r="Q528" s="13" t="str">
        <f>_xlfn.XLOOKUP(Table1[[#This Row],[Saving_Acct_Status]],Table5[Saving_Acct_Original],Table5[Category])</f>
        <v>Medium Savings</v>
      </c>
      <c r="R528" t="s">
        <v>41</v>
      </c>
      <c r="S528" s="2" t="str">
        <f>IF(
      OR(Table1[[#This Row],[Job_Type]] = "high qualif/self emp/mgmt", Table1[[#This Row],[Job_Type]] = "skilled"),
      "Skilled", "Unskilled")</f>
        <v>Skilled</v>
      </c>
      <c r="T528" t="str">
        <f>IF(Table1[[#This Row],[Job_Type]] = "unemp/unskilled non res", "Unemployed", "Employed")</f>
        <v>Employed</v>
      </c>
      <c r="U528" t="s">
        <v>21</v>
      </c>
      <c r="V528" s="14" t="str" cm="1">
        <f t="array" ref="V52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28" t="s">
        <v>103</v>
      </c>
      <c r="X528" s="2" t="str">
        <f>_xlfn.XLOOKUP(Table1[[#This Row],[Loan_Credit_History]],Table4[Credit History],Table4[[ Category]])</f>
        <v>Critical Credit History</v>
      </c>
      <c r="Y528" s="3">
        <v>4</v>
      </c>
      <c r="Z528" s="3">
        <v>2</v>
      </c>
      <c r="AA528" s="5">
        <v>1864</v>
      </c>
      <c r="AB528" t="s">
        <v>151</v>
      </c>
      <c r="AC528" s="2" t="str" cm="1">
        <f t="array" ref="AC528">_xlfn.IFS(Table1[[#This Row],[Others_Parties]] = "No", "None",
Table1[[#This Row],[Others_Parties]] = "co applicant", "Co-applicant",
Table1[[#This Row],[Others_Parties]] = "guarantor", "Guarantor")</f>
        <v>None</v>
      </c>
      <c r="AD528" s="13" t="s">
        <v>145</v>
      </c>
      <c r="AE528" s="2" t="s">
        <v>100</v>
      </c>
      <c r="AF528" s="28" t="str" cm="1">
        <f t="array" ref="AF52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28" s="21">
        <v>18</v>
      </c>
      <c r="AH528" s="2" t="s">
        <v>153</v>
      </c>
      <c r="AI528"/>
      <c r="AZ528"/>
      <c r="BC528"/>
      <c r="BE528"/>
      <c r="BL528"/>
      <c r="BZ528"/>
      <c r="CA528"/>
      <c r="CF528"/>
      <c r="CG528"/>
      <c r="CH528"/>
      <c r="CI528"/>
      <c r="CK528"/>
      <c r="CN528"/>
    </row>
    <row r="529" spans="1:92" x14ac:dyDescent="0.3">
      <c r="A529" s="4">
        <v>527</v>
      </c>
      <c r="B529" s="11">
        <v>32</v>
      </c>
      <c r="C529" s="2" t="str">
        <f>_xlfn.XLOOKUP(Table1[[#This Row],[Age]],Table7[Start_Age],Table7[Age_Range],,-1)</f>
        <v>29-39</v>
      </c>
      <c r="D529" t="s">
        <v>134</v>
      </c>
      <c r="E529" s="2" t="s">
        <v>129</v>
      </c>
      <c r="F529" s="2" t="s">
        <v>135</v>
      </c>
      <c r="G529" s="3">
        <v>1</v>
      </c>
      <c r="H529" s="13" t="s">
        <v>152</v>
      </c>
      <c r="I529" s="2" t="str" cm="1">
        <f t="array" ref="I529">_xlfn.IFS(Table1[[#This Row],[Job_Type]] = "unskilled resident", "Resident",
Table1[[#This Row],[Job_Type]] = "unemp/unskilled non res", "Non-resident",
TRUE, "Unknown")</f>
        <v>Unknown</v>
      </c>
      <c r="J529" s="2" t="s">
        <v>148</v>
      </c>
      <c r="K529" s="3">
        <v>1</v>
      </c>
      <c r="L529" s="2" t="s">
        <v>143</v>
      </c>
      <c r="M529" s="13" t="s">
        <v>152</v>
      </c>
      <c r="N529" t="s">
        <v>35</v>
      </c>
      <c r="O529" s="2" t="str">
        <f>_xlfn.XLOOKUP(Table1[[#This Row],[Checking_Acct_Status]],Table3[Checking_Acct_Original],Table3[Category])</f>
        <v>Negative Balance</v>
      </c>
      <c r="P529" s="10" t="s">
        <v>32</v>
      </c>
      <c r="Q529" s="13" t="str">
        <f>_xlfn.XLOOKUP(Table1[[#This Row],[Saving_Acct_Status]],Table5[Saving_Acct_Original],Table5[Category])</f>
        <v>Low Savings</v>
      </c>
      <c r="R529" t="s">
        <v>63</v>
      </c>
      <c r="S529" s="2" t="str">
        <f>IF(
      OR(Table1[[#This Row],[Job_Type]] = "high qualif/self emp/mgmt", Table1[[#This Row],[Job_Type]] = "skilled"),
      "Skilled", "Unskilled")</f>
        <v>Skilled</v>
      </c>
      <c r="T529" t="str">
        <f>IF(Table1[[#This Row],[Job_Type]] = "unemp/unskilled non res", "Unemployed", "Employed")</f>
        <v>Employed</v>
      </c>
      <c r="U529" t="s">
        <v>49</v>
      </c>
      <c r="V529" s="14" t="str" cm="1">
        <f t="array" ref="V52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29" t="s">
        <v>103</v>
      </c>
      <c r="X529" s="2" t="str">
        <f>_xlfn.XLOOKUP(Table1[[#This Row],[Loan_Credit_History]],Table4[Credit History],Table4[[ Category]])</f>
        <v>Critical Credit History</v>
      </c>
      <c r="Y529" s="3">
        <v>4</v>
      </c>
      <c r="Z529" s="3">
        <v>2</v>
      </c>
      <c r="AA529" s="5">
        <v>1880</v>
      </c>
      <c r="AB529" t="s">
        <v>151</v>
      </c>
      <c r="AC529" s="2" t="str" cm="1">
        <f t="array" ref="AC529">_xlfn.IFS(Table1[[#This Row],[Others_Parties]] = "No", "None",
Table1[[#This Row],[Others_Parties]] = "co applicant", "Co-applicant",
Table1[[#This Row],[Others_Parties]] = "guarantor", "Guarantor")</f>
        <v>None</v>
      </c>
      <c r="AD529" s="13" t="s">
        <v>145</v>
      </c>
      <c r="AE529" s="2" t="s">
        <v>111</v>
      </c>
      <c r="AF529" s="28" t="str" cm="1">
        <f t="array" ref="AF52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29" s="21">
        <v>18</v>
      </c>
      <c r="AH529" s="2" t="s">
        <v>154</v>
      </c>
      <c r="AI529"/>
      <c r="AZ529"/>
      <c r="BC529"/>
      <c r="BE529"/>
      <c r="BL529"/>
      <c r="BZ529"/>
      <c r="CA529"/>
      <c r="CF529"/>
      <c r="CG529"/>
      <c r="CH529"/>
      <c r="CI529"/>
      <c r="CK529"/>
      <c r="CN529"/>
    </row>
    <row r="530" spans="1:92" x14ac:dyDescent="0.3">
      <c r="A530" s="4">
        <v>528</v>
      </c>
      <c r="B530" s="11">
        <v>25</v>
      </c>
      <c r="C530" s="2" t="str">
        <f>_xlfn.XLOOKUP(Table1[[#This Row],[Age]],Table7[Start_Age],Table7[Age_Range],,-1)</f>
        <v>19-29</v>
      </c>
      <c r="D530" t="s">
        <v>136</v>
      </c>
      <c r="E530" s="2" t="s">
        <v>131</v>
      </c>
      <c r="F530" s="2" t="s">
        <v>137</v>
      </c>
      <c r="G530" s="3">
        <v>1</v>
      </c>
      <c r="H530" s="13" t="s">
        <v>152</v>
      </c>
      <c r="I530" s="2" t="str" cm="1">
        <f t="array" ref="I530">_xlfn.IFS(Table1[[#This Row],[Job_Type]] = "unskilled resident", "Resident",
Table1[[#This Row],[Job_Type]] = "unemp/unskilled non res", "Non-resident",
TRUE, "Unknown")</f>
        <v>Unknown</v>
      </c>
      <c r="J530" s="2" t="s">
        <v>149</v>
      </c>
      <c r="K530" s="3">
        <v>4</v>
      </c>
      <c r="L530" s="2" t="s">
        <v>140</v>
      </c>
      <c r="M530" s="13" t="s">
        <v>151</v>
      </c>
      <c r="N530" t="s">
        <v>35</v>
      </c>
      <c r="O530" s="2" t="str">
        <f>_xlfn.XLOOKUP(Table1[[#This Row],[Checking_Acct_Status]],Table3[Checking_Acct_Original],Table3[Category])</f>
        <v>Negative Balance</v>
      </c>
      <c r="P530" s="10" t="s">
        <v>32</v>
      </c>
      <c r="Q530" s="13" t="str">
        <f>_xlfn.XLOOKUP(Table1[[#This Row],[Saving_Acct_Status]],Table5[Saving_Acct_Original],Table5[Category])</f>
        <v>Low Savings</v>
      </c>
      <c r="R530" t="s">
        <v>41</v>
      </c>
      <c r="S530" s="2" t="str">
        <f>IF(
      OR(Table1[[#This Row],[Job_Type]] = "high qualif/self emp/mgmt", Table1[[#This Row],[Job_Type]] = "skilled"),
      "Skilled", "Unskilled")</f>
        <v>Skilled</v>
      </c>
      <c r="T530" t="str">
        <f>IF(Table1[[#This Row],[Job_Type]] = "unemp/unskilled non res", "Unemployed", "Employed")</f>
        <v>Employed</v>
      </c>
      <c r="U530" t="s">
        <v>21</v>
      </c>
      <c r="V530" s="14" t="str" cm="1">
        <f t="array" ref="V53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30" t="s">
        <v>31</v>
      </c>
      <c r="X530" s="2" t="str">
        <f>_xlfn.XLOOKUP(Table1[[#This Row],[Loan_Credit_History]],Table4[Credit History],Table4[[ Category]])</f>
        <v>Existing Credits Paid</v>
      </c>
      <c r="Y530" s="3">
        <v>4</v>
      </c>
      <c r="Z530" s="3">
        <v>2</v>
      </c>
      <c r="AA530" s="5">
        <v>1882</v>
      </c>
      <c r="AB530" t="s">
        <v>151</v>
      </c>
      <c r="AC530" s="2" t="str" cm="1">
        <f t="array" ref="AC530">_xlfn.IFS(Table1[[#This Row],[Others_Parties]] = "No", "None",
Table1[[#This Row],[Others_Parties]] = "co applicant", "Co-applicant",
Table1[[#This Row],[Others_Parties]] = "guarantor", "Guarantor")</f>
        <v>None</v>
      </c>
      <c r="AD530" s="13" t="s">
        <v>146</v>
      </c>
      <c r="AE530" s="2" t="s">
        <v>111</v>
      </c>
      <c r="AF530" s="28" t="str" cm="1">
        <f t="array" ref="AF53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30" s="21">
        <v>18</v>
      </c>
      <c r="AH530" s="2" t="s">
        <v>153</v>
      </c>
      <c r="AI530"/>
      <c r="AZ530"/>
      <c r="BC530"/>
      <c r="BE530"/>
      <c r="BL530"/>
      <c r="BZ530"/>
      <c r="CA530"/>
      <c r="CF530"/>
      <c r="CG530"/>
      <c r="CH530"/>
      <c r="CI530"/>
      <c r="CK530"/>
      <c r="CN530"/>
    </row>
    <row r="531" spans="1:92" x14ac:dyDescent="0.3">
      <c r="A531" s="4">
        <v>529</v>
      </c>
      <c r="B531" s="11">
        <v>28</v>
      </c>
      <c r="C531" s="2" t="str">
        <f>_xlfn.XLOOKUP(Table1[[#This Row],[Age]],Table7[Start_Age],Table7[Age_Range],,-1)</f>
        <v>19-29</v>
      </c>
      <c r="D531" t="s">
        <v>134</v>
      </c>
      <c r="E531" s="2" t="s">
        <v>129</v>
      </c>
      <c r="F531" s="2" t="s">
        <v>135</v>
      </c>
      <c r="G531" s="3">
        <v>1</v>
      </c>
      <c r="H531" s="13" t="s">
        <v>152</v>
      </c>
      <c r="I531" s="2" t="str" cm="1">
        <f t="array" ref="I531">_xlfn.IFS(Table1[[#This Row],[Job_Type]] = "unskilled resident", "Resident",
Table1[[#This Row],[Job_Type]] = "unemp/unskilled non res", "Non-resident",
TRUE, "Unknown")</f>
        <v>Unknown</v>
      </c>
      <c r="J531" s="2" t="s">
        <v>148</v>
      </c>
      <c r="K531" s="3">
        <v>4</v>
      </c>
      <c r="L531" s="2" t="s">
        <v>144</v>
      </c>
      <c r="M531" s="13" t="s">
        <v>151</v>
      </c>
      <c r="N531" t="s">
        <v>30</v>
      </c>
      <c r="O531" s="2" t="str">
        <f>_xlfn.XLOOKUP(Table1[[#This Row],[Checking_Acct_Status]],Table3[Checking_Acct_Original],Table3[Category])</f>
        <v>Low Balance</v>
      </c>
      <c r="P531" s="10" t="s">
        <v>47</v>
      </c>
      <c r="Q531" s="13" t="str">
        <f>_xlfn.XLOOKUP(Table1[[#This Row],[Saving_Acct_Status]],Table5[Saving_Acct_Original],Table5[Category])</f>
        <v>No Savings</v>
      </c>
      <c r="R531" t="s">
        <v>41</v>
      </c>
      <c r="S531" s="2" t="str">
        <f>IF(
      OR(Table1[[#This Row],[Job_Type]] = "high qualif/self emp/mgmt", Table1[[#This Row],[Job_Type]] = "skilled"),
      "Skilled", "Unskilled")</f>
        <v>Skilled</v>
      </c>
      <c r="T531" t="str">
        <f>IF(Table1[[#This Row],[Job_Type]] = "unemp/unskilled non res", "Unemployed", "Employed")</f>
        <v>Employed</v>
      </c>
      <c r="U531" t="s">
        <v>21</v>
      </c>
      <c r="V531" s="14" t="str" cm="1">
        <f t="array" ref="V53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31" t="s">
        <v>103</v>
      </c>
      <c r="X531" s="2" t="str">
        <f>_xlfn.XLOOKUP(Table1[[#This Row],[Loan_Credit_History]],Table4[Credit History],Table4[[ Category]])</f>
        <v>Critical Credit History</v>
      </c>
      <c r="Y531" s="3">
        <v>4</v>
      </c>
      <c r="Z531" s="3">
        <v>2</v>
      </c>
      <c r="AA531" s="5">
        <v>1887</v>
      </c>
      <c r="AB531" t="s">
        <v>151</v>
      </c>
      <c r="AC531" s="2" t="str" cm="1">
        <f t="array" ref="AC531">_xlfn.IFS(Table1[[#This Row],[Others_Parties]] = "No", "None",
Table1[[#This Row],[Others_Parties]] = "co applicant", "Co-applicant",
Table1[[#This Row],[Others_Parties]] = "guarantor", "Guarantor")</f>
        <v>None</v>
      </c>
      <c r="AD531" s="13" t="s">
        <v>146</v>
      </c>
      <c r="AE531" s="2" t="s">
        <v>105</v>
      </c>
      <c r="AF531" s="28" t="str" cm="1">
        <f t="array" ref="AF53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31" s="21">
        <v>18</v>
      </c>
      <c r="AH531" s="2" t="s">
        <v>154</v>
      </c>
      <c r="AI531"/>
      <c r="AZ531"/>
      <c r="BC531"/>
      <c r="BE531"/>
      <c r="BL531"/>
      <c r="BZ531"/>
      <c r="CA531"/>
      <c r="CF531"/>
      <c r="CG531"/>
      <c r="CH531"/>
      <c r="CI531"/>
      <c r="CK531"/>
      <c r="CN531"/>
    </row>
    <row r="532" spans="1:92" x14ac:dyDescent="0.3">
      <c r="A532" s="4">
        <v>530</v>
      </c>
      <c r="B532" s="11">
        <v>36</v>
      </c>
      <c r="C532" s="2" t="str">
        <f>_xlfn.XLOOKUP(Table1[[#This Row],[Age]],Table7[Start_Age],Table7[Age_Range],,-1)</f>
        <v>29-39</v>
      </c>
      <c r="D532" t="s">
        <v>134</v>
      </c>
      <c r="E532" s="2" t="s">
        <v>129</v>
      </c>
      <c r="F532" s="2" t="s">
        <v>135</v>
      </c>
      <c r="G532" s="3">
        <v>1</v>
      </c>
      <c r="H532" s="13" t="s">
        <v>152</v>
      </c>
      <c r="I532" s="2" t="str" cm="1">
        <f t="array" ref="I532">_xlfn.IFS(Table1[[#This Row],[Job_Type]] = "unskilled resident", "Resident",
Table1[[#This Row],[Job_Type]] = "unemp/unskilled non res", "Non-resident",
TRUE, "Unknown")</f>
        <v>Unknown</v>
      </c>
      <c r="J532" s="2" t="s">
        <v>148</v>
      </c>
      <c r="K532" s="3">
        <v>3</v>
      </c>
      <c r="L532" s="2" t="s">
        <v>144</v>
      </c>
      <c r="M532" s="13" t="s">
        <v>152</v>
      </c>
      <c r="N532" t="s">
        <v>30</v>
      </c>
      <c r="O532" s="2" t="str">
        <f>_xlfn.XLOOKUP(Table1[[#This Row],[Checking_Acct_Status]],Table3[Checking_Acct_Original],Table3[Category])</f>
        <v>Low Balance</v>
      </c>
      <c r="P532" s="10" t="s">
        <v>20</v>
      </c>
      <c r="Q532" s="13" t="str">
        <f>_xlfn.XLOOKUP(Table1[[#This Row],[Saving_Acct_Status]],Table5[Saving_Acct_Original],Table5[Category])</f>
        <v>Very High Savings</v>
      </c>
      <c r="R532" t="s">
        <v>41</v>
      </c>
      <c r="S532" s="2" t="str">
        <f>IF(
      OR(Table1[[#This Row],[Job_Type]] = "high qualif/self emp/mgmt", Table1[[#This Row],[Job_Type]] = "skilled"),
      "Skilled", "Unskilled")</f>
        <v>Skilled</v>
      </c>
      <c r="T532" t="str">
        <f>IF(Table1[[#This Row],[Job_Type]] = "unemp/unskilled non res", "Unemployed", "Employed")</f>
        <v>Employed</v>
      </c>
      <c r="U532" t="s">
        <v>45</v>
      </c>
      <c r="V532" s="14" t="str" cm="1">
        <f t="array" ref="V53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32" t="s">
        <v>31</v>
      </c>
      <c r="X532" s="2" t="str">
        <f>_xlfn.XLOOKUP(Table1[[#This Row],[Loan_Credit_History]],Table4[Credit History],Table4[[ Category]])</f>
        <v>Existing Credits Paid</v>
      </c>
      <c r="Y532" s="3">
        <v>3</v>
      </c>
      <c r="Z532" s="3">
        <v>1</v>
      </c>
      <c r="AA532" s="5">
        <v>1913</v>
      </c>
      <c r="AB532" t="s">
        <v>151</v>
      </c>
      <c r="AC532" s="2" t="str" cm="1">
        <f t="array" ref="AC532">_xlfn.IFS(Table1[[#This Row],[Others_Parties]] = "No", "None",
Table1[[#This Row],[Others_Parties]] = "co applicant", "Co-applicant",
Table1[[#This Row],[Others_Parties]] = "guarantor", "Guarantor")</f>
        <v>None</v>
      </c>
      <c r="AD532" s="13" t="s">
        <v>146</v>
      </c>
      <c r="AE532" s="2" t="s">
        <v>105</v>
      </c>
      <c r="AF532" s="28" t="str" cm="1">
        <f t="array" ref="AF53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32" s="21">
        <v>18</v>
      </c>
      <c r="AH532" s="2" t="s">
        <v>154</v>
      </c>
      <c r="AI532"/>
      <c r="AZ532"/>
      <c r="BC532"/>
      <c r="BE532"/>
      <c r="BL532"/>
      <c r="BZ532"/>
      <c r="CA532"/>
      <c r="CF532"/>
      <c r="CG532"/>
      <c r="CH532"/>
      <c r="CI532"/>
      <c r="CK532"/>
      <c r="CN532"/>
    </row>
    <row r="533" spans="1:92" x14ac:dyDescent="0.3">
      <c r="A533" s="4">
        <v>531</v>
      </c>
      <c r="B533" s="11">
        <v>27</v>
      </c>
      <c r="C533" s="2" t="str">
        <f>_xlfn.XLOOKUP(Table1[[#This Row],[Age]],Table7[Start_Age],Table7[Age_Range],,-1)</f>
        <v>19-29</v>
      </c>
      <c r="D533" t="s">
        <v>136</v>
      </c>
      <c r="E533" s="2" t="s">
        <v>131</v>
      </c>
      <c r="F533" s="2" t="s">
        <v>137</v>
      </c>
      <c r="G533" s="3">
        <v>1</v>
      </c>
      <c r="H533" s="13" t="s">
        <v>152</v>
      </c>
      <c r="I533" s="2" t="str" cm="1">
        <f t="array" ref="I533">_xlfn.IFS(Table1[[#This Row],[Job_Type]] = "unskilled resident", "Resident",
Table1[[#This Row],[Job_Type]] = "unemp/unskilled non res", "Non-resident",
TRUE, "Unknown")</f>
        <v>Unknown</v>
      </c>
      <c r="J533" s="2" t="s">
        <v>149</v>
      </c>
      <c r="K533" s="3">
        <v>3</v>
      </c>
      <c r="L533" s="2" t="s">
        <v>144</v>
      </c>
      <c r="M533" s="13" t="s">
        <v>151</v>
      </c>
      <c r="N533" t="s">
        <v>30</v>
      </c>
      <c r="O533" s="2" t="str">
        <f>_xlfn.XLOOKUP(Table1[[#This Row],[Checking_Acct_Status]],Table3[Checking_Acct_Original],Table3[Category])</f>
        <v>Low Balance</v>
      </c>
      <c r="P533" s="10" t="s">
        <v>47</v>
      </c>
      <c r="Q533" s="13" t="str">
        <f>_xlfn.XLOOKUP(Table1[[#This Row],[Saving_Acct_Status]],Table5[Saving_Acct_Original],Table5[Category])</f>
        <v>No Savings</v>
      </c>
      <c r="R533" t="s">
        <v>41</v>
      </c>
      <c r="S533" s="2" t="str">
        <f>IF(
      OR(Table1[[#This Row],[Job_Type]] = "high qualif/self emp/mgmt", Table1[[#This Row],[Job_Type]] = "skilled"),
      "Skilled", "Unskilled")</f>
        <v>Skilled</v>
      </c>
      <c r="T533" t="str">
        <f>IF(Table1[[#This Row],[Job_Type]] = "unemp/unskilled non res", "Unemployed", "Employed")</f>
        <v>Employed</v>
      </c>
      <c r="U533" t="s">
        <v>45</v>
      </c>
      <c r="V533" s="14" t="str" cm="1">
        <f t="array" ref="V53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33" t="s">
        <v>31</v>
      </c>
      <c r="X533" s="2" t="str">
        <f>_xlfn.XLOOKUP(Table1[[#This Row],[Loan_Credit_History]],Table4[Credit History],Table4[[ Category]])</f>
        <v>Existing Credits Paid</v>
      </c>
      <c r="Y533" s="3">
        <v>4</v>
      </c>
      <c r="Z533" s="3">
        <v>1</v>
      </c>
      <c r="AA533" s="5">
        <v>1924</v>
      </c>
      <c r="AB533" t="s">
        <v>151</v>
      </c>
      <c r="AC533" s="2" t="str" cm="1">
        <f t="array" ref="AC533">_xlfn.IFS(Table1[[#This Row],[Others_Parties]] = "No", "None",
Table1[[#This Row],[Others_Parties]] = "co applicant", "Co-applicant",
Table1[[#This Row],[Others_Parties]] = "guarantor", "Guarantor")</f>
        <v>None</v>
      </c>
      <c r="AD533" s="13" t="s">
        <v>145</v>
      </c>
      <c r="AE533" s="2" t="s">
        <v>108</v>
      </c>
      <c r="AF533" s="28" t="str" cm="1">
        <f t="array" ref="AF53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33" s="21">
        <v>18</v>
      </c>
      <c r="AH533" s="2" t="s">
        <v>153</v>
      </c>
      <c r="AI533"/>
      <c r="AZ533"/>
      <c r="BC533"/>
      <c r="BE533"/>
      <c r="BL533"/>
      <c r="BZ533"/>
      <c r="CA533"/>
      <c r="CF533"/>
      <c r="CG533"/>
      <c r="CH533"/>
      <c r="CI533"/>
      <c r="CK533"/>
      <c r="CN533"/>
    </row>
    <row r="534" spans="1:92" x14ac:dyDescent="0.3">
      <c r="A534" s="4">
        <v>532</v>
      </c>
      <c r="B534" s="11">
        <v>31</v>
      </c>
      <c r="C534" s="2" t="str">
        <f>_xlfn.XLOOKUP(Table1[[#This Row],[Age]],Table7[Start_Age],Table7[Age_Range],,-1)</f>
        <v>29-39</v>
      </c>
      <c r="D534" t="s">
        <v>130</v>
      </c>
      <c r="E534" s="2" t="s">
        <v>129</v>
      </c>
      <c r="F534" s="2" t="s">
        <v>133</v>
      </c>
      <c r="G534" s="3">
        <v>1</v>
      </c>
      <c r="H534" s="13" t="s">
        <v>152</v>
      </c>
      <c r="I534" s="2" t="str" cm="1">
        <f t="array" ref="I534">_xlfn.IFS(Table1[[#This Row],[Job_Type]] = "unskilled resident", "Resident",
Table1[[#This Row],[Job_Type]] = "unemp/unskilled non res", "Non-resident",
TRUE, "Unknown")</f>
        <v>Resident</v>
      </c>
      <c r="J534" s="2" t="s">
        <v>148</v>
      </c>
      <c r="K534" s="3">
        <v>2</v>
      </c>
      <c r="L534" s="2" t="s">
        <v>144</v>
      </c>
      <c r="M534" s="13" t="s">
        <v>151</v>
      </c>
      <c r="N534" t="s">
        <v>30</v>
      </c>
      <c r="O534" s="2" t="str">
        <f>_xlfn.XLOOKUP(Table1[[#This Row],[Checking_Acct_Status]],Table3[Checking_Acct_Original],Table3[Category])</f>
        <v>Low Balance</v>
      </c>
      <c r="P534" s="10" t="s">
        <v>32</v>
      </c>
      <c r="Q534" s="13" t="str">
        <f>_xlfn.XLOOKUP(Table1[[#This Row],[Saving_Acct_Status]],Table5[Saving_Acct_Original],Table5[Category])</f>
        <v>Low Savings</v>
      </c>
      <c r="R534" t="s">
        <v>27</v>
      </c>
      <c r="S534" s="2" t="str">
        <f>IF(
      OR(Table1[[#This Row],[Job_Type]] = "high qualif/self emp/mgmt", Table1[[#This Row],[Job_Type]] = "skilled"),
      "Skilled", "Unskilled")</f>
        <v>Unskilled</v>
      </c>
      <c r="T534" t="str">
        <f>IF(Table1[[#This Row],[Job_Type]] = "unemp/unskilled non res", "Unemployed", "Employed")</f>
        <v>Employed</v>
      </c>
      <c r="U534" t="s">
        <v>45</v>
      </c>
      <c r="V534" s="14" t="str" cm="1">
        <f t="array" ref="V53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34" t="s">
        <v>103</v>
      </c>
      <c r="X534" s="2" t="str">
        <f>_xlfn.XLOOKUP(Table1[[#This Row],[Loan_Credit_History]],Table4[Credit History],Table4[[ Category]])</f>
        <v>Critical Credit History</v>
      </c>
      <c r="Y534" s="3">
        <v>2</v>
      </c>
      <c r="Z534" s="3">
        <v>2</v>
      </c>
      <c r="AA534" s="5">
        <v>1928</v>
      </c>
      <c r="AB534" t="s">
        <v>151</v>
      </c>
      <c r="AC534" s="2" t="str" cm="1">
        <f t="array" ref="AC534">_xlfn.IFS(Table1[[#This Row],[Others_Parties]] = "No", "None",
Table1[[#This Row],[Others_Parties]] = "co applicant", "Co-applicant",
Table1[[#This Row],[Others_Parties]] = "guarantor", "Guarantor")</f>
        <v>None</v>
      </c>
      <c r="AD534" s="13" t="s">
        <v>145</v>
      </c>
      <c r="AE534" s="2" t="s">
        <v>108</v>
      </c>
      <c r="AF534" s="28" t="str" cm="1">
        <f t="array" ref="AF53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34" s="21">
        <v>18</v>
      </c>
      <c r="AH534" s="2" t="s">
        <v>153</v>
      </c>
      <c r="AI534"/>
      <c r="AZ534"/>
      <c r="BC534"/>
      <c r="BE534"/>
      <c r="BL534"/>
      <c r="BZ534"/>
      <c r="CA534"/>
      <c r="CF534"/>
      <c r="CG534"/>
      <c r="CH534"/>
      <c r="CI534"/>
      <c r="CK534"/>
      <c r="CN534"/>
    </row>
    <row r="535" spans="1:92" x14ac:dyDescent="0.3">
      <c r="A535" s="4">
        <v>533</v>
      </c>
      <c r="B535" s="11">
        <v>23</v>
      </c>
      <c r="C535" s="2" t="str">
        <f>_xlfn.XLOOKUP(Table1[[#This Row],[Age]],Table7[Start_Age],Table7[Age_Range],,-1)</f>
        <v>19-29</v>
      </c>
      <c r="D535" t="s">
        <v>134</v>
      </c>
      <c r="E535" s="2" t="s">
        <v>129</v>
      </c>
      <c r="F535" s="2" t="s">
        <v>135</v>
      </c>
      <c r="G535" s="3">
        <v>1</v>
      </c>
      <c r="H535" s="13" t="s">
        <v>152</v>
      </c>
      <c r="I535" s="2" t="str" cm="1">
        <f t="array" ref="I535">_xlfn.IFS(Table1[[#This Row],[Job_Type]] = "unskilled resident", "Resident",
Table1[[#This Row],[Job_Type]] = "unemp/unskilled non res", "Non-resident",
TRUE, "Unknown")</f>
        <v>Resident</v>
      </c>
      <c r="J535" s="2" t="s">
        <v>149</v>
      </c>
      <c r="K535" s="3">
        <v>4</v>
      </c>
      <c r="L535" s="2" t="s">
        <v>140</v>
      </c>
      <c r="M535" s="13" t="s">
        <v>151</v>
      </c>
      <c r="N535" t="s">
        <v>35</v>
      </c>
      <c r="O535" s="2" t="str">
        <f>_xlfn.XLOOKUP(Table1[[#This Row],[Checking_Acct_Status]],Table3[Checking_Acct_Original],Table3[Category])</f>
        <v>Negative Balance</v>
      </c>
      <c r="P535" s="10" t="s">
        <v>47</v>
      </c>
      <c r="Q535" s="13" t="str">
        <f>_xlfn.XLOOKUP(Table1[[#This Row],[Saving_Acct_Status]],Table5[Saving_Acct_Original],Table5[Category])</f>
        <v>No Savings</v>
      </c>
      <c r="R535" t="s">
        <v>27</v>
      </c>
      <c r="S535" s="2" t="str">
        <f>IF(
      OR(Table1[[#This Row],[Job_Type]] = "high qualif/self emp/mgmt", Table1[[#This Row],[Job_Type]] = "skilled"),
      "Skilled", "Unskilled")</f>
        <v>Unskilled</v>
      </c>
      <c r="T535" t="str">
        <f>IF(Table1[[#This Row],[Job_Type]] = "unemp/unskilled non res", "Unemployed", "Employed")</f>
        <v>Employed</v>
      </c>
      <c r="U535" t="s">
        <v>49</v>
      </c>
      <c r="V535" s="14" t="str" cm="1">
        <f t="array" ref="V53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35" t="s">
        <v>31</v>
      </c>
      <c r="X535" s="2" t="str">
        <f>_xlfn.XLOOKUP(Table1[[#This Row],[Loan_Credit_History]],Table4[Credit History],Table4[[ Category]])</f>
        <v>Existing Credits Paid</v>
      </c>
      <c r="Y535" s="3">
        <v>2</v>
      </c>
      <c r="Z535" s="3">
        <v>2</v>
      </c>
      <c r="AA535" s="5">
        <v>1936</v>
      </c>
      <c r="AB535" t="s">
        <v>151</v>
      </c>
      <c r="AC535" s="2" t="str" cm="1">
        <f t="array" ref="AC535">_xlfn.IFS(Table1[[#This Row],[Others_Parties]] = "No", "None",
Table1[[#This Row],[Others_Parties]] = "co applicant", "Co-applicant",
Table1[[#This Row],[Others_Parties]] = "guarantor", "Guarantor")</f>
        <v>None</v>
      </c>
      <c r="AD535" s="13" t="s">
        <v>145</v>
      </c>
      <c r="AE535" s="2" t="s">
        <v>111</v>
      </c>
      <c r="AF535" s="28" t="str" cm="1">
        <f t="array" ref="AF53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35" s="21">
        <v>18</v>
      </c>
      <c r="AH535" s="2" t="s">
        <v>154</v>
      </c>
      <c r="AI535"/>
      <c r="AZ535"/>
      <c r="BC535"/>
      <c r="BE535"/>
      <c r="BL535"/>
      <c r="BZ535"/>
      <c r="CA535"/>
      <c r="CF535"/>
      <c r="CG535"/>
      <c r="CH535"/>
      <c r="CI535"/>
      <c r="CK535"/>
      <c r="CN535"/>
    </row>
    <row r="536" spans="1:92" x14ac:dyDescent="0.3">
      <c r="A536" s="4">
        <v>534</v>
      </c>
      <c r="B536" s="11">
        <v>36</v>
      </c>
      <c r="C536" s="2" t="str">
        <f>_xlfn.XLOOKUP(Table1[[#This Row],[Age]],Table7[Start_Age],Table7[Age_Range],,-1)</f>
        <v>29-39</v>
      </c>
      <c r="D536" t="s">
        <v>130</v>
      </c>
      <c r="E536" s="2" t="s">
        <v>129</v>
      </c>
      <c r="F536" s="2" t="s">
        <v>133</v>
      </c>
      <c r="G536" s="3">
        <v>1</v>
      </c>
      <c r="H536" s="13" t="s">
        <v>152</v>
      </c>
      <c r="I536" s="2" t="str" cm="1">
        <f t="array" ref="I536">_xlfn.IFS(Table1[[#This Row],[Job_Type]] = "unskilled resident", "Resident",
Table1[[#This Row],[Job_Type]] = "unemp/unskilled non res", "Non-resident",
TRUE, "Unknown")</f>
        <v>Unknown</v>
      </c>
      <c r="J536" s="2" t="s">
        <v>150</v>
      </c>
      <c r="K536" s="3">
        <v>4</v>
      </c>
      <c r="L536" s="2" t="s">
        <v>142</v>
      </c>
      <c r="M536" s="13" t="s">
        <v>152</v>
      </c>
      <c r="N536" t="s">
        <v>35</v>
      </c>
      <c r="O536" s="2" t="str">
        <f>_xlfn.XLOOKUP(Table1[[#This Row],[Checking_Acct_Status]],Table3[Checking_Acct_Original],Table3[Category])</f>
        <v>Negative Balance</v>
      </c>
      <c r="P536" s="10" t="s">
        <v>32</v>
      </c>
      <c r="Q536" s="13" t="str">
        <f>_xlfn.XLOOKUP(Table1[[#This Row],[Saving_Acct_Status]],Table5[Saving_Acct_Original],Table5[Category])</f>
        <v>Low Savings</v>
      </c>
      <c r="R536" t="s">
        <v>63</v>
      </c>
      <c r="S536" s="2" t="str">
        <f>IF(
      OR(Table1[[#This Row],[Job_Type]] = "high qualif/self emp/mgmt", Table1[[#This Row],[Job_Type]] = "skilled"),
      "Skilled", "Unskilled")</f>
        <v>Skilled</v>
      </c>
      <c r="T536" t="str">
        <f>IF(Table1[[#This Row],[Job_Type]] = "unemp/unskilled non res", "Unemployed", "Employed")</f>
        <v>Employed</v>
      </c>
      <c r="U536" t="s">
        <v>45</v>
      </c>
      <c r="V536" s="14" t="str" cm="1">
        <f t="array" ref="V53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36" t="s">
        <v>42</v>
      </c>
      <c r="X536" s="2" t="str">
        <f>_xlfn.XLOOKUP(Table1[[#This Row],[Loan_Credit_History]],Table4[Credit History],Table4[[ Category]])</f>
        <v>All Paid</v>
      </c>
      <c r="Y536" s="3">
        <v>3</v>
      </c>
      <c r="Z536" s="3">
        <v>1</v>
      </c>
      <c r="AA536" s="5">
        <v>1940</v>
      </c>
      <c r="AB536" t="s">
        <v>55</v>
      </c>
      <c r="AC536" s="2" t="str" cm="1">
        <f t="array" ref="AC536">_xlfn.IFS(Table1[[#This Row],[Others_Parties]] = "No", "None",
Table1[[#This Row],[Others_Parties]] = "co applicant", "Co-applicant",
Table1[[#This Row],[Others_Parties]] = "guarantor", "Guarantor")</f>
        <v>Co-applicant</v>
      </c>
      <c r="AD536" s="13" t="s">
        <v>146</v>
      </c>
      <c r="AE536" s="2" t="s">
        <v>111</v>
      </c>
      <c r="AF536" s="28" t="str" cm="1">
        <f t="array" ref="AF53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36" s="21">
        <v>18</v>
      </c>
      <c r="AH536" s="2" t="s">
        <v>154</v>
      </c>
      <c r="AI536"/>
      <c r="AZ536"/>
      <c r="BC536"/>
      <c r="BE536"/>
      <c r="BL536"/>
      <c r="BZ536"/>
      <c r="CA536"/>
      <c r="CF536"/>
      <c r="CG536"/>
      <c r="CH536"/>
      <c r="CI536"/>
      <c r="CK536"/>
      <c r="CN536"/>
    </row>
    <row r="537" spans="1:92" x14ac:dyDescent="0.3">
      <c r="A537" s="4">
        <v>535</v>
      </c>
      <c r="B537" s="11">
        <v>35</v>
      </c>
      <c r="C537" s="2" t="str">
        <f>_xlfn.XLOOKUP(Table1[[#This Row],[Age]],Table7[Start_Age],Table7[Age_Range],,-1)</f>
        <v>29-39</v>
      </c>
      <c r="D537" t="s">
        <v>130</v>
      </c>
      <c r="E537" s="2" t="s">
        <v>129</v>
      </c>
      <c r="F537" s="2" t="s">
        <v>133</v>
      </c>
      <c r="G537" s="3">
        <v>1</v>
      </c>
      <c r="H537" s="13" t="s">
        <v>152</v>
      </c>
      <c r="I537" s="2" t="str" cm="1">
        <f t="array" ref="I537">_xlfn.IFS(Table1[[#This Row],[Job_Type]] = "unskilled resident", "Resident",
Table1[[#This Row],[Job_Type]] = "unemp/unskilled non res", "Non-resident",
TRUE, "Unknown")</f>
        <v>Resident</v>
      </c>
      <c r="J537" s="2" t="s">
        <v>148</v>
      </c>
      <c r="K537" s="3">
        <v>2</v>
      </c>
      <c r="L537" s="2" t="s">
        <v>143</v>
      </c>
      <c r="M537" s="13" t="s">
        <v>152</v>
      </c>
      <c r="N537" t="s">
        <v>30</v>
      </c>
      <c r="O537" s="2" t="str">
        <f>_xlfn.XLOOKUP(Table1[[#This Row],[Checking_Acct_Status]],Table3[Checking_Acct_Original],Table3[Category])</f>
        <v>Low Balance</v>
      </c>
      <c r="P537" s="10" t="s">
        <v>20</v>
      </c>
      <c r="Q537" s="13" t="str">
        <f>_xlfn.XLOOKUP(Table1[[#This Row],[Saving_Acct_Status]],Table5[Saving_Acct_Original],Table5[Category])</f>
        <v>Very High Savings</v>
      </c>
      <c r="R537" t="s">
        <v>27</v>
      </c>
      <c r="S537" s="2" t="str">
        <f>IF(
      OR(Table1[[#This Row],[Job_Type]] = "high qualif/self emp/mgmt", Table1[[#This Row],[Job_Type]] = "skilled"),
      "Skilled", "Unskilled")</f>
        <v>Unskilled</v>
      </c>
      <c r="T537" t="str">
        <f>IF(Table1[[#This Row],[Job_Type]] = "unemp/unskilled non res", "Unemployed", "Employed")</f>
        <v>Employed</v>
      </c>
      <c r="U537" t="s">
        <v>21</v>
      </c>
      <c r="V537" s="14" t="str" cm="1">
        <f t="array" ref="V53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37" t="s">
        <v>31</v>
      </c>
      <c r="X537" s="2" t="str">
        <f>_xlfn.XLOOKUP(Table1[[#This Row],[Loan_Credit_History]],Table4[Credit History],Table4[[ Category]])</f>
        <v>Existing Credits Paid</v>
      </c>
      <c r="Y537" s="3">
        <v>4</v>
      </c>
      <c r="Z537" s="3">
        <v>1</v>
      </c>
      <c r="AA537" s="5">
        <v>1941</v>
      </c>
      <c r="AB537" t="s">
        <v>151</v>
      </c>
      <c r="AC537" s="2" t="str" cm="1">
        <f t="array" ref="AC537">_xlfn.IFS(Table1[[#This Row],[Others_Parties]] = "No", "None",
Table1[[#This Row],[Others_Parties]] = "co applicant", "Co-applicant",
Table1[[#This Row],[Others_Parties]] = "guarantor", "Guarantor")</f>
        <v>None</v>
      </c>
      <c r="AD537" s="13" t="s">
        <v>145</v>
      </c>
      <c r="AE537" s="2" t="s">
        <v>105</v>
      </c>
      <c r="AF537" s="28" t="str" cm="1">
        <f t="array" ref="AF53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37" s="21">
        <v>18</v>
      </c>
      <c r="AH537" s="2" t="s">
        <v>154</v>
      </c>
      <c r="AI537"/>
      <c r="AZ537"/>
      <c r="BC537"/>
      <c r="BE537"/>
      <c r="BL537"/>
      <c r="BZ537"/>
      <c r="CA537"/>
      <c r="CF537"/>
      <c r="CG537"/>
      <c r="CH537"/>
      <c r="CI537"/>
      <c r="CK537"/>
      <c r="CN537"/>
    </row>
    <row r="538" spans="1:92" x14ac:dyDescent="0.3">
      <c r="A538" s="4">
        <v>536</v>
      </c>
      <c r="B538" s="11">
        <v>23</v>
      </c>
      <c r="C538" s="2" t="str">
        <f>_xlfn.XLOOKUP(Table1[[#This Row],[Age]],Table7[Start_Age],Table7[Age_Range],,-1)</f>
        <v>19-29</v>
      </c>
      <c r="D538" t="s">
        <v>136</v>
      </c>
      <c r="E538" s="2" t="s">
        <v>131</v>
      </c>
      <c r="F538" s="2" t="s">
        <v>137</v>
      </c>
      <c r="G538" s="3">
        <v>1</v>
      </c>
      <c r="H538" s="13" t="s">
        <v>152</v>
      </c>
      <c r="I538" s="2" t="str" cm="1">
        <f t="array" ref="I538">_xlfn.IFS(Table1[[#This Row],[Job_Type]] = "unskilled resident", "Resident",
Table1[[#This Row],[Job_Type]] = "unemp/unskilled non res", "Non-resident",
TRUE, "Unknown")</f>
        <v>Unknown</v>
      </c>
      <c r="J538" s="2" t="s">
        <v>148</v>
      </c>
      <c r="K538" s="3">
        <v>4</v>
      </c>
      <c r="L538" s="2" t="s">
        <v>144</v>
      </c>
      <c r="M538" s="13" t="s">
        <v>151</v>
      </c>
      <c r="N538" t="s">
        <v>17</v>
      </c>
      <c r="O538" s="2" t="str">
        <f>_xlfn.XLOOKUP(Table1[[#This Row],[Checking_Acct_Status]],Table3[Checking_Acct_Original],Table3[Category])</f>
        <v>No Account</v>
      </c>
      <c r="P538" s="10" t="s">
        <v>32</v>
      </c>
      <c r="Q538" s="13" t="str">
        <f>_xlfn.XLOOKUP(Table1[[#This Row],[Saving_Acct_Status]],Table5[Saving_Acct_Original],Table5[Category])</f>
        <v>Low Savings</v>
      </c>
      <c r="R538" t="s">
        <v>41</v>
      </c>
      <c r="S538" s="2" t="str">
        <f>IF(
      OR(Table1[[#This Row],[Job_Type]] = "high qualif/self emp/mgmt", Table1[[#This Row],[Job_Type]] = "skilled"),
      "Skilled", "Unskilled")</f>
        <v>Skilled</v>
      </c>
      <c r="T538" t="str">
        <f>IF(Table1[[#This Row],[Job_Type]] = "unemp/unskilled non res", "Unemployed", "Employed")</f>
        <v>Employed</v>
      </c>
      <c r="U538" t="s">
        <v>45</v>
      </c>
      <c r="V538" s="14" t="str" cm="1">
        <f t="array" ref="V53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38" t="s">
        <v>31</v>
      </c>
      <c r="X538" s="2" t="str">
        <f>_xlfn.XLOOKUP(Table1[[#This Row],[Loan_Credit_History]],Table4[Credit History],Table4[[ Category]])</f>
        <v>Existing Credits Paid</v>
      </c>
      <c r="Y538" s="3">
        <v>4</v>
      </c>
      <c r="Z538" s="3">
        <v>1</v>
      </c>
      <c r="AA538" s="5">
        <v>1943</v>
      </c>
      <c r="AB538" t="s">
        <v>151</v>
      </c>
      <c r="AC538" s="2" t="str" cm="1">
        <f t="array" ref="AC538">_xlfn.IFS(Table1[[#This Row],[Others_Parties]] = "No", "None",
Table1[[#This Row],[Others_Parties]] = "co applicant", "Co-applicant",
Table1[[#This Row],[Others_Parties]] = "guarantor", "Guarantor")</f>
        <v>None</v>
      </c>
      <c r="AD538" s="13" t="s">
        <v>145</v>
      </c>
      <c r="AE538" s="2" t="s">
        <v>109</v>
      </c>
      <c r="AF538" s="28" t="str" cm="1">
        <f t="array" ref="AF53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38" s="21">
        <v>18</v>
      </c>
      <c r="AH538" s="2" t="s">
        <v>153</v>
      </c>
      <c r="AI538"/>
      <c r="AZ538"/>
      <c r="BC538"/>
      <c r="BE538"/>
      <c r="BL538"/>
      <c r="BZ538"/>
      <c r="CA538"/>
      <c r="CF538"/>
      <c r="CG538"/>
      <c r="CH538"/>
      <c r="CI538"/>
      <c r="CK538"/>
      <c r="CN538"/>
    </row>
    <row r="539" spans="1:92" x14ac:dyDescent="0.3">
      <c r="A539" s="4">
        <v>537</v>
      </c>
      <c r="B539" s="11">
        <v>34</v>
      </c>
      <c r="C539" s="2" t="str">
        <f>_xlfn.XLOOKUP(Table1[[#This Row],[Age]],Table7[Start_Age],Table7[Age_Range],,-1)</f>
        <v>29-39</v>
      </c>
      <c r="D539" t="s">
        <v>130</v>
      </c>
      <c r="E539" s="2" t="s">
        <v>129</v>
      </c>
      <c r="F539" s="2" t="s">
        <v>133</v>
      </c>
      <c r="G539" s="3">
        <v>1</v>
      </c>
      <c r="H539" s="13" t="s">
        <v>152</v>
      </c>
      <c r="I539" s="2" t="str" cm="1">
        <f t="array" ref="I539">_xlfn.IFS(Table1[[#This Row],[Job_Type]] = "unskilled resident", "Resident",
Table1[[#This Row],[Job_Type]] = "unemp/unskilled non res", "Non-resident",
TRUE, "Unknown")</f>
        <v>Unknown</v>
      </c>
      <c r="J539" s="2" t="s">
        <v>148</v>
      </c>
      <c r="K539" s="3">
        <v>1</v>
      </c>
      <c r="L539" s="2" t="s">
        <v>140</v>
      </c>
      <c r="M539" s="13" t="s">
        <v>152</v>
      </c>
      <c r="N539" t="s">
        <v>17</v>
      </c>
      <c r="O539" s="2" t="str">
        <f>_xlfn.XLOOKUP(Table1[[#This Row],[Checking_Acct_Status]],Table3[Checking_Acct_Original],Table3[Category])</f>
        <v>No Account</v>
      </c>
      <c r="P539" s="10" t="s">
        <v>32</v>
      </c>
      <c r="Q539" s="13" t="str">
        <f>_xlfn.XLOOKUP(Table1[[#This Row],[Saving_Acct_Status]],Table5[Saving_Acct_Original],Table5[Category])</f>
        <v>Low Savings</v>
      </c>
      <c r="R539" t="s">
        <v>41</v>
      </c>
      <c r="S539" s="2" t="str">
        <f>IF(
      OR(Table1[[#This Row],[Job_Type]] = "high qualif/self emp/mgmt", Table1[[#This Row],[Job_Type]] = "skilled"),
      "Skilled", "Unskilled")</f>
        <v>Skilled</v>
      </c>
      <c r="T539" t="str">
        <f>IF(Table1[[#This Row],[Job_Type]] = "unemp/unskilled non res", "Unemployed", "Employed")</f>
        <v>Employed</v>
      </c>
      <c r="U539" t="s">
        <v>49</v>
      </c>
      <c r="V539" s="14" t="str" cm="1">
        <f t="array" ref="V53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39" t="s">
        <v>31</v>
      </c>
      <c r="X539" s="2" t="str">
        <f>_xlfn.XLOOKUP(Table1[[#This Row],[Loan_Credit_History]],Table4[Credit History],Table4[[ Category]])</f>
        <v>Existing Credits Paid</v>
      </c>
      <c r="Y539" s="3">
        <v>4</v>
      </c>
      <c r="Z539" s="3">
        <v>2</v>
      </c>
      <c r="AA539" s="5">
        <v>1950</v>
      </c>
      <c r="AB539" t="s">
        <v>151</v>
      </c>
      <c r="AC539" s="2" t="str" cm="1">
        <f t="array" ref="AC539">_xlfn.IFS(Table1[[#This Row],[Others_Parties]] = "No", "None",
Table1[[#This Row],[Others_Parties]] = "co applicant", "Co-applicant",
Table1[[#This Row],[Others_Parties]] = "guarantor", "Guarantor")</f>
        <v>None</v>
      </c>
      <c r="AD539" s="13" t="s">
        <v>147</v>
      </c>
      <c r="AE539" s="2" t="s">
        <v>105</v>
      </c>
      <c r="AF539" s="28" t="str" cm="1">
        <f t="array" ref="AF53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39" s="21">
        <v>18</v>
      </c>
      <c r="AH539" s="2" t="s">
        <v>154</v>
      </c>
      <c r="AI539"/>
      <c r="AZ539"/>
      <c r="BC539"/>
      <c r="BE539"/>
      <c r="BL539"/>
      <c r="BZ539"/>
      <c r="CA539"/>
      <c r="CF539"/>
      <c r="CG539"/>
      <c r="CH539"/>
      <c r="CI539"/>
      <c r="CK539"/>
      <c r="CN539"/>
    </row>
    <row r="540" spans="1:92" x14ac:dyDescent="0.3">
      <c r="A540" s="4">
        <v>538</v>
      </c>
      <c r="B540" s="11">
        <v>23</v>
      </c>
      <c r="C540" s="2" t="str">
        <f>_xlfn.XLOOKUP(Table1[[#This Row],[Age]],Table7[Start_Age],Table7[Age_Range],,-1)</f>
        <v>19-29</v>
      </c>
      <c r="D540" t="s">
        <v>136</v>
      </c>
      <c r="E540" s="2" t="s">
        <v>131</v>
      </c>
      <c r="F540" s="2" t="s">
        <v>137</v>
      </c>
      <c r="G540" s="3">
        <v>1</v>
      </c>
      <c r="H540" s="13" t="s">
        <v>152</v>
      </c>
      <c r="I540" s="2" t="str" cm="1">
        <f t="array" ref="I540">_xlfn.IFS(Table1[[#This Row],[Job_Type]] = "unskilled resident", "Resident",
Table1[[#This Row],[Job_Type]] = "unemp/unskilled non res", "Non-resident",
TRUE, "Unknown")</f>
        <v>Unknown</v>
      </c>
      <c r="J540" s="2" t="s">
        <v>148</v>
      </c>
      <c r="K540" s="3">
        <v>2</v>
      </c>
      <c r="L540" s="2" t="s">
        <v>140</v>
      </c>
      <c r="M540" s="13" t="s">
        <v>151</v>
      </c>
      <c r="N540" t="s">
        <v>50</v>
      </c>
      <c r="O540" s="2" t="str">
        <f>_xlfn.XLOOKUP(Table1[[#This Row],[Checking_Acct_Status]],Table3[Checking_Acct_Original],Table3[Category])</f>
        <v>High Balance</v>
      </c>
      <c r="P540" s="10" t="s">
        <v>32</v>
      </c>
      <c r="Q540" s="13" t="str">
        <f>_xlfn.XLOOKUP(Table1[[#This Row],[Saving_Acct_Status]],Table5[Saving_Acct_Original],Table5[Category])</f>
        <v>Low Savings</v>
      </c>
      <c r="R540" t="s">
        <v>63</v>
      </c>
      <c r="S540" s="2" t="str">
        <f>IF(
      OR(Table1[[#This Row],[Job_Type]] = "high qualif/self emp/mgmt", Table1[[#This Row],[Job_Type]] = "skilled"),
      "Skilled", "Unskilled")</f>
        <v>Skilled</v>
      </c>
      <c r="T540" t="str">
        <f>IF(Table1[[#This Row],[Job_Type]] = "unemp/unskilled non res", "Unemployed", "Employed")</f>
        <v>Employed</v>
      </c>
      <c r="U540" t="s">
        <v>38</v>
      </c>
      <c r="V540" s="14" t="str" cm="1">
        <f t="array" ref="V54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40" t="s">
        <v>31</v>
      </c>
      <c r="X540" s="2" t="str">
        <f>_xlfn.XLOOKUP(Table1[[#This Row],[Loan_Credit_History]],Table4[Credit History],Table4[[ Category]])</f>
        <v>Existing Credits Paid</v>
      </c>
      <c r="Y540" s="3">
        <v>3</v>
      </c>
      <c r="Z540" s="3">
        <v>1</v>
      </c>
      <c r="AA540" s="5">
        <v>1961</v>
      </c>
      <c r="AB540" t="s">
        <v>151</v>
      </c>
      <c r="AC540" s="2" t="str" cm="1">
        <f t="array" ref="AC540">_xlfn.IFS(Table1[[#This Row],[Others_Parties]] = "No", "None",
Table1[[#This Row],[Others_Parties]] = "co applicant", "Co-applicant",
Table1[[#This Row],[Others_Parties]] = "guarantor", "Guarantor")</f>
        <v>None</v>
      </c>
      <c r="AD540" s="13" t="s">
        <v>145</v>
      </c>
      <c r="AE540" s="2" t="s">
        <v>141</v>
      </c>
      <c r="AF540" s="28" t="str" cm="1">
        <f t="array" ref="AF54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40" s="21">
        <v>18</v>
      </c>
      <c r="AH540" s="2" t="s">
        <v>154</v>
      </c>
      <c r="AI540"/>
      <c r="AZ540"/>
      <c r="BC540"/>
      <c r="BE540"/>
      <c r="BL540"/>
      <c r="BZ540"/>
      <c r="CA540"/>
      <c r="CF540"/>
      <c r="CG540"/>
      <c r="CH540"/>
      <c r="CI540"/>
      <c r="CK540"/>
      <c r="CN540"/>
    </row>
    <row r="541" spans="1:92" x14ac:dyDescent="0.3">
      <c r="A541" s="4">
        <v>539</v>
      </c>
      <c r="B541" s="11">
        <v>47</v>
      </c>
      <c r="C541" s="2" t="str">
        <f>_xlfn.XLOOKUP(Table1[[#This Row],[Age]],Table7[Start_Age],Table7[Age_Range],,-1)</f>
        <v>39-49</v>
      </c>
      <c r="D541" t="s">
        <v>130</v>
      </c>
      <c r="E541" s="2" t="s">
        <v>129</v>
      </c>
      <c r="F541" s="2" t="s">
        <v>133</v>
      </c>
      <c r="G541" s="3">
        <v>1</v>
      </c>
      <c r="H541" s="13" t="s">
        <v>152</v>
      </c>
      <c r="I541" s="2" t="str" cm="1">
        <f t="array" ref="I541">_xlfn.IFS(Table1[[#This Row],[Job_Type]] = "unskilled resident", "Resident",
Table1[[#This Row],[Job_Type]] = "unemp/unskilled non res", "Non-resident",
TRUE, "Unknown")</f>
        <v>Unknown</v>
      </c>
      <c r="J541" s="2" t="s">
        <v>150</v>
      </c>
      <c r="K541" s="3">
        <v>4</v>
      </c>
      <c r="L541" s="2" t="s">
        <v>142</v>
      </c>
      <c r="M541" s="13" t="s">
        <v>151</v>
      </c>
      <c r="N541" t="s">
        <v>17</v>
      </c>
      <c r="O541" s="2" t="str">
        <f>_xlfn.XLOOKUP(Table1[[#This Row],[Checking_Acct_Status]],Table3[Checking_Acct_Original],Table3[Category])</f>
        <v>No Account</v>
      </c>
      <c r="P541" s="10" t="s">
        <v>32</v>
      </c>
      <c r="Q541" s="13" t="str">
        <f>_xlfn.XLOOKUP(Table1[[#This Row],[Saving_Acct_Status]],Table5[Saving_Acct_Original],Table5[Category])</f>
        <v>Low Savings</v>
      </c>
      <c r="R541" t="s">
        <v>41</v>
      </c>
      <c r="S541" s="2" t="str">
        <f>IF(
      OR(Table1[[#This Row],[Job_Type]] = "high qualif/self emp/mgmt", Table1[[#This Row],[Job_Type]] = "skilled"),
      "Skilled", "Unskilled")</f>
        <v>Skilled</v>
      </c>
      <c r="T541" t="str">
        <f>IF(Table1[[#This Row],[Job_Type]] = "unemp/unskilled non res", "Unemployed", "Employed")</f>
        <v>Employed</v>
      </c>
      <c r="U541" t="s">
        <v>21</v>
      </c>
      <c r="V541" s="14" t="str" cm="1">
        <f t="array" ref="V54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41" t="s">
        <v>31</v>
      </c>
      <c r="X541" s="2" t="str">
        <f>_xlfn.XLOOKUP(Table1[[#This Row],[Loan_Credit_History]],Table4[Credit History],Table4[[ Category]])</f>
        <v>Existing Credits Paid</v>
      </c>
      <c r="Y541" s="3">
        <v>4</v>
      </c>
      <c r="Z541" s="3">
        <v>2</v>
      </c>
      <c r="AA541" s="5">
        <v>1984</v>
      </c>
      <c r="AB541" t="s">
        <v>151</v>
      </c>
      <c r="AC541" s="2" t="str" cm="1">
        <f t="array" ref="AC541">_xlfn.IFS(Table1[[#This Row],[Others_Parties]] = "No", "None",
Table1[[#This Row],[Others_Parties]] = "co applicant", "Co-applicant",
Table1[[#This Row],[Others_Parties]] = "guarantor", "Guarantor")</f>
        <v>None</v>
      </c>
      <c r="AD541" s="13" t="s">
        <v>146</v>
      </c>
      <c r="AE541" s="2" t="s">
        <v>108</v>
      </c>
      <c r="AF541" s="28" t="str" cm="1">
        <f t="array" ref="AF54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41" s="21">
        <v>18</v>
      </c>
      <c r="AH541" s="2" t="s">
        <v>154</v>
      </c>
      <c r="AI541"/>
      <c r="AZ541"/>
      <c r="BC541"/>
      <c r="BE541"/>
      <c r="BL541"/>
      <c r="BZ541"/>
      <c r="CA541"/>
      <c r="CF541"/>
      <c r="CG541"/>
      <c r="CH541"/>
      <c r="CI541"/>
      <c r="CK541"/>
      <c r="CN541"/>
    </row>
    <row r="542" spans="1:92" x14ac:dyDescent="0.3">
      <c r="A542" s="4">
        <v>540</v>
      </c>
      <c r="B542" s="11">
        <v>20</v>
      </c>
      <c r="C542" s="2" t="str">
        <f>_xlfn.XLOOKUP(Table1[[#This Row],[Age]],Table7[Start_Age],Table7[Age_Range],,-1)</f>
        <v>19-29</v>
      </c>
      <c r="D542" t="s">
        <v>136</v>
      </c>
      <c r="E542" s="2" t="s">
        <v>131</v>
      </c>
      <c r="F542" s="2" t="s">
        <v>137</v>
      </c>
      <c r="G542" s="3">
        <v>1</v>
      </c>
      <c r="H542" s="13" t="s">
        <v>152</v>
      </c>
      <c r="I542" s="2" t="str" cm="1">
        <f t="array" ref="I542">_xlfn.IFS(Table1[[#This Row],[Job_Type]] = "unskilled resident", "Resident",
Table1[[#This Row],[Job_Type]] = "unemp/unskilled non res", "Non-resident",
TRUE, "Unknown")</f>
        <v>Unknown</v>
      </c>
      <c r="J542" s="2" t="s">
        <v>149</v>
      </c>
      <c r="K542" s="3">
        <v>4</v>
      </c>
      <c r="L542" s="2" t="s">
        <v>144</v>
      </c>
      <c r="M542" s="13" t="s">
        <v>151</v>
      </c>
      <c r="N542" t="s">
        <v>35</v>
      </c>
      <c r="O542" s="2" t="str">
        <f>_xlfn.XLOOKUP(Table1[[#This Row],[Checking_Acct_Status]],Table3[Checking_Acct_Original],Table3[Category])</f>
        <v>Negative Balance</v>
      </c>
      <c r="P542" s="10" t="s">
        <v>32</v>
      </c>
      <c r="Q542" s="13" t="str">
        <f>_xlfn.XLOOKUP(Table1[[#This Row],[Saving_Acct_Status]],Table5[Saving_Acct_Original],Table5[Category])</f>
        <v>Low Savings</v>
      </c>
      <c r="R542" t="s">
        <v>41</v>
      </c>
      <c r="S542" s="2" t="str">
        <f>IF(
      OR(Table1[[#This Row],[Job_Type]] = "high qualif/self emp/mgmt", Table1[[#This Row],[Job_Type]] = "skilled"),
      "Skilled", "Unskilled")</f>
        <v>Skilled</v>
      </c>
      <c r="T542" t="str">
        <f>IF(Table1[[#This Row],[Job_Type]] = "unemp/unskilled non res", "Unemployed", "Employed")</f>
        <v>Employed</v>
      </c>
      <c r="U542" t="s">
        <v>21</v>
      </c>
      <c r="V542" s="14" t="str" cm="1">
        <f t="array" ref="V54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42" t="s">
        <v>31</v>
      </c>
      <c r="X542" s="2" t="str">
        <f>_xlfn.XLOOKUP(Table1[[#This Row],[Loan_Credit_History]],Table4[Credit History],Table4[[ Category]])</f>
        <v>Existing Credits Paid</v>
      </c>
      <c r="Y542" s="3">
        <v>1</v>
      </c>
      <c r="Z542" s="3">
        <v>1</v>
      </c>
      <c r="AA542" s="5">
        <v>2039</v>
      </c>
      <c r="AB542" t="s">
        <v>151</v>
      </c>
      <c r="AC542" s="2" t="str" cm="1">
        <f t="array" ref="AC542">_xlfn.IFS(Table1[[#This Row],[Others_Parties]] = "No", "None",
Table1[[#This Row],[Others_Parties]] = "co applicant", "Co-applicant",
Table1[[#This Row],[Others_Parties]] = "guarantor", "Guarantor")</f>
        <v>None</v>
      </c>
      <c r="AD542" s="13" t="s">
        <v>146</v>
      </c>
      <c r="AE542" s="2" t="s">
        <v>108</v>
      </c>
      <c r="AF542" s="28" t="str" cm="1">
        <f t="array" ref="AF54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42" s="21">
        <v>18</v>
      </c>
      <c r="AH542" s="2" t="s">
        <v>153</v>
      </c>
      <c r="AI542"/>
      <c r="AZ542"/>
      <c r="BC542"/>
      <c r="BE542"/>
      <c r="BL542"/>
      <c r="BZ542"/>
      <c r="CA542"/>
      <c r="CF542"/>
      <c r="CG542"/>
      <c r="CH542"/>
      <c r="CI542"/>
      <c r="CK542"/>
      <c r="CN542"/>
    </row>
    <row r="543" spans="1:92" x14ac:dyDescent="0.3">
      <c r="A543" s="4">
        <v>541</v>
      </c>
      <c r="B543" s="11">
        <v>33</v>
      </c>
      <c r="C543" s="2" t="str">
        <f>_xlfn.XLOOKUP(Table1[[#This Row],[Age]],Table7[Start_Age],Table7[Age_Range],,-1)</f>
        <v>29-39</v>
      </c>
      <c r="D543" t="s">
        <v>130</v>
      </c>
      <c r="E543" s="2" t="s">
        <v>129</v>
      </c>
      <c r="F543" s="2" t="s">
        <v>133</v>
      </c>
      <c r="G543" s="3">
        <v>1</v>
      </c>
      <c r="H543" s="13" t="s">
        <v>152</v>
      </c>
      <c r="I543" s="2" t="str" cm="1">
        <f t="array" ref="I543">_xlfn.IFS(Table1[[#This Row],[Job_Type]] = "unskilled resident", "Resident",
Table1[[#This Row],[Job_Type]] = "unemp/unskilled non res", "Non-resident",
TRUE, "Unknown")</f>
        <v>Unknown</v>
      </c>
      <c r="J543" s="2" t="s">
        <v>148</v>
      </c>
      <c r="K543" s="3">
        <v>1</v>
      </c>
      <c r="L543" s="2" t="s">
        <v>144</v>
      </c>
      <c r="M543" s="13" t="s">
        <v>151</v>
      </c>
      <c r="N543" t="s">
        <v>17</v>
      </c>
      <c r="O543" s="2" t="str">
        <f>_xlfn.XLOOKUP(Table1[[#This Row],[Checking_Acct_Status]],Table3[Checking_Acct_Original],Table3[Category])</f>
        <v>No Account</v>
      </c>
      <c r="P543" s="10" t="s">
        <v>32</v>
      </c>
      <c r="Q543" s="13" t="str">
        <f>_xlfn.XLOOKUP(Table1[[#This Row],[Saving_Acct_Status]],Table5[Saving_Acct_Original],Table5[Category])</f>
        <v>Low Savings</v>
      </c>
      <c r="R543" t="s">
        <v>41</v>
      </c>
      <c r="S543" s="2" t="str">
        <f>IF(
      OR(Table1[[#This Row],[Job_Type]] = "high qualif/self emp/mgmt", Table1[[#This Row],[Job_Type]] = "skilled"),
      "Skilled", "Unskilled")</f>
        <v>Skilled</v>
      </c>
      <c r="T543" t="str">
        <f>IF(Table1[[#This Row],[Job_Type]] = "unemp/unskilled non res", "Unemployed", "Employed")</f>
        <v>Employed</v>
      </c>
      <c r="U543" t="s">
        <v>45</v>
      </c>
      <c r="V543" s="14" t="str" cm="1">
        <f t="array" ref="V54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43" t="s">
        <v>31</v>
      </c>
      <c r="X543" s="2" t="str">
        <f>_xlfn.XLOOKUP(Table1[[#This Row],[Loan_Credit_History]],Table4[Credit History],Table4[[ Category]])</f>
        <v>Existing Credits Paid</v>
      </c>
      <c r="Y543" s="3">
        <v>4</v>
      </c>
      <c r="Z543" s="3">
        <v>1</v>
      </c>
      <c r="AA543" s="5">
        <v>2051</v>
      </c>
      <c r="AB543" t="s">
        <v>151</v>
      </c>
      <c r="AC543" s="2" t="str" cm="1">
        <f t="array" ref="AC543">_xlfn.IFS(Table1[[#This Row],[Others_Parties]] = "No", "None",
Table1[[#This Row],[Others_Parties]] = "co applicant", "Co-applicant",
Table1[[#This Row],[Others_Parties]] = "guarantor", "Guarantor")</f>
        <v>None</v>
      </c>
      <c r="AD543" s="13" t="s">
        <v>145</v>
      </c>
      <c r="AE543" s="2" t="s">
        <v>111</v>
      </c>
      <c r="AF543" s="28" t="str" cm="1">
        <f t="array" ref="AF54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43" s="21">
        <v>18</v>
      </c>
      <c r="AH543" s="2" t="s">
        <v>154</v>
      </c>
      <c r="AI543"/>
      <c r="AZ543"/>
      <c r="BC543"/>
      <c r="BE543"/>
      <c r="BL543"/>
      <c r="BZ543"/>
      <c r="CA543"/>
      <c r="CF543"/>
      <c r="CG543"/>
      <c r="CH543"/>
      <c r="CI543"/>
      <c r="CK543"/>
      <c r="CN543"/>
    </row>
    <row r="544" spans="1:92" x14ac:dyDescent="0.3">
      <c r="A544" s="4">
        <v>542</v>
      </c>
      <c r="B544" s="11">
        <v>37</v>
      </c>
      <c r="C544" s="2" t="str">
        <f>_xlfn.XLOOKUP(Table1[[#This Row],[Age]],Table7[Start_Age],Table7[Age_Range],,-1)</f>
        <v>29-39</v>
      </c>
      <c r="D544" t="s">
        <v>130</v>
      </c>
      <c r="E544" s="2" t="s">
        <v>129</v>
      </c>
      <c r="F544" s="2" t="s">
        <v>133</v>
      </c>
      <c r="G544" s="3">
        <v>1</v>
      </c>
      <c r="H544" s="13" t="s">
        <v>152</v>
      </c>
      <c r="I544" s="2" t="str" cm="1">
        <f t="array" ref="I544">_xlfn.IFS(Table1[[#This Row],[Job_Type]] = "unskilled resident", "Resident",
Table1[[#This Row],[Job_Type]] = "unemp/unskilled non res", "Non-resident",
TRUE, "Unknown")</f>
        <v>Unknown</v>
      </c>
      <c r="J544" s="2" t="s">
        <v>148</v>
      </c>
      <c r="K544" s="3">
        <v>2</v>
      </c>
      <c r="L544" s="2" t="s">
        <v>144</v>
      </c>
      <c r="M544" s="13" t="s">
        <v>151</v>
      </c>
      <c r="N544" t="s">
        <v>50</v>
      </c>
      <c r="O544" s="2" t="str">
        <f>_xlfn.XLOOKUP(Table1[[#This Row],[Checking_Acct_Status]],Table3[Checking_Acct_Original],Table3[Category])</f>
        <v>High Balance</v>
      </c>
      <c r="P544" s="10" t="s">
        <v>32</v>
      </c>
      <c r="Q544" s="13" t="str">
        <f>_xlfn.XLOOKUP(Table1[[#This Row],[Saving_Acct_Status]],Table5[Saving_Acct_Original],Table5[Category])</f>
        <v>Low Savings</v>
      </c>
      <c r="R544" t="s">
        <v>41</v>
      </c>
      <c r="S544" s="2" t="str">
        <f>IF(
      OR(Table1[[#This Row],[Job_Type]] = "high qualif/self emp/mgmt", Table1[[#This Row],[Job_Type]] = "skilled"),
      "Skilled", "Unskilled")</f>
        <v>Skilled</v>
      </c>
      <c r="T544" t="str">
        <f>IF(Table1[[#This Row],[Job_Type]] = "unemp/unskilled non res", "Unemployed", "Employed")</f>
        <v>Employed</v>
      </c>
      <c r="U544" t="s">
        <v>21</v>
      </c>
      <c r="V544" s="14" t="str" cm="1">
        <f t="array" ref="V54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44" t="s">
        <v>31</v>
      </c>
      <c r="X544" s="2" t="str">
        <f>_xlfn.XLOOKUP(Table1[[#This Row],[Loan_Credit_History]],Table4[Credit History],Table4[[ Category]])</f>
        <v>Existing Credits Paid</v>
      </c>
      <c r="Y544" s="3">
        <v>4</v>
      </c>
      <c r="Z544" s="3">
        <v>1</v>
      </c>
      <c r="AA544" s="5">
        <v>2100</v>
      </c>
      <c r="AB544" t="s">
        <v>55</v>
      </c>
      <c r="AC544" s="2" t="str" cm="1">
        <f t="array" ref="AC544">_xlfn.IFS(Table1[[#This Row],[Others_Parties]] = "No", "None",
Table1[[#This Row],[Others_Parties]] = "co applicant", "Co-applicant",
Table1[[#This Row],[Others_Parties]] = "guarantor", "Guarantor")</f>
        <v>Co-applicant</v>
      </c>
      <c r="AD544" s="13" t="s">
        <v>147</v>
      </c>
      <c r="AE544" s="2" t="s">
        <v>111</v>
      </c>
      <c r="AF544" s="28" t="str" cm="1">
        <f t="array" ref="AF54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44" s="21">
        <v>18</v>
      </c>
      <c r="AH544" s="2" t="s">
        <v>153</v>
      </c>
      <c r="AI544"/>
      <c r="AZ544"/>
      <c r="BC544"/>
      <c r="BE544"/>
      <c r="BL544"/>
      <c r="BZ544"/>
      <c r="CA544"/>
      <c r="CF544"/>
      <c r="CG544"/>
      <c r="CH544"/>
      <c r="CI544"/>
      <c r="CK544"/>
      <c r="CN544"/>
    </row>
    <row r="545" spans="1:92" x14ac:dyDescent="0.3">
      <c r="A545" s="4">
        <v>543</v>
      </c>
      <c r="B545" s="11">
        <v>24</v>
      </c>
      <c r="C545" s="2" t="str">
        <f>_xlfn.XLOOKUP(Table1[[#This Row],[Age]],Table7[Start_Age],Table7[Age_Range],,-1)</f>
        <v>19-29</v>
      </c>
      <c r="D545" t="s">
        <v>136</v>
      </c>
      <c r="E545" s="2" t="s">
        <v>131</v>
      </c>
      <c r="F545" s="2" t="s">
        <v>137</v>
      </c>
      <c r="G545" s="3">
        <v>1</v>
      </c>
      <c r="H545" s="13" t="s">
        <v>152</v>
      </c>
      <c r="I545" s="2" t="str" cm="1">
        <f t="array" ref="I545">_xlfn.IFS(Table1[[#This Row],[Job_Type]] = "unskilled resident", "Resident",
Table1[[#This Row],[Job_Type]] = "unemp/unskilled non res", "Non-resident",
TRUE, "Unknown")</f>
        <v>Unknown</v>
      </c>
      <c r="J545" s="2" t="s">
        <v>149</v>
      </c>
      <c r="K545" s="3">
        <v>4</v>
      </c>
      <c r="L545" s="2" t="s">
        <v>144</v>
      </c>
      <c r="M545" s="13" t="s">
        <v>151</v>
      </c>
      <c r="N545" t="s">
        <v>35</v>
      </c>
      <c r="O545" s="2" t="str">
        <f>_xlfn.XLOOKUP(Table1[[#This Row],[Checking_Acct_Status]],Table3[Checking_Acct_Original],Table3[Category])</f>
        <v>Negative Balance</v>
      </c>
      <c r="P545" s="10" t="s">
        <v>32</v>
      </c>
      <c r="Q545" s="13" t="str">
        <f>_xlfn.XLOOKUP(Table1[[#This Row],[Saving_Acct_Status]],Table5[Saving_Acct_Original],Table5[Category])</f>
        <v>Low Savings</v>
      </c>
      <c r="R545" t="s">
        <v>41</v>
      </c>
      <c r="S545" s="2" t="str">
        <f>IF(
      OR(Table1[[#This Row],[Job_Type]] = "high qualif/self emp/mgmt", Table1[[#This Row],[Job_Type]] = "skilled"),
      "Skilled", "Unskilled")</f>
        <v>Skilled</v>
      </c>
      <c r="T545" t="str">
        <f>IF(Table1[[#This Row],[Job_Type]] = "unemp/unskilled non res", "Unemployed", "Employed")</f>
        <v>Employed</v>
      </c>
      <c r="U545" t="s">
        <v>21</v>
      </c>
      <c r="V545" s="14" t="str" cm="1">
        <f t="array" ref="V54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45" t="s">
        <v>103</v>
      </c>
      <c r="X545" s="2" t="str">
        <f>_xlfn.XLOOKUP(Table1[[#This Row],[Loan_Credit_History]],Table4[Credit History],Table4[[ Category]])</f>
        <v>Critical Credit History</v>
      </c>
      <c r="Y545" s="3">
        <v>4</v>
      </c>
      <c r="Z545" s="3">
        <v>2</v>
      </c>
      <c r="AA545" s="5">
        <v>2124</v>
      </c>
      <c r="AB545" t="s">
        <v>151</v>
      </c>
      <c r="AC545" s="2" t="str" cm="1">
        <f t="array" ref="AC545">_xlfn.IFS(Table1[[#This Row],[Others_Parties]] = "No", "None",
Table1[[#This Row],[Others_Parties]] = "co applicant", "Co-applicant",
Table1[[#This Row],[Others_Parties]] = "guarantor", "Guarantor")</f>
        <v>None</v>
      </c>
      <c r="AD545" s="13" t="s">
        <v>145</v>
      </c>
      <c r="AE545" s="2" t="s">
        <v>108</v>
      </c>
      <c r="AF545" s="28" t="str" cm="1">
        <f t="array" ref="AF54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45" s="21">
        <v>18</v>
      </c>
      <c r="AH545" s="2" t="s">
        <v>153</v>
      </c>
      <c r="AI545"/>
      <c r="AZ545"/>
      <c r="BC545"/>
      <c r="BE545"/>
      <c r="BL545"/>
      <c r="BZ545"/>
      <c r="CA545"/>
      <c r="CF545"/>
      <c r="CG545"/>
      <c r="CH545"/>
      <c r="CI545"/>
      <c r="CK545"/>
      <c r="CN545"/>
    </row>
    <row r="546" spans="1:92" x14ac:dyDescent="0.3">
      <c r="A546" s="4">
        <v>544</v>
      </c>
      <c r="B546" s="11">
        <v>28</v>
      </c>
      <c r="C546" s="2" t="str">
        <f>_xlfn.XLOOKUP(Table1[[#This Row],[Age]],Table7[Start_Age],Table7[Age_Range],,-1)</f>
        <v>19-29</v>
      </c>
      <c r="D546" t="s">
        <v>134</v>
      </c>
      <c r="E546" s="2" t="s">
        <v>129</v>
      </c>
      <c r="F546" s="2" t="s">
        <v>135</v>
      </c>
      <c r="G546" s="3">
        <v>1</v>
      </c>
      <c r="H546" s="13" t="s">
        <v>152</v>
      </c>
      <c r="I546" s="2" t="str" cm="1">
        <f t="array" ref="I546">_xlfn.IFS(Table1[[#This Row],[Job_Type]] = "unskilled resident", "Resident",
Table1[[#This Row],[Job_Type]] = "unemp/unskilled non res", "Non-resident",
TRUE, "Unknown")</f>
        <v>Unknown</v>
      </c>
      <c r="J546" s="2" t="s">
        <v>148</v>
      </c>
      <c r="K546" s="3">
        <v>2</v>
      </c>
      <c r="L546" s="2" t="s">
        <v>140</v>
      </c>
      <c r="M546" s="13" t="s">
        <v>152</v>
      </c>
      <c r="N546" t="s">
        <v>17</v>
      </c>
      <c r="O546" s="2" t="str">
        <f>_xlfn.XLOOKUP(Table1[[#This Row],[Checking_Acct_Status]],Table3[Checking_Acct_Original],Table3[Category])</f>
        <v>No Account</v>
      </c>
      <c r="P546" s="10" t="s">
        <v>32</v>
      </c>
      <c r="Q546" s="13" t="str">
        <f>_xlfn.XLOOKUP(Table1[[#This Row],[Saving_Acct_Status]],Table5[Saving_Acct_Original],Table5[Category])</f>
        <v>Low Savings</v>
      </c>
      <c r="R546" t="s">
        <v>41</v>
      </c>
      <c r="S546" s="2" t="str">
        <f>IF(
      OR(Table1[[#This Row],[Job_Type]] = "high qualif/self emp/mgmt", Table1[[#This Row],[Job_Type]] = "skilled"),
      "Skilled", "Unskilled")</f>
        <v>Skilled</v>
      </c>
      <c r="T546" t="str">
        <f>IF(Table1[[#This Row],[Job_Type]] = "unemp/unskilled non res", "Unemployed", "Employed")</f>
        <v>Employed</v>
      </c>
      <c r="U546" t="s">
        <v>21</v>
      </c>
      <c r="V546" s="14" t="str" cm="1">
        <f t="array" ref="V54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46" t="s">
        <v>59</v>
      </c>
      <c r="X546" s="2" t="str">
        <f>_xlfn.XLOOKUP(Table1[[#This Row],[Loan_Credit_History]],Table4[Credit History],Table4[[ Category]])</f>
        <v>Previously Delayed</v>
      </c>
      <c r="Y546" s="3">
        <v>4</v>
      </c>
      <c r="Z546" s="3">
        <v>1</v>
      </c>
      <c r="AA546" s="5">
        <v>2169</v>
      </c>
      <c r="AB546" t="s">
        <v>151</v>
      </c>
      <c r="AC546" s="2" t="str" cm="1">
        <f t="array" ref="AC546">_xlfn.IFS(Table1[[#This Row],[Others_Parties]] = "No", "None",
Table1[[#This Row],[Others_Parties]] = "co applicant", "Co-applicant",
Table1[[#This Row],[Others_Parties]] = "guarantor", "Guarantor")</f>
        <v>None</v>
      </c>
      <c r="AD546" s="13" t="s">
        <v>145</v>
      </c>
      <c r="AE546" s="2" t="s">
        <v>105</v>
      </c>
      <c r="AF546" s="28" t="str" cm="1">
        <f t="array" ref="AF54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46" s="21">
        <v>18</v>
      </c>
      <c r="AH546" s="2" t="s">
        <v>153</v>
      </c>
      <c r="AI546"/>
      <c r="AZ546"/>
      <c r="BC546"/>
      <c r="BE546"/>
      <c r="BL546"/>
      <c r="BZ546"/>
      <c r="CA546"/>
      <c r="CF546"/>
      <c r="CG546"/>
      <c r="CH546"/>
      <c r="CI546"/>
      <c r="CK546"/>
      <c r="CN546"/>
    </row>
    <row r="547" spans="1:92" x14ac:dyDescent="0.3">
      <c r="A547" s="4">
        <v>545</v>
      </c>
      <c r="B547" s="11">
        <v>25</v>
      </c>
      <c r="C547" s="2" t="str">
        <f>_xlfn.XLOOKUP(Table1[[#This Row],[Age]],Table7[Start_Age],Table7[Age_Range],,-1)</f>
        <v>19-29</v>
      </c>
      <c r="D547" t="s">
        <v>136</v>
      </c>
      <c r="E547" s="2" t="s">
        <v>131</v>
      </c>
      <c r="F547" s="2" t="s">
        <v>137</v>
      </c>
      <c r="G547" s="3">
        <v>1</v>
      </c>
      <c r="H547" s="13" t="s">
        <v>152</v>
      </c>
      <c r="I547" s="2" t="str" cm="1">
        <f t="array" ref="I547">_xlfn.IFS(Table1[[#This Row],[Job_Type]] = "unskilled resident", "Resident",
Table1[[#This Row],[Job_Type]] = "unemp/unskilled non res", "Non-resident",
TRUE, "Unknown")</f>
        <v>Unknown</v>
      </c>
      <c r="J547" s="2" t="s">
        <v>148</v>
      </c>
      <c r="K547" s="3">
        <v>1</v>
      </c>
      <c r="L547" s="2" t="s">
        <v>140</v>
      </c>
      <c r="M547" s="13" t="s">
        <v>151</v>
      </c>
      <c r="N547" t="s">
        <v>17</v>
      </c>
      <c r="O547" s="2" t="str">
        <f>_xlfn.XLOOKUP(Table1[[#This Row],[Checking_Acct_Status]],Table3[Checking_Acct_Original],Table3[Category])</f>
        <v>No Account</v>
      </c>
      <c r="P547" s="10" t="s">
        <v>32</v>
      </c>
      <c r="Q547" s="13" t="str">
        <f>_xlfn.XLOOKUP(Table1[[#This Row],[Saving_Acct_Status]],Table5[Saving_Acct_Original],Table5[Category])</f>
        <v>Low Savings</v>
      </c>
      <c r="R547" t="s">
        <v>41</v>
      </c>
      <c r="S547" s="2" t="str">
        <f>IF(
      OR(Table1[[#This Row],[Job_Type]] = "high qualif/self emp/mgmt", Table1[[#This Row],[Job_Type]] = "skilled"),
      "Skilled", "Unskilled")</f>
        <v>Skilled</v>
      </c>
      <c r="T547" t="str">
        <f>IF(Table1[[#This Row],[Job_Type]] = "unemp/unskilled non res", "Unemployed", "Employed")</f>
        <v>Employed</v>
      </c>
      <c r="U547" t="s">
        <v>21</v>
      </c>
      <c r="V547" s="14" t="str" cm="1">
        <f t="array" ref="V54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47" t="s">
        <v>103</v>
      </c>
      <c r="X547" s="2" t="str">
        <f>_xlfn.XLOOKUP(Table1[[#This Row],[Loan_Credit_History]],Table4[Credit History],Table4[[ Category]])</f>
        <v>Critical Credit History</v>
      </c>
      <c r="Y547" s="3">
        <v>2</v>
      </c>
      <c r="Z547" s="3">
        <v>2</v>
      </c>
      <c r="AA547" s="5">
        <v>2238</v>
      </c>
      <c r="AB547" t="s">
        <v>151</v>
      </c>
      <c r="AC547" s="2" t="str" cm="1">
        <f t="array" ref="AC547">_xlfn.IFS(Table1[[#This Row],[Others_Parties]] = "No", "None",
Table1[[#This Row],[Others_Parties]] = "co applicant", "Co-applicant",
Table1[[#This Row],[Others_Parties]] = "guarantor", "Guarantor")</f>
        <v>None</v>
      </c>
      <c r="AD547" s="13" t="s">
        <v>145</v>
      </c>
      <c r="AE547" s="2" t="s">
        <v>111</v>
      </c>
      <c r="AF547" s="28" t="str" cm="1">
        <f t="array" ref="AF54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47" s="21">
        <v>18</v>
      </c>
      <c r="AH547" s="2" t="s">
        <v>154</v>
      </c>
      <c r="AI547"/>
      <c r="AZ547"/>
      <c r="BC547"/>
      <c r="BE547"/>
      <c r="BL547"/>
      <c r="BZ547"/>
      <c r="CA547"/>
      <c r="CF547"/>
      <c r="CG547"/>
      <c r="CH547"/>
      <c r="CI547"/>
      <c r="CK547"/>
      <c r="CN547"/>
    </row>
    <row r="548" spans="1:92" x14ac:dyDescent="0.3">
      <c r="A548" s="4">
        <v>546</v>
      </c>
      <c r="B548" s="11">
        <v>30</v>
      </c>
      <c r="C548" s="2" t="str">
        <f>_xlfn.XLOOKUP(Table1[[#This Row],[Age]],Table7[Start_Age],Table7[Age_Range],,-1)</f>
        <v>29-39</v>
      </c>
      <c r="D548" t="s">
        <v>130</v>
      </c>
      <c r="E548" s="2" t="s">
        <v>129</v>
      </c>
      <c r="F548" s="2" t="s">
        <v>133</v>
      </c>
      <c r="G548" s="3">
        <v>2</v>
      </c>
      <c r="H548" s="13" t="s">
        <v>152</v>
      </c>
      <c r="I548" s="2" t="str" cm="1">
        <f t="array" ref="I548">_xlfn.IFS(Table1[[#This Row],[Job_Type]] = "unskilled resident", "Resident",
Table1[[#This Row],[Job_Type]] = "unemp/unskilled non res", "Non-resident",
TRUE, "Unknown")</f>
        <v>Unknown</v>
      </c>
      <c r="J548" s="2" t="s">
        <v>148</v>
      </c>
      <c r="K548" s="3">
        <v>3</v>
      </c>
      <c r="L548" s="2" t="s">
        <v>140</v>
      </c>
      <c r="M548" s="13" t="s">
        <v>152</v>
      </c>
      <c r="N548" t="s">
        <v>35</v>
      </c>
      <c r="O548" s="2" t="str">
        <f>_xlfn.XLOOKUP(Table1[[#This Row],[Checking_Acct_Status]],Table3[Checking_Acct_Original],Table3[Category])</f>
        <v>Negative Balance</v>
      </c>
      <c r="P548" s="10" t="s">
        <v>46</v>
      </c>
      <c r="Q548" s="13" t="str">
        <f>_xlfn.XLOOKUP(Table1[[#This Row],[Saving_Acct_Status]],Table5[Saving_Acct_Original],Table5[Category])</f>
        <v>Medium Savings</v>
      </c>
      <c r="R548" t="s">
        <v>63</v>
      </c>
      <c r="S548" s="2" t="str">
        <f>IF(
      OR(Table1[[#This Row],[Job_Type]] = "high qualif/self emp/mgmt", Table1[[#This Row],[Job_Type]] = "skilled"),
      "Skilled", "Unskilled")</f>
        <v>Skilled</v>
      </c>
      <c r="T548" t="str">
        <f>IF(Table1[[#This Row],[Job_Type]] = "unemp/unskilled non res", "Unemployed", "Employed")</f>
        <v>Employed</v>
      </c>
      <c r="U548" t="s">
        <v>49</v>
      </c>
      <c r="V548" s="14" t="str" cm="1">
        <f t="array" ref="V54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48" t="s">
        <v>31</v>
      </c>
      <c r="X548" s="2" t="str">
        <f>_xlfn.XLOOKUP(Table1[[#This Row],[Loan_Credit_History]],Table4[Credit History],Table4[[ Category]])</f>
        <v>Existing Credits Paid</v>
      </c>
      <c r="Y548" s="3">
        <v>4</v>
      </c>
      <c r="Z548" s="3">
        <v>1</v>
      </c>
      <c r="AA548" s="5">
        <v>2249</v>
      </c>
      <c r="AB548" t="s">
        <v>151</v>
      </c>
      <c r="AC548" s="2" t="str" cm="1">
        <f t="array" ref="AC548">_xlfn.IFS(Table1[[#This Row],[Others_Parties]] = "No", "None",
Table1[[#This Row],[Others_Parties]] = "co applicant", "Co-applicant",
Table1[[#This Row],[Others_Parties]] = "guarantor", "Guarantor")</f>
        <v>None</v>
      </c>
      <c r="AD548" s="13" t="s">
        <v>145</v>
      </c>
      <c r="AE548" s="2" t="s">
        <v>141</v>
      </c>
      <c r="AF548" s="28" t="str" cm="1">
        <f t="array" ref="AF54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48" s="21">
        <v>18</v>
      </c>
      <c r="AH548" s="2" t="s">
        <v>154</v>
      </c>
      <c r="AI548"/>
      <c r="AZ548"/>
      <c r="BC548"/>
      <c r="BE548"/>
      <c r="BL548"/>
      <c r="BZ548"/>
      <c r="CA548"/>
      <c r="CF548"/>
      <c r="CG548"/>
      <c r="CH548"/>
      <c r="CI548"/>
      <c r="CK548"/>
      <c r="CN548"/>
    </row>
    <row r="549" spans="1:92" x14ac:dyDescent="0.3">
      <c r="A549" s="4">
        <v>547</v>
      </c>
      <c r="B549" s="11">
        <v>28</v>
      </c>
      <c r="C549" s="2" t="str">
        <f>_xlfn.XLOOKUP(Table1[[#This Row],[Age]],Table7[Start_Age],Table7[Age_Range],,-1)</f>
        <v>19-29</v>
      </c>
      <c r="D549" t="s">
        <v>136</v>
      </c>
      <c r="E549" s="2" t="s">
        <v>131</v>
      </c>
      <c r="F549" s="2" t="s">
        <v>137</v>
      </c>
      <c r="G549" s="3">
        <v>1</v>
      </c>
      <c r="H549" s="13" t="s">
        <v>152</v>
      </c>
      <c r="I549" s="2" t="str" cm="1">
        <f t="array" ref="I549">_xlfn.IFS(Table1[[#This Row],[Job_Type]] = "unskilled resident", "Resident",
Table1[[#This Row],[Job_Type]] = "unemp/unskilled non res", "Non-resident",
TRUE, "Unknown")</f>
        <v>Unknown</v>
      </c>
      <c r="J549" s="2" t="s">
        <v>148</v>
      </c>
      <c r="K549" s="3">
        <v>3</v>
      </c>
      <c r="L549" s="2" t="s">
        <v>140</v>
      </c>
      <c r="M549" s="13" t="s">
        <v>151</v>
      </c>
      <c r="N549" t="s">
        <v>30</v>
      </c>
      <c r="O549" s="2" t="str">
        <f>_xlfn.XLOOKUP(Table1[[#This Row],[Checking_Acct_Status]],Table3[Checking_Acct_Original],Table3[Category])</f>
        <v>Low Balance</v>
      </c>
      <c r="P549" s="10" t="s">
        <v>46</v>
      </c>
      <c r="Q549" s="13" t="str">
        <f>_xlfn.XLOOKUP(Table1[[#This Row],[Saving_Acct_Status]],Table5[Saving_Acct_Original],Table5[Category])</f>
        <v>Medium Savings</v>
      </c>
      <c r="R549" t="s">
        <v>41</v>
      </c>
      <c r="S549" s="2" t="str">
        <f>IF(
      OR(Table1[[#This Row],[Job_Type]] = "high qualif/self emp/mgmt", Table1[[#This Row],[Job_Type]] = "skilled"),
      "Skilled", "Unskilled")</f>
        <v>Skilled</v>
      </c>
      <c r="T549" t="str">
        <f>IF(Table1[[#This Row],[Job_Type]] = "unemp/unskilled non res", "Unemployed", "Employed")</f>
        <v>Employed</v>
      </c>
      <c r="U549" t="s">
        <v>45</v>
      </c>
      <c r="V549" s="14" t="str" cm="1">
        <f t="array" ref="V54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49" t="s">
        <v>52</v>
      </c>
      <c r="X549" s="2" t="str">
        <f>_xlfn.XLOOKUP(Table1[[#This Row],[Loan_Credit_History]],Table4[Credit History],Table4[[ Category]])</f>
        <v>No Credit History</v>
      </c>
      <c r="Y549" s="3">
        <v>3</v>
      </c>
      <c r="Z549" s="3">
        <v>2</v>
      </c>
      <c r="AA549" s="5">
        <v>2278</v>
      </c>
      <c r="AB549" t="s">
        <v>151</v>
      </c>
      <c r="AC549" s="2" t="str" cm="1">
        <f t="array" ref="AC549">_xlfn.IFS(Table1[[#This Row],[Others_Parties]] = "No", "None",
Table1[[#This Row],[Others_Parties]] = "co applicant", "Co-applicant",
Table1[[#This Row],[Others_Parties]] = "guarantor", "Guarantor")</f>
        <v>None</v>
      </c>
      <c r="AD549" s="13" t="s">
        <v>145</v>
      </c>
      <c r="AE549" s="2" t="s">
        <v>141</v>
      </c>
      <c r="AF549" s="28" t="str" cm="1">
        <f t="array" ref="AF54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49" s="21">
        <v>18</v>
      </c>
      <c r="AH549" s="2" t="s">
        <v>153</v>
      </c>
      <c r="AI549"/>
      <c r="AZ549"/>
      <c r="BC549"/>
      <c r="BE549"/>
      <c r="BL549"/>
      <c r="BZ549"/>
      <c r="CA549"/>
      <c r="CF549"/>
      <c r="CG549"/>
      <c r="CH549"/>
      <c r="CI549"/>
      <c r="CK549"/>
      <c r="CN549"/>
    </row>
    <row r="550" spans="1:92" x14ac:dyDescent="0.3">
      <c r="A550" s="4">
        <v>548</v>
      </c>
      <c r="B550" s="11">
        <v>34</v>
      </c>
      <c r="C550" s="2" t="str">
        <f>_xlfn.XLOOKUP(Table1[[#This Row],[Age]],Table7[Start_Age],Table7[Age_Range],,-1)</f>
        <v>29-39</v>
      </c>
      <c r="D550" t="s">
        <v>134</v>
      </c>
      <c r="E550" s="2" t="s">
        <v>129</v>
      </c>
      <c r="F550" s="2" t="s">
        <v>135</v>
      </c>
      <c r="G550" s="3">
        <v>1</v>
      </c>
      <c r="H550" s="13" t="s">
        <v>152</v>
      </c>
      <c r="I550" s="2" t="str" cm="1">
        <f t="array" ref="I550">_xlfn.IFS(Table1[[#This Row],[Job_Type]] = "unskilled resident", "Resident",
Table1[[#This Row],[Job_Type]] = "unemp/unskilled non res", "Non-resident",
TRUE, "Unknown")</f>
        <v>Unknown</v>
      </c>
      <c r="J550" s="2" t="s">
        <v>148</v>
      </c>
      <c r="K550" s="3">
        <v>3</v>
      </c>
      <c r="L550" s="2" t="s">
        <v>144</v>
      </c>
      <c r="M550" s="13" t="s">
        <v>151</v>
      </c>
      <c r="N550" t="s">
        <v>17</v>
      </c>
      <c r="O550" s="2" t="str">
        <f>_xlfn.XLOOKUP(Table1[[#This Row],[Checking_Acct_Status]],Table3[Checking_Acct_Original],Table3[Category])</f>
        <v>No Account</v>
      </c>
      <c r="P550" s="10" t="s">
        <v>32</v>
      </c>
      <c r="Q550" s="13" t="str">
        <f>_xlfn.XLOOKUP(Table1[[#This Row],[Saving_Acct_Status]],Table5[Saving_Acct_Original],Table5[Category])</f>
        <v>Low Savings</v>
      </c>
      <c r="R550" t="s">
        <v>41</v>
      </c>
      <c r="S550" s="2" t="str">
        <f>IF(
      OR(Table1[[#This Row],[Job_Type]] = "high qualif/self emp/mgmt", Table1[[#This Row],[Job_Type]] = "skilled"),
      "Skilled", "Unskilled")</f>
        <v>Skilled</v>
      </c>
      <c r="T550" t="str">
        <f>IF(Table1[[#This Row],[Job_Type]] = "unemp/unskilled non res", "Unemployed", "Employed")</f>
        <v>Employed</v>
      </c>
      <c r="U550" t="s">
        <v>54</v>
      </c>
      <c r="V550" s="14" t="str" cm="1">
        <f t="array" ref="V550">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550" t="s">
        <v>59</v>
      </c>
      <c r="X550" s="2" t="str">
        <f>_xlfn.XLOOKUP(Table1[[#This Row],[Loan_Credit_History]],Table4[Credit History],Table4[[ Category]])</f>
        <v>Previously Delayed</v>
      </c>
      <c r="Y550" s="3">
        <v>2</v>
      </c>
      <c r="Z550" s="3">
        <v>2</v>
      </c>
      <c r="AA550" s="5">
        <v>2320</v>
      </c>
      <c r="AB550" t="s">
        <v>151</v>
      </c>
      <c r="AC550" s="2" t="str" cm="1">
        <f t="array" ref="AC550">_xlfn.IFS(Table1[[#This Row],[Others_Parties]] = "No", "None",
Table1[[#This Row],[Others_Parties]] = "co applicant", "Co-applicant",
Table1[[#This Row],[Others_Parties]] = "guarantor", "Guarantor")</f>
        <v>None</v>
      </c>
      <c r="AD550" s="13" t="s">
        <v>145</v>
      </c>
      <c r="AE550" s="2" t="s">
        <v>111</v>
      </c>
      <c r="AF550" s="28" t="str" cm="1">
        <f t="array" ref="AF55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50" s="21">
        <v>18</v>
      </c>
      <c r="AH550" s="2" t="s">
        <v>154</v>
      </c>
      <c r="AI550"/>
      <c r="AZ550"/>
      <c r="BC550"/>
      <c r="BE550"/>
      <c r="BL550"/>
      <c r="BZ550"/>
      <c r="CA550"/>
      <c r="CF550"/>
      <c r="CG550"/>
      <c r="CH550"/>
      <c r="CI550"/>
      <c r="CK550"/>
      <c r="CN550"/>
    </row>
    <row r="551" spans="1:92" x14ac:dyDescent="0.3">
      <c r="A551" s="4">
        <v>549</v>
      </c>
      <c r="B551" s="11">
        <v>27</v>
      </c>
      <c r="C551" s="2" t="str">
        <f>_xlfn.XLOOKUP(Table1[[#This Row],[Age]],Table7[Start_Age],Table7[Age_Range],,-1)</f>
        <v>19-29</v>
      </c>
      <c r="D551" t="s">
        <v>136</v>
      </c>
      <c r="E551" s="2" t="s">
        <v>131</v>
      </c>
      <c r="F551" s="2" t="s">
        <v>137</v>
      </c>
      <c r="G551" s="3">
        <v>1</v>
      </c>
      <c r="H551" s="13" t="s">
        <v>152</v>
      </c>
      <c r="I551" s="2" t="str" cm="1">
        <f t="array" ref="I551">_xlfn.IFS(Table1[[#This Row],[Job_Type]] = "unskilled resident", "Resident",
Table1[[#This Row],[Job_Type]] = "unemp/unskilled non res", "Non-resident",
TRUE, "Unknown")</f>
        <v>Unknown</v>
      </c>
      <c r="J551" s="2" t="s">
        <v>148</v>
      </c>
      <c r="K551" s="3">
        <v>1</v>
      </c>
      <c r="L551" s="2" t="s">
        <v>140</v>
      </c>
      <c r="M551" s="13" t="s">
        <v>151</v>
      </c>
      <c r="N551" t="s">
        <v>35</v>
      </c>
      <c r="O551" s="2" t="str">
        <f>_xlfn.XLOOKUP(Table1[[#This Row],[Checking_Acct_Status]],Table3[Checking_Acct_Original],Table3[Category])</f>
        <v>Negative Balance</v>
      </c>
      <c r="P551" s="10" t="s">
        <v>32</v>
      </c>
      <c r="Q551" s="13" t="str">
        <f>_xlfn.XLOOKUP(Table1[[#This Row],[Saving_Acct_Status]],Table5[Saving_Acct_Original],Table5[Category])</f>
        <v>Low Savings</v>
      </c>
      <c r="R551" t="s">
        <v>41</v>
      </c>
      <c r="S551" s="2" t="str">
        <f>IF(
      OR(Table1[[#This Row],[Job_Type]] = "high qualif/self emp/mgmt", Table1[[#This Row],[Job_Type]] = "skilled"),
      "Skilled", "Unskilled")</f>
        <v>Skilled</v>
      </c>
      <c r="T551" t="str">
        <f>IF(Table1[[#This Row],[Job_Type]] = "unemp/unskilled non res", "Unemployed", "Employed")</f>
        <v>Employed</v>
      </c>
      <c r="U551" t="s">
        <v>45</v>
      </c>
      <c r="V551" s="14" t="str" cm="1">
        <f t="array" ref="V55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51" t="s">
        <v>31</v>
      </c>
      <c r="X551" s="2" t="str">
        <f>_xlfn.XLOOKUP(Table1[[#This Row],[Loan_Credit_History]],Table4[Credit History],Table4[[ Category]])</f>
        <v>Existing Credits Paid</v>
      </c>
      <c r="Y551" s="3">
        <v>4</v>
      </c>
      <c r="Z551" s="3">
        <v>1</v>
      </c>
      <c r="AA551" s="5">
        <v>2389</v>
      </c>
      <c r="AB551" t="s">
        <v>151</v>
      </c>
      <c r="AC551" s="2" t="str" cm="1">
        <f t="array" ref="AC551">_xlfn.IFS(Table1[[#This Row],[Others_Parties]] = "No", "None",
Table1[[#This Row],[Others_Parties]] = "co applicant", "Co-applicant",
Table1[[#This Row],[Others_Parties]] = "guarantor", "Guarantor")</f>
        <v>None</v>
      </c>
      <c r="AD551" s="13" t="s">
        <v>147</v>
      </c>
      <c r="AE551" s="2" t="s">
        <v>111</v>
      </c>
      <c r="AF551" s="28" t="str" cm="1">
        <f t="array" ref="AF55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51" s="21">
        <v>18</v>
      </c>
      <c r="AH551" s="2" t="s">
        <v>154</v>
      </c>
      <c r="AI551"/>
      <c r="AZ551"/>
      <c r="BC551"/>
      <c r="BE551"/>
      <c r="BL551"/>
      <c r="BZ551"/>
      <c r="CA551"/>
      <c r="CF551"/>
      <c r="CG551"/>
      <c r="CH551"/>
      <c r="CI551"/>
      <c r="CK551"/>
      <c r="CN551"/>
    </row>
    <row r="552" spans="1:92" x14ac:dyDescent="0.3">
      <c r="A552" s="4">
        <v>550</v>
      </c>
      <c r="B552" s="11">
        <v>26</v>
      </c>
      <c r="C552" s="2" t="str">
        <f>_xlfn.XLOOKUP(Table1[[#This Row],[Age]],Table7[Start_Age],Table7[Age_Range],,-1)</f>
        <v>19-29</v>
      </c>
      <c r="D552" t="s">
        <v>136</v>
      </c>
      <c r="E552" s="2" t="s">
        <v>131</v>
      </c>
      <c r="F552" s="2" t="s">
        <v>137</v>
      </c>
      <c r="G552" s="3">
        <v>1</v>
      </c>
      <c r="H552" s="13" t="s">
        <v>152</v>
      </c>
      <c r="I552" s="2" t="str" cm="1">
        <f t="array" ref="I552">_xlfn.IFS(Table1[[#This Row],[Job_Type]] = "unskilled resident", "Resident",
Table1[[#This Row],[Job_Type]] = "unemp/unskilled non res", "Non-resident",
TRUE, "Unknown")</f>
        <v>Unknown</v>
      </c>
      <c r="J552" s="2" t="s">
        <v>148</v>
      </c>
      <c r="K552" s="3">
        <v>2</v>
      </c>
      <c r="L552" s="2" t="s">
        <v>140</v>
      </c>
      <c r="M552" s="13" t="s">
        <v>151</v>
      </c>
      <c r="N552" t="s">
        <v>17</v>
      </c>
      <c r="O552" s="2" t="str">
        <f>_xlfn.XLOOKUP(Table1[[#This Row],[Checking_Acct_Status]],Table3[Checking_Acct_Original],Table3[Category])</f>
        <v>No Account</v>
      </c>
      <c r="P552" s="10" t="s">
        <v>32</v>
      </c>
      <c r="Q552" s="13" t="str">
        <f>_xlfn.XLOOKUP(Table1[[#This Row],[Saving_Acct_Status]],Table5[Saving_Acct_Original],Table5[Category])</f>
        <v>Low Savings</v>
      </c>
      <c r="R552" t="s">
        <v>41</v>
      </c>
      <c r="S552" s="2" t="str">
        <f>IF(
      OR(Table1[[#This Row],[Job_Type]] = "high qualif/self emp/mgmt", Table1[[#This Row],[Job_Type]] = "skilled"),
      "Skilled", "Unskilled")</f>
        <v>Skilled</v>
      </c>
      <c r="T552" t="str">
        <f>IF(Table1[[#This Row],[Job_Type]] = "unemp/unskilled non res", "Unemployed", "Employed")</f>
        <v>Employed</v>
      </c>
      <c r="U552" t="s">
        <v>21</v>
      </c>
      <c r="V552" s="14" t="str" cm="1">
        <f t="array" ref="V55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52" t="s">
        <v>103</v>
      </c>
      <c r="X552" s="2" t="str">
        <f>_xlfn.XLOOKUP(Table1[[#This Row],[Loan_Credit_History]],Table4[Credit History],Table4[[ Category]])</f>
        <v>Critical Credit History</v>
      </c>
      <c r="Y552" s="3">
        <v>2</v>
      </c>
      <c r="Z552" s="3">
        <v>2</v>
      </c>
      <c r="AA552" s="5">
        <v>2404</v>
      </c>
      <c r="AB552" t="s">
        <v>151</v>
      </c>
      <c r="AC552" s="2" t="str" cm="1">
        <f t="array" ref="AC552">_xlfn.IFS(Table1[[#This Row],[Others_Parties]] = "No", "None",
Table1[[#This Row],[Others_Parties]] = "co applicant", "Co-applicant",
Table1[[#This Row],[Others_Parties]] = "guarantor", "Guarantor")</f>
        <v>None</v>
      </c>
      <c r="AD552" s="13" t="s">
        <v>145</v>
      </c>
      <c r="AE552" s="2" t="s">
        <v>111</v>
      </c>
      <c r="AF552" s="28" t="str" cm="1">
        <f t="array" ref="AF55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52" s="21">
        <v>18</v>
      </c>
      <c r="AH552" s="2" t="s">
        <v>154</v>
      </c>
      <c r="AI552"/>
      <c r="AZ552"/>
      <c r="BC552"/>
      <c r="BE552"/>
      <c r="BL552"/>
      <c r="BZ552"/>
      <c r="CA552"/>
      <c r="CF552"/>
      <c r="CG552"/>
      <c r="CH552"/>
      <c r="CI552"/>
      <c r="CK552"/>
      <c r="CN552"/>
    </row>
    <row r="553" spans="1:92" x14ac:dyDescent="0.3">
      <c r="A553" s="4">
        <v>551</v>
      </c>
      <c r="B553" s="11">
        <v>42</v>
      </c>
      <c r="C553" s="2" t="str">
        <f>_xlfn.XLOOKUP(Table1[[#This Row],[Age]],Table7[Start_Age],Table7[Age_Range],,-1)</f>
        <v>39-49</v>
      </c>
      <c r="D553" t="s">
        <v>130</v>
      </c>
      <c r="E553" s="2" t="s">
        <v>129</v>
      </c>
      <c r="F553" s="2" t="s">
        <v>133</v>
      </c>
      <c r="G553" s="3">
        <v>1</v>
      </c>
      <c r="H553" s="13" t="s">
        <v>152</v>
      </c>
      <c r="I553" s="2" t="str" cm="1">
        <f t="array" ref="I553">_xlfn.IFS(Table1[[#This Row],[Job_Type]] = "unskilled resident", "Resident",
Table1[[#This Row],[Job_Type]] = "unemp/unskilled non res", "Non-resident",
TRUE, "Unknown")</f>
        <v>Unknown</v>
      </c>
      <c r="J553" s="2" t="s">
        <v>148</v>
      </c>
      <c r="K553" s="3">
        <v>2</v>
      </c>
      <c r="L553" s="2" t="s">
        <v>143</v>
      </c>
      <c r="M553" s="13" t="s">
        <v>151</v>
      </c>
      <c r="N553" t="s">
        <v>30</v>
      </c>
      <c r="O553" s="2" t="str">
        <f>_xlfn.XLOOKUP(Table1[[#This Row],[Checking_Acct_Status]],Table3[Checking_Acct_Original],Table3[Category])</f>
        <v>Low Balance</v>
      </c>
      <c r="P553" s="10" t="s">
        <v>47</v>
      </c>
      <c r="Q553" s="13" t="str">
        <f>_xlfn.XLOOKUP(Table1[[#This Row],[Saving_Acct_Status]],Table5[Saving_Acct_Original],Table5[Category])</f>
        <v>No Savings</v>
      </c>
      <c r="R553" t="s">
        <v>41</v>
      </c>
      <c r="S553" s="2" t="str">
        <f>IF(
      OR(Table1[[#This Row],[Job_Type]] = "high qualif/self emp/mgmt", Table1[[#This Row],[Job_Type]] = "skilled"),
      "Skilled", "Unskilled")</f>
        <v>Skilled</v>
      </c>
      <c r="T553" t="str">
        <f>IF(Table1[[#This Row],[Job_Type]] = "unemp/unskilled non res", "Unemployed", "Employed")</f>
        <v>Employed</v>
      </c>
      <c r="U553" t="s">
        <v>38</v>
      </c>
      <c r="V553" s="14" t="str" cm="1">
        <f t="array" ref="V55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53" t="s">
        <v>59</v>
      </c>
      <c r="X553" s="2" t="str">
        <f>_xlfn.XLOOKUP(Table1[[#This Row],[Loan_Credit_History]],Table4[Credit History],Table4[[ Category]])</f>
        <v>Previously Delayed</v>
      </c>
      <c r="Y553" s="3">
        <v>4</v>
      </c>
      <c r="Z553" s="3">
        <v>2</v>
      </c>
      <c r="AA553" s="5">
        <v>2427</v>
      </c>
      <c r="AB553" t="s">
        <v>151</v>
      </c>
      <c r="AC553" s="2" t="str" cm="1">
        <f t="array" ref="AC553">_xlfn.IFS(Table1[[#This Row],[Others_Parties]] = "No", "None",
Table1[[#This Row],[Others_Parties]] = "co applicant", "Co-applicant",
Table1[[#This Row],[Others_Parties]] = "guarantor", "Guarantor")</f>
        <v>None</v>
      </c>
      <c r="AD553" s="13" t="s">
        <v>145</v>
      </c>
      <c r="AE553" s="2" t="s">
        <v>105</v>
      </c>
      <c r="AF553" s="28" t="str" cm="1">
        <f t="array" ref="AF55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53" s="21">
        <v>18</v>
      </c>
      <c r="AH553" s="2" t="s">
        <v>154</v>
      </c>
      <c r="AI553"/>
      <c r="AZ553"/>
      <c r="BC553"/>
      <c r="BE553"/>
      <c r="BL553"/>
      <c r="BZ553"/>
      <c r="CA553"/>
      <c r="CF553"/>
      <c r="CG553"/>
      <c r="CH553"/>
      <c r="CI553"/>
      <c r="CK553"/>
      <c r="CN553"/>
    </row>
    <row r="554" spans="1:92" x14ac:dyDescent="0.3">
      <c r="A554" s="4">
        <v>552</v>
      </c>
      <c r="B554" s="11">
        <v>22</v>
      </c>
      <c r="C554" s="2" t="str">
        <f>_xlfn.XLOOKUP(Table1[[#This Row],[Age]],Table7[Start_Age],Table7[Age_Range],,-1)</f>
        <v>19-29</v>
      </c>
      <c r="D554" t="s">
        <v>130</v>
      </c>
      <c r="E554" s="2" t="s">
        <v>129</v>
      </c>
      <c r="F554" s="2" t="s">
        <v>133</v>
      </c>
      <c r="G554" s="3">
        <v>1</v>
      </c>
      <c r="H554" s="13" t="s">
        <v>152</v>
      </c>
      <c r="I554" s="2" t="str" cm="1">
        <f t="array" ref="I554">_xlfn.IFS(Table1[[#This Row],[Job_Type]] = "unskilled resident", "Resident",
Table1[[#This Row],[Job_Type]] = "unemp/unskilled non res", "Non-resident",
TRUE, "Unknown")</f>
        <v>Unknown</v>
      </c>
      <c r="J554" s="2" t="s">
        <v>148</v>
      </c>
      <c r="K554" s="3">
        <v>2</v>
      </c>
      <c r="L554" s="2" t="s">
        <v>140</v>
      </c>
      <c r="M554" s="13" t="s">
        <v>151</v>
      </c>
      <c r="N554" t="s">
        <v>35</v>
      </c>
      <c r="O554" s="2" t="str">
        <f>_xlfn.XLOOKUP(Table1[[#This Row],[Checking_Acct_Status]],Table3[Checking_Acct_Original],Table3[Category])</f>
        <v>Negative Balance</v>
      </c>
      <c r="P554" s="10" t="s">
        <v>32</v>
      </c>
      <c r="Q554" s="13" t="str">
        <f>_xlfn.XLOOKUP(Table1[[#This Row],[Saving_Acct_Status]],Table5[Saving_Acct_Original],Table5[Category])</f>
        <v>Low Savings</v>
      </c>
      <c r="R554" t="s">
        <v>41</v>
      </c>
      <c r="S554" s="2" t="str">
        <f>IF(
      OR(Table1[[#This Row],[Job_Type]] = "high qualif/self emp/mgmt", Table1[[#This Row],[Job_Type]] = "skilled"),
      "Skilled", "Unskilled")</f>
        <v>Skilled</v>
      </c>
      <c r="T554" t="str">
        <f>IF(Table1[[#This Row],[Job_Type]] = "unemp/unskilled non res", "Unemployed", "Employed")</f>
        <v>Employed</v>
      </c>
      <c r="U554" t="s">
        <v>21</v>
      </c>
      <c r="V554" s="14" t="str" cm="1">
        <f t="array" ref="V55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54" t="s">
        <v>31</v>
      </c>
      <c r="X554" s="2" t="str">
        <f>_xlfn.XLOOKUP(Table1[[#This Row],[Loan_Credit_History]],Table4[Credit History],Table4[[ Category]])</f>
        <v>Existing Credits Paid</v>
      </c>
      <c r="Y554" s="3">
        <v>2</v>
      </c>
      <c r="Z554" s="3">
        <v>1</v>
      </c>
      <c r="AA554" s="5">
        <v>2462</v>
      </c>
      <c r="AB554" t="s">
        <v>151</v>
      </c>
      <c r="AC554" s="2" t="str" cm="1">
        <f t="array" ref="AC554">_xlfn.IFS(Table1[[#This Row],[Others_Parties]] = "No", "None",
Table1[[#This Row],[Others_Parties]] = "co applicant", "Co-applicant",
Table1[[#This Row],[Others_Parties]] = "guarantor", "Guarantor")</f>
        <v>None</v>
      </c>
      <c r="AD554" s="13" t="s">
        <v>145</v>
      </c>
      <c r="AE554" s="2" t="s">
        <v>108</v>
      </c>
      <c r="AF554" s="28" t="str" cm="1">
        <f t="array" ref="AF55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54" s="21">
        <v>18</v>
      </c>
      <c r="AH554" s="2" t="s">
        <v>153</v>
      </c>
      <c r="AI554"/>
      <c r="AZ554"/>
      <c r="BC554"/>
      <c r="BE554"/>
      <c r="BL554"/>
      <c r="BZ554"/>
      <c r="CA554"/>
      <c r="CF554"/>
      <c r="CG554"/>
      <c r="CH554"/>
      <c r="CI554"/>
      <c r="CK554"/>
      <c r="CN554"/>
    </row>
    <row r="555" spans="1:92" x14ac:dyDescent="0.3">
      <c r="A555" s="4">
        <v>553</v>
      </c>
      <c r="B555" s="11">
        <v>25</v>
      </c>
      <c r="C555" s="2" t="str">
        <f>_xlfn.XLOOKUP(Table1[[#This Row],[Age]],Table7[Start_Age],Table7[Age_Range],,-1)</f>
        <v>19-29</v>
      </c>
      <c r="D555" t="s">
        <v>130</v>
      </c>
      <c r="E555" s="2" t="s">
        <v>129</v>
      </c>
      <c r="F555" s="2" t="s">
        <v>133</v>
      </c>
      <c r="G555" s="3">
        <v>1</v>
      </c>
      <c r="H555" s="13" t="s">
        <v>152</v>
      </c>
      <c r="I555" s="2" t="str" cm="1">
        <f t="array" ref="I555">_xlfn.IFS(Table1[[#This Row],[Job_Type]] = "unskilled resident", "Resident",
Table1[[#This Row],[Job_Type]] = "unemp/unskilled non res", "Non-resident",
TRUE, "Unknown")</f>
        <v>Non-resident</v>
      </c>
      <c r="J555" s="2" t="s">
        <v>148</v>
      </c>
      <c r="K555" s="3">
        <v>1</v>
      </c>
      <c r="L555" s="2" t="s">
        <v>140</v>
      </c>
      <c r="M555" s="13" t="s">
        <v>151</v>
      </c>
      <c r="N555" t="s">
        <v>35</v>
      </c>
      <c r="O555" s="2" t="str">
        <f>_xlfn.XLOOKUP(Table1[[#This Row],[Checking_Acct_Status]],Table3[Checking_Acct_Original],Table3[Category])</f>
        <v>Negative Balance</v>
      </c>
      <c r="P555" s="10" t="s">
        <v>32</v>
      </c>
      <c r="Q555" s="13" t="str">
        <f>_xlfn.XLOOKUP(Table1[[#This Row],[Saving_Acct_Status]],Table5[Saving_Acct_Original],Table5[Category])</f>
        <v>Low Savings</v>
      </c>
      <c r="R555" t="s">
        <v>62</v>
      </c>
      <c r="S555" s="2" t="str">
        <f>IF(
      OR(Table1[[#This Row],[Job_Type]] = "high qualif/self emp/mgmt", Table1[[#This Row],[Job_Type]] = "skilled"),
      "Skilled", "Unskilled")</f>
        <v>Unskilled</v>
      </c>
      <c r="T555" t="str">
        <f>IF(Table1[[#This Row],[Job_Type]] = "unemp/unskilled non res", "Unemployed", "Employed")</f>
        <v>Unemployed</v>
      </c>
      <c r="U555" t="s">
        <v>54</v>
      </c>
      <c r="V555" s="14" t="str" cm="1">
        <f t="array" ref="V555">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555" t="s">
        <v>31</v>
      </c>
      <c r="X555" s="2" t="str">
        <f>_xlfn.XLOOKUP(Table1[[#This Row],[Loan_Credit_History]],Table4[Credit History],Table4[[ Category]])</f>
        <v>Existing Credits Paid</v>
      </c>
      <c r="Y555" s="3">
        <v>4</v>
      </c>
      <c r="Z555" s="3">
        <v>1</v>
      </c>
      <c r="AA555" s="5">
        <v>2473</v>
      </c>
      <c r="AB555" t="s">
        <v>151</v>
      </c>
      <c r="AC555" s="2" t="str" cm="1">
        <f t="array" ref="AC555">_xlfn.IFS(Table1[[#This Row],[Others_Parties]] = "No", "None",
Table1[[#This Row],[Others_Parties]] = "co applicant", "Co-applicant",
Table1[[#This Row],[Others_Parties]] = "guarantor", "Guarantor")</f>
        <v>None</v>
      </c>
      <c r="AD555" s="13" t="s">
        <v>145</v>
      </c>
      <c r="AE555" s="2" t="s">
        <v>108</v>
      </c>
      <c r="AF555" s="28" t="str" cm="1">
        <f t="array" ref="AF55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55" s="21">
        <v>18</v>
      </c>
      <c r="AH555" s="2" t="s">
        <v>153</v>
      </c>
      <c r="AI555"/>
      <c r="AZ555"/>
      <c r="BC555"/>
      <c r="BE555"/>
      <c r="BL555"/>
      <c r="BZ555"/>
      <c r="CA555"/>
      <c r="CF555"/>
      <c r="CG555"/>
      <c r="CH555"/>
      <c r="CI555"/>
      <c r="CK555"/>
      <c r="CN555"/>
    </row>
    <row r="556" spans="1:92" x14ac:dyDescent="0.3">
      <c r="A556" s="4">
        <v>554</v>
      </c>
      <c r="B556" s="11">
        <v>43</v>
      </c>
      <c r="C556" s="2" t="str">
        <f>_xlfn.XLOOKUP(Table1[[#This Row],[Age]],Table7[Start_Age],Table7[Age_Range],,-1)</f>
        <v>39-49</v>
      </c>
      <c r="D556" t="s">
        <v>130</v>
      </c>
      <c r="E556" s="2" t="s">
        <v>129</v>
      </c>
      <c r="F556" s="2" t="s">
        <v>133</v>
      </c>
      <c r="G556" s="3">
        <v>1</v>
      </c>
      <c r="H556" s="13" t="s">
        <v>152</v>
      </c>
      <c r="I556" s="2" t="str" cm="1">
        <f t="array" ref="I556">_xlfn.IFS(Table1[[#This Row],[Job_Type]] = "unskilled resident", "Resident",
Table1[[#This Row],[Job_Type]] = "unemp/unskilled non res", "Non-resident",
TRUE, "Unknown")</f>
        <v>Unknown</v>
      </c>
      <c r="J556" s="2" t="s">
        <v>148</v>
      </c>
      <c r="K556" s="3">
        <v>4</v>
      </c>
      <c r="L556" s="2" t="s">
        <v>144</v>
      </c>
      <c r="M556" s="13" t="s">
        <v>152</v>
      </c>
      <c r="N556" t="s">
        <v>17</v>
      </c>
      <c r="O556" s="2" t="str">
        <f>_xlfn.XLOOKUP(Table1[[#This Row],[Checking_Acct_Status]],Table3[Checking_Acct_Original],Table3[Category])</f>
        <v>No Account</v>
      </c>
      <c r="P556" s="10" t="s">
        <v>32</v>
      </c>
      <c r="Q556" s="13" t="str">
        <f>_xlfn.XLOOKUP(Table1[[#This Row],[Saving_Acct_Status]],Table5[Saving_Acct_Original],Table5[Category])</f>
        <v>Low Savings</v>
      </c>
      <c r="R556" t="s">
        <v>41</v>
      </c>
      <c r="S556" s="2" t="str">
        <f>IF(
      OR(Table1[[#This Row],[Job_Type]] = "high qualif/self emp/mgmt", Table1[[#This Row],[Job_Type]] = "skilled"),
      "Skilled", "Unskilled")</f>
        <v>Skilled</v>
      </c>
      <c r="T556" t="str">
        <f>IF(Table1[[#This Row],[Job_Type]] = "unemp/unskilled non res", "Unemployed", "Employed")</f>
        <v>Employed</v>
      </c>
      <c r="U556" t="s">
        <v>21</v>
      </c>
      <c r="V556" s="14" t="str" cm="1">
        <f t="array" ref="V55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56" t="s">
        <v>31</v>
      </c>
      <c r="X556" s="2" t="str">
        <f>_xlfn.XLOOKUP(Table1[[#This Row],[Loan_Credit_History]],Table4[Credit History],Table4[[ Category]])</f>
        <v>Existing Credits Paid</v>
      </c>
      <c r="Y556" s="3">
        <v>3</v>
      </c>
      <c r="Z556" s="3">
        <v>1</v>
      </c>
      <c r="AA556" s="5">
        <v>2515</v>
      </c>
      <c r="AB556" t="s">
        <v>151</v>
      </c>
      <c r="AC556" s="2" t="str" cm="1">
        <f t="array" ref="AC556">_xlfn.IFS(Table1[[#This Row],[Others_Parties]] = "No", "None",
Table1[[#This Row],[Others_Parties]] = "co applicant", "Co-applicant",
Table1[[#This Row],[Others_Parties]] = "guarantor", "Guarantor")</f>
        <v>None</v>
      </c>
      <c r="AD556" s="13" t="s">
        <v>145</v>
      </c>
      <c r="AE556" s="2" t="s">
        <v>108</v>
      </c>
      <c r="AF556" s="28" t="str" cm="1">
        <f t="array" ref="AF55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56" s="21">
        <v>18</v>
      </c>
      <c r="AH556" s="2" t="s">
        <v>154</v>
      </c>
      <c r="AI556"/>
      <c r="AZ556"/>
      <c r="BC556"/>
      <c r="BE556"/>
      <c r="BL556"/>
      <c r="BZ556"/>
      <c r="CA556"/>
      <c r="CF556"/>
      <c r="CG556"/>
      <c r="CH556"/>
      <c r="CI556"/>
      <c r="CK556"/>
      <c r="CN556"/>
    </row>
    <row r="557" spans="1:92" x14ac:dyDescent="0.3">
      <c r="A557" s="4">
        <v>555</v>
      </c>
      <c r="B557" s="11">
        <v>65</v>
      </c>
      <c r="C557" s="2" t="str">
        <f>_xlfn.XLOOKUP(Table1[[#This Row],[Age]],Table7[Start_Age],Table7[Age_Range],,-1)</f>
        <v>59-69</v>
      </c>
      <c r="D557" t="s">
        <v>130</v>
      </c>
      <c r="E557" s="2" t="s">
        <v>129</v>
      </c>
      <c r="F557" s="2" t="s">
        <v>133</v>
      </c>
      <c r="G557" s="3">
        <v>1</v>
      </c>
      <c r="H557" s="13" t="s">
        <v>152</v>
      </c>
      <c r="I557" s="2" t="str" cm="1">
        <f t="array" ref="I557">_xlfn.IFS(Table1[[#This Row],[Job_Type]] = "unskilled resident", "Resident",
Table1[[#This Row],[Job_Type]] = "unemp/unskilled non res", "Non-resident",
TRUE, "Unknown")</f>
        <v>Unknown</v>
      </c>
      <c r="J557" s="2" t="s">
        <v>150</v>
      </c>
      <c r="K557" s="3">
        <v>4</v>
      </c>
      <c r="L557" s="2" t="s">
        <v>142</v>
      </c>
      <c r="M557" s="13" t="s">
        <v>151</v>
      </c>
      <c r="N557" t="s">
        <v>35</v>
      </c>
      <c r="O557" s="2" t="str">
        <f>_xlfn.XLOOKUP(Table1[[#This Row],[Checking_Acct_Status]],Table3[Checking_Acct_Original],Table3[Category])</f>
        <v>Negative Balance</v>
      </c>
      <c r="P557" s="10" t="s">
        <v>32</v>
      </c>
      <c r="Q557" s="13" t="str">
        <f>_xlfn.XLOOKUP(Table1[[#This Row],[Saving_Acct_Status]],Table5[Saving_Acct_Original],Table5[Category])</f>
        <v>Low Savings</v>
      </c>
      <c r="R557" t="s">
        <v>41</v>
      </c>
      <c r="S557" s="2" t="str">
        <f>IF(
      OR(Table1[[#This Row],[Job_Type]] = "high qualif/self emp/mgmt", Table1[[#This Row],[Job_Type]] = "skilled"),
      "Skilled", "Unskilled")</f>
        <v>Skilled</v>
      </c>
      <c r="T557" t="str">
        <f>IF(Table1[[#This Row],[Job_Type]] = "unemp/unskilled non res", "Unemployed", "Employed")</f>
        <v>Employed</v>
      </c>
      <c r="U557" t="s">
        <v>21</v>
      </c>
      <c r="V557" s="14" t="str" cm="1">
        <f t="array" ref="V55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57" t="s">
        <v>31</v>
      </c>
      <c r="X557" s="2" t="str">
        <f>_xlfn.XLOOKUP(Table1[[#This Row],[Loan_Credit_History]],Table4[Credit History],Table4[[ Category]])</f>
        <v>Existing Credits Paid</v>
      </c>
      <c r="Y557" s="3">
        <v>4</v>
      </c>
      <c r="Z557" s="3">
        <v>2</v>
      </c>
      <c r="AA557" s="5">
        <v>2600</v>
      </c>
      <c r="AB557" t="s">
        <v>151</v>
      </c>
      <c r="AC557" s="2" t="str" cm="1">
        <f t="array" ref="AC557">_xlfn.IFS(Table1[[#This Row],[Others_Parties]] = "No", "None",
Table1[[#This Row],[Others_Parties]] = "co applicant", "Co-applicant",
Table1[[#This Row],[Others_Parties]] = "guarantor", "Guarantor")</f>
        <v>None</v>
      </c>
      <c r="AD557" s="13" t="s">
        <v>145</v>
      </c>
      <c r="AE557" s="2" t="s">
        <v>111</v>
      </c>
      <c r="AF557" s="28" t="str" cm="1">
        <f t="array" ref="AF55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57" s="21">
        <v>18</v>
      </c>
      <c r="AH557" s="2" t="s">
        <v>153</v>
      </c>
      <c r="AI557"/>
      <c r="AZ557"/>
      <c r="BC557"/>
      <c r="BE557"/>
      <c r="BL557"/>
      <c r="BZ557"/>
      <c r="CA557"/>
      <c r="CF557"/>
      <c r="CG557"/>
      <c r="CH557"/>
      <c r="CI557"/>
      <c r="CK557"/>
      <c r="CN557"/>
    </row>
    <row r="558" spans="1:92" x14ac:dyDescent="0.3">
      <c r="A558" s="4">
        <v>556</v>
      </c>
      <c r="B558" s="11">
        <v>34</v>
      </c>
      <c r="C558" s="2" t="str">
        <f>_xlfn.XLOOKUP(Table1[[#This Row],[Age]],Table7[Start_Age],Table7[Age_Range],,-1)</f>
        <v>29-39</v>
      </c>
      <c r="D558" t="s">
        <v>130</v>
      </c>
      <c r="E558" s="2" t="s">
        <v>129</v>
      </c>
      <c r="F558" s="2" t="s">
        <v>133</v>
      </c>
      <c r="G558" s="3">
        <v>1</v>
      </c>
      <c r="H558" s="13" t="s">
        <v>152</v>
      </c>
      <c r="I558" s="2" t="str" cm="1">
        <f t="array" ref="I558">_xlfn.IFS(Table1[[#This Row],[Job_Type]] = "unskilled resident", "Resident",
Table1[[#This Row],[Job_Type]] = "unemp/unskilled non res", "Non-resident",
TRUE, "Unknown")</f>
        <v>Unknown</v>
      </c>
      <c r="J558" s="2" t="s">
        <v>148</v>
      </c>
      <c r="K558" s="3">
        <v>4</v>
      </c>
      <c r="L558" s="2" t="s">
        <v>140</v>
      </c>
      <c r="M558" s="13" t="s">
        <v>151</v>
      </c>
      <c r="N558" t="s">
        <v>30</v>
      </c>
      <c r="O558" s="2" t="str">
        <f>_xlfn.XLOOKUP(Table1[[#This Row],[Checking_Acct_Status]],Table3[Checking_Acct_Original],Table3[Category])</f>
        <v>Low Balance</v>
      </c>
      <c r="P558" s="10" t="s">
        <v>46</v>
      </c>
      <c r="Q558" s="13" t="str">
        <f>_xlfn.XLOOKUP(Table1[[#This Row],[Saving_Acct_Status]],Table5[Saving_Acct_Original],Table5[Category])</f>
        <v>Medium Savings</v>
      </c>
      <c r="R558" t="s">
        <v>41</v>
      </c>
      <c r="S558" s="2" t="str">
        <f>IF(
      OR(Table1[[#This Row],[Job_Type]] = "high qualif/self emp/mgmt", Table1[[#This Row],[Job_Type]] = "skilled"),
      "Skilled", "Unskilled")</f>
        <v>Skilled</v>
      </c>
      <c r="T558" t="str">
        <f>IF(Table1[[#This Row],[Job_Type]] = "unemp/unskilled non res", "Unemployed", "Employed")</f>
        <v>Employed</v>
      </c>
      <c r="U558" t="s">
        <v>21</v>
      </c>
      <c r="V558" s="14" t="str" cm="1">
        <f t="array" ref="V55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58" t="s">
        <v>31</v>
      </c>
      <c r="X558" s="2" t="str">
        <f>_xlfn.XLOOKUP(Table1[[#This Row],[Loan_Credit_History]],Table4[Credit History],Table4[[ Category]])</f>
        <v>Existing Credits Paid</v>
      </c>
      <c r="Y558" s="3">
        <v>4</v>
      </c>
      <c r="Z558" s="3">
        <v>1</v>
      </c>
      <c r="AA558" s="5">
        <v>2622</v>
      </c>
      <c r="AB558" t="s">
        <v>151</v>
      </c>
      <c r="AC558" s="2" t="str" cm="1">
        <f t="array" ref="AC558">_xlfn.IFS(Table1[[#This Row],[Others_Parties]] = "No", "None",
Table1[[#This Row],[Others_Parties]] = "co applicant", "Co-applicant",
Table1[[#This Row],[Others_Parties]] = "guarantor", "Guarantor")</f>
        <v>None</v>
      </c>
      <c r="AD558" s="13" t="s">
        <v>145</v>
      </c>
      <c r="AE558" s="2" t="s">
        <v>105</v>
      </c>
      <c r="AF558" s="28" t="str" cm="1">
        <f t="array" ref="AF55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58" s="21">
        <v>18</v>
      </c>
      <c r="AH558" s="2" t="s">
        <v>154</v>
      </c>
      <c r="AI558"/>
      <c r="AZ558"/>
      <c r="BC558"/>
      <c r="BE558"/>
      <c r="BL558"/>
      <c r="BZ558"/>
      <c r="CA558"/>
      <c r="CF558"/>
      <c r="CG558"/>
      <c r="CH558"/>
      <c r="CI558"/>
      <c r="CK558"/>
      <c r="CN558"/>
    </row>
    <row r="559" spans="1:92" x14ac:dyDescent="0.3">
      <c r="A559" s="4">
        <v>557</v>
      </c>
      <c r="B559" s="11">
        <v>28</v>
      </c>
      <c r="C559" s="2" t="str">
        <f>_xlfn.XLOOKUP(Table1[[#This Row],[Age]],Table7[Start_Age],Table7[Age_Range],,-1)</f>
        <v>19-29</v>
      </c>
      <c r="D559" t="s">
        <v>130</v>
      </c>
      <c r="E559" s="2" t="s">
        <v>129</v>
      </c>
      <c r="F559" s="2" t="s">
        <v>133</v>
      </c>
      <c r="G559" s="3">
        <v>1</v>
      </c>
      <c r="H559" s="13" t="s">
        <v>152</v>
      </c>
      <c r="I559" s="2" t="str" cm="1">
        <f t="array" ref="I559">_xlfn.IFS(Table1[[#This Row],[Job_Type]] = "unskilled resident", "Resident",
Table1[[#This Row],[Job_Type]] = "unemp/unskilled non res", "Non-resident",
TRUE, "Unknown")</f>
        <v>Unknown</v>
      </c>
      <c r="J559" s="2" t="s">
        <v>148</v>
      </c>
      <c r="K559" s="3">
        <v>2</v>
      </c>
      <c r="L559" s="2" t="s">
        <v>140</v>
      </c>
      <c r="M559" s="13" t="s">
        <v>151</v>
      </c>
      <c r="N559" t="s">
        <v>35</v>
      </c>
      <c r="O559" s="2" t="str">
        <f>_xlfn.XLOOKUP(Table1[[#This Row],[Checking_Acct_Status]],Table3[Checking_Acct_Original],Table3[Category])</f>
        <v>Negative Balance</v>
      </c>
      <c r="P559" s="10" t="s">
        <v>20</v>
      </c>
      <c r="Q559" s="13" t="str">
        <f>_xlfn.XLOOKUP(Table1[[#This Row],[Saving_Acct_Status]],Table5[Saving_Acct_Original],Table5[Category])</f>
        <v>Very High Savings</v>
      </c>
      <c r="R559" t="s">
        <v>41</v>
      </c>
      <c r="S559" s="2" t="str">
        <f>IF(
      OR(Table1[[#This Row],[Job_Type]] = "high qualif/self emp/mgmt", Table1[[#This Row],[Job_Type]] = "skilled"),
      "Skilled", "Unskilled")</f>
        <v>Skilled</v>
      </c>
      <c r="T559" t="str">
        <f>IF(Table1[[#This Row],[Job_Type]] = "unemp/unskilled non res", "Unemployed", "Employed")</f>
        <v>Employed</v>
      </c>
      <c r="U559" t="s">
        <v>21</v>
      </c>
      <c r="V559" s="14" t="str" cm="1">
        <f t="array" ref="V55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59" t="s">
        <v>31</v>
      </c>
      <c r="X559" s="2" t="str">
        <f>_xlfn.XLOOKUP(Table1[[#This Row],[Loan_Credit_History]],Table4[Credit History],Table4[[ Category]])</f>
        <v>Existing Credits Paid</v>
      </c>
      <c r="Y559" s="3">
        <v>4</v>
      </c>
      <c r="Z559" s="3">
        <v>1</v>
      </c>
      <c r="AA559" s="5">
        <v>2659</v>
      </c>
      <c r="AB559" t="s">
        <v>151</v>
      </c>
      <c r="AC559" s="2" t="str" cm="1">
        <f t="array" ref="AC559">_xlfn.IFS(Table1[[#This Row],[Others_Parties]] = "No", "None",
Table1[[#This Row],[Others_Parties]] = "co applicant", "Co-applicant",
Table1[[#This Row],[Others_Parties]] = "guarantor", "Guarantor")</f>
        <v>None</v>
      </c>
      <c r="AD559" s="13" t="s">
        <v>145</v>
      </c>
      <c r="AE559" s="2" t="s">
        <v>108</v>
      </c>
      <c r="AF559" s="28" t="str" cm="1">
        <f t="array" ref="AF55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59" s="21">
        <v>18</v>
      </c>
      <c r="AH559" s="2" t="s">
        <v>154</v>
      </c>
      <c r="AI559"/>
      <c r="AZ559"/>
      <c r="BC559"/>
      <c r="BE559"/>
      <c r="BL559"/>
      <c r="BZ559"/>
      <c r="CA559"/>
      <c r="CF559"/>
      <c r="CG559"/>
      <c r="CH559"/>
      <c r="CI559"/>
      <c r="CK559"/>
      <c r="CN559"/>
    </row>
    <row r="560" spans="1:92" x14ac:dyDescent="0.3">
      <c r="A560" s="4">
        <v>558</v>
      </c>
      <c r="B560" s="11">
        <v>31</v>
      </c>
      <c r="C560" s="2" t="str">
        <f>_xlfn.XLOOKUP(Table1[[#This Row],[Age]],Table7[Start_Age],Table7[Age_Range],,-1)</f>
        <v>29-39</v>
      </c>
      <c r="D560" t="s">
        <v>130</v>
      </c>
      <c r="E560" s="2" t="s">
        <v>129</v>
      </c>
      <c r="F560" s="2" t="s">
        <v>133</v>
      </c>
      <c r="G560" s="3">
        <v>1</v>
      </c>
      <c r="H560" s="13" t="s">
        <v>152</v>
      </c>
      <c r="I560" s="2" t="str" cm="1">
        <f t="array" ref="I560">_xlfn.IFS(Table1[[#This Row],[Job_Type]] = "unskilled resident", "Resident",
Table1[[#This Row],[Job_Type]] = "unemp/unskilled non res", "Non-resident",
TRUE, "Unknown")</f>
        <v>Unknown</v>
      </c>
      <c r="J560" s="2" t="s">
        <v>148</v>
      </c>
      <c r="K560" s="3">
        <v>2</v>
      </c>
      <c r="L560" s="2" t="s">
        <v>143</v>
      </c>
      <c r="M560" s="13" t="s">
        <v>151</v>
      </c>
      <c r="N560" t="s">
        <v>17</v>
      </c>
      <c r="O560" s="2" t="str">
        <f>_xlfn.XLOOKUP(Table1[[#This Row],[Checking_Acct_Status]],Table3[Checking_Acct_Original],Table3[Category])</f>
        <v>No Account</v>
      </c>
      <c r="P560" s="10" t="s">
        <v>32</v>
      </c>
      <c r="Q560" s="13" t="str">
        <f>_xlfn.XLOOKUP(Table1[[#This Row],[Saving_Acct_Status]],Table5[Saving_Acct_Original],Table5[Category])</f>
        <v>Low Savings</v>
      </c>
      <c r="R560" t="s">
        <v>41</v>
      </c>
      <c r="S560" s="2" t="str">
        <f>IF(
      OR(Table1[[#This Row],[Job_Type]] = "high qualif/self emp/mgmt", Table1[[#This Row],[Job_Type]] = "skilled"),
      "Skilled", "Unskilled")</f>
        <v>Skilled</v>
      </c>
      <c r="T560" t="str">
        <f>IF(Table1[[#This Row],[Job_Type]] = "unemp/unskilled non res", "Unemployed", "Employed")</f>
        <v>Employed</v>
      </c>
      <c r="U560" t="s">
        <v>49</v>
      </c>
      <c r="V560" s="14" t="str" cm="1">
        <f t="array" ref="V56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60" t="s">
        <v>103</v>
      </c>
      <c r="X560" s="2" t="str">
        <f>_xlfn.XLOOKUP(Table1[[#This Row],[Loan_Credit_History]],Table4[Credit History],Table4[[ Category]])</f>
        <v>Critical Credit History</v>
      </c>
      <c r="Y560" s="3">
        <v>2</v>
      </c>
      <c r="Z560" s="3">
        <v>2</v>
      </c>
      <c r="AA560" s="5">
        <v>2775</v>
      </c>
      <c r="AB560" t="s">
        <v>151</v>
      </c>
      <c r="AC560" s="2" t="str" cm="1">
        <f t="array" ref="AC560">_xlfn.IFS(Table1[[#This Row],[Others_Parties]] = "No", "None",
Table1[[#This Row],[Others_Parties]] = "co applicant", "Co-applicant",
Table1[[#This Row],[Others_Parties]] = "guarantor", "Guarantor")</f>
        <v>None</v>
      </c>
      <c r="AD560" s="13" t="s">
        <v>146</v>
      </c>
      <c r="AE560" s="2" t="s">
        <v>141</v>
      </c>
      <c r="AF560" s="28" t="str" cm="1">
        <f t="array" ref="AF56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60" s="21">
        <v>18</v>
      </c>
      <c r="AH560" s="2" t="s">
        <v>153</v>
      </c>
      <c r="AI560"/>
      <c r="AZ560"/>
      <c r="BC560"/>
      <c r="BE560"/>
      <c r="BL560"/>
      <c r="BZ560"/>
      <c r="CA560"/>
      <c r="CF560"/>
      <c r="CG560"/>
      <c r="CH560"/>
      <c r="CI560"/>
      <c r="CK560"/>
      <c r="CN560"/>
    </row>
    <row r="561" spans="1:92" x14ac:dyDescent="0.3">
      <c r="A561" s="4">
        <v>559</v>
      </c>
      <c r="B561" s="11">
        <v>21</v>
      </c>
      <c r="C561" s="2" t="str">
        <f>_xlfn.XLOOKUP(Table1[[#This Row],[Age]],Table7[Start_Age],Table7[Age_Range],,-1)</f>
        <v>19-29</v>
      </c>
      <c r="D561" t="s">
        <v>134</v>
      </c>
      <c r="E561" s="2" t="s">
        <v>129</v>
      </c>
      <c r="F561" s="2" t="s">
        <v>135</v>
      </c>
      <c r="G561" s="3">
        <v>1</v>
      </c>
      <c r="H561" s="13" t="s">
        <v>152</v>
      </c>
      <c r="I561" s="2" t="str" cm="1">
        <f t="array" ref="I561">_xlfn.IFS(Table1[[#This Row],[Job_Type]] = "unskilled resident", "Resident",
Table1[[#This Row],[Job_Type]] = "unemp/unskilled non res", "Non-resident",
TRUE, "Unknown")</f>
        <v>Unknown</v>
      </c>
      <c r="J561" s="2" t="s">
        <v>149</v>
      </c>
      <c r="K561" s="3">
        <v>3</v>
      </c>
      <c r="L561" s="2" t="s">
        <v>140</v>
      </c>
      <c r="M561" s="13" t="s">
        <v>152</v>
      </c>
      <c r="N561" t="s">
        <v>30</v>
      </c>
      <c r="O561" s="2" t="str">
        <f>_xlfn.XLOOKUP(Table1[[#This Row],[Checking_Acct_Status]],Table3[Checking_Acct_Original],Table3[Category])</f>
        <v>Low Balance</v>
      </c>
      <c r="P561" s="10" t="s">
        <v>32</v>
      </c>
      <c r="Q561" s="13" t="str">
        <f>_xlfn.XLOOKUP(Table1[[#This Row],[Saving_Acct_Status]],Table5[Saving_Acct_Original],Table5[Category])</f>
        <v>Low Savings</v>
      </c>
      <c r="R561" t="s">
        <v>41</v>
      </c>
      <c r="S561" s="2" t="str">
        <f>IF(
      OR(Table1[[#This Row],[Job_Type]] = "high qualif/self emp/mgmt", Table1[[#This Row],[Job_Type]] = "skilled"),
      "Skilled", "Unskilled")</f>
        <v>Skilled</v>
      </c>
      <c r="T561" t="str">
        <f>IF(Table1[[#This Row],[Job_Type]] = "unemp/unskilled non res", "Unemployed", "Employed")</f>
        <v>Employed</v>
      </c>
      <c r="U561" t="s">
        <v>21</v>
      </c>
      <c r="V561" s="14" t="str" cm="1">
        <f t="array" ref="V56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61" t="s">
        <v>31</v>
      </c>
      <c r="X561" s="2" t="str">
        <f>_xlfn.XLOOKUP(Table1[[#This Row],[Loan_Credit_History]],Table4[Credit History],Table4[[ Category]])</f>
        <v>Existing Credits Paid</v>
      </c>
      <c r="Y561" s="3">
        <v>1</v>
      </c>
      <c r="Z561" s="3">
        <v>1</v>
      </c>
      <c r="AA561" s="5">
        <v>2779</v>
      </c>
      <c r="AB561" t="s">
        <v>151</v>
      </c>
      <c r="AC561" s="2" t="str" cm="1">
        <f t="array" ref="AC561">_xlfn.IFS(Table1[[#This Row],[Others_Parties]] = "No", "None",
Table1[[#This Row],[Others_Parties]] = "co applicant", "Co-applicant",
Table1[[#This Row],[Others_Parties]] = "guarantor", "Guarantor")</f>
        <v>None</v>
      </c>
      <c r="AD561" s="13" t="s">
        <v>145</v>
      </c>
      <c r="AE561" s="2" t="s">
        <v>107</v>
      </c>
      <c r="AF561" s="28" t="str" cm="1">
        <f t="array" ref="AF56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61" s="21">
        <v>18</v>
      </c>
      <c r="AH561" s="2" t="s">
        <v>154</v>
      </c>
      <c r="AI561"/>
      <c r="AZ561"/>
      <c r="BC561"/>
      <c r="BE561"/>
      <c r="BL561"/>
      <c r="BZ561"/>
      <c r="CA561"/>
      <c r="CF561"/>
      <c r="CG561"/>
      <c r="CH561"/>
      <c r="CI561"/>
      <c r="CK561"/>
      <c r="CN561"/>
    </row>
    <row r="562" spans="1:92" x14ac:dyDescent="0.3">
      <c r="A562" s="4">
        <v>560</v>
      </c>
      <c r="B562" s="11">
        <v>34</v>
      </c>
      <c r="C562" s="2" t="str">
        <f>_xlfn.XLOOKUP(Table1[[#This Row],[Age]],Table7[Start_Age],Table7[Age_Range],,-1)</f>
        <v>29-39</v>
      </c>
      <c r="D562" t="s">
        <v>130</v>
      </c>
      <c r="E562" s="2" t="s">
        <v>129</v>
      </c>
      <c r="F562" s="2" t="s">
        <v>133</v>
      </c>
      <c r="G562" s="3">
        <v>2</v>
      </c>
      <c r="H562" s="13" t="s">
        <v>152</v>
      </c>
      <c r="I562" s="2" t="str" cm="1">
        <f t="array" ref="I562">_xlfn.IFS(Table1[[#This Row],[Job_Type]] = "unskilled resident", "Resident",
Table1[[#This Row],[Job_Type]] = "unemp/unskilled non res", "Non-resident",
TRUE, "Unknown")</f>
        <v>Resident</v>
      </c>
      <c r="J562" s="2" t="s">
        <v>148</v>
      </c>
      <c r="K562" s="3">
        <v>1</v>
      </c>
      <c r="L562" s="2" t="s">
        <v>144</v>
      </c>
      <c r="M562" s="13" t="s">
        <v>151</v>
      </c>
      <c r="N562" t="s">
        <v>50</v>
      </c>
      <c r="O562" s="2" t="str">
        <f>_xlfn.XLOOKUP(Table1[[#This Row],[Checking_Acct_Status]],Table3[Checking_Acct_Original],Table3[Category])</f>
        <v>High Balance</v>
      </c>
      <c r="P562" s="10" t="s">
        <v>32</v>
      </c>
      <c r="Q562" s="13" t="str">
        <f>_xlfn.XLOOKUP(Table1[[#This Row],[Saving_Acct_Status]],Table5[Saving_Acct_Original],Table5[Category])</f>
        <v>Low Savings</v>
      </c>
      <c r="R562" t="s">
        <v>27</v>
      </c>
      <c r="S562" s="2" t="str">
        <f>IF(
      OR(Table1[[#This Row],[Job_Type]] = "high qualif/self emp/mgmt", Table1[[#This Row],[Job_Type]] = "skilled"),
      "Skilled", "Unskilled")</f>
        <v>Unskilled</v>
      </c>
      <c r="T562" t="str">
        <f>IF(Table1[[#This Row],[Job_Type]] = "unemp/unskilled non res", "Unemployed", "Employed")</f>
        <v>Employed</v>
      </c>
      <c r="U562" t="s">
        <v>21</v>
      </c>
      <c r="V562" s="14" t="str" cm="1">
        <f t="array" ref="V56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62" t="s">
        <v>31</v>
      </c>
      <c r="X562" s="2" t="str">
        <f>_xlfn.XLOOKUP(Table1[[#This Row],[Loan_Credit_History]],Table4[Credit History],Table4[[ Category]])</f>
        <v>Existing Credits Paid</v>
      </c>
      <c r="Y562" s="3">
        <v>2</v>
      </c>
      <c r="Z562" s="3">
        <v>1</v>
      </c>
      <c r="AA562" s="5">
        <v>2864</v>
      </c>
      <c r="AB562" t="s">
        <v>151</v>
      </c>
      <c r="AC562" s="2" t="str" cm="1">
        <f t="array" ref="AC562">_xlfn.IFS(Table1[[#This Row],[Others_Parties]] = "No", "None",
Table1[[#This Row],[Others_Parties]] = "co applicant", "Co-applicant",
Table1[[#This Row],[Others_Parties]] = "guarantor", "Guarantor")</f>
        <v>None</v>
      </c>
      <c r="AD562" s="13" t="s">
        <v>145</v>
      </c>
      <c r="AE562" s="2" t="s">
        <v>108</v>
      </c>
      <c r="AF562" s="28" t="str" cm="1">
        <f t="array" ref="AF56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62" s="21">
        <v>18</v>
      </c>
      <c r="AH562" s="2" t="s">
        <v>153</v>
      </c>
      <c r="AI562"/>
      <c r="AZ562"/>
      <c r="BC562"/>
      <c r="BE562"/>
      <c r="BL562"/>
      <c r="BZ562"/>
      <c r="CA562"/>
      <c r="CF562"/>
      <c r="CG562"/>
      <c r="CH562"/>
      <c r="CI562"/>
      <c r="CK562"/>
      <c r="CN562"/>
    </row>
    <row r="563" spans="1:92" x14ac:dyDescent="0.3">
      <c r="A563" s="4">
        <v>561</v>
      </c>
      <c r="B563" s="11">
        <v>43</v>
      </c>
      <c r="C563" s="2" t="str">
        <f>_xlfn.XLOOKUP(Table1[[#This Row],[Age]],Table7[Start_Age],Table7[Age_Range],,-1)</f>
        <v>39-49</v>
      </c>
      <c r="D563" t="s">
        <v>130</v>
      </c>
      <c r="E563" s="2" t="s">
        <v>129</v>
      </c>
      <c r="F563" s="2" t="s">
        <v>133</v>
      </c>
      <c r="G563" s="3">
        <v>2</v>
      </c>
      <c r="H563" s="13" t="s">
        <v>152</v>
      </c>
      <c r="I563" s="2" t="str" cm="1">
        <f t="array" ref="I563">_xlfn.IFS(Table1[[#This Row],[Job_Type]] = "unskilled resident", "Resident",
Table1[[#This Row],[Job_Type]] = "unemp/unskilled non res", "Non-resident",
TRUE, "Unknown")</f>
        <v>Unknown</v>
      </c>
      <c r="J563" s="2" t="s">
        <v>148</v>
      </c>
      <c r="K563" s="3">
        <v>4</v>
      </c>
      <c r="L563" s="2" t="s">
        <v>140</v>
      </c>
      <c r="M563" s="13" t="s">
        <v>151</v>
      </c>
      <c r="N563" t="s">
        <v>30</v>
      </c>
      <c r="O563" s="2" t="str">
        <f>_xlfn.XLOOKUP(Table1[[#This Row],[Checking_Acct_Status]],Table3[Checking_Acct_Original],Table3[Category])</f>
        <v>Low Balance</v>
      </c>
      <c r="P563" s="10" t="s">
        <v>47</v>
      </c>
      <c r="Q563" s="13" t="str">
        <f>_xlfn.XLOOKUP(Table1[[#This Row],[Saving_Acct_Status]],Table5[Saving_Acct_Original],Table5[Category])</f>
        <v>No Savings</v>
      </c>
      <c r="R563" t="s">
        <v>41</v>
      </c>
      <c r="S563" s="2" t="str">
        <f>IF(
      OR(Table1[[#This Row],[Job_Type]] = "high qualif/self emp/mgmt", Table1[[#This Row],[Job_Type]] = "skilled"),
      "Skilled", "Unskilled")</f>
        <v>Skilled</v>
      </c>
      <c r="T563" t="str">
        <f>IF(Table1[[#This Row],[Job_Type]] = "unemp/unskilled non res", "Unemployed", "Employed")</f>
        <v>Employed</v>
      </c>
      <c r="U563" t="s">
        <v>38</v>
      </c>
      <c r="V563" s="14" t="str" cm="1">
        <f t="array" ref="V56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63" t="s">
        <v>59</v>
      </c>
      <c r="X563" s="2" t="str">
        <f>_xlfn.XLOOKUP(Table1[[#This Row],[Loan_Credit_History]],Table4[Credit History],Table4[[ Category]])</f>
        <v>Previously Delayed</v>
      </c>
      <c r="Y563" s="3">
        <v>4</v>
      </c>
      <c r="Z563" s="3">
        <v>1</v>
      </c>
      <c r="AA563" s="5">
        <v>2899</v>
      </c>
      <c r="AB563" t="s">
        <v>151</v>
      </c>
      <c r="AC563" s="2" t="str" cm="1">
        <f t="array" ref="AC563">_xlfn.IFS(Table1[[#This Row],[Others_Parties]] = "No", "None",
Table1[[#This Row],[Others_Parties]] = "co applicant", "Co-applicant",
Table1[[#This Row],[Others_Parties]] = "guarantor", "Guarantor")</f>
        <v>None</v>
      </c>
      <c r="AD563" s="13" t="s">
        <v>145</v>
      </c>
      <c r="AE563" s="2" t="s">
        <v>141</v>
      </c>
      <c r="AF563" s="28" t="str" cm="1">
        <f t="array" ref="AF56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63" s="21">
        <v>18</v>
      </c>
      <c r="AH563" s="2" t="s">
        <v>154</v>
      </c>
      <c r="AI563"/>
      <c r="AZ563"/>
      <c r="BC563"/>
      <c r="BE563"/>
      <c r="BL563"/>
      <c r="BZ563"/>
      <c r="CA563"/>
      <c r="CF563"/>
      <c r="CG563"/>
      <c r="CH563"/>
      <c r="CI563"/>
      <c r="CK563"/>
      <c r="CN563"/>
    </row>
    <row r="564" spans="1:92" x14ac:dyDescent="0.3">
      <c r="A564" s="4">
        <v>562</v>
      </c>
      <c r="B564" s="11">
        <v>40</v>
      </c>
      <c r="C564" s="2" t="str">
        <f>_xlfn.XLOOKUP(Table1[[#This Row],[Age]],Table7[Start_Age],Table7[Age_Range],,-1)</f>
        <v>39-49</v>
      </c>
      <c r="D564" t="s">
        <v>136</v>
      </c>
      <c r="E564" s="2" t="s">
        <v>131</v>
      </c>
      <c r="F564" s="2" t="s">
        <v>137</v>
      </c>
      <c r="G564" s="3">
        <v>1</v>
      </c>
      <c r="H564" s="13" t="s">
        <v>152</v>
      </c>
      <c r="I564" s="2" t="str" cm="1">
        <f t="array" ref="I564">_xlfn.IFS(Table1[[#This Row],[Job_Type]] = "unskilled resident", "Resident",
Table1[[#This Row],[Job_Type]] = "unemp/unskilled non res", "Non-resident",
TRUE, "Unknown")</f>
        <v>Unknown</v>
      </c>
      <c r="J564" s="2" t="s">
        <v>149</v>
      </c>
      <c r="K564" s="3">
        <v>4</v>
      </c>
      <c r="L564" s="2" t="s">
        <v>144</v>
      </c>
      <c r="M564" s="13" t="s">
        <v>151</v>
      </c>
      <c r="N564" t="s">
        <v>30</v>
      </c>
      <c r="O564" s="2" t="str">
        <f>_xlfn.XLOOKUP(Table1[[#This Row],[Checking_Acct_Status]],Table3[Checking_Acct_Original],Table3[Category])</f>
        <v>Low Balance</v>
      </c>
      <c r="P564" s="10" t="s">
        <v>32</v>
      </c>
      <c r="Q564" s="13" t="str">
        <f>_xlfn.XLOOKUP(Table1[[#This Row],[Saving_Acct_Status]],Table5[Saving_Acct_Original],Table5[Category])</f>
        <v>Low Savings</v>
      </c>
      <c r="R564" t="s">
        <v>41</v>
      </c>
      <c r="S564" s="2" t="str">
        <f>IF(
      OR(Table1[[#This Row],[Job_Type]] = "high qualif/self emp/mgmt", Table1[[#This Row],[Job_Type]] = "skilled"),
      "Skilled", "Unskilled")</f>
        <v>Skilled</v>
      </c>
      <c r="T564" t="str">
        <f>IF(Table1[[#This Row],[Job_Type]] = "unemp/unskilled non res", "Unemployed", "Employed")</f>
        <v>Employed</v>
      </c>
      <c r="U564" t="s">
        <v>49</v>
      </c>
      <c r="V564" s="14" t="str" cm="1">
        <f t="array" ref="V56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64" t="s">
        <v>31</v>
      </c>
      <c r="X564" s="2" t="str">
        <f>_xlfn.XLOOKUP(Table1[[#This Row],[Loan_Credit_History]],Table4[Credit History],Table4[[ Category]])</f>
        <v>Existing Credits Paid</v>
      </c>
      <c r="Y564" s="3">
        <v>2</v>
      </c>
      <c r="Z564" s="3">
        <v>1</v>
      </c>
      <c r="AA564" s="5">
        <v>3001</v>
      </c>
      <c r="AB564" t="s">
        <v>151</v>
      </c>
      <c r="AC564" s="2" t="str" cm="1">
        <f t="array" ref="AC564">_xlfn.IFS(Table1[[#This Row],[Others_Parties]] = "No", "None",
Table1[[#This Row],[Others_Parties]] = "co applicant", "Co-applicant",
Table1[[#This Row],[Others_Parties]] = "guarantor", "Guarantor")</f>
        <v>None</v>
      </c>
      <c r="AD564" s="13" t="s">
        <v>145</v>
      </c>
      <c r="AE564" s="2" t="s">
        <v>108</v>
      </c>
      <c r="AF564" s="28" t="str" cm="1">
        <f t="array" ref="AF56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64" s="21">
        <v>18</v>
      </c>
      <c r="AH564" s="2" t="s">
        <v>154</v>
      </c>
      <c r="AI564"/>
      <c r="AZ564"/>
      <c r="BC564"/>
      <c r="BE564"/>
      <c r="BL564"/>
      <c r="BZ564"/>
      <c r="CA564"/>
      <c r="CF564"/>
      <c r="CG564"/>
      <c r="CH564"/>
      <c r="CI564"/>
      <c r="CK564"/>
      <c r="CN564"/>
    </row>
    <row r="565" spans="1:92" x14ac:dyDescent="0.3">
      <c r="A565" s="4">
        <v>563</v>
      </c>
      <c r="B565" s="11">
        <v>45</v>
      </c>
      <c r="C565" s="2" t="str">
        <f>_xlfn.XLOOKUP(Table1[[#This Row],[Age]],Table7[Start_Age],Table7[Age_Range],,-1)</f>
        <v>39-49</v>
      </c>
      <c r="D565" t="s">
        <v>136</v>
      </c>
      <c r="E565" s="2" t="s">
        <v>131</v>
      </c>
      <c r="F565" s="2" t="s">
        <v>137</v>
      </c>
      <c r="G565" s="3">
        <v>1</v>
      </c>
      <c r="H565" s="13" t="s">
        <v>152</v>
      </c>
      <c r="I565" s="2" t="str" cm="1">
        <f t="array" ref="I565">_xlfn.IFS(Table1[[#This Row],[Job_Type]] = "unskilled resident", "Resident",
Table1[[#This Row],[Job_Type]] = "unemp/unskilled non res", "Non-resident",
TRUE, "Unknown")</f>
        <v>Resident</v>
      </c>
      <c r="J565" s="2" t="s">
        <v>148</v>
      </c>
      <c r="K565" s="3">
        <v>1</v>
      </c>
      <c r="L565" s="2" t="s">
        <v>143</v>
      </c>
      <c r="M565" s="13" t="s">
        <v>151</v>
      </c>
      <c r="N565" t="s">
        <v>50</v>
      </c>
      <c r="O565" s="2" t="str">
        <f>_xlfn.XLOOKUP(Table1[[#This Row],[Checking_Acct_Status]],Table3[Checking_Acct_Original],Table3[Category])</f>
        <v>High Balance</v>
      </c>
      <c r="P565" s="10" t="s">
        <v>32</v>
      </c>
      <c r="Q565" s="13" t="str">
        <f>_xlfn.XLOOKUP(Table1[[#This Row],[Saving_Acct_Status]],Table5[Saving_Acct_Original],Table5[Category])</f>
        <v>Low Savings</v>
      </c>
      <c r="R565" t="s">
        <v>27</v>
      </c>
      <c r="S565" s="2" t="str">
        <f>IF(
      OR(Table1[[#This Row],[Job_Type]] = "high qualif/self emp/mgmt", Table1[[#This Row],[Job_Type]] = "skilled"),
      "Skilled", "Unskilled")</f>
        <v>Unskilled</v>
      </c>
      <c r="T565" t="str">
        <f>IF(Table1[[#This Row],[Job_Type]] = "unemp/unskilled non res", "Unemployed", "Employed")</f>
        <v>Employed</v>
      </c>
      <c r="U565" t="s">
        <v>45</v>
      </c>
      <c r="V565" s="14" t="str" cm="1">
        <f t="array" ref="V56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65" t="s">
        <v>31</v>
      </c>
      <c r="X565" s="2" t="str">
        <f>_xlfn.XLOOKUP(Table1[[#This Row],[Loan_Credit_History]],Table4[Credit History],Table4[[ Category]])</f>
        <v>Existing Credits Paid</v>
      </c>
      <c r="Y565" s="3">
        <v>1</v>
      </c>
      <c r="Z565" s="3">
        <v>1</v>
      </c>
      <c r="AA565" s="5">
        <v>3049</v>
      </c>
      <c r="AB565" t="s">
        <v>151</v>
      </c>
      <c r="AC565" s="2" t="str" cm="1">
        <f t="array" ref="AC565">_xlfn.IFS(Table1[[#This Row],[Others_Parties]] = "No", "None",
Table1[[#This Row],[Others_Parties]] = "co applicant", "Co-applicant",
Table1[[#This Row],[Others_Parties]] = "guarantor", "Guarantor")</f>
        <v>None</v>
      </c>
      <c r="AD565" s="13" t="s">
        <v>147</v>
      </c>
      <c r="AE565" s="2" t="s">
        <v>108</v>
      </c>
      <c r="AF565" s="28" t="str" cm="1">
        <f t="array" ref="AF56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65" s="21">
        <v>18</v>
      </c>
      <c r="AH565" s="2" t="s">
        <v>154</v>
      </c>
      <c r="AI565"/>
      <c r="AZ565"/>
      <c r="BC565"/>
      <c r="BE565"/>
      <c r="BL565"/>
      <c r="BZ565"/>
      <c r="CA565"/>
      <c r="CF565"/>
      <c r="CG565"/>
      <c r="CH565"/>
      <c r="CI565"/>
      <c r="CK565"/>
      <c r="CN565"/>
    </row>
    <row r="566" spans="1:92" x14ac:dyDescent="0.3">
      <c r="A566" s="4">
        <v>564</v>
      </c>
      <c r="B566" s="11">
        <v>31</v>
      </c>
      <c r="C566" s="2" t="str">
        <f>_xlfn.XLOOKUP(Table1[[#This Row],[Age]],Table7[Start_Age],Table7[Age_Range],,-1)</f>
        <v>29-39</v>
      </c>
      <c r="D566" t="s">
        <v>130</v>
      </c>
      <c r="E566" s="2" t="s">
        <v>129</v>
      </c>
      <c r="F566" s="2" t="s">
        <v>133</v>
      </c>
      <c r="G566" s="3">
        <v>1</v>
      </c>
      <c r="H566" s="13" t="s">
        <v>152</v>
      </c>
      <c r="I566" s="2" t="str" cm="1">
        <f t="array" ref="I566">_xlfn.IFS(Table1[[#This Row],[Job_Type]] = "unskilled resident", "Resident",
Table1[[#This Row],[Job_Type]] = "unemp/unskilled non res", "Non-resident",
TRUE, "Unknown")</f>
        <v>Unknown</v>
      </c>
      <c r="J566" s="2" t="s">
        <v>148</v>
      </c>
      <c r="K566" s="3">
        <v>1</v>
      </c>
      <c r="L566" s="2" t="s">
        <v>143</v>
      </c>
      <c r="M566" s="13" t="s">
        <v>152</v>
      </c>
      <c r="N566" t="s">
        <v>35</v>
      </c>
      <c r="O566" s="2" t="str">
        <f>_xlfn.XLOOKUP(Table1[[#This Row],[Checking_Acct_Status]],Table3[Checking_Acct_Original],Table3[Category])</f>
        <v>Negative Balance</v>
      </c>
      <c r="P566" s="10" t="s">
        <v>32</v>
      </c>
      <c r="Q566" s="13" t="str">
        <f>_xlfn.XLOOKUP(Table1[[#This Row],[Saving_Acct_Status]],Table5[Saving_Acct_Original],Table5[Category])</f>
        <v>Low Savings</v>
      </c>
      <c r="R566" t="s">
        <v>41</v>
      </c>
      <c r="S566" s="2" t="str">
        <f>IF(
      OR(Table1[[#This Row],[Job_Type]] = "high qualif/self emp/mgmt", Table1[[#This Row],[Job_Type]] = "skilled"),
      "Skilled", "Unskilled")</f>
        <v>Skilled</v>
      </c>
      <c r="T566" t="str">
        <f>IF(Table1[[#This Row],[Job_Type]] = "unemp/unskilled non res", "Unemployed", "Employed")</f>
        <v>Employed</v>
      </c>
      <c r="U566" t="s">
        <v>49</v>
      </c>
      <c r="V566" s="14" t="str" cm="1">
        <f t="array" ref="V56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66" t="s">
        <v>52</v>
      </c>
      <c r="X566" s="2" t="str">
        <f>_xlfn.XLOOKUP(Table1[[#This Row],[Loan_Credit_History]],Table4[Credit History],Table4[[ Category]])</f>
        <v>No Credit History</v>
      </c>
      <c r="Y566" s="3">
        <v>3</v>
      </c>
      <c r="Z566" s="3">
        <v>1</v>
      </c>
      <c r="AA566" s="5">
        <v>3104</v>
      </c>
      <c r="AB566" t="s">
        <v>151</v>
      </c>
      <c r="AC566" s="2" t="str" cm="1">
        <f t="array" ref="AC566">_xlfn.IFS(Table1[[#This Row],[Others_Parties]] = "No", "None",
Table1[[#This Row],[Others_Parties]] = "co applicant", "Co-applicant",
Table1[[#This Row],[Others_Parties]] = "guarantor", "Guarantor")</f>
        <v>None</v>
      </c>
      <c r="AD566" s="13" t="s">
        <v>146</v>
      </c>
      <c r="AE566" s="2" t="s">
        <v>105</v>
      </c>
      <c r="AF566" s="28" t="str" cm="1">
        <f t="array" ref="AF56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66" s="21">
        <v>18</v>
      </c>
      <c r="AH566" s="2" t="s">
        <v>154</v>
      </c>
      <c r="AI566"/>
      <c r="AZ566"/>
      <c r="BC566"/>
      <c r="BE566"/>
      <c r="BL566"/>
      <c r="BZ566"/>
      <c r="CA566"/>
      <c r="CF566"/>
      <c r="CG566"/>
      <c r="CH566"/>
      <c r="CI566"/>
      <c r="CK566"/>
      <c r="CN566"/>
    </row>
    <row r="567" spans="1:92" x14ac:dyDescent="0.3">
      <c r="A567" s="4">
        <v>565</v>
      </c>
      <c r="B567" s="11">
        <v>26</v>
      </c>
      <c r="C567" s="2" t="str">
        <f>_xlfn.XLOOKUP(Table1[[#This Row],[Age]],Table7[Start_Age],Table7[Age_Range],,-1)</f>
        <v>19-29</v>
      </c>
      <c r="D567" t="s">
        <v>136</v>
      </c>
      <c r="E567" s="2" t="s">
        <v>131</v>
      </c>
      <c r="F567" s="2" t="s">
        <v>137</v>
      </c>
      <c r="G567" s="3">
        <v>1</v>
      </c>
      <c r="H567" s="13" t="s">
        <v>152</v>
      </c>
      <c r="I567" s="2" t="str" cm="1">
        <f t="array" ref="I567">_xlfn.IFS(Table1[[#This Row],[Job_Type]] = "unskilled resident", "Resident",
Table1[[#This Row],[Job_Type]] = "unemp/unskilled non res", "Non-resident",
TRUE, "Unknown")</f>
        <v>Unknown</v>
      </c>
      <c r="J567" s="2" t="s">
        <v>149</v>
      </c>
      <c r="K567" s="3">
        <v>4</v>
      </c>
      <c r="L567" s="2" t="s">
        <v>143</v>
      </c>
      <c r="M567" s="13" t="s">
        <v>151</v>
      </c>
      <c r="N567" t="s">
        <v>35</v>
      </c>
      <c r="O567" s="2" t="str">
        <f>_xlfn.XLOOKUP(Table1[[#This Row],[Checking_Acct_Status]],Table3[Checking_Acct_Original],Table3[Category])</f>
        <v>Negative Balance</v>
      </c>
      <c r="P567" s="10" t="s">
        <v>32</v>
      </c>
      <c r="Q567" s="13" t="str">
        <f>_xlfn.XLOOKUP(Table1[[#This Row],[Saving_Acct_Status]],Table5[Saving_Acct_Original],Table5[Category])</f>
        <v>Low Savings</v>
      </c>
      <c r="R567" t="s">
        <v>41</v>
      </c>
      <c r="S567" s="2" t="str">
        <f>IF(
      OR(Table1[[#This Row],[Job_Type]] = "high qualif/self emp/mgmt", Table1[[#This Row],[Job_Type]] = "skilled"),
      "Skilled", "Unskilled")</f>
        <v>Skilled</v>
      </c>
      <c r="T567" t="str">
        <f>IF(Table1[[#This Row],[Job_Type]] = "unemp/unskilled non res", "Unemployed", "Employed")</f>
        <v>Employed</v>
      </c>
      <c r="U567" t="s">
        <v>45</v>
      </c>
      <c r="V567" s="14" t="str" cm="1">
        <f t="array" ref="V56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67" t="s">
        <v>52</v>
      </c>
      <c r="X567" s="2" t="str">
        <f>_xlfn.XLOOKUP(Table1[[#This Row],[Loan_Credit_History]],Table4[Credit History],Table4[[ Category]])</f>
        <v>No Credit History</v>
      </c>
      <c r="Y567" s="3">
        <v>1</v>
      </c>
      <c r="Z567" s="3">
        <v>1</v>
      </c>
      <c r="AA567" s="5">
        <v>3114</v>
      </c>
      <c r="AB567" t="s">
        <v>151</v>
      </c>
      <c r="AC567" s="2" t="str" cm="1">
        <f t="array" ref="AC567">_xlfn.IFS(Table1[[#This Row],[Others_Parties]] = "No", "None",
Table1[[#This Row],[Others_Parties]] = "co applicant", "Co-applicant",
Table1[[#This Row],[Others_Parties]] = "guarantor", "Guarantor")</f>
        <v>None</v>
      </c>
      <c r="AD567" s="13" t="s">
        <v>145</v>
      </c>
      <c r="AE567" s="2" t="s">
        <v>108</v>
      </c>
      <c r="AF567" s="28" t="str" cm="1">
        <f t="array" ref="AF56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67" s="21">
        <v>18</v>
      </c>
      <c r="AH567" s="2" t="s">
        <v>153</v>
      </c>
      <c r="AI567"/>
      <c r="AZ567"/>
      <c r="BC567"/>
      <c r="BE567"/>
      <c r="BL567"/>
      <c r="BZ567"/>
      <c r="CA567"/>
      <c r="CF567"/>
      <c r="CG567"/>
      <c r="CH567"/>
      <c r="CI567"/>
      <c r="CK567"/>
      <c r="CN567"/>
    </row>
    <row r="568" spans="1:92" x14ac:dyDescent="0.3">
      <c r="A568" s="4">
        <v>566</v>
      </c>
      <c r="B568" s="11">
        <v>24</v>
      </c>
      <c r="C568" s="2" t="str">
        <f>_xlfn.XLOOKUP(Table1[[#This Row],[Age]],Table7[Start_Age],Table7[Age_Range],,-1)</f>
        <v>19-29</v>
      </c>
      <c r="D568" t="s">
        <v>136</v>
      </c>
      <c r="E568" s="2" t="s">
        <v>131</v>
      </c>
      <c r="F568" s="2" t="s">
        <v>137</v>
      </c>
      <c r="G568" s="3">
        <v>1</v>
      </c>
      <c r="H568" s="13" t="s">
        <v>152</v>
      </c>
      <c r="I568" s="2" t="str" cm="1">
        <f t="array" ref="I568">_xlfn.IFS(Table1[[#This Row],[Job_Type]] = "unskilled resident", "Resident",
Table1[[#This Row],[Job_Type]] = "unemp/unskilled non res", "Non-resident",
TRUE, "Unknown")</f>
        <v>Unknown</v>
      </c>
      <c r="J568" s="2" t="s">
        <v>148</v>
      </c>
      <c r="K568" s="3">
        <v>2</v>
      </c>
      <c r="L568" s="2" t="s">
        <v>144</v>
      </c>
      <c r="M568" s="13" t="s">
        <v>151</v>
      </c>
      <c r="N568" t="s">
        <v>35</v>
      </c>
      <c r="O568" s="2" t="str">
        <f>_xlfn.XLOOKUP(Table1[[#This Row],[Checking_Acct_Status]],Table3[Checking_Acct_Original],Table3[Category])</f>
        <v>Negative Balance</v>
      </c>
      <c r="P568" s="10" t="s">
        <v>32</v>
      </c>
      <c r="Q568" s="13" t="str">
        <f>_xlfn.XLOOKUP(Table1[[#This Row],[Saving_Acct_Status]],Table5[Saving_Acct_Original],Table5[Category])</f>
        <v>Low Savings</v>
      </c>
      <c r="R568" t="s">
        <v>41</v>
      </c>
      <c r="S568" s="2" t="str">
        <f>IF(
      OR(Table1[[#This Row],[Job_Type]] = "high qualif/self emp/mgmt", Table1[[#This Row],[Job_Type]] = "skilled"),
      "Skilled", "Unskilled")</f>
        <v>Skilled</v>
      </c>
      <c r="T568" t="str">
        <f>IF(Table1[[#This Row],[Job_Type]] = "unemp/unskilled non res", "Unemployed", "Employed")</f>
        <v>Employed</v>
      </c>
      <c r="U568" t="s">
        <v>21</v>
      </c>
      <c r="V568" s="14" t="str" cm="1">
        <f t="array" ref="V56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68" t="s">
        <v>31</v>
      </c>
      <c r="X568" s="2" t="str">
        <f>_xlfn.XLOOKUP(Table1[[#This Row],[Loan_Credit_History]],Table4[Credit History],Table4[[ Category]])</f>
        <v>Existing Credits Paid</v>
      </c>
      <c r="Y568" s="3">
        <v>2</v>
      </c>
      <c r="Z568" s="3">
        <v>1</v>
      </c>
      <c r="AA568" s="5">
        <v>3190</v>
      </c>
      <c r="AB568" t="s">
        <v>151</v>
      </c>
      <c r="AC568" s="2" t="str" cm="1">
        <f t="array" ref="AC568">_xlfn.IFS(Table1[[#This Row],[Others_Parties]] = "No", "None",
Table1[[#This Row],[Others_Parties]] = "co applicant", "Co-applicant",
Table1[[#This Row],[Others_Parties]] = "guarantor", "Guarantor")</f>
        <v>None</v>
      </c>
      <c r="AD568" s="13" t="s">
        <v>145</v>
      </c>
      <c r="AE568" s="2" t="s">
        <v>111</v>
      </c>
      <c r="AF568" s="28" t="str" cm="1">
        <f t="array" ref="AF56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68" s="21">
        <v>18</v>
      </c>
      <c r="AH568" s="2" t="s">
        <v>153</v>
      </c>
      <c r="AI568"/>
      <c r="AZ568"/>
      <c r="BC568"/>
      <c r="BE568"/>
      <c r="BL568"/>
      <c r="BZ568"/>
      <c r="CA568"/>
      <c r="CF568"/>
      <c r="CG568"/>
      <c r="CH568"/>
      <c r="CI568"/>
      <c r="CK568"/>
      <c r="CN568"/>
    </row>
    <row r="569" spans="1:92" x14ac:dyDescent="0.3">
      <c r="A569" s="4">
        <v>567</v>
      </c>
      <c r="B569" s="11">
        <v>25</v>
      </c>
      <c r="C569" s="2" t="str">
        <f>_xlfn.XLOOKUP(Table1[[#This Row],[Age]],Table7[Start_Age],Table7[Age_Range],,-1)</f>
        <v>19-29</v>
      </c>
      <c r="D569" t="s">
        <v>134</v>
      </c>
      <c r="E569" s="2" t="s">
        <v>129</v>
      </c>
      <c r="F569" s="2" t="s">
        <v>135</v>
      </c>
      <c r="G569" s="3">
        <v>1</v>
      </c>
      <c r="H569" s="13" t="s">
        <v>152</v>
      </c>
      <c r="I569" s="2" t="str" cm="1">
        <f t="array" ref="I569">_xlfn.IFS(Table1[[#This Row],[Job_Type]] = "unskilled resident", "Resident",
Table1[[#This Row],[Job_Type]] = "unemp/unskilled non res", "Non-resident",
TRUE, "Unknown")</f>
        <v>Unknown</v>
      </c>
      <c r="J569" s="2" t="s">
        <v>149</v>
      </c>
      <c r="K569" s="3">
        <v>3</v>
      </c>
      <c r="L569" s="2" t="s">
        <v>144</v>
      </c>
      <c r="M569" s="13" t="s">
        <v>151</v>
      </c>
      <c r="N569" t="s">
        <v>30</v>
      </c>
      <c r="O569" s="2" t="str">
        <f>_xlfn.XLOOKUP(Table1[[#This Row],[Checking_Acct_Status]],Table3[Checking_Acct_Original],Table3[Category])</f>
        <v>Low Balance</v>
      </c>
      <c r="P569" s="10" t="s">
        <v>37</v>
      </c>
      <c r="Q569" s="13" t="str">
        <f>_xlfn.XLOOKUP(Table1[[#This Row],[Saving_Acct_Status]],Table5[Saving_Acct_Original],Table5[Category])</f>
        <v>High Savings</v>
      </c>
      <c r="R569" t="s">
        <v>41</v>
      </c>
      <c r="S569" s="2" t="str">
        <f>IF(
      OR(Table1[[#This Row],[Job_Type]] = "high qualif/self emp/mgmt", Table1[[#This Row],[Job_Type]] = "skilled"),
      "Skilled", "Unskilled")</f>
        <v>Skilled</v>
      </c>
      <c r="T569" t="str">
        <f>IF(Table1[[#This Row],[Job_Type]] = "unemp/unskilled non res", "Unemployed", "Employed")</f>
        <v>Employed</v>
      </c>
      <c r="U569" t="s">
        <v>45</v>
      </c>
      <c r="V569" s="14" t="str" cm="1">
        <f t="array" ref="V56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69" t="s">
        <v>31</v>
      </c>
      <c r="X569" s="2" t="str">
        <f>_xlfn.XLOOKUP(Table1[[#This Row],[Loan_Credit_History]],Table4[Credit History],Table4[[ Category]])</f>
        <v>Existing Credits Paid</v>
      </c>
      <c r="Y569" s="3">
        <v>1</v>
      </c>
      <c r="Z569" s="3">
        <v>1</v>
      </c>
      <c r="AA569" s="5">
        <v>3213</v>
      </c>
      <c r="AB569" t="s">
        <v>151</v>
      </c>
      <c r="AC569" s="2" t="str" cm="1">
        <f t="array" ref="AC569">_xlfn.IFS(Table1[[#This Row],[Others_Parties]] = "No", "None",
Table1[[#This Row],[Others_Parties]] = "co applicant", "Co-applicant",
Table1[[#This Row],[Others_Parties]] = "guarantor", "Guarantor")</f>
        <v>None</v>
      </c>
      <c r="AD569" s="13" t="s">
        <v>145</v>
      </c>
      <c r="AE569" s="2" t="s">
        <v>111</v>
      </c>
      <c r="AF569" s="28" t="str" cm="1">
        <f t="array" ref="AF56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69" s="21">
        <v>18</v>
      </c>
      <c r="AH569" s="2" t="s">
        <v>154</v>
      </c>
      <c r="AI569"/>
      <c r="AZ569"/>
      <c r="BC569"/>
      <c r="BE569"/>
      <c r="BL569"/>
      <c r="BZ569"/>
      <c r="CA569"/>
      <c r="CF569"/>
      <c r="CG569"/>
      <c r="CH569"/>
      <c r="CI569"/>
      <c r="CK569"/>
      <c r="CN569"/>
    </row>
    <row r="570" spans="1:92" x14ac:dyDescent="0.3">
      <c r="A570" s="4">
        <v>568</v>
      </c>
      <c r="B570" s="11">
        <v>38</v>
      </c>
      <c r="C570" s="2" t="str">
        <f>_xlfn.XLOOKUP(Table1[[#This Row],[Age]],Table7[Start_Age],Table7[Age_Range],,-1)</f>
        <v>29-39</v>
      </c>
      <c r="D570" t="s">
        <v>130</v>
      </c>
      <c r="E570" s="2" t="s">
        <v>129</v>
      </c>
      <c r="F570" s="2" t="s">
        <v>133</v>
      </c>
      <c r="G570" s="3">
        <v>1</v>
      </c>
      <c r="H570" s="13" t="s">
        <v>152</v>
      </c>
      <c r="I570" s="2" t="str" cm="1">
        <f t="array" ref="I570">_xlfn.IFS(Table1[[#This Row],[Job_Type]] = "unskilled resident", "Resident",
Table1[[#This Row],[Job_Type]] = "unemp/unskilled non res", "Non-resident",
TRUE, "Unknown")</f>
        <v>Unknown</v>
      </c>
      <c r="J570" s="2" t="s">
        <v>148</v>
      </c>
      <c r="K570" s="3">
        <v>4</v>
      </c>
      <c r="L570" s="2" t="s">
        <v>142</v>
      </c>
      <c r="M570" s="13" t="s">
        <v>152</v>
      </c>
      <c r="N570" t="s">
        <v>17</v>
      </c>
      <c r="O570" s="2" t="str">
        <f>_xlfn.XLOOKUP(Table1[[#This Row],[Checking_Acct_Status]],Table3[Checking_Acct_Original],Table3[Category])</f>
        <v>No Account</v>
      </c>
      <c r="P570" s="10" t="s">
        <v>47</v>
      </c>
      <c r="Q570" s="13" t="str">
        <f>_xlfn.XLOOKUP(Table1[[#This Row],[Saving_Acct_Status]],Table5[Saving_Acct_Original],Table5[Category])</f>
        <v>No Savings</v>
      </c>
      <c r="R570" t="s">
        <v>63</v>
      </c>
      <c r="S570" s="2" t="str">
        <f>IF(
      OR(Table1[[#This Row],[Job_Type]] = "high qualif/self emp/mgmt", Table1[[#This Row],[Job_Type]] = "skilled"),
      "Skilled", "Unskilled")</f>
        <v>Skilled</v>
      </c>
      <c r="T570" t="str">
        <f>IF(Table1[[#This Row],[Job_Type]] = "unemp/unskilled non res", "Unemployed", "Employed")</f>
        <v>Employed</v>
      </c>
      <c r="U570" t="s">
        <v>54</v>
      </c>
      <c r="V570" s="14" t="str" cm="1">
        <f t="array" ref="V570">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570" t="s">
        <v>103</v>
      </c>
      <c r="X570" s="2" t="str">
        <f>_xlfn.XLOOKUP(Table1[[#This Row],[Loan_Credit_History]],Table4[Credit History],Table4[[ Category]])</f>
        <v>Critical Credit History</v>
      </c>
      <c r="Y570" s="3">
        <v>2</v>
      </c>
      <c r="Z570" s="3">
        <v>1</v>
      </c>
      <c r="AA570" s="5">
        <v>3229</v>
      </c>
      <c r="AB570" t="s">
        <v>151</v>
      </c>
      <c r="AC570" s="2" t="str" cm="1">
        <f t="array" ref="AC570">_xlfn.IFS(Table1[[#This Row],[Others_Parties]] = "No", "None",
Table1[[#This Row],[Others_Parties]] = "co applicant", "Co-applicant",
Table1[[#This Row],[Others_Parties]] = "guarantor", "Guarantor")</f>
        <v>None</v>
      </c>
      <c r="AD570" s="13" t="s">
        <v>145</v>
      </c>
      <c r="AE570" s="2" t="s">
        <v>107</v>
      </c>
      <c r="AF570" s="28" t="str" cm="1">
        <f t="array" ref="AF57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70" s="21">
        <v>18</v>
      </c>
      <c r="AH570" s="2" t="s">
        <v>154</v>
      </c>
      <c r="AI570"/>
      <c r="AZ570"/>
      <c r="BC570"/>
      <c r="BE570"/>
      <c r="BL570"/>
      <c r="BZ570"/>
      <c r="CA570"/>
      <c r="CF570"/>
      <c r="CG570"/>
      <c r="CH570"/>
      <c r="CI570"/>
      <c r="CK570"/>
      <c r="CN570"/>
    </row>
    <row r="571" spans="1:92" x14ac:dyDescent="0.3">
      <c r="A571" s="4">
        <v>569</v>
      </c>
      <c r="B571" s="11">
        <v>33</v>
      </c>
      <c r="C571" s="2" t="str">
        <f>_xlfn.XLOOKUP(Table1[[#This Row],[Age]],Table7[Start_Age],Table7[Age_Range],,-1)</f>
        <v>29-39</v>
      </c>
      <c r="D571" t="s">
        <v>136</v>
      </c>
      <c r="E571" s="2" t="s">
        <v>131</v>
      </c>
      <c r="F571" s="2" t="s">
        <v>137</v>
      </c>
      <c r="G571" s="3">
        <v>1</v>
      </c>
      <c r="H571" s="13" t="s">
        <v>152</v>
      </c>
      <c r="I571" s="2" t="str" cm="1">
        <f t="array" ref="I571">_xlfn.IFS(Table1[[#This Row],[Job_Type]] = "unskilled resident", "Resident",
Table1[[#This Row],[Job_Type]] = "unemp/unskilled non res", "Non-resident",
TRUE, "Unknown")</f>
        <v>Unknown</v>
      </c>
      <c r="J571" s="2" t="s">
        <v>148</v>
      </c>
      <c r="K571" s="3">
        <v>4</v>
      </c>
      <c r="L571" s="2" t="s">
        <v>140</v>
      </c>
      <c r="M571" s="13" t="s">
        <v>152</v>
      </c>
      <c r="N571" t="s">
        <v>30</v>
      </c>
      <c r="O571" s="2" t="str">
        <f>_xlfn.XLOOKUP(Table1[[#This Row],[Checking_Acct_Status]],Table3[Checking_Acct_Original],Table3[Category])</f>
        <v>Low Balance</v>
      </c>
      <c r="P571" s="10" t="s">
        <v>32</v>
      </c>
      <c r="Q571" s="13" t="str">
        <f>_xlfn.XLOOKUP(Table1[[#This Row],[Saving_Acct_Status]],Table5[Saving_Acct_Original],Table5[Category])</f>
        <v>Low Savings</v>
      </c>
      <c r="R571" t="s">
        <v>41</v>
      </c>
      <c r="S571" s="2" t="str">
        <f>IF(
      OR(Table1[[#This Row],[Job_Type]] = "high qualif/self emp/mgmt", Table1[[#This Row],[Job_Type]] = "skilled"),
      "Skilled", "Unskilled")</f>
        <v>Skilled</v>
      </c>
      <c r="T571" t="str">
        <f>IF(Table1[[#This Row],[Job_Type]] = "unemp/unskilled non res", "Unemployed", "Employed")</f>
        <v>Employed</v>
      </c>
      <c r="U571" t="s">
        <v>21</v>
      </c>
      <c r="V571" s="14" t="str" cm="1">
        <f t="array" ref="V57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71" t="s">
        <v>52</v>
      </c>
      <c r="X571" s="2" t="str">
        <f>_xlfn.XLOOKUP(Table1[[#This Row],[Loan_Credit_History]],Table4[Credit History],Table4[[ Category]])</f>
        <v>No Credit History</v>
      </c>
      <c r="Y571" s="3">
        <v>1</v>
      </c>
      <c r="Z571" s="3">
        <v>2</v>
      </c>
      <c r="AA571" s="5">
        <v>3244</v>
      </c>
      <c r="AB571" t="s">
        <v>151</v>
      </c>
      <c r="AC571" s="2" t="str" cm="1">
        <f t="array" ref="AC571">_xlfn.IFS(Table1[[#This Row],[Others_Parties]] = "No", "None",
Table1[[#This Row],[Others_Parties]] = "co applicant", "Co-applicant",
Table1[[#This Row],[Others_Parties]] = "guarantor", "Guarantor")</f>
        <v>None</v>
      </c>
      <c r="AD571" s="13" t="s">
        <v>146</v>
      </c>
      <c r="AE571" s="2" t="s">
        <v>108</v>
      </c>
      <c r="AF571" s="28" t="str" cm="1">
        <f t="array" ref="AF57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71" s="21">
        <v>18</v>
      </c>
      <c r="AH571" s="2" t="s">
        <v>154</v>
      </c>
      <c r="AI571"/>
      <c r="AZ571"/>
      <c r="BC571"/>
      <c r="BE571"/>
      <c r="BL571"/>
      <c r="BZ571"/>
      <c r="CA571"/>
      <c r="CF571"/>
      <c r="CG571"/>
      <c r="CH571"/>
      <c r="CI571"/>
      <c r="CK571"/>
      <c r="CN571"/>
    </row>
    <row r="572" spans="1:92" x14ac:dyDescent="0.3">
      <c r="A572" s="4">
        <v>570</v>
      </c>
      <c r="B572" s="11">
        <v>31</v>
      </c>
      <c r="C572" s="2" t="str">
        <f>_xlfn.XLOOKUP(Table1[[#This Row],[Age]],Table7[Start_Age],Table7[Age_Range],,-1)</f>
        <v>29-39</v>
      </c>
      <c r="D572" t="s">
        <v>130</v>
      </c>
      <c r="E572" s="2" t="s">
        <v>129</v>
      </c>
      <c r="F572" s="2" t="s">
        <v>133</v>
      </c>
      <c r="G572" s="3">
        <v>1</v>
      </c>
      <c r="H572" s="13" t="s">
        <v>152</v>
      </c>
      <c r="I572" s="2" t="str" cm="1">
        <f t="array" ref="I572">_xlfn.IFS(Table1[[#This Row],[Job_Type]] = "unskilled resident", "Resident",
Table1[[#This Row],[Job_Type]] = "unemp/unskilled non res", "Non-resident",
TRUE, "Unknown")</f>
        <v>Unknown</v>
      </c>
      <c r="J572" s="2" t="s">
        <v>148</v>
      </c>
      <c r="K572" s="3">
        <v>1</v>
      </c>
      <c r="L572" s="2" t="s">
        <v>143</v>
      </c>
      <c r="M572" s="13" t="s">
        <v>152</v>
      </c>
      <c r="N572" t="s">
        <v>17</v>
      </c>
      <c r="O572" s="2" t="str">
        <f>_xlfn.XLOOKUP(Table1[[#This Row],[Checking_Acct_Status]],Table3[Checking_Acct_Original],Table3[Category])</f>
        <v>No Account</v>
      </c>
      <c r="P572" s="10" t="s">
        <v>47</v>
      </c>
      <c r="Q572" s="13" t="str">
        <f>_xlfn.XLOOKUP(Table1[[#This Row],[Saving_Acct_Status]],Table5[Saving_Acct_Original],Table5[Category])</f>
        <v>No Savings</v>
      </c>
      <c r="R572" t="s">
        <v>41</v>
      </c>
      <c r="S572" s="2" t="str">
        <f>IF(
      OR(Table1[[#This Row],[Job_Type]] = "high qualif/self emp/mgmt", Table1[[#This Row],[Job_Type]] = "skilled"),
      "Skilled", "Unskilled")</f>
        <v>Skilled</v>
      </c>
      <c r="T572" t="str">
        <f>IF(Table1[[#This Row],[Job_Type]] = "unemp/unskilled non res", "Unemployed", "Employed")</f>
        <v>Employed</v>
      </c>
      <c r="U572" t="s">
        <v>21</v>
      </c>
      <c r="V572" s="14" t="str" cm="1">
        <f t="array" ref="V57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72" t="s">
        <v>31</v>
      </c>
      <c r="X572" s="2" t="str">
        <f>_xlfn.XLOOKUP(Table1[[#This Row],[Loan_Credit_History]],Table4[Credit History],Table4[[ Category]])</f>
        <v>Existing Credits Paid</v>
      </c>
      <c r="Y572" s="3">
        <v>2</v>
      </c>
      <c r="Z572" s="3">
        <v>1</v>
      </c>
      <c r="AA572" s="5">
        <v>3378</v>
      </c>
      <c r="AB572" t="s">
        <v>151</v>
      </c>
      <c r="AC572" s="2" t="str" cm="1">
        <f t="array" ref="AC572">_xlfn.IFS(Table1[[#This Row],[Others_Parties]] = "No", "None",
Table1[[#This Row],[Others_Parties]] = "co applicant", "Co-applicant",
Table1[[#This Row],[Others_Parties]] = "guarantor", "Guarantor")</f>
        <v>None</v>
      </c>
      <c r="AD572" s="13" t="s">
        <v>145</v>
      </c>
      <c r="AE572" s="2" t="s">
        <v>107</v>
      </c>
      <c r="AF572" s="28" t="str" cm="1">
        <f t="array" ref="AF57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72" s="21">
        <v>18</v>
      </c>
      <c r="AH572" s="2" t="s">
        <v>154</v>
      </c>
      <c r="AI572"/>
      <c r="AZ572"/>
      <c r="BC572"/>
      <c r="BE572"/>
      <c r="BL572"/>
      <c r="BZ572"/>
      <c r="CA572"/>
      <c r="CF572"/>
      <c r="CG572"/>
      <c r="CH572"/>
      <c r="CI572"/>
      <c r="CK572"/>
      <c r="CN572"/>
    </row>
    <row r="573" spans="1:92" x14ac:dyDescent="0.3">
      <c r="A573" s="4">
        <v>571</v>
      </c>
      <c r="B573" s="11">
        <v>47</v>
      </c>
      <c r="C573" s="2" t="str">
        <f>_xlfn.XLOOKUP(Table1[[#This Row],[Age]],Table7[Start_Age],Table7[Age_Range],,-1)</f>
        <v>39-49</v>
      </c>
      <c r="D573" t="s">
        <v>130</v>
      </c>
      <c r="E573" s="2" t="s">
        <v>129</v>
      </c>
      <c r="F573" s="2" t="s">
        <v>133</v>
      </c>
      <c r="G573" s="3">
        <v>2</v>
      </c>
      <c r="H573" s="13" t="s">
        <v>152</v>
      </c>
      <c r="I573" s="2" t="str" cm="1">
        <f t="array" ref="I573">_xlfn.IFS(Table1[[#This Row],[Job_Type]] = "unskilled resident", "Resident",
Table1[[#This Row],[Job_Type]] = "unemp/unskilled non res", "Non-resident",
TRUE, "Unknown")</f>
        <v>Unknown</v>
      </c>
      <c r="J573" s="2" t="s">
        <v>148</v>
      </c>
      <c r="K573" s="3">
        <v>4</v>
      </c>
      <c r="L573" s="2" t="s">
        <v>143</v>
      </c>
      <c r="M573" s="13" t="s">
        <v>152</v>
      </c>
      <c r="N573" t="s">
        <v>17</v>
      </c>
      <c r="O573" s="2" t="str">
        <f>_xlfn.XLOOKUP(Table1[[#This Row],[Checking_Acct_Status]],Table3[Checking_Acct_Original],Table3[Category])</f>
        <v>No Account</v>
      </c>
      <c r="P573" s="10" t="s">
        <v>32</v>
      </c>
      <c r="Q573" s="13" t="str">
        <f>_xlfn.XLOOKUP(Table1[[#This Row],[Saving_Acct_Status]],Table5[Saving_Acct_Original],Table5[Category])</f>
        <v>Low Savings</v>
      </c>
      <c r="R573" t="s">
        <v>41</v>
      </c>
      <c r="S573" s="2" t="str">
        <f>IF(
      OR(Table1[[#This Row],[Job_Type]] = "high qualif/self emp/mgmt", Table1[[#This Row],[Job_Type]] = "skilled"),
      "Skilled", "Unskilled")</f>
        <v>Skilled</v>
      </c>
      <c r="T573" t="str">
        <f>IF(Table1[[#This Row],[Job_Type]] = "unemp/unskilled non res", "Unemployed", "Employed")</f>
        <v>Employed</v>
      </c>
      <c r="U573" t="s">
        <v>38</v>
      </c>
      <c r="V573" s="14" t="str" cm="1">
        <f t="array" ref="V57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73" t="s">
        <v>31</v>
      </c>
      <c r="X573" s="2" t="str">
        <f>_xlfn.XLOOKUP(Table1[[#This Row],[Loan_Credit_History]],Table4[Credit History],Table4[[ Category]])</f>
        <v>Existing Credits Paid</v>
      </c>
      <c r="Y573" s="3">
        <v>4</v>
      </c>
      <c r="Z573" s="3">
        <v>3</v>
      </c>
      <c r="AA573" s="5">
        <v>3422</v>
      </c>
      <c r="AB573" t="s">
        <v>151</v>
      </c>
      <c r="AC573" s="2" t="str" cm="1">
        <f t="array" ref="AC573">_xlfn.IFS(Table1[[#This Row],[Others_Parties]] = "No", "None",
Table1[[#This Row],[Others_Parties]] = "co applicant", "Co-applicant",
Table1[[#This Row],[Others_Parties]] = "guarantor", "Guarantor")</f>
        <v>None</v>
      </c>
      <c r="AD573" s="13" t="s">
        <v>146</v>
      </c>
      <c r="AE573" s="2" t="s">
        <v>108</v>
      </c>
      <c r="AF573" s="28" t="str" cm="1">
        <f t="array" ref="AF57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73" s="21">
        <v>18</v>
      </c>
      <c r="AH573" s="2" t="s">
        <v>154</v>
      </c>
      <c r="AI573"/>
      <c r="AZ573"/>
      <c r="BC573"/>
      <c r="BE573"/>
      <c r="BL573"/>
      <c r="BZ573"/>
      <c r="CA573"/>
      <c r="CF573"/>
      <c r="CG573"/>
      <c r="CH573"/>
      <c r="CI573"/>
      <c r="CK573"/>
      <c r="CN573"/>
    </row>
    <row r="574" spans="1:92" x14ac:dyDescent="0.3">
      <c r="A574" s="4">
        <v>572</v>
      </c>
      <c r="B574" s="11">
        <v>25</v>
      </c>
      <c r="C574" s="2" t="str">
        <f>_xlfn.XLOOKUP(Table1[[#This Row],[Age]],Table7[Start_Age],Table7[Age_Range],,-1)</f>
        <v>19-29</v>
      </c>
      <c r="D574" t="s">
        <v>136</v>
      </c>
      <c r="E574" s="2" t="s">
        <v>131</v>
      </c>
      <c r="F574" s="2" t="s">
        <v>137</v>
      </c>
      <c r="G574" s="3">
        <v>1</v>
      </c>
      <c r="H574" s="13" t="s">
        <v>152</v>
      </c>
      <c r="I574" s="2" t="str" cm="1">
        <f t="array" ref="I574">_xlfn.IFS(Table1[[#This Row],[Job_Type]] = "unskilled resident", "Resident",
Table1[[#This Row],[Job_Type]] = "unemp/unskilled non res", "Non-resident",
TRUE, "Unknown")</f>
        <v>Unknown</v>
      </c>
      <c r="J574" s="2" t="s">
        <v>148</v>
      </c>
      <c r="K574" s="3">
        <v>1</v>
      </c>
      <c r="L574" s="2" t="s">
        <v>144</v>
      </c>
      <c r="M574" s="13" t="s">
        <v>151</v>
      </c>
      <c r="N574" t="s">
        <v>35</v>
      </c>
      <c r="O574" s="2" t="str">
        <f>_xlfn.XLOOKUP(Table1[[#This Row],[Checking_Acct_Status]],Table3[Checking_Acct_Original],Table3[Category])</f>
        <v>Negative Balance</v>
      </c>
      <c r="P574" s="10" t="s">
        <v>32</v>
      </c>
      <c r="Q574" s="13" t="str">
        <f>_xlfn.XLOOKUP(Table1[[#This Row],[Saving_Acct_Status]],Table5[Saving_Acct_Original],Table5[Category])</f>
        <v>Low Savings</v>
      </c>
      <c r="R574" t="s">
        <v>41</v>
      </c>
      <c r="S574" s="2" t="str">
        <f>IF(
      OR(Table1[[#This Row],[Job_Type]] = "high qualif/self emp/mgmt", Table1[[#This Row],[Job_Type]] = "skilled"),
      "Skilled", "Unskilled")</f>
        <v>Skilled</v>
      </c>
      <c r="T574" t="str">
        <f>IF(Table1[[#This Row],[Job_Type]] = "unemp/unskilled non res", "Unemployed", "Employed")</f>
        <v>Employed</v>
      </c>
      <c r="U574" t="s">
        <v>49</v>
      </c>
      <c r="V574" s="14" t="str" cm="1">
        <f t="array" ref="V57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74" t="s">
        <v>31</v>
      </c>
      <c r="X574" s="2" t="str">
        <f>_xlfn.XLOOKUP(Table1[[#This Row],[Loan_Credit_History]],Table4[Credit History],Table4[[ Category]])</f>
        <v>Existing Credits Paid</v>
      </c>
      <c r="Y574" s="3">
        <v>4</v>
      </c>
      <c r="Z574" s="3">
        <v>1</v>
      </c>
      <c r="AA574" s="5">
        <v>3509</v>
      </c>
      <c r="AB574" t="s">
        <v>58</v>
      </c>
      <c r="AC574" s="2" t="str" cm="1">
        <f t="array" ref="AC574">_xlfn.IFS(Table1[[#This Row],[Others_Parties]] = "No", "None",
Table1[[#This Row],[Others_Parties]] = "co applicant", "Co-applicant",
Table1[[#This Row],[Others_Parties]] = "guarantor", "Guarantor")</f>
        <v>Guarantor</v>
      </c>
      <c r="AD574" s="13" t="s">
        <v>145</v>
      </c>
      <c r="AE574" s="2" t="s">
        <v>111</v>
      </c>
      <c r="AF574" s="28" t="str" cm="1">
        <f t="array" ref="AF57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74" s="21">
        <v>18</v>
      </c>
      <c r="AH574" s="2" t="s">
        <v>154</v>
      </c>
      <c r="AI574"/>
      <c r="AZ574"/>
      <c r="BC574"/>
      <c r="BE574"/>
      <c r="BL574"/>
      <c r="BZ574"/>
      <c r="CA574"/>
      <c r="CF574"/>
      <c r="CG574"/>
      <c r="CH574"/>
      <c r="CI574"/>
      <c r="CK574"/>
      <c r="CN574"/>
    </row>
    <row r="575" spans="1:92" x14ac:dyDescent="0.3">
      <c r="A575" s="4">
        <v>573</v>
      </c>
      <c r="B575" s="11">
        <v>40</v>
      </c>
      <c r="C575" s="2" t="str">
        <f>_xlfn.XLOOKUP(Table1[[#This Row],[Age]],Table7[Start_Age],Table7[Age_Range],,-1)</f>
        <v>39-49</v>
      </c>
      <c r="D575" t="s">
        <v>134</v>
      </c>
      <c r="E575" s="2" t="s">
        <v>129</v>
      </c>
      <c r="F575" s="2" t="s">
        <v>135</v>
      </c>
      <c r="G575" s="3">
        <v>2</v>
      </c>
      <c r="H575" s="13" t="s">
        <v>152</v>
      </c>
      <c r="I575" s="2" t="str" cm="1">
        <f t="array" ref="I575">_xlfn.IFS(Table1[[#This Row],[Job_Type]] = "unskilled resident", "Resident",
Table1[[#This Row],[Job_Type]] = "unemp/unskilled non res", "Non-resident",
TRUE, "Unknown")</f>
        <v>Non-resident</v>
      </c>
      <c r="J575" s="2" t="s">
        <v>148</v>
      </c>
      <c r="K575" s="3">
        <v>3</v>
      </c>
      <c r="L575" s="2" t="s">
        <v>140</v>
      </c>
      <c r="M575" s="13" t="s">
        <v>152</v>
      </c>
      <c r="N575" t="s">
        <v>30</v>
      </c>
      <c r="O575" s="2" t="str">
        <f>_xlfn.XLOOKUP(Table1[[#This Row],[Checking_Acct_Status]],Table3[Checking_Acct_Original],Table3[Category])</f>
        <v>Low Balance</v>
      </c>
      <c r="P575" s="10" t="s">
        <v>32</v>
      </c>
      <c r="Q575" s="13" t="str">
        <f>_xlfn.XLOOKUP(Table1[[#This Row],[Saving_Acct_Status]],Table5[Saving_Acct_Original],Table5[Category])</f>
        <v>Low Savings</v>
      </c>
      <c r="R575" t="s">
        <v>62</v>
      </c>
      <c r="S575" s="2" t="str">
        <f>IF(
      OR(Table1[[#This Row],[Job_Type]] = "high qualif/self emp/mgmt", Table1[[#This Row],[Job_Type]] = "skilled"),
      "Skilled", "Unskilled")</f>
        <v>Unskilled</v>
      </c>
      <c r="T575" t="str">
        <f>IF(Table1[[#This Row],[Job_Type]] = "unemp/unskilled non res", "Unemployed", "Employed")</f>
        <v>Unemployed</v>
      </c>
      <c r="U575" t="s">
        <v>54</v>
      </c>
      <c r="V575" s="14" t="str" cm="1">
        <f t="array" ref="V575">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575" t="s">
        <v>103</v>
      </c>
      <c r="X575" s="2" t="str">
        <f>_xlfn.XLOOKUP(Table1[[#This Row],[Loan_Credit_History]],Table4[Credit History],Table4[[ Category]])</f>
        <v>Critical Credit History</v>
      </c>
      <c r="Y575" s="3">
        <v>3</v>
      </c>
      <c r="Z575" s="3">
        <v>3</v>
      </c>
      <c r="AA575" s="5">
        <v>3590</v>
      </c>
      <c r="AB575" t="s">
        <v>151</v>
      </c>
      <c r="AC575" s="2" t="str" cm="1">
        <f t="array" ref="AC575">_xlfn.IFS(Table1[[#This Row],[Others_Parties]] = "No", "None",
Table1[[#This Row],[Others_Parties]] = "co applicant", "Co-applicant",
Table1[[#This Row],[Others_Parties]] = "guarantor", "Guarantor")</f>
        <v>None</v>
      </c>
      <c r="AD575" s="13" t="s">
        <v>145</v>
      </c>
      <c r="AE575" s="2" t="s">
        <v>105</v>
      </c>
      <c r="AF575" s="28" t="str" cm="1">
        <f t="array" ref="AF57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75" s="21">
        <v>18</v>
      </c>
      <c r="AH575" s="2" t="s">
        <v>154</v>
      </c>
      <c r="AI575"/>
      <c r="AZ575"/>
      <c r="BC575"/>
      <c r="BE575"/>
      <c r="BL575"/>
      <c r="BZ575"/>
      <c r="CA575"/>
      <c r="CF575"/>
      <c r="CG575"/>
      <c r="CH575"/>
      <c r="CI575"/>
      <c r="CK575"/>
      <c r="CN575"/>
    </row>
    <row r="576" spans="1:92" x14ac:dyDescent="0.3">
      <c r="A576" s="4">
        <v>574</v>
      </c>
      <c r="B576" s="11">
        <v>37</v>
      </c>
      <c r="C576" s="2" t="str">
        <f>_xlfn.XLOOKUP(Table1[[#This Row],[Age]],Table7[Start_Age],Table7[Age_Range],,-1)</f>
        <v>29-39</v>
      </c>
      <c r="D576" t="s">
        <v>136</v>
      </c>
      <c r="E576" s="2" t="s">
        <v>131</v>
      </c>
      <c r="F576" s="2" t="s">
        <v>137</v>
      </c>
      <c r="G576" s="3">
        <v>1</v>
      </c>
      <c r="H576" s="13" t="s">
        <v>152</v>
      </c>
      <c r="I576" s="2" t="str" cm="1">
        <f t="array" ref="I576">_xlfn.IFS(Table1[[#This Row],[Job_Type]] = "unskilled resident", "Resident",
Table1[[#This Row],[Job_Type]] = "unemp/unskilled non res", "Non-resident",
TRUE, "Unknown")</f>
        <v>Unknown</v>
      </c>
      <c r="J576" s="2" t="s">
        <v>148</v>
      </c>
      <c r="K576" s="3">
        <v>4</v>
      </c>
      <c r="L576" s="2" t="s">
        <v>143</v>
      </c>
      <c r="M576" s="13" t="s">
        <v>152</v>
      </c>
      <c r="N576" t="s">
        <v>30</v>
      </c>
      <c r="O576" s="2" t="str">
        <f>_xlfn.XLOOKUP(Table1[[#This Row],[Checking_Acct_Status]],Table3[Checking_Acct_Original],Table3[Category])</f>
        <v>Low Balance</v>
      </c>
      <c r="P576" s="10" t="s">
        <v>32</v>
      </c>
      <c r="Q576" s="13" t="str">
        <f>_xlfn.XLOOKUP(Table1[[#This Row],[Saving_Acct_Status]],Table5[Saving_Acct_Original],Table5[Category])</f>
        <v>Low Savings</v>
      </c>
      <c r="R576" t="s">
        <v>41</v>
      </c>
      <c r="S576" s="2" t="str">
        <f>IF(
      OR(Table1[[#This Row],[Job_Type]] = "high qualif/self emp/mgmt", Table1[[#This Row],[Job_Type]] = "skilled"),
      "Skilled", "Unskilled")</f>
        <v>Skilled</v>
      </c>
      <c r="T576" t="str">
        <f>IF(Table1[[#This Row],[Job_Type]] = "unemp/unskilled non res", "Unemployed", "Employed")</f>
        <v>Employed</v>
      </c>
      <c r="U576" t="s">
        <v>38</v>
      </c>
      <c r="V576" s="14" t="str" cm="1">
        <f t="array" ref="V57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76" t="s">
        <v>103</v>
      </c>
      <c r="X576" s="2" t="str">
        <f>_xlfn.XLOOKUP(Table1[[#This Row],[Loan_Credit_History]],Table4[Credit History],Table4[[ Category]])</f>
        <v>Critical Credit History</v>
      </c>
      <c r="Y576" s="3">
        <v>3</v>
      </c>
      <c r="Z576" s="3">
        <v>1</v>
      </c>
      <c r="AA576" s="5">
        <v>3612</v>
      </c>
      <c r="AB576" t="s">
        <v>151</v>
      </c>
      <c r="AC576" s="2" t="str" cm="1">
        <f t="array" ref="AC576">_xlfn.IFS(Table1[[#This Row],[Others_Parties]] = "No", "None",
Table1[[#This Row],[Others_Parties]] = "co applicant", "Co-applicant",
Table1[[#This Row],[Others_Parties]] = "guarantor", "Guarantor")</f>
        <v>None</v>
      </c>
      <c r="AD576" s="13" t="s">
        <v>145</v>
      </c>
      <c r="AE576" s="2" t="s">
        <v>108</v>
      </c>
      <c r="AF576" s="28" t="str" cm="1">
        <f t="array" ref="AF57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76" s="21">
        <v>18</v>
      </c>
      <c r="AH576" s="2" t="s">
        <v>154</v>
      </c>
      <c r="AI576"/>
      <c r="AZ576"/>
      <c r="BC576"/>
      <c r="BE576"/>
      <c r="BL576"/>
      <c r="BZ576"/>
      <c r="CA576"/>
      <c r="CF576"/>
      <c r="CG576"/>
      <c r="CH576"/>
      <c r="CI576"/>
      <c r="CK576"/>
      <c r="CN576"/>
    </row>
    <row r="577" spans="1:92" x14ac:dyDescent="0.3">
      <c r="A577" s="4">
        <v>575</v>
      </c>
      <c r="B577" s="11">
        <v>22</v>
      </c>
      <c r="C577" s="2" t="str">
        <f>_xlfn.XLOOKUP(Table1[[#This Row],[Age]],Table7[Start_Age],Table7[Age_Range],,-1)</f>
        <v>19-29</v>
      </c>
      <c r="D577" t="s">
        <v>136</v>
      </c>
      <c r="E577" s="2" t="s">
        <v>131</v>
      </c>
      <c r="F577" s="2" t="s">
        <v>137</v>
      </c>
      <c r="G577" s="3">
        <v>1</v>
      </c>
      <c r="H577" s="13" t="s">
        <v>152</v>
      </c>
      <c r="I577" s="2" t="str" cm="1">
        <f t="array" ref="I577">_xlfn.IFS(Table1[[#This Row],[Job_Type]] = "unskilled resident", "Resident",
Table1[[#This Row],[Job_Type]] = "unemp/unskilled non res", "Non-resident",
TRUE, "Unknown")</f>
        <v>Unknown</v>
      </c>
      <c r="J577" s="2" t="s">
        <v>149</v>
      </c>
      <c r="K577" s="3">
        <v>4</v>
      </c>
      <c r="L577" s="2" t="s">
        <v>140</v>
      </c>
      <c r="M577" s="13" t="s">
        <v>151</v>
      </c>
      <c r="N577" t="s">
        <v>35</v>
      </c>
      <c r="O577" s="2" t="str">
        <f>_xlfn.XLOOKUP(Table1[[#This Row],[Checking_Acct_Status]],Table3[Checking_Acct_Original],Table3[Category])</f>
        <v>Negative Balance</v>
      </c>
      <c r="P577" s="10" t="s">
        <v>32</v>
      </c>
      <c r="Q577" s="13" t="str">
        <f>_xlfn.XLOOKUP(Table1[[#This Row],[Saving_Acct_Status]],Table5[Saving_Acct_Original],Table5[Category])</f>
        <v>Low Savings</v>
      </c>
      <c r="R577" t="s">
        <v>41</v>
      </c>
      <c r="S577" s="2" t="str">
        <f>IF(
      OR(Table1[[#This Row],[Job_Type]] = "high qualif/self emp/mgmt", Table1[[#This Row],[Job_Type]] = "skilled"),
      "Skilled", "Unskilled")</f>
        <v>Skilled</v>
      </c>
      <c r="T577" t="str">
        <f>IF(Table1[[#This Row],[Job_Type]] = "unemp/unskilled non res", "Unemployed", "Employed")</f>
        <v>Employed</v>
      </c>
      <c r="U577" t="s">
        <v>45</v>
      </c>
      <c r="V577" s="14" t="str" cm="1">
        <f t="array" ref="V57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77" t="s">
        <v>31</v>
      </c>
      <c r="X577" s="2" t="str">
        <f>_xlfn.XLOOKUP(Table1[[#This Row],[Loan_Credit_History]],Table4[Credit History],Table4[[ Category]])</f>
        <v>Existing Credits Paid</v>
      </c>
      <c r="Y577" s="3">
        <v>1</v>
      </c>
      <c r="Z577" s="3">
        <v>1</v>
      </c>
      <c r="AA577" s="5">
        <v>3650</v>
      </c>
      <c r="AB577" t="s">
        <v>151</v>
      </c>
      <c r="AC577" s="2" t="str" cm="1">
        <f t="array" ref="AC577">_xlfn.IFS(Table1[[#This Row],[Others_Parties]] = "No", "None",
Table1[[#This Row],[Others_Parties]] = "co applicant", "Co-applicant",
Table1[[#This Row],[Others_Parties]] = "guarantor", "Guarantor")</f>
        <v>None</v>
      </c>
      <c r="AD577" s="13" t="s">
        <v>145</v>
      </c>
      <c r="AE577" s="2" t="s">
        <v>108</v>
      </c>
      <c r="AF577" s="28" t="str" cm="1">
        <f t="array" ref="AF57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77" s="21">
        <v>18</v>
      </c>
      <c r="AH577" s="2" t="s">
        <v>154</v>
      </c>
      <c r="AI577"/>
      <c r="AZ577"/>
      <c r="BC577"/>
      <c r="BE577"/>
      <c r="BL577"/>
      <c r="BZ577"/>
      <c r="CA577"/>
      <c r="CF577"/>
      <c r="CG577"/>
      <c r="CH577"/>
      <c r="CI577"/>
      <c r="CK577"/>
      <c r="CN577"/>
    </row>
    <row r="578" spans="1:92" x14ac:dyDescent="0.3">
      <c r="A578" s="4">
        <v>576</v>
      </c>
      <c r="B578" s="11">
        <v>35</v>
      </c>
      <c r="C578" s="2" t="str">
        <f>_xlfn.XLOOKUP(Table1[[#This Row],[Age]],Table7[Start_Age],Table7[Age_Range],,-1)</f>
        <v>29-39</v>
      </c>
      <c r="D578" t="s">
        <v>138</v>
      </c>
      <c r="E578" s="2" t="s">
        <v>129</v>
      </c>
      <c r="F578" s="2" t="s">
        <v>178</v>
      </c>
      <c r="G578" s="3">
        <v>1</v>
      </c>
      <c r="H578" s="13" t="s">
        <v>152</v>
      </c>
      <c r="I578" s="2" t="str" cm="1">
        <f t="array" ref="I578">_xlfn.IFS(Table1[[#This Row],[Job_Type]] = "unskilled resident", "Resident",
Table1[[#This Row],[Job_Type]] = "unemp/unskilled non res", "Non-resident",
TRUE, "Unknown")</f>
        <v>Unknown</v>
      </c>
      <c r="J578" s="2" t="s">
        <v>148</v>
      </c>
      <c r="K578" s="3">
        <v>2</v>
      </c>
      <c r="L578" s="2" t="s">
        <v>140</v>
      </c>
      <c r="M578" s="13" t="s">
        <v>152</v>
      </c>
      <c r="N578" t="s">
        <v>17</v>
      </c>
      <c r="O578" s="2" t="str">
        <f>_xlfn.XLOOKUP(Table1[[#This Row],[Checking_Acct_Status]],Table3[Checking_Acct_Original],Table3[Category])</f>
        <v>No Account</v>
      </c>
      <c r="P578" s="10" t="s">
        <v>32</v>
      </c>
      <c r="Q578" s="13" t="str">
        <f>_xlfn.XLOOKUP(Table1[[#This Row],[Saving_Acct_Status]],Table5[Saving_Acct_Original],Table5[Category])</f>
        <v>Low Savings</v>
      </c>
      <c r="R578" t="s">
        <v>63</v>
      </c>
      <c r="S578" s="2" t="str">
        <f>IF(
      OR(Table1[[#This Row],[Job_Type]] = "high qualif/self emp/mgmt", Table1[[#This Row],[Job_Type]] = "skilled"),
      "Skilled", "Unskilled")</f>
        <v>Skilled</v>
      </c>
      <c r="T578" t="str">
        <f>IF(Table1[[#This Row],[Job_Type]] = "unemp/unskilled non res", "Unemployed", "Employed")</f>
        <v>Employed</v>
      </c>
      <c r="U578" t="s">
        <v>45</v>
      </c>
      <c r="V578" s="14" t="str" cm="1">
        <f t="array" ref="V57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78" t="s">
        <v>103</v>
      </c>
      <c r="X578" s="2" t="str">
        <f>_xlfn.XLOOKUP(Table1[[#This Row],[Loan_Credit_History]],Table4[Credit History],Table4[[ Category]])</f>
        <v>Critical Credit History</v>
      </c>
      <c r="Y578" s="3">
        <v>3</v>
      </c>
      <c r="Z578" s="3">
        <v>2</v>
      </c>
      <c r="AA578" s="5">
        <v>3780</v>
      </c>
      <c r="AB578" t="s">
        <v>151</v>
      </c>
      <c r="AC578" s="2" t="str" cm="1">
        <f t="array" ref="AC578">_xlfn.IFS(Table1[[#This Row],[Others_Parties]] = "No", "None",
Table1[[#This Row],[Others_Parties]] = "co applicant", "Co-applicant",
Table1[[#This Row],[Others_Parties]] = "guarantor", "Guarantor")</f>
        <v>None</v>
      </c>
      <c r="AD578" s="13" t="s">
        <v>145</v>
      </c>
      <c r="AE578" s="2" t="s">
        <v>108</v>
      </c>
      <c r="AF578" s="28" t="str" cm="1">
        <f t="array" ref="AF57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78" s="21">
        <v>18</v>
      </c>
      <c r="AH578" s="2" t="s">
        <v>154</v>
      </c>
      <c r="AI578"/>
      <c r="AZ578"/>
      <c r="BC578"/>
      <c r="BE578"/>
      <c r="BL578"/>
      <c r="BZ578"/>
      <c r="CA578"/>
      <c r="CF578"/>
      <c r="CG578"/>
      <c r="CH578"/>
      <c r="CI578"/>
      <c r="CK578"/>
      <c r="CN578"/>
    </row>
    <row r="579" spans="1:92" x14ac:dyDescent="0.3">
      <c r="A579" s="4">
        <v>577</v>
      </c>
      <c r="B579" s="11">
        <v>27</v>
      </c>
      <c r="C579" s="2" t="str">
        <f>_xlfn.XLOOKUP(Table1[[#This Row],[Age]],Table7[Start_Age],Table7[Age_Range],,-1)</f>
        <v>19-29</v>
      </c>
      <c r="D579" t="s">
        <v>130</v>
      </c>
      <c r="E579" s="2" t="s">
        <v>129</v>
      </c>
      <c r="F579" s="2" t="s">
        <v>133</v>
      </c>
      <c r="G579" s="3">
        <v>1</v>
      </c>
      <c r="H579" s="13" t="s">
        <v>152</v>
      </c>
      <c r="I579" s="2" t="str" cm="1">
        <f t="array" ref="I579">_xlfn.IFS(Table1[[#This Row],[Job_Type]] = "unskilled resident", "Resident",
Table1[[#This Row],[Job_Type]] = "unemp/unskilled non res", "Non-resident",
TRUE, "Unknown")</f>
        <v>Unknown</v>
      </c>
      <c r="J579" s="2" t="s">
        <v>148</v>
      </c>
      <c r="K579" s="3">
        <v>1</v>
      </c>
      <c r="L579" s="2" t="s">
        <v>140</v>
      </c>
      <c r="M579" s="13" t="s">
        <v>151</v>
      </c>
      <c r="N579" t="s">
        <v>17</v>
      </c>
      <c r="O579" s="2" t="str">
        <f>_xlfn.XLOOKUP(Table1[[#This Row],[Checking_Acct_Status]],Table3[Checking_Acct_Original],Table3[Category])</f>
        <v>No Account</v>
      </c>
      <c r="P579" s="10" t="s">
        <v>32</v>
      </c>
      <c r="Q579" s="13" t="str">
        <f>_xlfn.XLOOKUP(Table1[[#This Row],[Saving_Acct_Status]],Table5[Saving_Acct_Original],Table5[Category])</f>
        <v>Low Savings</v>
      </c>
      <c r="R579" t="s">
        <v>41</v>
      </c>
      <c r="S579" s="2" t="str">
        <f>IF(
      OR(Table1[[#This Row],[Job_Type]] = "high qualif/self emp/mgmt", Table1[[#This Row],[Job_Type]] = "skilled"),
      "Skilled", "Unskilled")</f>
        <v>Skilled</v>
      </c>
      <c r="T579" t="str">
        <f>IF(Table1[[#This Row],[Job_Type]] = "unemp/unskilled non res", "Unemployed", "Employed")</f>
        <v>Employed</v>
      </c>
      <c r="U579" t="s">
        <v>49</v>
      </c>
      <c r="V579" s="14" t="str" cm="1">
        <f t="array" ref="V57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79" t="s">
        <v>103</v>
      </c>
      <c r="X579" s="2" t="str">
        <f>_xlfn.XLOOKUP(Table1[[#This Row],[Loan_Credit_History]],Table4[Credit History],Table4[[ Category]])</f>
        <v>Critical Credit History</v>
      </c>
      <c r="Y579" s="3">
        <v>3</v>
      </c>
      <c r="Z579" s="3">
        <v>2</v>
      </c>
      <c r="AA579" s="5">
        <v>3850</v>
      </c>
      <c r="AB579" t="s">
        <v>151</v>
      </c>
      <c r="AC579" s="2" t="str" cm="1">
        <f t="array" ref="AC579">_xlfn.IFS(Table1[[#This Row],[Others_Parties]] = "No", "None",
Table1[[#This Row],[Others_Parties]] = "co applicant", "Co-applicant",
Table1[[#This Row],[Others_Parties]] = "guarantor", "Guarantor")</f>
        <v>None</v>
      </c>
      <c r="AD579" s="13" t="s">
        <v>145</v>
      </c>
      <c r="AE579" s="2" t="s">
        <v>107</v>
      </c>
      <c r="AF579" s="28" t="str" cm="1">
        <f t="array" ref="AF57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79" s="21">
        <v>18</v>
      </c>
      <c r="AH579" s="2" t="s">
        <v>154</v>
      </c>
      <c r="AI579"/>
      <c r="AZ579"/>
      <c r="BC579"/>
      <c r="BE579"/>
      <c r="BL579"/>
      <c r="BZ579"/>
      <c r="CA579"/>
      <c r="CF579"/>
      <c r="CG579"/>
      <c r="CH579"/>
      <c r="CI579"/>
      <c r="CK579"/>
      <c r="CN579"/>
    </row>
    <row r="580" spans="1:92" x14ac:dyDescent="0.3">
      <c r="A580" s="4">
        <v>578</v>
      </c>
      <c r="B580" s="11">
        <v>67</v>
      </c>
      <c r="C580" s="2" t="str">
        <f>_xlfn.XLOOKUP(Table1[[#This Row],[Age]],Table7[Start_Age],Table7[Age_Range],,-1)</f>
        <v>59-69</v>
      </c>
      <c r="D580" t="s">
        <v>136</v>
      </c>
      <c r="E580" s="2" t="s">
        <v>131</v>
      </c>
      <c r="F580" s="2" t="s">
        <v>137</v>
      </c>
      <c r="G580" s="3">
        <v>1</v>
      </c>
      <c r="H580" s="13" t="s">
        <v>152</v>
      </c>
      <c r="I580" s="2" t="str" cm="1">
        <f t="array" ref="I580">_xlfn.IFS(Table1[[#This Row],[Job_Type]] = "unskilled resident", "Resident",
Table1[[#This Row],[Job_Type]] = "unemp/unskilled non res", "Non-resident",
TRUE, "Unknown")</f>
        <v>Unknown</v>
      </c>
      <c r="J580" s="2" t="s">
        <v>148</v>
      </c>
      <c r="K580" s="3">
        <v>4</v>
      </c>
      <c r="L580" s="2" t="s">
        <v>140</v>
      </c>
      <c r="M580" s="13" t="s">
        <v>152</v>
      </c>
      <c r="N580" t="s">
        <v>30</v>
      </c>
      <c r="O580" s="2" t="str">
        <f>_xlfn.XLOOKUP(Table1[[#This Row],[Checking_Acct_Status]],Table3[Checking_Acct_Original],Table3[Category])</f>
        <v>Low Balance</v>
      </c>
      <c r="P580" s="10" t="s">
        <v>32</v>
      </c>
      <c r="Q580" s="13" t="str">
        <f>_xlfn.XLOOKUP(Table1[[#This Row],[Saving_Acct_Status]],Table5[Saving_Acct_Original],Table5[Category])</f>
        <v>Low Savings</v>
      </c>
      <c r="R580" t="s">
        <v>41</v>
      </c>
      <c r="S580" s="2" t="str">
        <f>IF(
      OR(Table1[[#This Row],[Job_Type]] = "high qualif/self emp/mgmt", Table1[[#This Row],[Job_Type]] = "skilled"),
      "Skilled", "Unskilled")</f>
        <v>Skilled</v>
      </c>
      <c r="T580" t="str">
        <f>IF(Table1[[#This Row],[Job_Type]] = "unemp/unskilled non res", "Unemployed", "Employed")</f>
        <v>Employed</v>
      </c>
      <c r="U580" t="s">
        <v>54</v>
      </c>
      <c r="V580" s="14" t="str" cm="1">
        <f t="array" ref="V580">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580" t="s">
        <v>31</v>
      </c>
      <c r="X580" s="2" t="str">
        <f>_xlfn.XLOOKUP(Table1[[#This Row],[Loan_Credit_History]],Table4[Credit History],Table4[[ Category]])</f>
        <v>Existing Credits Paid</v>
      </c>
      <c r="Y580" s="3">
        <v>2</v>
      </c>
      <c r="Z580" s="3">
        <v>1</v>
      </c>
      <c r="AA580" s="5">
        <v>3872</v>
      </c>
      <c r="AB580" t="s">
        <v>151</v>
      </c>
      <c r="AC580" s="2" t="str" cm="1">
        <f t="array" ref="AC580">_xlfn.IFS(Table1[[#This Row],[Others_Parties]] = "No", "None",
Table1[[#This Row],[Others_Parties]] = "co applicant", "Co-applicant",
Table1[[#This Row],[Others_Parties]] = "guarantor", "Guarantor")</f>
        <v>None</v>
      </c>
      <c r="AD580" s="13" t="s">
        <v>145</v>
      </c>
      <c r="AE580" s="2" t="s">
        <v>109</v>
      </c>
      <c r="AF580" s="28" t="str" cm="1">
        <f t="array" ref="AF58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80" s="21">
        <v>18</v>
      </c>
      <c r="AH580" s="2" t="s">
        <v>154</v>
      </c>
      <c r="AI580"/>
      <c r="AZ580"/>
      <c r="BC580"/>
      <c r="BE580"/>
      <c r="BL580"/>
      <c r="BZ580"/>
      <c r="CA580"/>
      <c r="CF580"/>
      <c r="CG580"/>
      <c r="CH580"/>
      <c r="CI580"/>
      <c r="CK580"/>
      <c r="CN580"/>
    </row>
    <row r="581" spans="1:92" x14ac:dyDescent="0.3">
      <c r="A581" s="4">
        <v>579</v>
      </c>
      <c r="B581" s="11">
        <v>33</v>
      </c>
      <c r="C581" s="2" t="str">
        <f>_xlfn.XLOOKUP(Table1[[#This Row],[Age]],Table7[Start_Age],Table7[Age_Range],,-1)</f>
        <v>29-39</v>
      </c>
      <c r="D581" t="s">
        <v>136</v>
      </c>
      <c r="E581" s="2" t="s">
        <v>131</v>
      </c>
      <c r="F581" s="2" t="s">
        <v>137</v>
      </c>
      <c r="G581" s="3">
        <v>1</v>
      </c>
      <c r="H581" s="13" t="s">
        <v>152</v>
      </c>
      <c r="I581" s="2" t="str" cm="1">
        <f t="array" ref="I581">_xlfn.IFS(Table1[[#This Row],[Job_Type]] = "unskilled resident", "Resident",
Table1[[#This Row],[Job_Type]] = "unemp/unskilled non res", "Non-resident",
TRUE, "Unknown")</f>
        <v>Unknown</v>
      </c>
      <c r="J581" s="2" t="s">
        <v>149</v>
      </c>
      <c r="K581" s="3">
        <v>4</v>
      </c>
      <c r="L581" s="2" t="s">
        <v>144</v>
      </c>
      <c r="M581" s="13" t="s">
        <v>152</v>
      </c>
      <c r="N581" t="s">
        <v>35</v>
      </c>
      <c r="O581" s="2" t="str">
        <f>_xlfn.XLOOKUP(Table1[[#This Row],[Checking_Acct_Status]],Table3[Checking_Acct_Original],Table3[Category])</f>
        <v>Negative Balance</v>
      </c>
      <c r="P581" s="10" t="s">
        <v>32</v>
      </c>
      <c r="Q581" s="13" t="str">
        <f>_xlfn.XLOOKUP(Table1[[#This Row],[Saving_Acct_Status]],Table5[Saving_Acct_Original],Table5[Category])</f>
        <v>Low Savings</v>
      </c>
      <c r="R581" t="s">
        <v>41</v>
      </c>
      <c r="S581" s="2" t="str">
        <f>IF(
      OR(Table1[[#This Row],[Job_Type]] = "high qualif/self emp/mgmt", Table1[[#This Row],[Job_Type]] = "skilled"),
      "Skilled", "Unskilled")</f>
        <v>Skilled</v>
      </c>
      <c r="T581" t="str">
        <f>IF(Table1[[#This Row],[Job_Type]] = "unemp/unskilled non res", "Unemployed", "Employed")</f>
        <v>Employed</v>
      </c>
      <c r="U581" t="s">
        <v>38</v>
      </c>
      <c r="V581" s="14" t="str" cm="1">
        <f t="array" ref="V58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81" t="s">
        <v>103</v>
      </c>
      <c r="X581" s="2" t="str">
        <f>_xlfn.XLOOKUP(Table1[[#This Row],[Loan_Credit_History]],Table4[Credit History],Table4[[ Category]])</f>
        <v>Critical Credit History</v>
      </c>
      <c r="Y581" s="3">
        <v>1</v>
      </c>
      <c r="Z581" s="3">
        <v>3</v>
      </c>
      <c r="AA581" s="5">
        <v>3966</v>
      </c>
      <c r="AB581" t="s">
        <v>151</v>
      </c>
      <c r="AC581" s="2" t="str" cm="1">
        <f t="array" ref="AC581">_xlfn.IFS(Table1[[#This Row],[Others_Parties]] = "No", "None",
Table1[[#This Row],[Others_Parties]] = "co applicant", "Co-applicant",
Table1[[#This Row],[Others_Parties]] = "guarantor", "Guarantor")</f>
        <v>None</v>
      </c>
      <c r="AD581" s="13" t="s">
        <v>146</v>
      </c>
      <c r="AE581" s="2" t="s">
        <v>141</v>
      </c>
      <c r="AF581" s="28" t="str" cm="1">
        <f t="array" ref="AF58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81" s="21">
        <v>18</v>
      </c>
      <c r="AH581" s="2" t="s">
        <v>153</v>
      </c>
      <c r="AI581"/>
      <c r="AZ581"/>
      <c r="BC581"/>
      <c r="BE581"/>
      <c r="BL581"/>
      <c r="BZ581"/>
      <c r="CA581"/>
      <c r="CF581"/>
      <c r="CG581"/>
      <c r="CH581"/>
      <c r="CI581"/>
      <c r="CK581"/>
      <c r="CN581"/>
    </row>
    <row r="582" spans="1:92" x14ac:dyDescent="0.3">
      <c r="A582" s="4">
        <v>580</v>
      </c>
      <c r="B582" s="11">
        <v>42</v>
      </c>
      <c r="C582" s="2" t="str">
        <f>_xlfn.XLOOKUP(Table1[[#This Row],[Age]],Table7[Start_Age],Table7[Age_Range],,-1)</f>
        <v>39-49</v>
      </c>
      <c r="D582" t="s">
        <v>130</v>
      </c>
      <c r="E582" s="2" t="s">
        <v>129</v>
      </c>
      <c r="F582" s="2" t="s">
        <v>133</v>
      </c>
      <c r="G582" s="3">
        <v>1</v>
      </c>
      <c r="H582" s="13" t="s">
        <v>152</v>
      </c>
      <c r="I582" s="2" t="str" cm="1">
        <f t="array" ref="I582">_xlfn.IFS(Table1[[#This Row],[Job_Type]] = "unskilled resident", "Resident",
Table1[[#This Row],[Job_Type]] = "unemp/unskilled non res", "Non-resident",
TRUE, "Unknown")</f>
        <v>Unknown</v>
      </c>
      <c r="J582" s="2" t="s">
        <v>148</v>
      </c>
      <c r="K582" s="3">
        <v>3</v>
      </c>
      <c r="L582" s="2" t="s">
        <v>140</v>
      </c>
      <c r="M582" s="13" t="s">
        <v>151</v>
      </c>
      <c r="N582" t="s">
        <v>35</v>
      </c>
      <c r="O582" s="2" t="str">
        <f>_xlfn.XLOOKUP(Table1[[#This Row],[Checking_Acct_Status]],Table3[Checking_Acct_Original],Table3[Category])</f>
        <v>Negative Balance</v>
      </c>
      <c r="P582" s="10" t="s">
        <v>32</v>
      </c>
      <c r="Q582" s="13" t="str">
        <f>_xlfn.XLOOKUP(Table1[[#This Row],[Saving_Acct_Status]],Table5[Saving_Acct_Original],Table5[Category])</f>
        <v>Low Savings</v>
      </c>
      <c r="R582" t="s">
        <v>41</v>
      </c>
      <c r="S582" s="2" t="str">
        <f>IF(
      OR(Table1[[#This Row],[Job_Type]] = "high qualif/self emp/mgmt", Table1[[#This Row],[Job_Type]] = "skilled"),
      "Skilled", "Unskilled")</f>
        <v>Skilled</v>
      </c>
      <c r="T582" t="str">
        <f>IF(Table1[[#This Row],[Job_Type]] = "unemp/unskilled non res", "Unemployed", "Employed")</f>
        <v>Employed</v>
      </c>
      <c r="U582" t="s">
        <v>21</v>
      </c>
      <c r="V582" s="14" t="str" cm="1">
        <f t="array" ref="V58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82" t="s">
        <v>31</v>
      </c>
      <c r="X582" s="2" t="str">
        <f>_xlfn.XLOOKUP(Table1[[#This Row],[Loan_Credit_History]],Table4[Credit History],Table4[[ Category]])</f>
        <v>Existing Credits Paid</v>
      </c>
      <c r="Y582" s="3">
        <v>2</v>
      </c>
      <c r="Z582" s="3">
        <v>1</v>
      </c>
      <c r="AA582" s="5">
        <v>4153</v>
      </c>
      <c r="AB582" t="s">
        <v>55</v>
      </c>
      <c r="AC582" s="2" t="str" cm="1">
        <f t="array" ref="AC582">_xlfn.IFS(Table1[[#This Row],[Others_Parties]] = "No", "None",
Table1[[#This Row],[Others_Parties]] = "co applicant", "Co-applicant",
Table1[[#This Row],[Others_Parties]] = "guarantor", "Guarantor")</f>
        <v>Co-applicant</v>
      </c>
      <c r="AD582" s="13" t="s">
        <v>145</v>
      </c>
      <c r="AE582" s="2" t="s">
        <v>108</v>
      </c>
      <c r="AF582" s="28" t="str" cm="1">
        <f t="array" ref="AF58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82" s="21">
        <v>18</v>
      </c>
      <c r="AH582" s="2" t="s">
        <v>153</v>
      </c>
      <c r="AI582"/>
      <c r="AZ582"/>
      <c r="BC582"/>
      <c r="BE582"/>
      <c r="BL582"/>
      <c r="BZ582"/>
      <c r="CA582"/>
      <c r="CF582"/>
      <c r="CG582"/>
      <c r="CH582"/>
      <c r="CI582"/>
      <c r="CK582"/>
      <c r="CN582"/>
    </row>
    <row r="583" spans="1:92" x14ac:dyDescent="0.3">
      <c r="A583" s="4">
        <v>581</v>
      </c>
      <c r="B583" s="11">
        <v>36</v>
      </c>
      <c r="C583" s="2" t="str">
        <f>_xlfn.XLOOKUP(Table1[[#This Row],[Age]],Table7[Start_Age],Table7[Age_Range],,-1)</f>
        <v>29-39</v>
      </c>
      <c r="D583" t="s">
        <v>130</v>
      </c>
      <c r="E583" s="2" t="s">
        <v>129</v>
      </c>
      <c r="F583" s="2" t="s">
        <v>133</v>
      </c>
      <c r="G583" s="3">
        <v>2</v>
      </c>
      <c r="H583" s="13" t="s">
        <v>152</v>
      </c>
      <c r="I583" s="2" t="str" cm="1">
        <f t="array" ref="I583">_xlfn.IFS(Table1[[#This Row],[Job_Type]] = "unskilled resident", "Resident",
Table1[[#This Row],[Job_Type]] = "unemp/unskilled non res", "Non-resident",
TRUE, "Unknown")</f>
        <v>Unknown</v>
      </c>
      <c r="J583" s="2" t="s">
        <v>148</v>
      </c>
      <c r="K583" s="3">
        <v>2</v>
      </c>
      <c r="L583" s="2" t="s">
        <v>140</v>
      </c>
      <c r="M583" s="13" t="s">
        <v>151</v>
      </c>
      <c r="N583" t="s">
        <v>17</v>
      </c>
      <c r="O583" s="2" t="str">
        <f>_xlfn.XLOOKUP(Table1[[#This Row],[Checking_Acct_Status]],Table3[Checking_Acct_Original],Table3[Category])</f>
        <v>No Account</v>
      </c>
      <c r="P583" s="10" t="s">
        <v>32</v>
      </c>
      <c r="Q583" s="13" t="str">
        <f>_xlfn.XLOOKUP(Table1[[#This Row],[Saving_Acct_Status]],Table5[Saving_Acct_Original],Table5[Category])</f>
        <v>Low Savings</v>
      </c>
      <c r="R583" t="s">
        <v>41</v>
      </c>
      <c r="S583" s="2" t="str">
        <f>IF(
      OR(Table1[[#This Row],[Job_Type]] = "high qualif/self emp/mgmt", Table1[[#This Row],[Job_Type]] = "skilled"),
      "Skilled", "Unskilled")</f>
        <v>Skilled</v>
      </c>
      <c r="T583" t="str">
        <f>IF(Table1[[#This Row],[Job_Type]] = "unemp/unskilled non res", "Unemployed", "Employed")</f>
        <v>Employed</v>
      </c>
      <c r="U583" t="s">
        <v>21</v>
      </c>
      <c r="V583" s="14" t="str" cm="1">
        <f t="array" ref="V58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83" t="s">
        <v>52</v>
      </c>
      <c r="X583" s="2" t="str">
        <f>_xlfn.XLOOKUP(Table1[[#This Row],[Loan_Credit_History]],Table4[Credit History],Table4[[ Category]])</f>
        <v>No Credit History</v>
      </c>
      <c r="Y583" s="3">
        <v>2</v>
      </c>
      <c r="Z583" s="3">
        <v>2</v>
      </c>
      <c r="AA583" s="5">
        <v>4165</v>
      </c>
      <c r="AB583" t="s">
        <v>151</v>
      </c>
      <c r="AC583" s="2" t="str" cm="1">
        <f t="array" ref="AC583">_xlfn.IFS(Table1[[#This Row],[Others_Parties]] = "No", "None",
Table1[[#This Row],[Others_Parties]] = "co applicant", "Co-applicant",
Table1[[#This Row],[Others_Parties]] = "guarantor", "Guarantor")</f>
        <v>None</v>
      </c>
      <c r="AD583" s="13" t="s">
        <v>147</v>
      </c>
      <c r="AE583" s="2" t="s">
        <v>105</v>
      </c>
      <c r="AF583" s="28" t="str" cm="1">
        <f t="array" ref="AF58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83" s="21">
        <v>18</v>
      </c>
      <c r="AH583" s="2" t="s">
        <v>153</v>
      </c>
      <c r="AI583"/>
      <c r="AZ583"/>
      <c r="BC583"/>
      <c r="BE583"/>
      <c r="BL583"/>
      <c r="BZ583"/>
      <c r="CA583"/>
      <c r="CF583"/>
      <c r="CG583"/>
      <c r="CH583"/>
      <c r="CI583"/>
      <c r="CK583"/>
      <c r="CN583"/>
    </row>
    <row r="584" spans="1:92" x14ac:dyDescent="0.3">
      <c r="A584" s="4">
        <v>582</v>
      </c>
      <c r="B584" s="11">
        <v>40</v>
      </c>
      <c r="C584" s="2" t="str">
        <f>_xlfn.XLOOKUP(Table1[[#This Row],[Age]],Table7[Start_Age],Table7[Age_Range],,-1)</f>
        <v>39-49</v>
      </c>
      <c r="D584" t="s">
        <v>138</v>
      </c>
      <c r="E584" s="2" t="s">
        <v>129</v>
      </c>
      <c r="F584" s="2" t="s">
        <v>178</v>
      </c>
      <c r="G584" s="3">
        <v>1</v>
      </c>
      <c r="H584" s="13" t="s">
        <v>152</v>
      </c>
      <c r="I584" s="2" t="str" cm="1">
        <f t="array" ref="I584">_xlfn.IFS(Table1[[#This Row],[Job_Type]] = "unskilled resident", "Resident",
Table1[[#This Row],[Job_Type]] = "unemp/unskilled non res", "Non-resident",
TRUE, "Unknown")</f>
        <v>Unknown</v>
      </c>
      <c r="J584" s="2" t="s">
        <v>148</v>
      </c>
      <c r="K584" s="3">
        <v>3</v>
      </c>
      <c r="L584" s="2" t="s">
        <v>142</v>
      </c>
      <c r="M584" s="13" t="s">
        <v>152</v>
      </c>
      <c r="N584" t="s">
        <v>30</v>
      </c>
      <c r="O584" s="2" t="str">
        <f>_xlfn.XLOOKUP(Table1[[#This Row],[Checking_Acct_Status]],Table3[Checking_Acct_Original],Table3[Category])</f>
        <v>Low Balance</v>
      </c>
      <c r="P584" s="10" t="s">
        <v>32</v>
      </c>
      <c r="Q584" s="13" t="str">
        <f>_xlfn.XLOOKUP(Table1[[#This Row],[Saving_Acct_Status]],Table5[Saving_Acct_Original],Table5[Category])</f>
        <v>Low Savings</v>
      </c>
      <c r="R584" t="s">
        <v>63</v>
      </c>
      <c r="S584" s="2" t="str">
        <f>IF(
      OR(Table1[[#This Row],[Job_Type]] = "high qualif/self emp/mgmt", Table1[[#This Row],[Job_Type]] = "skilled"),
      "Skilled", "Unskilled")</f>
        <v>Skilled</v>
      </c>
      <c r="T584" t="str">
        <f>IF(Table1[[#This Row],[Job_Type]] = "unemp/unskilled non res", "Unemployed", "Employed")</f>
        <v>Employed</v>
      </c>
      <c r="U584" t="s">
        <v>38</v>
      </c>
      <c r="V584" s="14" t="str" cm="1">
        <f t="array" ref="V58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84" t="s">
        <v>59</v>
      </c>
      <c r="X584" s="2" t="str">
        <f>_xlfn.XLOOKUP(Table1[[#This Row],[Loan_Credit_History]],Table4[Credit History],Table4[[ Category]])</f>
        <v>Previously Delayed</v>
      </c>
      <c r="Y584" s="3">
        <v>4</v>
      </c>
      <c r="Z584" s="3">
        <v>1</v>
      </c>
      <c r="AA584" s="5">
        <v>4297</v>
      </c>
      <c r="AB584" t="s">
        <v>151</v>
      </c>
      <c r="AC584" s="2" t="str" cm="1">
        <f t="array" ref="AC584">_xlfn.IFS(Table1[[#This Row],[Others_Parties]] = "No", "None",
Table1[[#This Row],[Others_Parties]] = "co applicant", "Co-applicant",
Table1[[#This Row],[Others_Parties]] = "guarantor", "Guarantor")</f>
        <v>None</v>
      </c>
      <c r="AD584" s="13" t="s">
        <v>145</v>
      </c>
      <c r="AE584" s="2" t="s">
        <v>108</v>
      </c>
      <c r="AF584" s="28" t="str" cm="1">
        <f t="array" ref="AF58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84" s="21">
        <v>18</v>
      </c>
      <c r="AH584" s="2" t="s">
        <v>153</v>
      </c>
      <c r="AI584"/>
      <c r="AZ584"/>
      <c r="BC584"/>
      <c r="BE584"/>
      <c r="BL584"/>
      <c r="BZ584"/>
      <c r="CA584"/>
      <c r="CF584"/>
      <c r="CG584"/>
      <c r="CH584"/>
      <c r="CI584"/>
      <c r="CK584"/>
      <c r="CN584"/>
    </row>
    <row r="585" spans="1:92" x14ac:dyDescent="0.3">
      <c r="A585" s="4">
        <v>583</v>
      </c>
      <c r="B585" s="11">
        <v>35</v>
      </c>
      <c r="C585" s="2" t="str">
        <f>_xlfn.XLOOKUP(Table1[[#This Row],[Age]],Table7[Start_Age],Table7[Age_Range],,-1)</f>
        <v>29-39</v>
      </c>
      <c r="D585" t="s">
        <v>130</v>
      </c>
      <c r="E585" s="2" t="s">
        <v>129</v>
      </c>
      <c r="F585" s="2" t="s">
        <v>133</v>
      </c>
      <c r="G585" s="3">
        <v>2</v>
      </c>
      <c r="H585" s="13" t="s">
        <v>152</v>
      </c>
      <c r="I585" s="2" t="str" cm="1">
        <f t="array" ref="I585">_xlfn.IFS(Table1[[#This Row],[Job_Type]] = "unskilled resident", "Resident",
Table1[[#This Row],[Job_Type]] = "unemp/unskilled non res", "Non-resident",
TRUE, "Unknown")</f>
        <v>Resident</v>
      </c>
      <c r="J585" s="2" t="s">
        <v>148</v>
      </c>
      <c r="K585" s="3">
        <v>4</v>
      </c>
      <c r="L585" s="2" t="s">
        <v>140</v>
      </c>
      <c r="M585" s="13" t="s">
        <v>152</v>
      </c>
      <c r="N585" t="s">
        <v>35</v>
      </c>
      <c r="O585" s="2" t="str">
        <f>_xlfn.XLOOKUP(Table1[[#This Row],[Checking_Acct_Status]],Table3[Checking_Acct_Original],Table3[Category])</f>
        <v>Negative Balance</v>
      </c>
      <c r="P585" s="10" t="s">
        <v>46</v>
      </c>
      <c r="Q585" s="13" t="str">
        <f>_xlfn.XLOOKUP(Table1[[#This Row],[Saving_Acct_Status]],Table5[Saving_Acct_Original],Table5[Category])</f>
        <v>Medium Savings</v>
      </c>
      <c r="R585" t="s">
        <v>27</v>
      </c>
      <c r="S585" s="2" t="str">
        <f>IF(
      OR(Table1[[#This Row],[Job_Type]] = "high qualif/self emp/mgmt", Table1[[#This Row],[Job_Type]] = "skilled"),
      "Skilled", "Unskilled")</f>
        <v>Unskilled</v>
      </c>
      <c r="T585" t="str">
        <f>IF(Table1[[#This Row],[Job_Type]] = "unemp/unskilled non res", "Unemployed", "Employed")</f>
        <v>Employed</v>
      </c>
      <c r="U585" t="s">
        <v>21</v>
      </c>
      <c r="V585" s="14" t="str" cm="1">
        <f t="array" ref="V58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85" t="s">
        <v>31</v>
      </c>
      <c r="X585" s="2" t="str">
        <f>_xlfn.XLOOKUP(Table1[[#This Row],[Loan_Credit_History]],Table4[Credit History],Table4[[ Category]])</f>
        <v>Existing Credits Paid</v>
      </c>
      <c r="Y585" s="3">
        <v>3</v>
      </c>
      <c r="Z585" s="3">
        <v>1</v>
      </c>
      <c r="AA585" s="5">
        <v>4380</v>
      </c>
      <c r="AB585" t="s">
        <v>151</v>
      </c>
      <c r="AC585" s="2" t="str" cm="1">
        <f t="array" ref="AC585">_xlfn.IFS(Table1[[#This Row],[Others_Parties]] = "No", "None",
Table1[[#This Row],[Others_Parties]] = "co applicant", "Co-applicant",
Table1[[#This Row],[Others_Parties]] = "guarantor", "Guarantor")</f>
        <v>None</v>
      </c>
      <c r="AD585" s="13" t="s">
        <v>145</v>
      </c>
      <c r="AE585" s="2" t="s">
        <v>141</v>
      </c>
      <c r="AF585" s="28" t="str" cm="1">
        <f t="array" ref="AF58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85" s="21">
        <v>18</v>
      </c>
      <c r="AH585" s="2" t="s">
        <v>154</v>
      </c>
      <c r="AI585"/>
      <c r="AZ585"/>
      <c r="BC585"/>
      <c r="BE585"/>
      <c r="BL585"/>
      <c r="BZ585"/>
      <c r="CA585"/>
      <c r="CF585"/>
      <c r="CG585"/>
      <c r="CH585"/>
      <c r="CI585"/>
      <c r="CK585"/>
      <c r="CN585"/>
    </row>
    <row r="586" spans="1:92" x14ac:dyDescent="0.3">
      <c r="A586" s="4">
        <v>584</v>
      </c>
      <c r="B586" s="11">
        <v>33</v>
      </c>
      <c r="C586" s="2" t="str">
        <f>_xlfn.XLOOKUP(Table1[[#This Row],[Age]],Table7[Start_Age],Table7[Age_Range],,-1)</f>
        <v>29-39</v>
      </c>
      <c r="D586" t="s">
        <v>130</v>
      </c>
      <c r="E586" s="2" t="s">
        <v>129</v>
      </c>
      <c r="F586" s="2" t="s">
        <v>133</v>
      </c>
      <c r="G586" s="3">
        <v>1</v>
      </c>
      <c r="H586" s="13" t="s">
        <v>152</v>
      </c>
      <c r="I586" s="2" t="str" cm="1">
        <f t="array" ref="I586">_xlfn.IFS(Table1[[#This Row],[Job_Type]] = "unskilled resident", "Resident",
Table1[[#This Row],[Job_Type]] = "unemp/unskilled non res", "Non-resident",
TRUE, "Unknown")</f>
        <v>Unknown</v>
      </c>
      <c r="J586" s="2" t="s">
        <v>148</v>
      </c>
      <c r="K586" s="3">
        <v>1</v>
      </c>
      <c r="L586" s="2" t="s">
        <v>144</v>
      </c>
      <c r="M586" s="13" t="s">
        <v>152</v>
      </c>
      <c r="N586" t="s">
        <v>30</v>
      </c>
      <c r="O586" s="2" t="str">
        <f>_xlfn.XLOOKUP(Table1[[#This Row],[Checking_Acct_Status]],Table3[Checking_Acct_Original],Table3[Category])</f>
        <v>Low Balance</v>
      </c>
      <c r="P586" s="10" t="s">
        <v>32</v>
      </c>
      <c r="Q586" s="13" t="str">
        <f>_xlfn.XLOOKUP(Table1[[#This Row],[Saving_Acct_Status]],Table5[Saving_Acct_Original],Table5[Category])</f>
        <v>Low Savings</v>
      </c>
      <c r="R586" t="s">
        <v>63</v>
      </c>
      <c r="S586" s="2" t="str">
        <f>IF(
      OR(Table1[[#This Row],[Job_Type]] = "high qualif/self emp/mgmt", Table1[[#This Row],[Job_Type]] = "skilled"),
      "Skilled", "Unskilled")</f>
        <v>Skilled</v>
      </c>
      <c r="T586" t="str">
        <f>IF(Table1[[#This Row],[Job_Type]] = "unemp/unskilled non res", "Unemployed", "Employed")</f>
        <v>Employed</v>
      </c>
      <c r="U586" t="s">
        <v>38</v>
      </c>
      <c r="V586" s="14" t="str" cm="1">
        <f t="array" ref="V58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86" t="s">
        <v>31</v>
      </c>
      <c r="X586" s="2" t="str">
        <f>_xlfn.XLOOKUP(Table1[[#This Row],[Loan_Credit_History]],Table4[Credit History],Table4[[ Category]])</f>
        <v>Existing Credits Paid</v>
      </c>
      <c r="Y586" s="3">
        <v>1</v>
      </c>
      <c r="Z586" s="3">
        <v>1</v>
      </c>
      <c r="AA586" s="5">
        <v>4439</v>
      </c>
      <c r="AB586" t="s">
        <v>55</v>
      </c>
      <c r="AC586" s="2" t="str" cm="1">
        <f t="array" ref="AC586">_xlfn.IFS(Table1[[#This Row],[Others_Parties]] = "No", "None",
Table1[[#This Row],[Others_Parties]] = "co applicant", "Co-applicant",
Table1[[#This Row],[Others_Parties]] = "guarantor", "Guarantor")</f>
        <v>Co-applicant</v>
      </c>
      <c r="AD586" s="13" t="s">
        <v>146</v>
      </c>
      <c r="AE586" s="2" t="s">
        <v>105</v>
      </c>
      <c r="AF586" s="28" t="str" cm="1">
        <f t="array" ref="AF58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86" s="21">
        <v>18</v>
      </c>
      <c r="AH586" s="2" t="s">
        <v>154</v>
      </c>
      <c r="AI586"/>
      <c r="AZ586"/>
      <c r="BC586"/>
      <c r="BE586"/>
      <c r="BL586"/>
      <c r="BZ586"/>
      <c r="CA586"/>
      <c r="CF586"/>
      <c r="CG586"/>
      <c r="CH586"/>
      <c r="CI586"/>
      <c r="CK586"/>
      <c r="CN586"/>
    </row>
    <row r="587" spans="1:92" x14ac:dyDescent="0.3">
      <c r="A587" s="4">
        <v>585</v>
      </c>
      <c r="B587" s="11">
        <v>32</v>
      </c>
      <c r="C587" s="2" t="str">
        <f>_xlfn.XLOOKUP(Table1[[#This Row],[Age]],Table7[Start_Age],Table7[Age_Range],,-1)</f>
        <v>29-39</v>
      </c>
      <c r="D587" t="s">
        <v>130</v>
      </c>
      <c r="E587" s="2" t="s">
        <v>129</v>
      </c>
      <c r="F587" s="2" t="s">
        <v>133</v>
      </c>
      <c r="G587" s="3">
        <v>1</v>
      </c>
      <c r="H587" s="13" t="s">
        <v>152</v>
      </c>
      <c r="I587" s="2" t="str" cm="1">
        <f t="array" ref="I587">_xlfn.IFS(Table1[[#This Row],[Job_Type]] = "unskilled resident", "Resident",
Table1[[#This Row],[Job_Type]] = "unemp/unskilled non res", "Non-resident",
TRUE, "Unknown")</f>
        <v>Unknown</v>
      </c>
      <c r="J587" s="2" t="s">
        <v>148</v>
      </c>
      <c r="K587" s="3">
        <v>2</v>
      </c>
      <c r="L587" s="2" t="s">
        <v>140</v>
      </c>
      <c r="M587" s="13" t="s">
        <v>152</v>
      </c>
      <c r="N587" t="s">
        <v>17</v>
      </c>
      <c r="O587" s="2" t="str">
        <f>_xlfn.XLOOKUP(Table1[[#This Row],[Checking_Acct_Status]],Table3[Checking_Acct_Original],Table3[Category])</f>
        <v>No Account</v>
      </c>
      <c r="P587" s="10" t="s">
        <v>32</v>
      </c>
      <c r="Q587" s="13" t="str">
        <f>_xlfn.XLOOKUP(Table1[[#This Row],[Saving_Acct_Status]],Table5[Saving_Acct_Original],Table5[Category])</f>
        <v>Low Savings</v>
      </c>
      <c r="R587" t="s">
        <v>41</v>
      </c>
      <c r="S587" s="2" t="str">
        <f>IF(
      OR(Table1[[#This Row],[Job_Type]] = "high qualif/self emp/mgmt", Table1[[#This Row],[Job_Type]] = "skilled"),
      "Skilled", "Unskilled")</f>
        <v>Skilled</v>
      </c>
      <c r="T587" t="str">
        <f>IF(Table1[[#This Row],[Job_Type]] = "unemp/unskilled non res", "Unemployed", "Employed")</f>
        <v>Employed</v>
      </c>
      <c r="U587" t="s">
        <v>45</v>
      </c>
      <c r="V587" s="14" t="str" cm="1">
        <f t="array" ref="V58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587" t="s">
        <v>31</v>
      </c>
      <c r="X587" s="2" t="str">
        <f>_xlfn.XLOOKUP(Table1[[#This Row],[Loan_Credit_History]],Table4[Credit History],Table4[[ Category]])</f>
        <v>Existing Credits Paid</v>
      </c>
      <c r="Y587" s="3">
        <v>3</v>
      </c>
      <c r="Z587" s="3">
        <v>1</v>
      </c>
      <c r="AA587" s="5">
        <v>4594</v>
      </c>
      <c r="AB587" t="s">
        <v>151</v>
      </c>
      <c r="AC587" s="2" t="str" cm="1">
        <f t="array" ref="AC587">_xlfn.IFS(Table1[[#This Row],[Others_Parties]] = "No", "None",
Table1[[#This Row],[Others_Parties]] = "co applicant", "Co-applicant",
Table1[[#This Row],[Others_Parties]] = "guarantor", "Guarantor")</f>
        <v>None</v>
      </c>
      <c r="AD587" s="13" t="s">
        <v>145</v>
      </c>
      <c r="AE587" s="2" t="s">
        <v>111</v>
      </c>
      <c r="AF587" s="28" t="str" cm="1">
        <f t="array" ref="AF58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87" s="21">
        <v>18</v>
      </c>
      <c r="AH587" s="2" t="s">
        <v>154</v>
      </c>
      <c r="AI587"/>
      <c r="AZ587"/>
      <c r="BC587"/>
      <c r="BE587"/>
      <c r="BL587"/>
      <c r="BZ587"/>
      <c r="CA587"/>
      <c r="CF587"/>
      <c r="CG587"/>
      <c r="CH587"/>
      <c r="CI587"/>
      <c r="CK587"/>
      <c r="CN587"/>
    </row>
    <row r="588" spans="1:92" x14ac:dyDescent="0.3">
      <c r="A588" s="4">
        <v>586</v>
      </c>
      <c r="B588" s="11">
        <v>36</v>
      </c>
      <c r="C588" s="2" t="str">
        <f>_xlfn.XLOOKUP(Table1[[#This Row],[Age]],Table7[Start_Age],Table7[Age_Range],,-1)</f>
        <v>29-39</v>
      </c>
      <c r="D588" t="s">
        <v>130</v>
      </c>
      <c r="E588" s="2" t="s">
        <v>129</v>
      </c>
      <c r="F588" s="2" t="s">
        <v>133</v>
      </c>
      <c r="G588" s="3">
        <v>1</v>
      </c>
      <c r="H588" s="13" t="s">
        <v>152</v>
      </c>
      <c r="I588" s="2" t="str" cm="1">
        <f t="array" ref="I588">_xlfn.IFS(Table1[[#This Row],[Job_Type]] = "unskilled resident", "Resident",
Table1[[#This Row],[Job_Type]] = "unemp/unskilled non res", "Non-resident",
TRUE, "Unknown")</f>
        <v>Unknown</v>
      </c>
      <c r="J588" s="2" t="s">
        <v>150</v>
      </c>
      <c r="K588" s="3">
        <v>4</v>
      </c>
      <c r="L588" s="2" t="s">
        <v>142</v>
      </c>
      <c r="M588" s="13" t="s">
        <v>152</v>
      </c>
      <c r="N588" t="s">
        <v>35</v>
      </c>
      <c r="O588" s="2" t="str">
        <f>_xlfn.XLOOKUP(Table1[[#This Row],[Checking_Acct_Status]],Table3[Checking_Acct_Original],Table3[Category])</f>
        <v>Negative Balance</v>
      </c>
      <c r="P588" s="10" t="s">
        <v>32</v>
      </c>
      <c r="Q588" s="13" t="str">
        <f>_xlfn.XLOOKUP(Table1[[#This Row],[Saving_Acct_Status]],Table5[Saving_Acct_Original],Table5[Category])</f>
        <v>Low Savings</v>
      </c>
      <c r="R588" t="s">
        <v>63</v>
      </c>
      <c r="S588" s="2" t="str">
        <f>IF(
      OR(Table1[[#This Row],[Job_Type]] = "high qualif/self emp/mgmt", Table1[[#This Row],[Job_Type]] = "skilled"),
      "Skilled", "Unskilled")</f>
        <v>Skilled</v>
      </c>
      <c r="T588" t="str">
        <f>IF(Table1[[#This Row],[Job_Type]] = "unemp/unskilled non res", "Unemployed", "Employed")</f>
        <v>Employed</v>
      </c>
      <c r="U588" t="s">
        <v>38</v>
      </c>
      <c r="V588" s="14" t="str" cm="1">
        <f t="array" ref="V58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88" t="s">
        <v>103</v>
      </c>
      <c r="X588" s="2" t="str">
        <f>_xlfn.XLOOKUP(Table1[[#This Row],[Loan_Credit_History]],Table4[Credit History],Table4[[ Category]])</f>
        <v>Critical Credit History</v>
      </c>
      <c r="Y588" s="3">
        <v>2</v>
      </c>
      <c r="Z588" s="3">
        <v>3</v>
      </c>
      <c r="AA588" s="5">
        <v>5302</v>
      </c>
      <c r="AB588" t="s">
        <v>151</v>
      </c>
      <c r="AC588" s="2" t="str" cm="1">
        <f t="array" ref="AC588">_xlfn.IFS(Table1[[#This Row],[Others_Parties]] = "No", "None",
Table1[[#This Row],[Others_Parties]] = "co applicant", "Co-applicant",
Table1[[#This Row],[Others_Parties]] = "guarantor", "Guarantor")</f>
        <v>None</v>
      </c>
      <c r="AD588" s="13" t="s">
        <v>145</v>
      </c>
      <c r="AE588" s="2" t="s">
        <v>141</v>
      </c>
      <c r="AF588" s="28" t="str" cm="1">
        <f t="array" ref="AF58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88" s="21">
        <v>18</v>
      </c>
      <c r="AH588" s="2" t="s">
        <v>154</v>
      </c>
      <c r="AI588"/>
      <c r="AZ588"/>
      <c r="BC588"/>
      <c r="BE588"/>
      <c r="BL588"/>
      <c r="BZ588"/>
      <c r="CA588"/>
      <c r="CF588"/>
      <c r="CG588"/>
      <c r="CH588"/>
      <c r="CI588"/>
      <c r="CK588"/>
      <c r="CN588"/>
    </row>
    <row r="589" spans="1:92" x14ac:dyDescent="0.3">
      <c r="A589" s="4">
        <v>587</v>
      </c>
      <c r="B589" s="11">
        <v>30</v>
      </c>
      <c r="C589" s="2" t="str">
        <f>_xlfn.XLOOKUP(Table1[[#This Row],[Age]],Table7[Start_Age],Table7[Age_Range],,-1)</f>
        <v>29-39</v>
      </c>
      <c r="D589" t="s">
        <v>130</v>
      </c>
      <c r="E589" s="2" t="s">
        <v>129</v>
      </c>
      <c r="F589" s="2" t="s">
        <v>133</v>
      </c>
      <c r="G589" s="3">
        <v>1</v>
      </c>
      <c r="H589" s="13" t="s">
        <v>152</v>
      </c>
      <c r="I589" s="2" t="str" cm="1">
        <f t="array" ref="I589">_xlfn.IFS(Table1[[#This Row],[Job_Type]] = "unskilled resident", "Resident",
Table1[[#This Row],[Job_Type]] = "unemp/unskilled non res", "Non-resident",
TRUE, "Unknown")</f>
        <v>Unknown</v>
      </c>
      <c r="J589" s="2" t="s">
        <v>148</v>
      </c>
      <c r="K589" s="3">
        <v>2</v>
      </c>
      <c r="L589" s="2" t="s">
        <v>140</v>
      </c>
      <c r="M589" s="13" t="s">
        <v>152</v>
      </c>
      <c r="N589" t="s">
        <v>30</v>
      </c>
      <c r="O589" s="2" t="str">
        <f>_xlfn.XLOOKUP(Table1[[#This Row],[Checking_Acct_Status]],Table3[Checking_Acct_Original],Table3[Category])</f>
        <v>Low Balance</v>
      </c>
      <c r="P589" s="10" t="s">
        <v>46</v>
      </c>
      <c r="Q589" s="13" t="str">
        <f>_xlfn.XLOOKUP(Table1[[#This Row],[Saving_Acct_Status]],Table5[Saving_Acct_Original],Table5[Category])</f>
        <v>Medium Savings</v>
      </c>
      <c r="R589" t="s">
        <v>41</v>
      </c>
      <c r="S589" s="2" t="str">
        <f>IF(
      OR(Table1[[#This Row],[Job_Type]] = "high qualif/self emp/mgmt", Table1[[#This Row],[Job_Type]] = "skilled"),
      "Skilled", "Unskilled")</f>
        <v>Skilled</v>
      </c>
      <c r="T589" t="str">
        <f>IF(Table1[[#This Row],[Job_Type]] = "unemp/unskilled non res", "Unemployed", "Employed")</f>
        <v>Employed</v>
      </c>
      <c r="U589" t="s">
        <v>21</v>
      </c>
      <c r="V589" s="14" t="str" cm="1">
        <f t="array" ref="V58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89" t="s">
        <v>31</v>
      </c>
      <c r="X589" s="2" t="str">
        <f>_xlfn.XLOOKUP(Table1[[#This Row],[Loan_Credit_History]],Table4[Credit History],Table4[[ Category]])</f>
        <v>Existing Credits Paid</v>
      </c>
      <c r="Y589" s="3">
        <v>2</v>
      </c>
      <c r="Z589" s="3">
        <v>2</v>
      </c>
      <c r="AA589" s="5">
        <v>5866</v>
      </c>
      <c r="AB589" t="s">
        <v>151</v>
      </c>
      <c r="AC589" s="2" t="str" cm="1">
        <f t="array" ref="AC589">_xlfn.IFS(Table1[[#This Row],[Others_Parties]] = "No", "None",
Table1[[#This Row],[Others_Parties]] = "co applicant", "Co-applicant",
Table1[[#This Row],[Others_Parties]] = "guarantor", "Guarantor")</f>
        <v>None</v>
      </c>
      <c r="AD589" s="13" t="s">
        <v>145</v>
      </c>
      <c r="AE589" s="2" t="s">
        <v>141</v>
      </c>
      <c r="AF589" s="28" t="str" cm="1">
        <f t="array" ref="AF58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89" s="21">
        <v>18</v>
      </c>
      <c r="AH589" s="2" t="s">
        <v>154</v>
      </c>
      <c r="AI589"/>
      <c r="AZ589"/>
      <c r="BC589"/>
      <c r="BE589"/>
      <c r="BL589"/>
      <c r="BZ589"/>
      <c r="CA589"/>
      <c r="CF589"/>
      <c r="CG589"/>
      <c r="CH589"/>
      <c r="CI589"/>
      <c r="CK589"/>
      <c r="CN589"/>
    </row>
    <row r="590" spans="1:92" x14ac:dyDescent="0.3">
      <c r="A590" s="4">
        <v>588</v>
      </c>
      <c r="B590" s="11">
        <v>33</v>
      </c>
      <c r="C590" s="2" t="str">
        <f>_xlfn.XLOOKUP(Table1[[#This Row],[Age]],Table7[Start_Age],Table7[Age_Range],,-1)</f>
        <v>29-39</v>
      </c>
      <c r="D590" t="s">
        <v>130</v>
      </c>
      <c r="E590" s="2" t="s">
        <v>129</v>
      </c>
      <c r="F590" s="2" t="s">
        <v>133</v>
      </c>
      <c r="G590" s="3">
        <v>1</v>
      </c>
      <c r="H590" s="13" t="s">
        <v>152</v>
      </c>
      <c r="I590" s="2" t="str" cm="1">
        <f t="array" ref="I590">_xlfn.IFS(Table1[[#This Row],[Job_Type]] = "unskilled resident", "Resident",
Table1[[#This Row],[Job_Type]] = "unemp/unskilled non res", "Non-resident",
TRUE, "Unknown")</f>
        <v>Unknown</v>
      </c>
      <c r="J590" s="2" t="s">
        <v>148</v>
      </c>
      <c r="K590" s="3">
        <v>4</v>
      </c>
      <c r="L590" s="2" t="s">
        <v>140</v>
      </c>
      <c r="M590" s="13" t="s">
        <v>152</v>
      </c>
      <c r="N590" t="s">
        <v>17</v>
      </c>
      <c r="O590" s="2" t="str">
        <f>_xlfn.XLOOKUP(Table1[[#This Row],[Checking_Acct_Status]],Table3[Checking_Acct_Original],Table3[Category])</f>
        <v>No Account</v>
      </c>
      <c r="P590" s="10" t="s">
        <v>32</v>
      </c>
      <c r="Q590" s="13" t="str">
        <f>_xlfn.XLOOKUP(Table1[[#This Row],[Saving_Acct_Status]],Table5[Saving_Acct_Original],Table5[Category])</f>
        <v>Low Savings</v>
      </c>
      <c r="R590" t="s">
        <v>41</v>
      </c>
      <c r="S590" s="2" t="str">
        <f>IF(
      OR(Table1[[#This Row],[Job_Type]] = "high qualif/self emp/mgmt", Table1[[#This Row],[Job_Type]] = "skilled"),
      "Skilled", "Unskilled")</f>
        <v>Skilled</v>
      </c>
      <c r="T590" t="str">
        <f>IF(Table1[[#This Row],[Job_Type]] = "unemp/unskilled non res", "Unemployed", "Employed")</f>
        <v>Employed</v>
      </c>
      <c r="U590" t="s">
        <v>38</v>
      </c>
      <c r="V590" s="14" t="str" cm="1">
        <f t="array" ref="V59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90" t="s">
        <v>103</v>
      </c>
      <c r="X590" s="2" t="str">
        <f>_xlfn.XLOOKUP(Table1[[#This Row],[Loan_Credit_History]],Table4[Credit History],Table4[[ Category]])</f>
        <v>Critical Credit History</v>
      </c>
      <c r="Y590" s="3">
        <v>3</v>
      </c>
      <c r="Z590" s="3">
        <v>2</v>
      </c>
      <c r="AA590" s="5">
        <v>6070</v>
      </c>
      <c r="AB590" t="s">
        <v>151</v>
      </c>
      <c r="AC590" s="2" t="str" cm="1">
        <f t="array" ref="AC590">_xlfn.IFS(Table1[[#This Row],[Others_Parties]] = "No", "None",
Table1[[#This Row],[Others_Parties]] = "co applicant", "Co-applicant",
Table1[[#This Row],[Others_Parties]] = "guarantor", "Guarantor")</f>
        <v>None</v>
      </c>
      <c r="AD590" s="13" t="s">
        <v>145</v>
      </c>
      <c r="AE590" s="2" t="s">
        <v>111</v>
      </c>
      <c r="AF590" s="28" t="str" cm="1">
        <f t="array" ref="AF59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90" s="21">
        <v>18</v>
      </c>
      <c r="AH590" s="2" t="s">
        <v>154</v>
      </c>
      <c r="AI590"/>
      <c r="AZ590"/>
      <c r="BC590"/>
      <c r="BE590"/>
      <c r="BL590"/>
      <c r="BZ590"/>
      <c r="CA590"/>
      <c r="CF590"/>
      <c r="CG590"/>
      <c r="CH590"/>
      <c r="CI590"/>
      <c r="CK590"/>
      <c r="CN590"/>
    </row>
    <row r="591" spans="1:92" x14ac:dyDescent="0.3">
      <c r="A591" s="4">
        <v>589</v>
      </c>
      <c r="B591" s="11">
        <v>44</v>
      </c>
      <c r="C591" s="2" t="str">
        <f>_xlfn.XLOOKUP(Table1[[#This Row],[Age]],Table7[Start_Age],Table7[Age_Range],,-1)</f>
        <v>39-49</v>
      </c>
      <c r="D591" t="s">
        <v>130</v>
      </c>
      <c r="E591" s="2" t="s">
        <v>129</v>
      </c>
      <c r="F591" s="2" t="s">
        <v>133</v>
      </c>
      <c r="G591" s="3">
        <v>2</v>
      </c>
      <c r="H591" s="13" t="s">
        <v>152</v>
      </c>
      <c r="I591" s="2" t="str" cm="1">
        <f t="array" ref="I591">_xlfn.IFS(Table1[[#This Row],[Job_Type]] = "unskilled resident", "Resident",
Table1[[#This Row],[Job_Type]] = "unemp/unskilled non res", "Non-resident",
TRUE, "Unknown")</f>
        <v>Resident</v>
      </c>
      <c r="J591" s="2" t="s">
        <v>148</v>
      </c>
      <c r="K591" s="3">
        <v>4</v>
      </c>
      <c r="L591" s="2" t="s">
        <v>144</v>
      </c>
      <c r="M591" s="13" t="s">
        <v>152</v>
      </c>
      <c r="N591" t="s">
        <v>30</v>
      </c>
      <c r="O591" s="2" t="str">
        <f>_xlfn.XLOOKUP(Table1[[#This Row],[Checking_Acct_Status]],Table3[Checking_Acct_Original],Table3[Category])</f>
        <v>Low Balance</v>
      </c>
      <c r="P591" s="10" t="s">
        <v>32</v>
      </c>
      <c r="Q591" s="13" t="str">
        <f>_xlfn.XLOOKUP(Table1[[#This Row],[Saving_Acct_Status]],Table5[Saving_Acct_Original],Table5[Category])</f>
        <v>Low Savings</v>
      </c>
      <c r="R591" t="s">
        <v>27</v>
      </c>
      <c r="S591" s="2" t="str">
        <f>IF(
      OR(Table1[[#This Row],[Job_Type]] = "high qualif/self emp/mgmt", Table1[[#This Row],[Job_Type]] = "skilled"),
      "Skilled", "Unskilled")</f>
        <v>Unskilled</v>
      </c>
      <c r="T591" t="str">
        <f>IF(Table1[[#This Row],[Job_Type]] = "unemp/unskilled non res", "Unemployed", "Employed")</f>
        <v>Employed</v>
      </c>
      <c r="U591" t="s">
        <v>21</v>
      </c>
      <c r="V591" s="14" t="str" cm="1">
        <f t="array" ref="V59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91" t="s">
        <v>59</v>
      </c>
      <c r="X591" s="2" t="str">
        <f>_xlfn.XLOOKUP(Table1[[#This Row],[Loan_Credit_History]],Table4[Credit History],Table4[[ Category]])</f>
        <v>Previously Delayed</v>
      </c>
      <c r="Y591" s="3">
        <v>2</v>
      </c>
      <c r="Z591" s="3">
        <v>1</v>
      </c>
      <c r="AA591" s="5">
        <v>6204</v>
      </c>
      <c r="AB591" t="s">
        <v>151</v>
      </c>
      <c r="AC591" s="2" t="str" cm="1">
        <f t="array" ref="AC591">_xlfn.IFS(Table1[[#This Row],[Others_Parties]] = "No", "None",
Table1[[#This Row],[Others_Parties]] = "co applicant", "Co-applicant",
Table1[[#This Row],[Others_Parties]] = "guarantor", "Guarantor")</f>
        <v>None</v>
      </c>
      <c r="AD591" s="13" t="s">
        <v>145</v>
      </c>
      <c r="AE591" s="2" t="s">
        <v>109</v>
      </c>
      <c r="AF591" s="28" t="str" cm="1">
        <f t="array" ref="AF59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91" s="21">
        <v>18</v>
      </c>
      <c r="AH591" s="2" t="s">
        <v>154</v>
      </c>
      <c r="AI591"/>
      <c r="AZ591"/>
      <c r="BC591"/>
      <c r="BE591"/>
      <c r="BL591"/>
      <c r="BZ591"/>
      <c r="CA591"/>
      <c r="CF591"/>
      <c r="CG591"/>
      <c r="CH591"/>
      <c r="CI591"/>
      <c r="CK591"/>
      <c r="CN591"/>
    </row>
    <row r="592" spans="1:92" x14ac:dyDescent="0.3">
      <c r="A592" s="4">
        <v>590</v>
      </c>
      <c r="B592" s="11">
        <v>28</v>
      </c>
      <c r="C592" s="2" t="str">
        <f>_xlfn.XLOOKUP(Table1[[#This Row],[Age]],Table7[Start_Age],Table7[Age_Range],,-1)</f>
        <v>19-29</v>
      </c>
      <c r="D592" t="s">
        <v>130</v>
      </c>
      <c r="E592" s="2" t="s">
        <v>129</v>
      </c>
      <c r="F592" s="2" t="s">
        <v>133</v>
      </c>
      <c r="G592" s="3">
        <v>1</v>
      </c>
      <c r="H592" s="13" t="s">
        <v>152</v>
      </c>
      <c r="I592" s="2" t="str" cm="1">
        <f t="array" ref="I592">_xlfn.IFS(Table1[[#This Row],[Job_Type]] = "unskilled resident", "Resident",
Table1[[#This Row],[Job_Type]] = "unemp/unskilled non res", "Non-resident",
TRUE, "Unknown")</f>
        <v>Resident</v>
      </c>
      <c r="J592" s="2" t="s">
        <v>149</v>
      </c>
      <c r="K592" s="3">
        <v>3</v>
      </c>
      <c r="L592" s="2" t="s">
        <v>144</v>
      </c>
      <c r="M592" s="13" t="s">
        <v>151</v>
      </c>
      <c r="N592" t="s">
        <v>30</v>
      </c>
      <c r="O592" s="2" t="str">
        <f>_xlfn.XLOOKUP(Table1[[#This Row],[Checking_Acct_Status]],Table3[Checking_Acct_Original],Table3[Category])</f>
        <v>Low Balance</v>
      </c>
      <c r="P592" s="10" t="s">
        <v>32</v>
      </c>
      <c r="Q592" s="13" t="str">
        <f>_xlfn.XLOOKUP(Table1[[#This Row],[Saving_Acct_Status]],Table5[Saving_Acct_Original],Table5[Category])</f>
        <v>Low Savings</v>
      </c>
      <c r="R592" t="s">
        <v>27</v>
      </c>
      <c r="S592" s="2" t="str">
        <f>IF(
      OR(Table1[[#This Row],[Job_Type]] = "high qualif/self emp/mgmt", Table1[[#This Row],[Job_Type]] = "skilled"),
      "Skilled", "Unskilled")</f>
        <v>Unskilled</v>
      </c>
      <c r="T592" t="str">
        <f>IF(Table1[[#This Row],[Job_Type]] = "unemp/unskilled non res", "Unemployed", "Employed")</f>
        <v>Employed</v>
      </c>
      <c r="U592" t="s">
        <v>49</v>
      </c>
      <c r="V592" s="14" t="str" cm="1">
        <f t="array" ref="V59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592" t="s">
        <v>31</v>
      </c>
      <c r="X592" s="2" t="str">
        <f>_xlfn.XLOOKUP(Table1[[#This Row],[Loan_Credit_History]],Table4[Credit History],Table4[[ Category]])</f>
        <v>Existing Credits Paid</v>
      </c>
      <c r="Y592" s="3">
        <v>3</v>
      </c>
      <c r="Z592" s="3">
        <v>1</v>
      </c>
      <c r="AA592" s="5">
        <v>6260</v>
      </c>
      <c r="AB592" t="s">
        <v>151</v>
      </c>
      <c r="AC592" s="2" t="str" cm="1">
        <f t="array" ref="AC592">_xlfn.IFS(Table1[[#This Row],[Others_Parties]] = "No", "None",
Table1[[#This Row],[Others_Parties]] = "co applicant", "Co-applicant",
Table1[[#This Row],[Others_Parties]] = "guarantor", "Guarantor")</f>
        <v>None</v>
      </c>
      <c r="AD592" s="13" t="s">
        <v>145</v>
      </c>
      <c r="AE592" s="2" t="s">
        <v>141</v>
      </c>
      <c r="AF592" s="28" t="str" cm="1">
        <f t="array" ref="AF59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92" s="21">
        <v>18</v>
      </c>
      <c r="AH592" s="2" t="s">
        <v>154</v>
      </c>
      <c r="AI592"/>
      <c r="AZ592"/>
      <c r="BC592"/>
      <c r="BE592"/>
      <c r="BL592"/>
      <c r="BZ592"/>
      <c r="CA592"/>
      <c r="CF592"/>
      <c r="CG592"/>
      <c r="CH592"/>
      <c r="CI592"/>
      <c r="CK592"/>
      <c r="CN592"/>
    </row>
    <row r="593" spans="1:92" x14ac:dyDescent="0.3">
      <c r="A593" s="4">
        <v>591</v>
      </c>
      <c r="B593" s="11">
        <v>41</v>
      </c>
      <c r="C593" s="2" t="str">
        <f>_xlfn.XLOOKUP(Table1[[#This Row],[Age]],Table7[Start_Age],Table7[Age_Range],,-1)</f>
        <v>39-49</v>
      </c>
      <c r="D593" t="s">
        <v>130</v>
      </c>
      <c r="E593" s="2" t="s">
        <v>129</v>
      </c>
      <c r="F593" s="2" t="s">
        <v>133</v>
      </c>
      <c r="G593" s="3">
        <v>1</v>
      </c>
      <c r="H593" s="13" t="s">
        <v>152</v>
      </c>
      <c r="I593" s="2" t="str" cm="1">
        <f t="array" ref="I593">_xlfn.IFS(Table1[[#This Row],[Job_Type]] = "unskilled resident", "Resident",
Table1[[#This Row],[Job_Type]] = "unemp/unskilled non res", "Non-resident",
TRUE, "Unknown")</f>
        <v>Unknown</v>
      </c>
      <c r="J593" s="2" t="s">
        <v>148</v>
      </c>
      <c r="K593" s="3">
        <v>1</v>
      </c>
      <c r="L593" s="2" t="s">
        <v>142</v>
      </c>
      <c r="M593" s="13" t="s">
        <v>152</v>
      </c>
      <c r="N593" t="s">
        <v>30</v>
      </c>
      <c r="O593" s="2" t="str">
        <f>_xlfn.XLOOKUP(Table1[[#This Row],[Checking_Acct_Status]],Table3[Checking_Acct_Original],Table3[Category])</f>
        <v>Low Balance</v>
      </c>
      <c r="P593" s="10" t="s">
        <v>32</v>
      </c>
      <c r="Q593" s="13" t="str">
        <f>_xlfn.XLOOKUP(Table1[[#This Row],[Saving_Acct_Status]],Table5[Saving_Acct_Original],Table5[Category])</f>
        <v>Low Savings</v>
      </c>
      <c r="R593" t="s">
        <v>41</v>
      </c>
      <c r="S593" s="2" t="str">
        <f>IF(
      OR(Table1[[#This Row],[Job_Type]] = "high qualif/self emp/mgmt", Table1[[#This Row],[Job_Type]] = "skilled"),
      "Skilled", "Unskilled")</f>
        <v>Skilled</v>
      </c>
      <c r="T593" t="str">
        <f>IF(Table1[[#This Row],[Job_Type]] = "unemp/unskilled non res", "Unemployed", "Employed")</f>
        <v>Employed</v>
      </c>
      <c r="U593" t="s">
        <v>38</v>
      </c>
      <c r="V593" s="14" t="str" cm="1">
        <f t="array" ref="V59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93" t="s">
        <v>103</v>
      </c>
      <c r="X593" s="2" t="str">
        <f>_xlfn.XLOOKUP(Table1[[#This Row],[Loan_Credit_History]],Table4[Credit History],Table4[[ Category]])</f>
        <v>Critical Credit History</v>
      </c>
      <c r="Y593" s="3">
        <v>2</v>
      </c>
      <c r="Z593" s="3">
        <v>1</v>
      </c>
      <c r="AA593" s="5">
        <v>6361</v>
      </c>
      <c r="AB593" t="s">
        <v>151</v>
      </c>
      <c r="AC593" s="2" t="str" cm="1">
        <f t="array" ref="AC593">_xlfn.IFS(Table1[[#This Row],[Others_Parties]] = "No", "None",
Table1[[#This Row],[Others_Parties]] = "co applicant", "Co-applicant",
Table1[[#This Row],[Others_Parties]] = "guarantor", "Guarantor")</f>
        <v>None</v>
      </c>
      <c r="AD593" s="13" t="s">
        <v>145</v>
      </c>
      <c r="AE593" s="2" t="s">
        <v>108</v>
      </c>
      <c r="AF593" s="28" t="str" cm="1">
        <f t="array" ref="AF59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93" s="21">
        <v>18</v>
      </c>
      <c r="AH593" s="2" t="s">
        <v>154</v>
      </c>
      <c r="AI593"/>
      <c r="AZ593"/>
      <c r="BC593"/>
      <c r="BE593"/>
      <c r="BL593"/>
      <c r="BZ593"/>
      <c r="CA593"/>
      <c r="CF593"/>
      <c r="CG593"/>
      <c r="CH593"/>
      <c r="CI593"/>
      <c r="CK593"/>
      <c r="CN593"/>
    </row>
    <row r="594" spans="1:92" x14ac:dyDescent="0.3">
      <c r="A594" s="4">
        <v>592</v>
      </c>
      <c r="B594" s="11">
        <v>39</v>
      </c>
      <c r="C594" s="2" t="str">
        <f>_xlfn.XLOOKUP(Table1[[#This Row],[Age]],Table7[Start_Age],Table7[Age_Range],,-1)</f>
        <v>39-49</v>
      </c>
      <c r="D594" t="s">
        <v>130</v>
      </c>
      <c r="E594" s="2" t="s">
        <v>129</v>
      </c>
      <c r="F594" s="2" t="s">
        <v>133</v>
      </c>
      <c r="G594" s="3">
        <v>2</v>
      </c>
      <c r="H594" s="13" t="s">
        <v>152</v>
      </c>
      <c r="I594" s="2" t="str" cm="1">
        <f t="array" ref="I594">_xlfn.IFS(Table1[[#This Row],[Job_Type]] = "unskilled resident", "Resident",
Table1[[#This Row],[Job_Type]] = "unemp/unskilled non res", "Non-resident",
TRUE, "Unknown")</f>
        <v>Unknown</v>
      </c>
      <c r="J594" s="2" t="s">
        <v>148</v>
      </c>
      <c r="K594" s="3">
        <v>4</v>
      </c>
      <c r="L594" s="2" t="s">
        <v>142</v>
      </c>
      <c r="M594" s="13" t="s">
        <v>152</v>
      </c>
      <c r="N594" t="s">
        <v>17</v>
      </c>
      <c r="O594" s="2" t="str">
        <f>_xlfn.XLOOKUP(Table1[[#This Row],[Checking_Acct_Status]],Table3[Checking_Acct_Original],Table3[Category])</f>
        <v>No Account</v>
      </c>
      <c r="P594" s="10" t="s">
        <v>32</v>
      </c>
      <c r="Q594" s="13" t="str">
        <f>_xlfn.XLOOKUP(Table1[[#This Row],[Saving_Acct_Status]],Table5[Saving_Acct_Original],Table5[Category])</f>
        <v>Low Savings</v>
      </c>
      <c r="R594" t="s">
        <v>63</v>
      </c>
      <c r="S594" s="2" t="str">
        <f>IF(
      OR(Table1[[#This Row],[Job_Type]] = "high qualif/self emp/mgmt", Table1[[#This Row],[Job_Type]] = "skilled"),
      "Skilled", "Unskilled")</f>
        <v>Skilled</v>
      </c>
      <c r="T594" t="str">
        <f>IF(Table1[[#This Row],[Job_Type]] = "unemp/unskilled non res", "Unemployed", "Employed")</f>
        <v>Employed</v>
      </c>
      <c r="U594" t="s">
        <v>38</v>
      </c>
      <c r="V594" s="14" t="str" cm="1">
        <f t="array" ref="V59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94" t="s">
        <v>42</v>
      </c>
      <c r="X594" s="2" t="str">
        <f>_xlfn.XLOOKUP(Table1[[#This Row],[Loan_Credit_History]],Table4[Credit History],Table4[[ Category]])</f>
        <v>All Paid</v>
      </c>
      <c r="Y594" s="3">
        <v>2</v>
      </c>
      <c r="Z594" s="3">
        <v>2</v>
      </c>
      <c r="AA594" s="5">
        <v>6458</v>
      </c>
      <c r="AB594" t="s">
        <v>151</v>
      </c>
      <c r="AC594" s="2" t="str" cm="1">
        <f t="array" ref="AC594">_xlfn.IFS(Table1[[#This Row],[Others_Parties]] = "No", "None",
Table1[[#This Row],[Others_Parties]] = "co applicant", "Co-applicant",
Table1[[#This Row],[Others_Parties]] = "guarantor", "Guarantor")</f>
        <v>None</v>
      </c>
      <c r="AD594" s="13" t="s">
        <v>146</v>
      </c>
      <c r="AE594" s="2" t="s">
        <v>141</v>
      </c>
      <c r="AF594" s="28" t="str" cm="1">
        <f t="array" ref="AF59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94" s="21">
        <v>18</v>
      </c>
      <c r="AH594" s="2" t="s">
        <v>153</v>
      </c>
      <c r="AI594"/>
      <c r="AZ594"/>
      <c r="BC594"/>
      <c r="BE594"/>
      <c r="BL594"/>
      <c r="BZ594"/>
      <c r="CA594"/>
      <c r="CF594"/>
      <c r="CG594"/>
      <c r="CH594"/>
      <c r="CI594"/>
      <c r="CK594"/>
      <c r="CN594"/>
    </row>
    <row r="595" spans="1:92" x14ac:dyDescent="0.3">
      <c r="A595" s="4">
        <v>593</v>
      </c>
      <c r="B595" s="11">
        <v>68</v>
      </c>
      <c r="C595" s="2" t="str">
        <f>_xlfn.XLOOKUP(Table1[[#This Row],[Age]],Table7[Start_Age],Table7[Age_Range],,-1)</f>
        <v>59-69</v>
      </c>
      <c r="D595" t="s">
        <v>130</v>
      </c>
      <c r="E595" s="2" t="s">
        <v>129</v>
      </c>
      <c r="F595" s="2" t="s">
        <v>133</v>
      </c>
      <c r="G595" s="3">
        <v>1</v>
      </c>
      <c r="H595" s="13" t="s">
        <v>152</v>
      </c>
      <c r="I595" s="2" t="str" cm="1">
        <f t="array" ref="I595">_xlfn.IFS(Table1[[#This Row],[Job_Type]] = "unskilled resident", "Resident",
Table1[[#This Row],[Job_Type]] = "unemp/unskilled non res", "Non-resident",
TRUE, "Unknown")</f>
        <v>Unknown</v>
      </c>
      <c r="J595" s="2" t="s">
        <v>149</v>
      </c>
      <c r="K595" s="3">
        <v>4</v>
      </c>
      <c r="L595" s="2" t="s">
        <v>140</v>
      </c>
      <c r="M595" s="13" t="s">
        <v>151</v>
      </c>
      <c r="N595" t="s">
        <v>17</v>
      </c>
      <c r="O595" s="2" t="str">
        <f>_xlfn.XLOOKUP(Table1[[#This Row],[Checking_Acct_Status]],Table3[Checking_Acct_Original],Table3[Category])</f>
        <v>No Account</v>
      </c>
      <c r="P595" s="10" t="s">
        <v>47</v>
      </c>
      <c r="Q595" s="13" t="str">
        <f>_xlfn.XLOOKUP(Table1[[#This Row],[Saving_Acct_Status]],Table5[Saving_Acct_Original],Table5[Category])</f>
        <v>No Savings</v>
      </c>
      <c r="R595" t="s">
        <v>41</v>
      </c>
      <c r="S595" s="2" t="str">
        <f>IF(
      OR(Table1[[#This Row],[Job_Type]] = "high qualif/self emp/mgmt", Table1[[#This Row],[Job_Type]] = "skilled"),
      "Skilled", "Unskilled")</f>
        <v>Skilled</v>
      </c>
      <c r="T595" t="str">
        <f>IF(Table1[[#This Row],[Job_Type]] = "unemp/unskilled non res", "Unemployed", "Employed")</f>
        <v>Employed</v>
      </c>
      <c r="U595" t="s">
        <v>21</v>
      </c>
      <c r="V595" s="14" t="str" cm="1">
        <f t="array" ref="V59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95" t="s">
        <v>31</v>
      </c>
      <c r="X595" s="2" t="str">
        <f>_xlfn.XLOOKUP(Table1[[#This Row],[Loan_Credit_History]],Table4[Credit History],Table4[[ Category]])</f>
        <v>Existing Credits Paid</v>
      </c>
      <c r="Y595" s="3">
        <v>2</v>
      </c>
      <c r="Z595" s="3">
        <v>2</v>
      </c>
      <c r="AA595" s="5">
        <v>6761</v>
      </c>
      <c r="AB595" t="s">
        <v>151</v>
      </c>
      <c r="AC595" s="2" t="str" cm="1">
        <f t="array" ref="AC595">_xlfn.IFS(Table1[[#This Row],[Others_Parties]] = "No", "None",
Table1[[#This Row],[Others_Parties]] = "co applicant", "Co-applicant",
Table1[[#This Row],[Others_Parties]] = "guarantor", "Guarantor")</f>
        <v>None</v>
      </c>
      <c r="AD595" s="13" t="s">
        <v>145</v>
      </c>
      <c r="AE595" s="2" t="s">
        <v>141</v>
      </c>
      <c r="AF595" s="28" t="str" cm="1">
        <f t="array" ref="AF59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95" s="21">
        <v>18</v>
      </c>
      <c r="AH595" s="2" t="s">
        <v>153</v>
      </c>
      <c r="AI595"/>
      <c r="AZ595"/>
      <c r="BC595"/>
      <c r="BE595"/>
      <c r="BL595"/>
      <c r="BZ595"/>
      <c r="CA595"/>
      <c r="CF595"/>
      <c r="CG595"/>
      <c r="CH595"/>
      <c r="CI595"/>
      <c r="CK595"/>
      <c r="CN595"/>
    </row>
    <row r="596" spans="1:92" x14ac:dyDescent="0.3">
      <c r="A596" s="4">
        <v>594</v>
      </c>
      <c r="B596" s="11">
        <v>40</v>
      </c>
      <c r="C596" s="2" t="str">
        <f>_xlfn.XLOOKUP(Table1[[#This Row],[Age]],Table7[Start_Age],Table7[Age_Range],,-1)</f>
        <v>39-49</v>
      </c>
      <c r="D596" t="s">
        <v>130</v>
      </c>
      <c r="E596" s="2" t="s">
        <v>129</v>
      </c>
      <c r="F596" s="2" t="s">
        <v>133</v>
      </c>
      <c r="G596" s="3">
        <v>1</v>
      </c>
      <c r="H596" s="13" t="s">
        <v>152</v>
      </c>
      <c r="I596" s="2" t="str" cm="1">
        <f t="array" ref="I596">_xlfn.IFS(Table1[[#This Row],[Job_Type]] = "unskilled resident", "Resident",
Table1[[#This Row],[Job_Type]] = "unemp/unskilled non res", "Non-resident",
TRUE, "Unknown")</f>
        <v>Unknown</v>
      </c>
      <c r="J596" s="2" t="s">
        <v>148</v>
      </c>
      <c r="K596" s="3">
        <v>4</v>
      </c>
      <c r="L596" s="2" t="s">
        <v>143</v>
      </c>
      <c r="M596" s="13" t="s">
        <v>152</v>
      </c>
      <c r="N596" t="s">
        <v>30</v>
      </c>
      <c r="O596" s="2" t="str">
        <f>_xlfn.XLOOKUP(Table1[[#This Row],[Checking_Acct_Status]],Table3[Checking_Acct_Original],Table3[Category])</f>
        <v>Low Balance</v>
      </c>
      <c r="P596" s="10" t="s">
        <v>32</v>
      </c>
      <c r="Q596" s="13" t="str">
        <f>_xlfn.XLOOKUP(Table1[[#This Row],[Saving_Acct_Status]],Table5[Saving_Acct_Original],Table5[Category])</f>
        <v>Low Savings</v>
      </c>
      <c r="R596" t="s">
        <v>63</v>
      </c>
      <c r="S596" s="2" t="str">
        <f>IF(
      OR(Table1[[#This Row],[Job_Type]] = "high qualif/self emp/mgmt", Table1[[#This Row],[Job_Type]] = "skilled"),
      "Skilled", "Unskilled")</f>
        <v>Skilled</v>
      </c>
      <c r="T596" t="str">
        <f>IF(Table1[[#This Row],[Job_Type]] = "unemp/unskilled non res", "Unemployed", "Employed")</f>
        <v>Employed</v>
      </c>
      <c r="U596" t="s">
        <v>54</v>
      </c>
      <c r="V596" s="14" t="str" cm="1">
        <f t="array" ref="V596">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596" t="s">
        <v>103</v>
      </c>
      <c r="X596" s="2" t="str">
        <f>_xlfn.XLOOKUP(Table1[[#This Row],[Loan_Credit_History]],Table4[Credit History],Table4[[ Category]])</f>
        <v>Critical Credit History</v>
      </c>
      <c r="Y596" s="3">
        <v>4</v>
      </c>
      <c r="Z596" s="3">
        <v>2</v>
      </c>
      <c r="AA596" s="5">
        <v>7374</v>
      </c>
      <c r="AB596" t="s">
        <v>151</v>
      </c>
      <c r="AC596" s="2" t="str" cm="1">
        <f t="array" ref="AC596">_xlfn.IFS(Table1[[#This Row],[Others_Parties]] = "No", "None",
Table1[[#This Row],[Others_Parties]] = "co applicant", "Co-applicant",
Table1[[#This Row],[Others_Parties]] = "guarantor", "Guarantor")</f>
        <v>None</v>
      </c>
      <c r="AD596" s="13" t="s">
        <v>147</v>
      </c>
      <c r="AE596" s="2" t="s">
        <v>108</v>
      </c>
      <c r="AF596" s="28" t="str" cm="1">
        <f t="array" ref="AF59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96" s="21">
        <v>18</v>
      </c>
      <c r="AH596" s="2" t="s">
        <v>154</v>
      </c>
      <c r="AI596"/>
      <c r="AZ596"/>
      <c r="BC596"/>
      <c r="BE596"/>
      <c r="BL596"/>
      <c r="BZ596"/>
      <c r="CA596"/>
      <c r="CF596"/>
      <c r="CG596"/>
      <c r="CH596"/>
      <c r="CI596"/>
      <c r="CK596"/>
      <c r="CN596"/>
    </row>
    <row r="597" spans="1:92" x14ac:dyDescent="0.3">
      <c r="A597" s="4">
        <v>595</v>
      </c>
      <c r="B597" s="11">
        <v>51</v>
      </c>
      <c r="C597" s="2" t="str">
        <f>_xlfn.XLOOKUP(Table1[[#This Row],[Age]],Table7[Start_Age],Table7[Age_Range],,-1)</f>
        <v>49-59</v>
      </c>
      <c r="D597" t="s">
        <v>130</v>
      </c>
      <c r="E597" s="2" t="s">
        <v>129</v>
      </c>
      <c r="F597" s="2" t="s">
        <v>133</v>
      </c>
      <c r="G597" s="3">
        <v>2</v>
      </c>
      <c r="H597" s="13" t="s">
        <v>152</v>
      </c>
      <c r="I597" s="2" t="str" cm="1">
        <f t="array" ref="I597">_xlfn.IFS(Table1[[#This Row],[Job_Type]] = "unskilled resident", "Resident",
Table1[[#This Row],[Job_Type]] = "unemp/unskilled non res", "Non-resident",
TRUE, "Unknown")</f>
        <v>Unknown</v>
      </c>
      <c r="J597" s="2" t="s">
        <v>150</v>
      </c>
      <c r="K597" s="3">
        <v>4</v>
      </c>
      <c r="L597" s="2" t="s">
        <v>143</v>
      </c>
      <c r="M597" s="13" t="s">
        <v>152</v>
      </c>
      <c r="N597" t="s">
        <v>35</v>
      </c>
      <c r="O597" s="2" t="str">
        <f>_xlfn.XLOOKUP(Table1[[#This Row],[Checking_Acct_Status]],Table3[Checking_Acct_Original],Table3[Category])</f>
        <v>Negative Balance</v>
      </c>
      <c r="P597" s="10" t="s">
        <v>47</v>
      </c>
      <c r="Q597" s="13" t="str">
        <f>_xlfn.XLOOKUP(Table1[[#This Row],[Saving_Acct_Status]],Table5[Saving_Acct_Original],Table5[Category])</f>
        <v>No Savings</v>
      </c>
      <c r="R597" t="s">
        <v>41</v>
      </c>
      <c r="S597" s="2" t="str">
        <f>IF(
      OR(Table1[[#This Row],[Job_Type]] = "high qualif/self emp/mgmt", Table1[[#This Row],[Job_Type]] = "skilled"),
      "Skilled", "Unskilled")</f>
        <v>Skilled</v>
      </c>
      <c r="T597" t="str">
        <f>IF(Table1[[#This Row],[Job_Type]] = "unemp/unskilled non res", "Unemployed", "Employed")</f>
        <v>Employed</v>
      </c>
      <c r="U597" t="s">
        <v>38</v>
      </c>
      <c r="V597" s="14" t="str" cm="1">
        <f t="array" ref="V59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597" t="s">
        <v>31</v>
      </c>
      <c r="X597" s="2" t="str">
        <f>_xlfn.XLOOKUP(Table1[[#This Row],[Loan_Credit_History]],Table4[Credit History],Table4[[ Category]])</f>
        <v>Existing Credits Paid</v>
      </c>
      <c r="Y597" s="3">
        <v>1</v>
      </c>
      <c r="Z597" s="3">
        <v>1</v>
      </c>
      <c r="AA597" s="5">
        <v>7511</v>
      </c>
      <c r="AB597" t="s">
        <v>151</v>
      </c>
      <c r="AC597" s="2" t="str" cm="1">
        <f t="array" ref="AC597">_xlfn.IFS(Table1[[#This Row],[Others_Parties]] = "No", "None",
Table1[[#This Row],[Others_Parties]] = "co applicant", "Co-applicant",
Table1[[#This Row],[Others_Parties]] = "guarantor", "Guarantor")</f>
        <v>None</v>
      </c>
      <c r="AD597" s="13" t="s">
        <v>145</v>
      </c>
      <c r="AE597" s="2" t="s">
        <v>107</v>
      </c>
      <c r="AF597" s="28" t="str" cm="1">
        <f t="array" ref="AF59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97" s="21">
        <v>18</v>
      </c>
      <c r="AH597" s="2" t="s">
        <v>153</v>
      </c>
      <c r="AI597"/>
      <c r="AZ597"/>
      <c r="BC597"/>
      <c r="BE597"/>
      <c r="BL597"/>
      <c r="BZ597"/>
      <c r="CA597"/>
      <c r="CF597"/>
      <c r="CG597"/>
      <c r="CH597"/>
      <c r="CI597"/>
      <c r="CK597"/>
      <c r="CN597"/>
    </row>
    <row r="598" spans="1:92" x14ac:dyDescent="0.3">
      <c r="A598" s="4">
        <v>596</v>
      </c>
      <c r="B598" s="11">
        <v>23</v>
      </c>
      <c r="C598" s="2" t="str">
        <f>_xlfn.XLOOKUP(Table1[[#This Row],[Age]],Table7[Start_Age],Table7[Age_Range],,-1)</f>
        <v>19-29</v>
      </c>
      <c r="D598" t="s">
        <v>136</v>
      </c>
      <c r="E598" s="2" t="s">
        <v>131</v>
      </c>
      <c r="F598" s="2" t="s">
        <v>137</v>
      </c>
      <c r="G598" s="3">
        <v>1</v>
      </c>
      <c r="H598" s="13" t="s">
        <v>152</v>
      </c>
      <c r="I598" s="2" t="str" cm="1">
        <f t="array" ref="I598">_xlfn.IFS(Table1[[#This Row],[Job_Type]] = "unskilled resident", "Resident",
Table1[[#This Row],[Job_Type]] = "unemp/unskilled non res", "Non-resident",
TRUE, "Unknown")</f>
        <v>Unknown</v>
      </c>
      <c r="J598" s="2" t="s">
        <v>149</v>
      </c>
      <c r="K598" s="3">
        <v>2</v>
      </c>
      <c r="L598" s="2" t="s">
        <v>140</v>
      </c>
      <c r="M598" s="13" t="s">
        <v>152</v>
      </c>
      <c r="N598" t="s">
        <v>35</v>
      </c>
      <c r="O598" s="2" t="str">
        <f>_xlfn.XLOOKUP(Table1[[#This Row],[Checking_Acct_Status]],Table3[Checking_Acct_Original],Table3[Category])</f>
        <v>Negative Balance</v>
      </c>
      <c r="P598" s="10" t="s">
        <v>47</v>
      </c>
      <c r="Q598" s="13" t="str">
        <f>_xlfn.XLOOKUP(Table1[[#This Row],[Saving_Acct_Status]],Table5[Saving_Acct_Original],Table5[Category])</f>
        <v>No Savings</v>
      </c>
      <c r="R598" t="s">
        <v>41</v>
      </c>
      <c r="S598" s="2" t="str">
        <f>IF(
      OR(Table1[[#This Row],[Job_Type]] = "high qualif/self emp/mgmt", Table1[[#This Row],[Job_Type]] = "skilled"),
      "Skilled", "Unskilled")</f>
        <v>Skilled</v>
      </c>
      <c r="T598" t="str">
        <f>IF(Table1[[#This Row],[Job_Type]] = "unemp/unskilled non res", "Unemployed", "Employed")</f>
        <v>Employed</v>
      </c>
      <c r="U598" t="s">
        <v>21</v>
      </c>
      <c r="V598" s="14" t="str" cm="1">
        <f t="array" ref="V59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598" t="s">
        <v>59</v>
      </c>
      <c r="X598" s="2" t="str">
        <f>_xlfn.XLOOKUP(Table1[[#This Row],[Loan_Credit_History]],Table4[Credit History],Table4[[ Category]])</f>
        <v>Previously Delayed</v>
      </c>
      <c r="Y598" s="3">
        <v>1</v>
      </c>
      <c r="Z598" s="3">
        <v>2</v>
      </c>
      <c r="AA598" s="5">
        <v>8471</v>
      </c>
      <c r="AB598" t="s">
        <v>151</v>
      </c>
      <c r="AC598" s="2" t="str" cm="1">
        <f t="array" ref="AC598">_xlfn.IFS(Table1[[#This Row],[Others_Parties]] = "No", "None",
Table1[[#This Row],[Others_Parties]] = "co applicant", "Co-applicant",
Table1[[#This Row],[Others_Parties]] = "guarantor", "Guarantor")</f>
        <v>None</v>
      </c>
      <c r="AD598" s="13" t="s">
        <v>145</v>
      </c>
      <c r="AE598" s="2" t="s">
        <v>100</v>
      </c>
      <c r="AF598" s="28" t="str" cm="1">
        <f t="array" ref="AF59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98" s="21">
        <v>18</v>
      </c>
      <c r="AH598" s="2" t="s">
        <v>154</v>
      </c>
      <c r="AI598"/>
      <c r="AZ598"/>
      <c r="BC598"/>
      <c r="BE598"/>
      <c r="BL598"/>
      <c r="BZ598"/>
      <c r="CA598"/>
      <c r="CF598"/>
      <c r="CG598"/>
      <c r="CH598"/>
      <c r="CI598"/>
      <c r="CK598"/>
      <c r="CN598"/>
    </row>
    <row r="599" spans="1:92" x14ac:dyDescent="0.3">
      <c r="A599" s="4">
        <v>597</v>
      </c>
      <c r="B599" s="11">
        <v>38</v>
      </c>
      <c r="C599" s="2" t="str">
        <f>_xlfn.XLOOKUP(Table1[[#This Row],[Age]],Table7[Start_Age],Table7[Age_Range],,-1)</f>
        <v>29-39</v>
      </c>
      <c r="D599" t="s">
        <v>136</v>
      </c>
      <c r="E599" s="2" t="s">
        <v>131</v>
      </c>
      <c r="F599" s="2" t="s">
        <v>137</v>
      </c>
      <c r="G599" s="3">
        <v>1</v>
      </c>
      <c r="H599" s="13" t="s">
        <v>152</v>
      </c>
      <c r="I599" s="2" t="str" cm="1">
        <f t="array" ref="I599">_xlfn.IFS(Table1[[#This Row],[Job_Type]] = "unskilled resident", "Resident",
Table1[[#This Row],[Job_Type]] = "unemp/unskilled non res", "Non-resident",
TRUE, "Unknown")</f>
        <v>Unknown</v>
      </c>
      <c r="J599" s="2" t="s">
        <v>150</v>
      </c>
      <c r="K599" s="3">
        <v>4</v>
      </c>
      <c r="L599" s="2" t="s">
        <v>142</v>
      </c>
      <c r="M599" s="13" t="s">
        <v>152</v>
      </c>
      <c r="N599" t="s">
        <v>30</v>
      </c>
      <c r="O599" s="2" t="str">
        <f>_xlfn.XLOOKUP(Table1[[#This Row],[Checking_Acct_Status]],Table3[Checking_Acct_Original],Table3[Category])</f>
        <v>Low Balance</v>
      </c>
      <c r="P599" s="10" t="s">
        <v>32</v>
      </c>
      <c r="Q599" s="13" t="str">
        <f>_xlfn.XLOOKUP(Table1[[#This Row],[Saving_Acct_Status]],Table5[Saving_Acct_Original],Table5[Category])</f>
        <v>Low Savings</v>
      </c>
      <c r="R599" t="s">
        <v>63</v>
      </c>
      <c r="S599" s="2" t="str">
        <f>IF(
      OR(Table1[[#This Row],[Job_Type]] = "high qualif/self emp/mgmt", Table1[[#This Row],[Job_Type]] = "skilled"),
      "Skilled", "Unskilled")</f>
        <v>Skilled</v>
      </c>
      <c r="T599" t="str">
        <f>IF(Table1[[#This Row],[Job_Type]] = "unemp/unskilled non res", "Unemployed", "Employed")</f>
        <v>Employed</v>
      </c>
      <c r="U599" t="s">
        <v>54</v>
      </c>
      <c r="V599" s="14" t="str" cm="1">
        <f t="array" ref="V599">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599" t="s">
        <v>31</v>
      </c>
      <c r="X599" s="2" t="str">
        <f>_xlfn.XLOOKUP(Table1[[#This Row],[Loan_Credit_History]],Table4[Credit History],Table4[[ Category]])</f>
        <v>Existing Credits Paid</v>
      </c>
      <c r="Y599" s="3">
        <v>3</v>
      </c>
      <c r="Z599" s="3">
        <v>1</v>
      </c>
      <c r="AA599" s="5">
        <v>12976</v>
      </c>
      <c r="AB599" t="s">
        <v>151</v>
      </c>
      <c r="AC599" s="2" t="str" cm="1">
        <f t="array" ref="AC599">_xlfn.IFS(Table1[[#This Row],[Others_Parties]] = "No", "None",
Table1[[#This Row],[Others_Parties]] = "co applicant", "Co-applicant",
Table1[[#This Row],[Others_Parties]] = "guarantor", "Guarantor")</f>
        <v>None</v>
      </c>
      <c r="AD599" s="13" t="s">
        <v>145</v>
      </c>
      <c r="AE599" s="2" t="s">
        <v>107</v>
      </c>
      <c r="AF599" s="28" t="str" cm="1">
        <f t="array" ref="AF59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599" s="21">
        <v>18</v>
      </c>
      <c r="AH599" s="2" t="s">
        <v>153</v>
      </c>
      <c r="AI599"/>
      <c r="AZ599"/>
      <c r="BC599"/>
      <c r="BE599"/>
      <c r="BL599"/>
      <c r="BZ599"/>
      <c r="CA599"/>
      <c r="CF599"/>
      <c r="CG599"/>
      <c r="CH599"/>
      <c r="CI599"/>
      <c r="CK599"/>
      <c r="CN599"/>
    </row>
    <row r="600" spans="1:92" x14ac:dyDescent="0.3">
      <c r="A600" s="4">
        <v>598</v>
      </c>
      <c r="B600" s="11">
        <v>68</v>
      </c>
      <c r="C600" s="2" t="str">
        <f>_xlfn.XLOOKUP(Table1[[#This Row],[Age]],Table7[Start_Age],Table7[Age_Range],,-1)</f>
        <v>59-69</v>
      </c>
      <c r="D600" t="s">
        <v>130</v>
      </c>
      <c r="E600" s="2" t="s">
        <v>129</v>
      </c>
      <c r="F600" s="2" t="s">
        <v>133</v>
      </c>
      <c r="G600" s="3">
        <v>1</v>
      </c>
      <c r="H600" s="13" t="s">
        <v>152</v>
      </c>
      <c r="I600" s="2" t="str" cm="1">
        <f t="array" ref="I600">_xlfn.IFS(Table1[[#This Row],[Job_Type]] = "unskilled resident", "Resident",
Table1[[#This Row],[Job_Type]] = "unemp/unskilled non res", "Non-resident",
TRUE, "Unknown")</f>
        <v>Non-resident</v>
      </c>
      <c r="J600" s="2" t="s">
        <v>150</v>
      </c>
      <c r="K600" s="3">
        <v>3</v>
      </c>
      <c r="L600" s="2" t="s">
        <v>140</v>
      </c>
      <c r="M600" s="13" t="s">
        <v>152</v>
      </c>
      <c r="N600" t="s">
        <v>30</v>
      </c>
      <c r="O600" s="2" t="str">
        <f>_xlfn.XLOOKUP(Table1[[#This Row],[Checking_Acct_Status]],Table3[Checking_Acct_Original],Table3[Category])</f>
        <v>Low Balance</v>
      </c>
      <c r="P600" s="10" t="s">
        <v>32</v>
      </c>
      <c r="Q600" s="13" t="str">
        <f>_xlfn.XLOOKUP(Table1[[#This Row],[Saving_Acct_Status]],Table5[Saving_Acct_Original],Table5[Category])</f>
        <v>Low Savings</v>
      </c>
      <c r="R600" t="s">
        <v>62</v>
      </c>
      <c r="S600" s="2" t="str">
        <f>IF(
      OR(Table1[[#This Row],[Job_Type]] = "high qualif/self emp/mgmt", Table1[[#This Row],[Job_Type]] = "skilled"),
      "Skilled", "Unskilled")</f>
        <v>Unskilled</v>
      </c>
      <c r="T600" t="str">
        <f>IF(Table1[[#This Row],[Job_Type]] = "unemp/unskilled non res", "Unemployed", "Employed")</f>
        <v>Unemployed</v>
      </c>
      <c r="U600" t="s">
        <v>54</v>
      </c>
      <c r="V600" s="14" t="str" cm="1">
        <f t="array" ref="V600">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600" t="s">
        <v>103</v>
      </c>
      <c r="X600" s="2" t="str">
        <f>_xlfn.XLOOKUP(Table1[[#This Row],[Loan_Credit_History]],Table4[Credit History],Table4[[ Category]])</f>
        <v>Critical Credit History</v>
      </c>
      <c r="Y600" s="3">
        <v>2</v>
      </c>
      <c r="Z600" s="3">
        <v>3</v>
      </c>
      <c r="AA600" s="5">
        <v>1175</v>
      </c>
      <c r="AB600" t="s">
        <v>151</v>
      </c>
      <c r="AC600" s="2" t="str" cm="1">
        <f t="array" ref="AC600">_xlfn.IFS(Table1[[#This Row],[Others_Parties]] = "No", "None",
Table1[[#This Row],[Others_Parties]] = "co applicant", "Co-applicant",
Table1[[#This Row],[Others_Parties]] = "guarantor", "Guarantor")</f>
        <v>None</v>
      </c>
      <c r="AD600" s="13" t="s">
        <v>145</v>
      </c>
      <c r="AE600" s="2" t="s">
        <v>141</v>
      </c>
      <c r="AF600" s="28" t="str" cm="1">
        <f t="array" ref="AF60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00" s="21">
        <v>16</v>
      </c>
      <c r="AH600" s="2" t="s">
        <v>154</v>
      </c>
      <c r="AI600"/>
      <c r="AZ600"/>
      <c r="BC600"/>
      <c r="BE600"/>
      <c r="BL600"/>
      <c r="BZ600"/>
      <c r="CA600"/>
      <c r="CF600"/>
      <c r="CG600"/>
      <c r="CH600"/>
      <c r="CI600"/>
      <c r="CK600"/>
      <c r="CN600"/>
    </row>
    <row r="601" spans="1:92" x14ac:dyDescent="0.3">
      <c r="A601" s="4">
        <v>599</v>
      </c>
      <c r="B601" s="11">
        <v>43</v>
      </c>
      <c r="C601" s="2" t="str">
        <f>_xlfn.XLOOKUP(Table1[[#This Row],[Age]],Table7[Start_Age],Table7[Age_Range],,-1)</f>
        <v>39-49</v>
      </c>
      <c r="D601" t="s">
        <v>130</v>
      </c>
      <c r="E601" s="2" t="s">
        <v>129</v>
      </c>
      <c r="F601" s="2" t="s">
        <v>133</v>
      </c>
      <c r="G601" s="3">
        <v>1</v>
      </c>
      <c r="H601" s="13" t="s">
        <v>152</v>
      </c>
      <c r="I601" s="2" t="str" cm="1">
        <f t="array" ref="I601">_xlfn.IFS(Table1[[#This Row],[Job_Type]] = "unskilled resident", "Resident",
Table1[[#This Row],[Job_Type]] = "unemp/unskilled non res", "Non-resident",
TRUE, "Unknown")</f>
        <v>Unknown</v>
      </c>
      <c r="J601" s="2" t="s">
        <v>149</v>
      </c>
      <c r="K601" s="3">
        <v>4</v>
      </c>
      <c r="L601" s="2" t="s">
        <v>143</v>
      </c>
      <c r="M601" s="13" t="s">
        <v>152</v>
      </c>
      <c r="N601" t="s">
        <v>35</v>
      </c>
      <c r="O601" s="2" t="str">
        <f>_xlfn.XLOOKUP(Table1[[#This Row],[Checking_Acct_Status]],Table3[Checking_Acct_Original],Table3[Category])</f>
        <v>Negative Balance</v>
      </c>
      <c r="P601" s="10" t="s">
        <v>32</v>
      </c>
      <c r="Q601" s="13" t="str">
        <f>_xlfn.XLOOKUP(Table1[[#This Row],[Saving_Acct_Status]],Table5[Saving_Acct_Original],Table5[Category])</f>
        <v>Low Savings</v>
      </c>
      <c r="R601" t="s">
        <v>41</v>
      </c>
      <c r="S601" s="2" t="str">
        <f>IF(
      OR(Table1[[#This Row],[Job_Type]] = "high qualif/self emp/mgmt", Table1[[#This Row],[Job_Type]] = "skilled"),
      "Skilled", "Unskilled")</f>
        <v>Skilled</v>
      </c>
      <c r="T601" t="str">
        <f>IF(Table1[[#This Row],[Job_Type]] = "unemp/unskilled non res", "Unemployed", "Employed")</f>
        <v>Employed</v>
      </c>
      <c r="U601" t="s">
        <v>38</v>
      </c>
      <c r="V601" s="14" t="str" cm="1">
        <f t="array" ref="V60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01" t="s">
        <v>103</v>
      </c>
      <c r="X601" s="2" t="str">
        <f>_xlfn.XLOOKUP(Table1[[#This Row],[Loan_Credit_History]],Table4[Credit History],Table4[[ Category]])</f>
        <v>Critical Credit History</v>
      </c>
      <c r="Y601" s="3">
        <v>2</v>
      </c>
      <c r="Z601" s="3">
        <v>1</v>
      </c>
      <c r="AA601" s="5">
        <v>2625</v>
      </c>
      <c r="AB601" t="s">
        <v>58</v>
      </c>
      <c r="AC601" s="2" t="str" cm="1">
        <f t="array" ref="AC601">_xlfn.IFS(Table1[[#This Row],[Others_Parties]] = "No", "None",
Table1[[#This Row],[Others_Parties]] = "co applicant", "Co-applicant",
Table1[[#This Row],[Others_Parties]] = "guarantor", "Guarantor")</f>
        <v>Guarantor</v>
      </c>
      <c r="AD601" s="13" t="s">
        <v>146</v>
      </c>
      <c r="AE601" s="2" t="s">
        <v>141</v>
      </c>
      <c r="AF601" s="28" t="str" cm="1">
        <f t="array" ref="AF60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01" s="21">
        <v>16</v>
      </c>
      <c r="AH601" s="2" t="s">
        <v>153</v>
      </c>
      <c r="AI601"/>
      <c r="AZ601"/>
      <c r="BC601"/>
      <c r="BE601"/>
      <c r="BL601"/>
      <c r="BZ601"/>
      <c r="CA601"/>
      <c r="CF601"/>
      <c r="CG601"/>
      <c r="CH601"/>
      <c r="CI601"/>
      <c r="CK601"/>
      <c r="CN601"/>
    </row>
    <row r="602" spans="1:92" x14ac:dyDescent="0.3">
      <c r="A602" s="4">
        <v>600</v>
      </c>
      <c r="B602" s="11">
        <v>23</v>
      </c>
      <c r="C602" s="2" t="str">
        <f>_xlfn.XLOOKUP(Table1[[#This Row],[Age]],Table7[Start_Age],Table7[Age_Range],,-1)</f>
        <v>19-29</v>
      </c>
      <c r="D602" t="s">
        <v>136</v>
      </c>
      <c r="E602" s="2" t="s">
        <v>131</v>
      </c>
      <c r="F602" s="2" t="s">
        <v>137</v>
      </c>
      <c r="G602" s="3">
        <v>1</v>
      </c>
      <c r="H602" s="13" t="s">
        <v>152</v>
      </c>
      <c r="I602" s="2" t="str" cm="1">
        <f t="array" ref="I602">_xlfn.IFS(Table1[[#This Row],[Job_Type]] = "unskilled resident", "Resident",
Table1[[#This Row],[Job_Type]] = "unemp/unskilled non res", "Non-resident",
TRUE, "Unknown")</f>
        <v>Unknown</v>
      </c>
      <c r="J602" s="2" t="s">
        <v>149</v>
      </c>
      <c r="K602" s="3">
        <v>4</v>
      </c>
      <c r="L602" s="2" t="s">
        <v>143</v>
      </c>
      <c r="M602" s="13" t="s">
        <v>152</v>
      </c>
      <c r="N602" t="s">
        <v>50</v>
      </c>
      <c r="O602" s="2" t="str">
        <f>_xlfn.XLOOKUP(Table1[[#This Row],[Checking_Acct_Status]],Table3[Checking_Acct_Original],Table3[Category])</f>
        <v>High Balance</v>
      </c>
      <c r="P602" s="10" t="s">
        <v>32</v>
      </c>
      <c r="Q602" s="13" t="str">
        <f>_xlfn.XLOOKUP(Table1[[#This Row],[Saving_Acct_Status]],Table5[Saving_Acct_Original],Table5[Category])</f>
        <v>Low Savings</v>
      </c>
      <c r="R602" t="s">
        <v>41</v>
      </c>
      <c r="S602" s="2" t="str">
        <f>IF(
      OR(Table1[[#This Row],[Job_Type]] = "high qualif/self emp/mgmt", Table1[[#This Row],[Job_Type]] = "skilled"),
      "Skilled", "Unskilled")</f>
        <v>Skilled</v>
      </c>
      <c r="T602" t="str">
        <f>IF(Table1[[#This Row],[Job_Type]] = "unemp/unskilled non res", "Unemployed", "Employed")</f>
        <v>Employed</v>
      </c>
      <c r="U602" t="s">
        <v>45</v>
      </c>
      <c r="V602" s="14" t="str" cm="1">
        <f t="array" ref="V60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02" t="s">
        <v>31</v>
      </c>
      <c r="X602" s="2" t="str">
        <f>_xlfn.XLOOKUP(Table1[[#This Row],[Loan_Credit_History]],Table4[Credit History],Table4[[ Category]])</f>
        <v>Existing Credits Paid</v>
      </c>
      <c r="Y602" s="3">
        <v>4</v>
      </c>
      <c r="Z602" s="3">
        <v>1</v>
      </c>
      <c r="AA602" s="5">
        <v>392</v>
      </c>
      <c r="AB602" t="s">
        <v>151</v>
      </c>
      <c r="AC602" s="2" t="str" cm="1">
        <f t="array" ref="AC602">_xlfn.IFS(Table1[[#This Row],[Others_Parties]] = "No", "None",
Table1[[#This Row],[Others_Parties]] = "co applicant", "Co-applicant",
Table1[[#This Row],[Others_Parties]] = "guarantor", "Guarantor")</f>
        <v>None</v>
      </c>
      <c r="AD602" s="13" t="s">
        <v>145</v>
      </c>
      <c r="AE602" s="2" t="s">
        <v>100</v>
      </c>
      <c r="AF602" s="28" t="str" cm="1">
        <f t="array" ref="AF60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02" s="21">
        <v>15</v>
      </c>
      <c r="AH602" s="2" t="s">
        <v>154</v>
      </c>
      <c r="AI602"/>
      <c r="AZ602"/>
      <c r="BC602"/>
      <c r="BE602"/>
      <c r="BL602"/>
      <c r="BZ602"/>
      <c r="CA602"/>
      <c r="CF602"/>
      <c r="CG602"/>
      <c r="CH602"/>
      <c r="CI602"/>
      <c r="CK602"/>
      <c r="CN602"/>
    </row>
    <row r="603" spans="1:92" x14ac:dyDescent="0.3">
      <c r="A603" s="4">
        <v>601</v>
      </c>
      <c r="B603" s="11">
        <v>37</v>
      </c>
      <c r="C603" s="2" t="str">
        <f>_xlfn.XLOOKUP(Table1[[#This Row],[Age]],Table7[Start_Age],Table7[Age_Range],,-1)</f>
        <v>29-39</v>
      </c>
      <c r="D603" t="s">
        <v>130</v>
      </c>
      <c r="E603" s="2" t="s">
        <v>129</v>
      </c>
      <c r="F603" s="2" t="s">
        <v>133</v>
      </c>
      <c r="G603" s="3">
        <v>2</v>
      </c>
      <c r="H603" s="13" t="s">
        <v>152</v>
      </c>
      <c r="I603" s="2" t="str" cm="1">
        <f t="array" ref="I603">_xlfn.IFS(Table1[[#This Row],[Job_Type]] = "unskilled resident", "Resident",
Table1[[#This Row],[Job_Type]] = "unemp/unskilled non res", "Non-resident",
TRUE, "Unknown")</f>
        <v>Unknown</v>
      </c>
      <c r="J603" s="2" t="s">
        <v>148</v>
      </c>
      <c r="K603" s="3">
        <v>3</v>
      </c>
      <c r="L603" s="2" t="s">
        <v>140</v>
      </c>
      <c r="M603" s="13" t="s">
        <v>151</v>
      </c>
      <c r="N603" t="s">
        <v>30</v>
      </c>
      <c r="O603" s="2" t="str">
        <f>_xlfn.XLOOKUP(Table1[[#This Row],[Checking_Acct_Status]],Table3[Checking_Acct_Original],Table3[Category])</f>
        <v>Low Balance</v>
      </c>
      <c r="P603" s="10" t="s">
        <v>32</v>
      </c>
      <c r="Q603" s="13" t="str">
        <f>_xlfn.XLOOKUP(Table1[[#This Row],[Saving_Acct_Status]],Table5[Saving_Acct_Original],Table5[Category])</f>
        <v>Low Savings</v>
      </c>
      <c r="R603" t="s">
        <v>41</v>
      </c>
      <c r="S603" s="2" t="str">
        <f>IF(
      OR(Table1[[#This Row],[Job_Type]] = "high qualif/self emp/mgmt", Table1[[#This Row],[Job_Type]] = "skilled"),
      "Skilled", "Unskilled")</f>
        <v>Skilled</v>
      </c>
      <c r="T603" t="str">
        <f>IF(Table1[[#This Row],[Job_Type]] = "unemp/unskilled non res", "Unemployed", "Employed")</f>
        <v>Employed</v>
      </c>
      <c r="U603" t="s">
        <v>38</v>
      </c>
      <c r="V603" s="14" t="str" cm="1">
        <f t="array" ref="V60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03" t="s">
        <v>31</v>
      </c>
      <c r="X603" s="2" t="str">
        <f>_xlfn.XLOOKUP(Table1[[#This Row],[Loan_Credit_History]],Table4[Credit History],Table4[[ Category]])</f>
        <v>Existing Credits Paid</v>
      </c>
      <c r="Y603" s="3">
        <v>4</v>
      </c>
      <c r="Z603" s="3">
        <v>1</v>
      </c>
      <c r="AA603" s="5">
        <v>802</v>
      </c>
      <c r="AB603" t="s">
        <v>151</v>
      </c>
      <c r="AC603" s="2" t="str" cm="1">
        <f t="array" ref="AC603">_xlfn.IFS(Table1[[#This Row],[Others_Parties]] = "No", "None",
Table1[[#This Row],[Others_Parties]] = "co applicant", "Co-applicant",
Table1[[#This Row],[Others_Parties]] = "guarantor", "Guarantor")</f>
        <v>None</v>
      </c>
      <c r="AD603" s="13" t="s">
        <v>145</v>
      </c>
      <c r="AE603" s="2" t="s">
        <v>111</v>
      </c>
      <c r="AF603" s="28" t="str" cm="1">
        <f t="array" ref="AF60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03" s="21">
        <v>15</v>
      </c>
      <c r="AH603" s="2" t="s">
        <v>153</v>
      </c>
      <c r="AI603"/>
      <c r="AZ603"/>
      <c r="BC603"/>
      <c r="BE603"/>
      <c r="BL603"/>
      <c r="BZ603"/>
      <c r="CA603"/>
      <c r="CF603"/>
      <c r="CG603"/>
      <c r="CH603"/>
      <c r="CI603"/>
      <c r="CK603"/>
      <c r="CN603"/>
    </row>
    <row r="604" spans="1:92" x14ac:dyDescent="0.3">
      <c r="A604" s="4">
        <v>602</v>
      </c>
      <c r="B604" s="11">
        <v>22</v>
      </c>
      <c r="C604" s="2" t="str">
        <f>_xlfn.XLOOKUP(Table1[[#This Row],[Age]],Table7[Start_Age],Table7[Age_Range],,-1)</f>
        <v>19-29</v>
      </c>
      <c r="D604" t="s">
        <v>136</v>
      </c>
      <c r="E604" s="2" t="s">
        <v>131</v>
      </c>
      <c r="F604" s="2" t="s">
        <v>137</v>
      </c>
      <c r="G604" s="3">
        <v>1</v>
      </c>
      <c r="H604" s="13" t="s">
        <v>152</v>
      </c>
      <c r="I604" s="2" t="str" cm="1">
        <f t="array" ref="I604">_xlfn.IFS(Table1[[#This Row],[Job_Type]] = "unskilled resident", "Resident",
Table1[[#This Row],[Job_Type]] = "unemp/unskilled non res", "Non-resident",
TRUE, "Unknown")</f>
        <v>Resident</v>
      </c>
      <c r="J604" s="2" t="s">
        <v>148</v>
      </c>
      <c r="K604" s="3">
        <v>4</v>
      </c>
      <c r="L604" s="2" t="s">
        <v>143</v>
      </c>
      <c r="M604" s="13" t="s">
        <v>151</v>
      </c>
      <c r="N604" t="s">
        <v>35</v>
      </c>
      <c r="O604" s="2" t="str">
        <f>_xlfn.XLOOKUP(Table1[[#This Row],[Checking_Acct_Status]],Table3[Checking_Acct_Original],Table3[Category])</f>
        <v>Negative Balance</v>
      </c>
      <c r="P604" s="10" t="s">
        <v>32</v>
      </c>
      <c r="Q604" s="13" t="str">
        <f>_xlfn.XLOOKUP(Table1[[#This Row],[Saving_Acct_Status]],Table5[Saving_Acct_Original],Table5[Category])</f>
        <v>Low Savings</v>
      </c>
      <c r="R604" t="s">
        <v>27</v>
      </c>
      <c r="S604" s="2" t="str">
        <f>IF(
      OR(Table1[[#This Row],[Job_Type]] = "high qualif/self emp/mgmt", Table1[[#This Row],[Job_Type]] = "skilled"),
      "Skilled", "Unskilled")</f>
        <v>Unskilled</v>
      </c>
      <c r="T604" t="str">
        <f>IF(Table1[[#This Row],[Job_Type]] = "unemp/unskilled non res", "Unemployed", "Employed")</f>
        <v>Employed</v>
      </c>
      <c r="U604" t="s">
        <v>21</v>
      </c>
      <c r="V604" s="14" t="str" cm="1">
        <f t="array" ref="V60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04" t="s">
        <v>31</v>
      </c>
      <c r="X604" s="2" t="str">
        <f>_xlfn.XLOOKUP(Table1[[#This Row],[Loan_Credit_History]],Table4[Credit History],Table4[[ Category]])</f>
        <v>Existing Credits Paid</v>
      </c>
      <c r="Y604" s="3">
        <v>4</v>
      </c>
      <c r="Z604" s="3">
        <v>1</v>
      </c>
      <c r="AA604" s="5">
        <v>806</v>
      </c>
      <c r="AB604" t="s">
        <v>151</v>
      </c>
      <c r="AC604" s="2" t="str" cm="1">
        <f t="array" ref="AC604">_xlfn.IFS(Table1[[#This Row],[Others_Parties]] = "No", "None",
Table1[[#This Row],[Others_Parties]] = "co applicant", "Co-applicant",
Table1[[#This Row],[Others_Parties]] = "guarantor", "Guarantor")</f>
        <v>None</v>
      </c>
      <c r="AD604" s="13" t="s">
        <v>145</v>
      </c>
      <c r="AE604" s="2" t="s">
        <v>105</v>
      </c>
      <c r="AF604" s="28" t="str" cm="1">
        <f t="array" ref="AF60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04" s="21">
        <v>15</v>
      </c>
      <c r="AH604" s="2" t="s">
        <v>154</v>
      </c>
      <c r="AI604"/>
      <c r="AZ604"/>
      <c r="BC604"/>
      <c r="BE604"/>
      <c r="BL604"/>
      <c r="BZ604"/>
      <c r="CA604"/>
      <c r="CF604"/>
      <c r="CG604"/>
      <c r="CH604"/>
      <c r="CI604"/>
      <c r="CK604"/>
      <c r="CN604"/>
    </row>
    <row r="605" spans="1:92" x14ac:dyDescent="0.3">
      <c r="A605" s="4">
        <v>603</v>
      </c>
      <c r="B605" s="11">
        <v>24</v>
      </c>
      <c r="C605" s="2" t="str">
        <f>_xlfn.XLOOKUP(Table1[[#This Row],[Age]],Table7[Start_Age],Table7[Age_Range],,-1)</f>
        <v>19-29</v>
      </c>
      <c r="D605" t="s">
        <v>136</v>
      </c>
      <c r="E605" s="2" t="s">
        <v>131</v>
      </c>
      <c r="F605" s="2" t="s">
        <v>137</v>
      </c>
      <c r="G605" s="3">
        <v>1</v>
      </c>
      <c r="H605" s="13" t="s">
        <v>152</v>
      </c>
      <c r="I605" s="2" t="str" cm="1">
        <f t="array" ref="I605">_xlfn.IFS(Table1[[#This Row],[Job_Type]] = "unskilled resident", "Resident",
Table1[[#This Row],[Job_Type]] = "unemp/unskilled non res", "Non-resident",
TRUE, "Unknown")</f>
        <v>Unknown</v>
      </c>
      <c r="J605" s="2" t="s">
        <v>148</v>
      </c>
      <c r="K605" s="3">
        <v>1</v>
      </c>
      <c r="L605" s="2" t="s">
        <v>144</v>
      </c>
      <c r="M605" s="13" t="s">
        <v>151</v>
      </c>
      <c r="N605" t="s">
        <v>17</v>
      </c>
      <c r="O605" s="2" t="str">
        <f>_xlfn.XLOOKUP(Table1[[#This Row],[Checking_Acct_Status]],Table3[Checking_Acct_Original],Table3[Category])</f>
        <v>No Account</v>
      </c>
      <c r="P605" s="10" t="s">
        <v>47</v>
      </c>
      <c r="Q605" s="13" t="str">
        <f>_xlfn.XLOOKUP(Table1[[#This Row],[Saving_Acct_Status]],Table5[Saving_Acct_Original],Table5[Category])</f>
        <v>No Savings</v>
      </c>
      <c r="R605" t="s">
        <v>41</v>
      </c>
      <c r="S605" s="2" t="str">
        <f>IF(
      OR(Table1[[#This Row],[Job_Type]] = "high qualif/self emp/mgmt", Table1[[#This Row],[Job_Type]] = "skilled"),
      "Skilled", "Unskilled")</f>
        <v>Skilled</v>
      </c>
      <c r="T605" t="str">
        <f>IF(Table1[[#This Row],[Job_Type]] = "unemp/unskilled non res", "Unemployed", "Employed")</f>
        <v>Employed</v>
      </c>
      <c r="U605" t="s">
        <v>45</v>
      </c>
      <c r="V605" s="14" t="str" cm="1">
        <f t="array" ref="V60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05" t="s">
        <v>31</v>
      </c>
      <c r="X605" s="2" t="str">
        <f>_xlfn.XLOOKUP(Table1[[#This Row],[Loan_Credit_History]],Table4[Credit History],Table4[[ Category]])</f>
        <v>Existing Credits Paid</v>
      </c>
      <c r="Y605" s="3">
        <v>4</v>
      </c>
      <c r="Z605" s="3">
        <v>1</v>
      </c>
      <c r="AA605" s="5">
        <v>874</v>
      </c>
      <c r="AB605" t="s">
        <v>151</v>
      </c>
      <c r="AC605" s="2" t="str" cm="1">
        <f t="array" ref="AC605">_xlfn.IFS(Table1[[#This Row],[Others_Parties]] = "No", "None",
Table1[[#This Row],[Others_Parties]] = "co applicant", "Co-applicant",
Table1[[#This Row],[Others_Parties]] = "guarantor", "Guarantor")</f>
        <v>None</v>
      </c>
      <c r="AD605" s="13" t="s">
        <v>145</v>
      </c>
      <c r="AE605" s="2" t="s">
        <v>106</v>
      </c>
      <c r="AF605" s="28" t="str" cm="1">
        <f t="array" ref="AF60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05" s="21">
        <v>15</v>
      </c>
      <c r="AH605" s="2" t="s">
        <v>154</v>
      </c>
      <c r="AI605"/>
      <c r="AZ605"/>
      <c r="BC605"/>
      <c r="BE605"/>
      <c r="BL605"/>
      <c r="BZ605"/>
      <c r="CA605"/>
      <c r="CF605"/>
      <c r="CG605"/>
      <c r="CH605"/>
      <c r="CI605"/>
      <c r="CK605"/>
      <c r="CN605"/>
    </row>
    <row r="606" spans="1:92" x14ac:dyDescent="0.3">
      <c r="A606" s="4">
        <v>604</v>
      </c>
      <c r="B606" s="11">
        <v>33</v>
      </c>
      <c r="C606" s="2" t="str">
        <f>_xlfn.XLOOKUP(Table1[[#This Row],[Age]],Table7[Start_Age],Table7[Age_Range],,-1)</f>
        <v>29-39</v>
      </c>
      <c r="D606" t="s">
        <v>130</v>
      </c>
      <c r="E606" s="2" t="s">
        <v>129</v>
      </c>
      <c r="F606" s="2" t="s">
        <v>133</v>
      </c>
      <c r="G606" s="3">
        <v>2</v>
      </c>
      <c r="H606" s="13" t="s">
        <v>152</v>
      </c>
      <c r="I606" s="2" t="str" cm="1">
        <f t="array" ref="I606">_xlfn.IFS(Table1[[#This Row],[Job_Type]] = "unskilled resident", "Resident",
Table1[[#This Row],[Job_Type]] = "unemp/unskilled non res", "Non-resident",
TRUE, "Unknown")</f>
        <v>Unknown</v>
      </c>
      <c r="J606" s="2" t="s">
        <v>149</v>
      </c>
      <c r="K606" s="3">
        <v>3</v>
      </c>
      <c r="L606" s="2" t="s">
        <v>140</v>
      </c>
      <c r="M606" s="13" t="s">
        <v>151</v>
      </c>
      <c r="N606" t="s">
        <v>35</v>
      </c>
      <c r="O606" s="2" t="str">
        <f>_xlfn.XLOOKUP(Table1[[#This Row],[Checking_Acct_Status]],Table3[Checking_Acct_Original],Table3[Category])</f>
        <v>Negative Balance</v>
      </c>
      <c r="P606" s="10" t="s">
        <v>32</v>
      </c>
      <c r="Q606" s="13" t="str">
        <f>_xlfn.XLOOKUP(Table1[[#This Row],[Saving_Acct_Status]],Table5[Saving_Acct_Original],Table5[Category])</f>
        <v>Low Savings</v>
      </c>
      <c r="R606" t="s">
        <v>41</v>
      </c>
      <c r="S606" s="2" t="str">
        <f>IF(
      OR(Table1[[#This Row],[Job_Type]] = "high qualif/self emp/mgmt", Table1[[#This Row],[Job_Type]] = "skilled"),
      "Skilled", "Unskilled")</f>
        <v>Skilled</v>
      </c>
      <c r="T606" t="str">
        <f>IF(Table1[[#This Row],[Job_Type]] = "unemp/unskilled non res", "Unemployed", "Employed")</f>
        <v>Employed</v>
      </c>
      <c r="U606" t="s">
        <v>38</v>
      </c>
      <c r="V606" s="14" t="str" cm="1">
        <f t="array" ref="V60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06" t="s">
        <v>52</v>
      </c>
      <c r="X606" s="2" t="str">
        <f>_xlfn.XLOOKUP(Table1[[#This Row],[Loan_Credit_History]],Table4[Credit History],Table4[[ Category]])</f>
        <v>No Credit History</v>
      </c>
      <c r="Y606" s="3">
        <v>4</v>
      </c>
      <c r="Z606" s="3">
        <v>2</v>
      </c>
      <c r="AA606" s="5">
        <v>950</v>
      </c>
      <c r="AB606" t="s">
        <v>151</v>
      </c>
      <c r="AC606" s="2" t="str" cm="1">
        <f t="array" ref="AC606">_xlfn.IFS(Table1[[#This Row],[Others_Parties]] = "No", "None",
Table1[[#This Row],[Others_Parties]] = "co applicant", "Co-applicant",
Table1[[#This Row],[Others_Parties]] = "guarantor", "Guarantor")</f>
        <v>None</v>
      </c>
      <c r="AD606" s="13" t="s">
        <v>145</v>
      </c>
      <c r="AE606" s="2" t="s">
        <v>141</v>
      </c>
      <c r="AF606" s="28" t="str" cm="1">
        <f t="array" ref="AF60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06" s="21">
        <v>15</v>
      </c>
      <c r="AH606" s="2" t="s">
        <v>153</v>
      </c>
      <c r="AI606"/>
      <c r="AZ606"/>
      <c r="BC606"/>
      <c r="BE606"/>
      <c r="BL606"/>
      <c r="BZ606"/>
      <c r="CA606"/>
      <c r="CF606"/>
      <c r="CG606"/>
      <c r="CH606"/>
      <c r="CI606"/>
      <c r="CK606"/>
      <c r="CN606"/>
    </row>
    <row r="607" spans="1:92" x14ac:dyDescent="0.3">
      <c r="A607" s="4">
        <v>605</v>
      </c>
      <c r="B607" s="11">
        <v>30</v>
      </c>
      <c r="C607" s="2" t="str">
        <f>_xlfn.XLOOKUP(Table1[[#This Row],[Age]],Table7[Start_Age],Table7[Age_Range],,-1)</f>
        <v>29-39</v>
      </c>
      <c r="D607" t="s">
        <v>136</v>
      </c>
      <c r="E607" s="2" t="s">
        <v>131</v>
      </c>
      <c r="F607" s="2" t="s">
        <v>137</v>
      </c>
      <c r="G607" s="3">
        <v>1</v>
      </c>
      <c r="H607" s="13" t="s">
        <v>152</v>
      </c>
      <c r="I607" s="2" t="str" cm="1">
        <f t="array" ref="I607">_xlfn.IFS(Table1[[#This Row],[Job_Type]] = "unskilled resident", "Resident",
Table1[[#This Row],[Job_Type]] = "unemp/unskilled non res", "Non-resident",
TRUE, "Unknown")</f>
        <v>Unknown</v>
      </c>
      <c r="J607" s="2" t="s">
        <v>148</v>
      </c>
      <c r="K607" s="3">
        <v>2</v>
      </c>
      <c r="L607" s="2" t="s">
        <v>143</v>
      </c>
      <c r="M607" s="13" t="s">
        <v>151</v>
      </c>
      <c r="N607" t="s">
        <v>17</v>
      </c>
      <c r="O607" s="2" t="str">
        <f>_xlfn.XLOOKUP(Table1[[#This Row],[Checking_Acct_Status]],Table3[Checking_Acct_Original],Table3[Category])</f>
        <v>No Account</v>
      </c>
      <c r="P607" s="10" t="s">
        <v>20</v>
      </c>
      <c r="Q607" s="13" t="str">
        <f>_xlfn.XLOOKUP(Table1[[#This Row],[Saving_Acct_Status]],Table5[Saving_Acct_Original],Table5[Category])</f>
        <v>Very High Savings</v>
      </c>
      <c r="R607" t="s">
        <v>41</v>
      </c>
      <c r="S607" s="2" t="str">
        <f>IF(
      OR(Table1[[#This Row],[Job_Type]] = "high qualif/self emp/mgmt", Table1[[#This Row],[Job_Type]] = "skilled"),
      "Skilled", "Unskilled")</f>
        <v>Skilled</v>
      </c>
      <c r="T607" t="str">
        <f>IF(Table1[[#This Row],[Job_Type]] = "unemp/unskilled non res", "Unemployed", "Employed")</f>
        <v>Employed</v>
      </c>
      <c r="U607" t="s">
        <v>49</v>
      </c>
      <c r="V607" s="14" t="str" cm="1">
        <f t="array" ref="V60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07" t="s">
        <v>59</v>
      </c>
      <c r="X607" s="2" t="str">
        <f>_xlfn.XLOOKUP(Table1[[#This Row],[Loan_Credit_History]],Table4[Credit History],Table4[[ Category]])</f>
        <v>Previously Delayed</v>
      </c>
      <c r="Y607" s="3">
        <v>3</v>
      </c>
      <c r="Z607" s="3">
        <v>2</v>
      </c>
      <c r="AA607" s="5">
        <v>960</v>
      </c>
      <c r="AB607" t="s">
        <v>151</v>
      </c>
      <c r="AC607" s="2" t="str" cm="1">
        <f t="array" ref="AC607">_xlfn.IFS(Table1[[#This Row],[Others_Parties]] = "No", "None",
Table1[[#This Row],[Others_Parties]] = "co applicant", "Co-applicant",
Table1[[#This Row],[Others_Parties]] = "guarantor", "Guarantor")</f>
        <v>None</v>
      </c>
      <c r="AD607" s="13" t="s">
        <v>145</v>
      </c>
      <c r="AE607" s="2" t="s">
        <v>108</v>
      </c>
      <c r="AF607" s="28" t="str" cm="1">
        <f t="array" ref="AF60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07" s="21">
        <v>15</v>
      </c>
      <c r="AH607" s="2" t="s">
        <v>154</v>
      </c>
      <c r="AI607"/>
      <c r="AZ607"/>
      <c r="BC607"/>
      <c r="BE607"/>
      <c r="BL607"/>
      <c r="BZ607"/>
      <c r="CA607"/>
      <c r="CF607"/>
      <c r="CG607"/>
      <c r="CH607"/>
      <c r="CI607"/>
      <c r="CK607"/>
      <c r="CN607"/>
    </row>
    <row r="608" spans="1:92" x14ac:dyDescent="0.3">
      <c r="A608" s="4">
        <v>606</v>
      </c>
      <c r="B608" s="11">
        <v>25</v>
      </c>
      <c r="C608" s="2" t="str">
        <f>_xlfn.XLOOKUP(Table1[[#This Row],[Age]],Table7[Start_Age],Table7[Age_Range],,-1)</f>
        <v>19-29</v>
      </c>
      <c r="D608" t="s">
        <v>138</v>
      </c>
      <c r="E608" s="2" t="s">
        <v>129</v>
      </c>
      <c r="F608" s="2" t="s">
        <v>178</v>
      </c>
      <c r="G608" s="3">
        <v>1</v>
      </c>
      <c r="H608" s="13" t="s">
        <v>152</v>
      </c>
      <c r="I608" s="2" t="str" cm="1">
        <f t="array" ref="I608">_xlfn.IFS(Table1[[#This Row],[Job_Type]] = "unskilled resident", "Resident",
Table1[[#This Row],[Job_Type]] = "unemp/unskilled non res", "Non-resident",
TRUE, "Unknown")</f>
        <v>Unknown</v>
      </c>
      <c r="J608" s="2" t="s">
        <v>148</v>
      </c>
      <c r="K608" s="3">
        <v>3</v>
      </c>
      <c r="L608" s="2" t="s">
        <v>143</v>
      </c>
      <c r="M608" s="13" t="s">
        <v>151</v>
      </c>
      <c r="N608" t="s">
        <v>35</v>
      </c>
      <c r="O608" s="2" t="str">
        <f>_xlfn.XLOOKUP(Table1[[#This Row],[Checking_Acct_Status]],Table3[Checking_Acct_Original],Table3[Category])</f>
        <v>Negative Balance</v>
      </c>
      <c r="P608" s="10" t="s">
        <v>32</v>
      </c>
      <c r="Q608" s="13" t="str">
        <f>_xlfn.XLOOKUP(Table1[[#This Row],[Saving_Acct_Status]],Table5[Saving_Acct_Original],Table5[Category])</f>
        <v>Low Savings</v>
      </c>
      <c r="R608" t="s">
        <v>41</v>
      </c>
      <c r="S608" s="2" t="str">
        <f>IF(
      OR(Table1[[#This Row],[Job_Type]] = "high qualif/self emp/mgmt", Table1[[#This Row],[Job_Type]] = "skilled"),
      "Skilled", "Unskilled")</f>
        <v>Skilled</v>
      </c>
      <c r="T608" t="str">
        <f>IF(Table1[[#This Row],[Job_Type]] = "unemp/unskilled non res", "Unemployed", "Employed")</f>
        <v>Employed</v>
      </c>
      <c r="U608" t="s">
        <v>21</v>
      </c>
      <c r="V608" s="14" t="str" cm="1">
        <f t="array" ref="V60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08" t="s">
        <v>103</v>
      </c>
      <c r="X608" s="2" t="str">
        <f>_xlfn.XLOOKUP(Table1[[#This Row],[Loan_Credit_History]],Table4[Credit History],Table4[[ Category]])</f>
        <v>Critical Credit History</v>
      </c>
      <c r="Y608" s="3">
        <v>2</v>
      </c>
      <c r="Z608" s="3">
        <v>2</v>
      </c>
      <c r="AA608" s="5">
        <v>975</v>
      </c>
      <c r="AB608" t="s">
        <v>151</v>
      </c>
      <c r="AC608" s="2" t="str" cm="1">
        <f t="array" ref="AC608">_xlfn.IFS(Table1[[#This Row],[Others_Parties]] = "No", "None",
Table1[[#This Row],[Others_Parties]] = "co applicant", "Co-applicant",
Table1[[#This Row],[Others_Parties]] = "guarantor", "Guarantor")</f>
        <v>None</v>
      </c>
      <c r="AD608" s="13" t="s">
        <v>145</v>
      </c>
      <c r="AE608" s="2" t="s">
        <v>108</v>
      </c>
      <c r="AF608" s="28" t="str" cm="1">
        <f t="array" ref="AF60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08" s="21">
        <v>15</v>
      </c>
      <c r="AH608" s="2" t="s">
        <v>154</v>
      </c>
      <c r="AI608"/>
      <c r="AZ608"/>
      <c r="BC608"/>
      <c r="BE608"/>
      <c r="BL608"/>
      <c r="BZ608"/>
      <c r="CA608"/>
      <c r="CF608"/>
      <c r="CG608"/>
      <c r="CH608"/>
      <c r="CI608"/>
      <c r="CK608"/>
      <c r="CN608"/>
    </row>
    <row r="609" spans="1:92" x14ac:dyDescent="0.3">
      <c r="A609" s="4">
        <v>607</v>
      </c>
      <c r="B609" s="11">
        <v>47</v>
      </c>
      <c r="C609" s="2" t="str">
        <f>_xlfn.XLOOKUP(Table1[[#This Row],[Age]],Table7[Start_Age],Table7[Age_Range],,-1)</f>
        <v>39-49</v>
      </c>
      <c r="D609" t="s">
        <v>130</v>
      </c>
      <c r="E609" s="2" t="s">
        <v>129</v>
      </c>
      <c r="F609" s="2" t="s">
        <v>133</v>
      </c>
      <c r="G609" s="3">
        <v>1</v>
      </c>
      <c r="H609" s="13" t="s">
        <v>152</v>
      </c>
      <c r="I609" s="2" t="str" cm="1">
        <f t="array" ref="I609">_xlfn.IFS(Table1[[#This Row],[Job_Type]] = "unskilled resident", "Resident",
Table1[[#This Row],[Job_Type]] = "unemp/unskilled non res", "Non-resident",
TRUE, "Unknown")</f>
        <v>Unknown</v>
      </c>
      <c r="J609" s="2" t="s">
        <v>148</v>
      </c>
      <c r="K609" s="3">
        <v>3</v>
      </c>
      <c r="L609" s="2" t="s">
        <v>143</v>
      </c>
      <c r="M609" s="13" t="s">
        <v>152</v>
      </c>
      <c r="N609" t="s">
        <v>17</v>
      </c>
      <c r="O609" s="2" t="str">
        <f>_xlfn.XLOOKUP(Table1[[#This Row],[Checking_Acct_Status]],Table3[Checking_Acct_Original],Table3[Category])</f>
        <v>No Account</v>
      </c>
      <c r="P609" s="10" t="s">
        <v>37</v>
      </c>
      <c r="Q609" s="13" t="str">
        <f>_xlfn.XLOOKUP(Table1[[#This Row],[Saving_Acct_Status]],Table5[Saving_Acct_Original],Table5[Category])</f>
        <v>High Savings</v>
      </c>
      <c r="R609" t="s">
        <v>41</v>
      </c>
      <c r="S609" s="2" t="str">
        <f>IF(
      OR(Table1[[#This Row],[Job_Type]] = "high qualif/self emp/mgmt", Table1[[#This Row],[Job_Type]] = "skilled"),
      "Skilled", "Unskilled")</f>
        <v>Skilled</v>
      </c>
      <c r="T609" t="str">
        <f>IF(Table1[[#This Row],[Job_Type]] = "unemp/unskilled non res", "Unemployed", "Employed")</f>
        <v>Employed</v>
      </c>
      <c r="U609" t="s">
        <v>38</v>
      </c>
      <c r="V609" s="14" t="str" cm="1">
        <f t="array" ref="V60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09" t="s">
        <v>31</v>
      </c>
      <c r="X609" s="2" t="str">
        <f>_xlfn.XLOOKUP(Table1[[#This Row],[Loan_Credit_History]],Table4[Credit History],Table4[[ Category]])</f>
        <v>Existing Credits Paid</v>
      </c>
      <c r="Y609" s="3">
        <v>4</v>
      </c>
      <c r="Z609" s="3">
        <v>1</v>
      </c>
      <c r="AA609" s="5">
        <v>1213</v>
      </c>
      <c r="AB609" t="s">
        <v>151</v>
      </c>
      <c r="AC609" s="2" t="str" cm="1">
        <f t="array" ref="AC609">_xlfn.IFS(Table1[[#This Row],[Others_Parties]] = "No", "None",
Table1[[#This Row],[Others_Parties]] = "co applicant", "Co-applicant",
Table1[[#This Row],[Others_Parties]] = "guarantor", "Guarantor")</f>
        <v>None</v>
      </c>
      <c r="AD609" s="13" t="s">
        <v>147</v>
      </c>
      <c r="AE609" s="2" t="s">
        <v>111</v>
      </c>
      <c r="AF609" s="28" t="str" cm="1">
        <f t="array" ref="AF60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09" s="21">
        <v>15</v>
      </c>
      <c r="AH609" s="2" t="s">
        <v>154</v>
      </c>
      <c r="AI609"/>
      <c r="AZ609"/>
      <c r="BC609"/>
      <c r="BE609"/>
      <c r="BL609"/>
      <c r="BZ609"/>
      <c r="CA609"/>
      <c r="CF609"/>
      <c r="CG609"/>
      <c r="CH609"/>
      <c r="CI609"/>
      <c r="CK609"/>
      <c r="CN609"/>
    </row>
    <row r="610" spans="1:92" x14ac:dyDescent="0.3">
      <c r="A610" s="4">
        <v>608</v>
      </c>
      <c r="B610" s="11">
        <v>36</v>
      </c>
      <c r="C610" s="2" t="str">
        <f>_xlfn.XLOOKUP(Table1[[#This Row],[Age]],Table7[Start_Age],Table7[Age_Range],,-1)</f>
        <v>29-39</v>
      </c>
      <c r="D610" t="s">
        <v>130</v>
      </c>
      <c r="E610" s="2" t="s">
        <v>129</v>
      </c>
      <c r="F610" s="2" t="s">
        <v>133</v>
      </c>
      <c r="G610" s="3">
        <v>1</v>
      </c>
      <c r="H610" s="13" t="s">
        <v>152</v>
      </c>
      <c r="I610" s="2" t="str" cm="1">
        <f t="array" ref="I610">_xlfn.IFS(Table1[[#This Row],[Job_Type]] = "unskilled resident", "Resident",
Table1[[#This Row],[Job_Type]] = "unemp/unskilled non res", "Non-resident",
TRUE, "Unknown")</f>
        <v>Unknown</v>
      </c>
      <c r="J610" s="2" t="s">
        <v>148</v>
      </c>
      <c r="K610" s="3">
        <v>3</v>
      </c>
      <c r="L610" s="2" t="s">
        <v>143</v>
      </c>
      <c r="M610" s="13" t="s">
        <v>152</v>
      </c>
      <c r="N610" t="s">
        <v>17</v>
      </c>
      <c r="O610" s="2" t="str">
        <f>_xlfn.XLOOKUP(Table1[[#This Row],[Checking_Acct_Status]],Table3[Checking_Acct_Original],Table3[Category])</f>
        <v>No Account</v>
      </c>
      <c r="P610" s="10" t="s">
        <v>37</v>
      </c>
      <c r="Q610" s="13" t="str">
        <f>_xlfn.XLOOKUP(Table1[[#This Row],[Saving_Acct_Status]],Table5[Saving_Acct_Original],Table5[Category])</f>
        <v>High Savings</v>
      </c>
      <c r="R610" t="s">
        <v>41</v>
      </c>
      <c r="S610" s="2" t="str">
        <f>IF(
      OR(Table1[[#This Row],[Job_Type]] = "high qualif/self emp/mgmt", Table1[[#This Row],[Job_Type]] = "skilled"),
      "Skilled", "Unskilled")</f>
        <v>Skilled</v>
      </c>
      <c r="T610" t="str">
        <f>IF(Table1[[#This Row],[Job_Type]] = "unemp/unskilled non res", "Unemployed", "Employed")</f>
        <v>Employed</v>
      </c>
      <c r="U610" t="s">
        <v>49</v>
      </c>
      <c r="V610" s="14" t="str" cm="1">
        <f t="array" ref="V61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10" t="s">
        <v>31</v>
      </c>
      <c r="X610" s="2" t="str">
        <f>_xlfn.XLOOKUP(Table1[[#This Row],[Loan_Credit_History]],Table4[Credit History],Table4[[ Category]])</f>
        <v>Existing Credits Paid</v>
      </c>
      <c r="Y610" s="3">
        <v>4</v>
      </c>
      <c r="Z610" s="3">
        <v>2</v>
      </c>
      <c r="AA610" s="5">
        <v>1262</v>
      </c>
      <c r="AB610" t="s">
        <v>151</v>
      </c>
      <c r="AC610" s="2" t="str" cm="1">
        <f t="array" ref="AC610">_xlfn.IFS(Table1[[#This Row],[Others_Parties]] = "No", "None",
Table1[[#This Row],[Others_Parties]] = "co applicant", "Co-applicant",
Table1[[#This Row],[Others_Parties]] = "guarantor", "Guarantor")</f>
        <v>None</v>
      </c>
      <c r="AD610" s="13" t="s">
        <v>145</v>
      </c>
      <c r="AE610" s="2" t="s">
        <v>106</v>
      </c>
      <c r="AF610" s="28" t="str" cm="1">
        <f t="array" ref="AF61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10" s="21">
        <v>15</v>
      </c>
      <c r="AH610" s="2" t="s">
        <v>154</v>
      </c>
      <c r="AI610"/>
      <c r="AZ610"/>
      <c r="BC610"/>
      <c r="BE610"/>
      <c r="BL610"/>
      <c r="BZ610"/>
      <c r="CA610"/>
      <c r="CF610"/>
      <c r="CG610"/>
      <c r="CH610"/>
      <c r="CI610"/>
      <c r="CK610"/>
      <c r="CN610"/>
    </row>
    <row r="611" spans="1:92" x14ac:dyDescent="0.3">
      <c r="A611" s="4">
        <v>609</v>
      </c>
      <c r="B611" s="11">
        <v>25</v>
      </c>
      <c r="C611" s="2" t="str">
        <f>_xlfn.XLOOKUP(Table1[[#This Row],[Age]],Table7[Start_Age],Table7[Age_Range],,-1)</f>
        <v>19-29</v>
      </c>
      <c r="D611" t="s">
        <v>134</v>
      </c>
      <c r="E611" s="2" t="s">
        <v>129</v>
      </c>
      <c r="F611" s="2" t="s">
        <v>135</v>
      </c>
      <c r="G611" s="3">
        <v>1</v>
      </c>
      <c r="H611" s="13" t="s">
        <v>152</v>
      </c>
      <c r="I611" s="2" t="str" cm="1">
        <f t="array" ref="I611">_xlfn.IFS(Table1[[#This Row],[Job_Type]] = "unskilled resident", "Resident",
Table1[[#This Row],[Job_Type]] = "unemp/unskilled non res", "Non-resident",
TRUE, "Unknown")</f>
        <v>Unknown</v>
      </c>
      <c r="J611" s="2" t="s">
        <v>149</v>
      </c>
      <c r="K611" s="3">
        <v>2</v>
      </c>
      <c r="L611" s="2" t="s">
        <v>143</v>
      </c>
      <c r="M611" s="13" t="s">
        <v>151</v>
      </c>
      <c r="N611" t="s">
        <v>30</v>
      </c>
      <c r="O611" s="2" t="str">
        <f>_xlfn.XLOOKUP(Table1[[#This Row],[Checking_Acct_Status]],Table3[Checking_Acct_Original],Table3[Category])</f>
        <v>Low Balance</v>
      </c>
      <c r="P611" s="10" t="s">
        <v>46</v>
      </c>
      <c r="Q611" s="13" t="str">
        <f>_xlfn.XLOOKUP(Table1[[#This Row],[Saving_Acct_Status]],Table5[Saving_Acct_Original],Table5[Category])</f>
        <v>Medium Savings</v>
      </c>
      <c r="R611" t="s">
        <v>41</v>
      </c>
      <c r="S611" s="2" t="str">
        <f>IF(
      OR(Table1[[#This Row],[Job_Type]] = "high qualif/self emp/mgmt", Table1[[#This Row],[Job_Type]] = "skilled"),
      "Skilled", "Unskilled")</f>
        <v>Skilled</v>
      </c>
      <c r="T611" t="str">
        <f>IF(Table1[[#This Row],[Job_Type]] = "unemp/unskilled non res", "Unemployed", "Employed")</f>
        <v>Employed</v>
      </c>
      <c r="U611" t="s">
        <v>21</v>
      </c>
      <c r="V611" s="14" t="str" cm="1">
        <f t="array" ref="V61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11" t="s">
        <v>42</v>
      </c>
      <c r="X611" s="2" t="str">
        <f>_xlfn.XLOOKUP(Table1[[#This Row],[Loan_Credit_History]],Table4[Credit History],Table4[[ Category]])</f>
        <v>All Paid</v>
      </c>
      <c r="Y611" s="3">
        <v>2</v>
      </c>
      <c r="Z611" s="3">
        <v>1</v>
      </c>
      <c r="AA611" s="5">
        <v>1264</v>
      </c>
      <c r="AB611" t="s">
        <v>151</v>
      </c>
      <c r="AC611" s="2" t="str" cm="1">
        <f t="array" ref="AC611">_xlfn.IFS(Table1[[#This Row],[Others_Parties]] = "No", "None",
Table1[[#This Row],[Others_Parties]] = "co applicant", "Co-applicant",
Table1[[#This Row],[Others_Parties]] = "guarantor", "Guarantor")</f>
        <v>None</v>
      </c>
      <c r="AD611" s="13" t="s">
        <v>145</v>
      </c>
      <c r="AE611" s="2" t="s">
        <v>141</v>
      </c>
      <c r="AF611" s="28" t="str" cm="1">
        <f t="array" ref="AF61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11" s="21">
        <v>15</v>
      </c>
      <c r="AH611" s="2" t="s">
        <v>153</v>
      </c>
      <c r="AI611"/>
      <c r="AZ611"/>
      <c r="BC611"/>
      <c r="BE611"/>
      <c r="BL611"/>
      <c r="BZ611"/>
      <c r="CA611"/>
      <c r="CF611"/>
      <c r="CG611"/>
      <c r="CH611"/>
      <c r="CI611"/>
      <c r="CK611"/>
      <c r="CN611"/>
    </row>
    <row r="612" spans="1:92" x14ac:dyDescent="0.3">
      <c r="A612" s="4">
        <v>610</v>
      </c>
      <c r="B612" s="11">
        <v>39</v>
      </c>
      <c r="C612" s="2" t="str">
        <f>_xlfn.XLOOKUP(Table1[[#This Row],[Age]],Table7[Start_Age],Table7[Age_Range],,-1)</f>
        <v>39-49</v>
      </c>
      <c r="D612" t="s">
        <v>130</v>
      </c>
      <c r="E612" s="2" t="s">
        <v>129</v>
      </c>
      <c r="F612" s="2" t="s">
        <v>133</v>
      </c>
      <c r="G612" s="3">
        <v>1</v>
      </c>
      <c r="H612" s="13" t="s">
        <v>152</v>
      </c>
      <c r="I612" s="2" t="str" cm="1">
        <f t="array" ref="I612">_xlfn.IFS(Table1[[#This Row],[Job_Type]] = "unskilled resident", "Resident",
Table1[[#This Row],[Job_Type]] = "unemp/unskilled non res", "Non-resident",
TRUE, "Unknown")</f>
        <v>Unknown</v>
      </c>
      <c r="J612" s="2" t="s">
        <v>150</v>
      </c>
      <c r="K612" s="3">
        <v>4</v>
      </c>
      <c r="L612" s="2" t="s">
        <v>142</v>
      </c>
      <c r="M612" s="13" t="s">
        <v>152</v>
      </c>
      <c r="N612" t="s">
        <v>50</v>
      </c>
      <c r="O612" s="2" t="str">
        <f>_xlfn.XLOOKUP(Table1[[#This Row],[Checking_Acct_Status]],Table3[Checking_Acct_Original],Table3[Category])</f>
        <v>High Balance</v>
      </c>
      <c r="P612" s="10" t="s">
        <v>47</v>
      </c>
      <c r="Q612" s="13" t="str">
        <f>_xlfn.XLOOKUP(Table1[[#This Row],[Saving_Acct_Status]],Table5[Saving_Acct_Original],Table5[Category])</f>
        <v>No Savings</v>
      </c>
      <c r="R612" t="s">
        <v>41</v>
      </c>
      <c r="S612" s="2" t="str">
        <f>IF(
      OR(Table1[[#This Row],[Job_Type]] = "high qualif/self emp/mgmt", Table1[[#This Row],[Job_Type]] = "skilled"),
      "Skilled", "Unskilled")</f>
        <v>Skilled</v>
      </c>
      <c r="T612" t="str">
        <f>IF(Table1[[#This Row],[Job_Type]] = "unemp/unskilled non res", "Unemployed", "Employed")</f>
        <v>Employed</v>
      </c>
      <c r="U612" t="s">
        <v>21</v>
      </c>
      <c r="V612" s="14" t="str" cm="1">
        <f t="array" ref="V61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12" t="s">
        <v>103</v>
      </c>
      <c r="X612" s="2" t="str">
        <f>_xlfn.XLOOKUP(Table1[[#This Row],[Loan_Credit_History]],Table4[Credit History],Table4[[ Category]])</f>
        <v>Critical Credit History</v>
      </c>
      <c r="Y612" s="3">
        <v>3</v>
      </c>
      <c r="Z612" s="3">
        <v>2</v>
      </c>
      <c r="AA612" s="5">
        <v>1271</v>
      </c>
      <c r="AB612" t="s">
        <v>151</v>
      </c>
      <c r="AC612" s="2" t="str" cm="1">
        <f t="array" ref="AC612">_xlfn.IFS(Table1[[#This Row],[Others_Parties]] = "No", "None",
Table1[[#This Row],[Others_Parties]] = "co applicant", "Co-applicant",
Table1[[#This Row],[Others_Parties]] = "guarantor", "Guarantor")</f>
        <v>None</v>
      </c>
      <c r="AD612" s="13" t="s">
        <v>145</v>
      </c>
      <c r="AE612" s="2" t="s">
        <v>111</v>
      </c>
      <c r="AF612" s="28" t="str" cm="1">
        <f t="array" ref="AF61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12" s="21">
        <v>15</v>
      </c>
      <c r="AH612" s="2" t="s">
        <v>153</v>
      </c>
      <c r="AI612"/>
      <c r="AZ612"/>
      <c r="BC612"/>
      <c r="BE612"/>
      <c r="BL612"/>
      <c r="BZ612"/>
      <c r="CA612"/>
      <c r="CF612"/>
      <c r="CG612"/>
      <c r="CH612"/>
      <c r="CI612"/>
      <c r="CK612"/>
      <c r="CN612"/>
    </row>
    <row r="613" spans="1:92" x14ac:dyDescent="0.3">
      <c r="A613" s="4">
        <v>611</v>
      </c>
      <c r="B613" s="11">
        <v>24</v>
      </c>
      <c r="C613" s="2" t="str">
        <f>_xlfn.XLOOKUP(Table1[[#This Row],[Age]],Table7[Start_Age],Table7[Age_Range],,-1)</f>
        <v>19-29</v>
      </c>
      <c r="D613" t="s">
        <v>136</v>
      </c>
      <c r="E613" s="2" t="s">
        <v>131</v>
      </c>
      <c r="F613" s="2" t="s">
        <v>137</v>
      </c>
      <c r="G613" s="3">
        <v>1</v>
      </c>
      <c r="H613" s="13" t="s">
        <v>152</v>
      </c>
      <c r="I613" s="2" t="str" cm="1">
        <f t="array" ref="I613">_xlfn.IFS(Table1[[#This Row],[Job_Type]] = "unskilled resident", "Resident",
Table1[[#This Row],[Job_Type]] = "unemp/unskilled non res", "Non-resident",
TRUE, "Unknown")</f>
        <v>Unknown</v>
      </c>
      <c r="J613" s="2" t="s">
        <v>149</v>
      </c>
      <c r="K613" s="3">
        <v>2</v>
      </c>
      <c r="L613" s="2" t="s">
        <v>140</v>
      </c>
      <c r="M613" s="13" t="s">
        <v>151</v>
      </c>
      <c r="N613" t="s">
        <v>35</v>
      </c>
      <c r="O613" s="2" t="str">
        <f>_xlfn.XLOOKUP(Table1[[#This Row],[Checking_Acct_Status]],Table3[Checking_Acct_Original],Table3[Category])</f>
        <v>Negative Balance</v>
      </c>
      <c r="P613" s="10" t="s">
        <v>47</v>
      </c>
      <c r="Q613" s="13" t="str">
        <f>_xlfn.XLOOKUP(Table1[[#This Row],[Saving_Acct_Status]],Table5[Saving_Acct_Original],Table5[Category])</f>
        <v>No Savings</v>
      </c>
      <c r="R613" t="s">
        <v>41</v>
      </c>
      <c r="S613" s="2" t="str">
        <f>IF(
      OR(Table1[[#This Row],[Job_Type]] = "high qualif/self emp/mgmt", Table1[[#This Row],[Job_Type]] = "skilled"),
      "Skilled", "Unskilled")</f>
        <v>Skilled</v>
      </c>
      <c r="T613" t="str">
        <f>IF(Table1[[#This Row],[Job_Type]] = "unemp/unskilled non res", "Unemployed", "Employed")</f>
        <v>Employed</v>
      </c>
      <c r="U613" t="s">
        <v>21</v>
      </c>
      <c r="V613" s="14" t="str" cm="1">
        <f t="array" ref="V61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13" t="s">
        <v>31</v>
      </c>
      <c r="X613" s="2" t="str">
        <f>_xlfn.XLOOKUP(Table1[[#This Row],[Loan_Credit_History]],Table4[Credit History],Table4[[ Category]])</f>
        <v>Existing Credits Paid</v>
      </c>
      <c r="Y613" s="3">
        <v>4</v>
      </c>
      <c r="Z613" s="3">
        <v>1</v>
      </c>
      <c r="AA613" s="5">
        <v>1275</v>
      </c>
      <c r="AB613" t="s">
        <v>151</v>
      </c>
      <c r="AC613" s="2" t="str" cm="1">
        <f t="array" ref="AC613">_xlfn.IFS(Table1[[#This Row],[Others_Parties]] = "No", "None",
Table1[[#This Row],[Others_Parties]] = "co applicant", "Co-applicant",
Table1[[#This Row],[Others_Parties]] = "guarantor", "Guarantor")</f>
        <v>None</v>
      </c>
      <c r="AD613" s="13" t="s">
        <v>145</v>
      </c>
      <c r="AE613" s="2" t="s">
        <v>106</v>
      </c>
      <c r="AF613" s="28" t="str" cm="1">
        <f t="array" ref="AF61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13" s="21">
        <v>15</v>
      </c>
      <c r="AH613" s="2" t="s">
        <v>153</v>
      </c>
      <c r="AI613"/>
      <c r="AZ613"/>
      <c r="BC613"/>
      <c r="BE613"/>
      <c r="BL613"/>
      <c r="BZ613"/>
      <c r="CA613"/>
      <c r="CF613"/>
      <c r="CG613"/>
      <c r="CH613"/>
      <c r="CI613"/>
      <c r="CK613"/>
      <c r="CN613"/>
    </row>
    <row r="614" spans="1:92" x14ac:dyDescent="0.3">
      <c r="A614" s="4">
        <v>612</v>
      </c>
      <c r="B614" s="11">
        <v>45</v>
      </c>
      <c r="C614" s="2" t="str">
        <f>_xlfn.XLOOKUP(Table1[[#This Row],[Age]],Table7[Start_Age],Table7[Age_Range],,-1)</f>
        <v>39-49</v>
      </c>
      <c r="D614" t="s">
        <v>130</v>
      </c>
      <c r="E614" s="2" t="s">
        <v>129</v>
      </c>
      <c r="F614" s="2" t="s">
        <v>133</v>
      </c>
      <c r="G614" s="3">
        <v>2</v>
      </c>
      <c r="H614" s="13" t="s">
        <v>152</v>
      </c>
      <c r="I614" s="2" t="str" cm="1">
        <f t="array" ref="I614">_xlfn.IFS(Table1[[#This Row],[Job_Type]] = "unskilled resident", "Resident",
Table1[[#This Row],[Job_Type]] = "unemp/unskilled non res", "Non-resident",
TRUE, "Unknown")</f>
        <v>Unknown</v>
      </c>
      <c r="J614" s="2" t="s">
        <v>150</v>
      </c>
      <c r="K614" s="3">
        <v>4</v>
      </c>
      <c r="L614" s="2" t="s">
        <v>142</v>
      </c>
      <c r="M614" s="13" t="s">
        <v>151</v>
      </c>
      <c r="N614" t="s">
        <v>17</v>
      </c>
      <c r="O614" s="2" t="str">
        <f>_xlfn.XLOOKUP(Table1[[#This Row],[Checking_Acct_Status]],Table3[Checking_Acct_Original],Table3[Category])</f>
        <v>No Account</v>
      </c>
      <c r="P614" s="10" t="s">
        <v>47</v>
      </c>
      <c r="Q614" s="13" t="str">
        <f>_xlfn.XLOOKUP(Table1[[#This Row],[Saving_Acct_Status]],Table5[Saving_Acct_Original],Table5[Category])</f>
        <v>No Savings</v>
      </c>
      <c r="R614" t="s">
        <v>41</v>
      </c>
      <c r="S614" s="2" t="str">
        <f>IF(
      OR(Table1[[#This Row],[Job_Type]] = "high qualif/self emp/mgmt", Table1[[#This Row],[Job_Type]] = "skilled"),
      "Skilled", "Unskilled")</f>
        <v>Skilled</v>
      </c>
      <c r="T614" t="str">
        <f>IF(Table1[[#This Row],[Job_Type]] = "unemp/unskilled non res", "Unemployed", "Employed")</f>
        <v>Employed</v>
      </c>
      <c r="U614" t="s">
        <v>38</v>
      </c>
      <c r="V614" s="14" t="str" cm="1">
        <f t="array" ref="V61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14" t="s">
        <v>31</v>
      </c>
      <c r="X614" s="2" t="str">
        <f>_xlfn.XLOOKUP(Table1[[#This Row],[Loan_Credit_History]],Table4[Credit History],Table4[[ Category]])</f>
        <v>Existing Credits Paid</v>
      </c>
      <c r="Y614" s="3">
        <v>4</v>
      </c>
      <c r="Z614" s="3">
        <v>1</v>
      </c>
      <c r="AA614" s="5">
        <v>1300</v>
      </c>
      <c r="AB614" t="s">
        <v>151</v>
      </c>
      <c r="AC614" s="2" t="str" cm="1">
        <f t="array" ref="AC614">_xlfn.IFS(Table1[[#This Row],[Others_Parties]] = "No", "None",
Table1[[#This Row],[Others_Parties]] = "co applicant", "Co-applicant",
Table1[[#This Row],[Others_Parties]] = "guarantor", "Guarantor")</f>
        <v>None</v>
      </c>
      <c r="AD614" s="13" t="s">
        <v>146</v>
      </c>
      <c r="AE614" s="2" t="s">
        <v>107</v>
      </c>
      <c r="AF614" s="28" t="str" cm="1">
        <f t="array" ref="AF61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14" s="21">
        <v>15</v>
      </c>
      <c r="AH614" s="2" t="s">
        <v>154</v>
      </c>
      <c r="AI614"/>
      <c r="AZ614"/>
      <c r="BC614"/>
      <c r="BE614"/>
      <c r="BL614"/>
      <c r="BZ614"/>
      <c r="CA614"/>
      <c r="CF614"/>
      <c r="CG614"/>
      <c r="CH614"/>
      <c r="CI614"/>
      <c r="CK614"/>
      <c r="CN614"/>
    </row>
    <row r="615" spans="1:92" x14ac:dyDescent="0.3">
      <c r="A615" s="4">
        <v>613</v>
      </c>
      <c r="B615" s="11">
        <v>38</v>
      </c>
      <c r="C615" s="2" t="str">
        <f>_xlfn.XLOOKUP(Table1[[#This Row],[Age]],Table7[Start_Age],Table7[Age_Range],,-1)</f>
        <v>29-39</v>
      </c>
      <c r="D615" t="s">
        <v>130</v>
      </c>
      <c r="E615" s="2" t="s">
        <v>129</v>
      </c>
      <c r="F615" s="2" t="s">
        <v>133</v>
      </c>
      <c r="G615" s="3">
        <v>1</v>
      </c>
      <c r="H615" s="13" t="s">
        <v>152</v>
      </c>
      <c r="I615" s="2" t="str" cm="1">
        <f t="array" ref="I615">_xlfn.IFS(Table1[[#This Row],[Job_Type]] = "unskilled resident", "Resident",
Table1[[#This Row],[Job_Type]] = "unemp/unskilled non res", "Non-resident",
TRUE, "Unknown")</f>
        <v>Resident</v>
      </c>
      <c r="J615" s="2" t="s">
        <v>148</v>
      </c>
      <c r="K615" s="3">
        <v>4</v>
      </c>
      <c r="L615" s="2" t="s">
        <v>140</v>
      </c>
      <c r="M615" s="13" t="s">
        <v>151</v>
      </c>
      <c r="N615" t="s">
        <v>30</v>
      </c>
      <c r="O615" s="2" t="str">
        <f>_xlfn.XLOOKUP(Table1[[#This Row],[Checking_Acct_Status]],Table3[Checking_Acct_Original],Table3[Category])</f>
        <v>Low Balance</v>
      </c>
      <c r="P615" s="10" t="s">
        <v>32</v>
      </c>
      <c r="Q615" s="13" t="str">
        <f>_xlfn.XLOOKUP(Table1[[#This Row],[Saving_Acct_Status]],Table5[Saving_Acct_Original],Table5[Category])</f>
        <v>Low Savings</v>
      </c>
      <c r="R615" t="s">
        <v>27</v>
      </c>
      <c r="S615" s="2" t="str">
        <f>IF(
      OR(Table1[[#This Row],[Job_Type]] = "high qualif/self emp/mgmt", Table1[[#This Row],[Job_Type]] = "skilled"),
      "Skilled", "Unskilled")</f>
        <v>Unskilled</v>
      </c>
      <c r="T615" t="str">
        <f>IF(Table1[[#This Row],[Job_Type]] = "unemp/unskilled non res", "Unemployed", "Employed")</f>
        <v>Employed</v>
      </c>
      <c r="U615" t="s">
        <v>38</v>
      </c>
      <c r="V615" s="14" t="str" cm="1">
        <f t="array" ref="V61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15" t="s">
        <v>31</v>
      </c>
      <c r="X615" s="2" t="str">
        <f>_xlfn.XLOOKUP(Table1[[#This Row],[Loan_Credit_History]],Table4[Credit History],Table4[[ Category]])</f>
        <v>Existing Credits Paid</v>
      </c>
      <c r="Y615" s="3">
        <v>4</v>
      </c>
      <c r="Z615" s="3">
        <v>2</v>
      </c>
      <c r="AA615" s="5">
        <v>1308</v>
      </c>
      <c r="AB615" t="s">
        <v>151</v>
      </c>
      <c r="AC615" s="2" t="str" cm="1">
        <f t="array" ref="AC615">_xlfn.IFS(Table1[[#This Row],[Others_Parties]] = "No", "None",
Table1[[#This Row],[Others_Parties]] = "co applicant", "Co-applicant",
Table1[[#This Row],[Others_Parties]] = "guarantor", "Guarantor")</f>
        <v>None</v>
      </c>
      <c r="AD615" s="13" t="s">
        <v>145</v>
      </c>
      <c r="AE615" s="2" t="s">
        <v>109</v>
      </c>
      <c r="AF615" s="28" t="str" cm="1">
        <f t="array" ref="AF61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15" s="21">
        <v>15</v>
      </c>
      <c r="AH615" s="2" t="s">
        <v>154</v>
      </c>
      <c r="AI615"/>
      <c r="AZ615"/>
      <c r="BC615"/>
      <c r="BE615"/>
      <c r="BL615"/>
      <c r="BZ615"/>
      <c r="CA615"/>
      <c r="CF615"/>
      <c r="CG615"/>
      <c r="CH615"/>
      <c r="CI615"/>
      <c r="CK615"/>
      <c r="CN615"/>
    </row>
    <row r="616" spans="1:92" x14ac:dyDescent="0.3">
      <c r="A616" s="4">
        <v>614</v>
      </c>
      <c r="B616" s="11">
        <v>47</v>
      </c>
      <c r="C616" s="2" t="str">
        <f>_xlfn.XLOOKUP(Table1[[#This Row],[Age]],Table7[Start_Age],Table7[Age_Range],,-1)</f>
        <v>39-49</v>
      </c>
      <c r="D616" t="s">
        <v>134</v>
      </c>
      <c r="E616" s="2" t="s">
        <v>129</v>
      </c>
      <c r="F616" s="2" t="s">
        <v>135</v>
      </c>
      <c r="G616" s="3">
        <v>1</v>
      </c>
      <c r="H616" s="13" t="s">
        <v>152</v>
      </c>
      <c r="I616" s="2" t="str" cm="1">
        <f t="array" ref="I616">_xlfn.IFS(Table1[[#This Row],[Job_Type]] = "unskilled resident", "Resident",
Table1[[#This Row],[Job_Type]] = "unemp/unskilled non res", "Non-resident",
TRUE, "Unknown")</f>
        <v>Resident</v>
      </c>
      <c r="J616" s="2" t="s">
        <v>148</v>
      </c>
      <c r="K616" s="3">
        <v>2</v>
      </c>
      <c r="L616" s="2" t="s">
        <v>143</v>
      </c>
      <c r="M616" s="13" t="s">
        <v>151</v>
      </c>
      <c r="N616" t="s">
        <v>17</v>
      </c>
      <c r="O616" s="2" t="str">
        <f>_xlfn.XLOOKUP(Table1[[#This Row],[Checking_Acct_Status]],Table3[Checking_Acct_Original],Table3[Category])</f>
        <v>No Account</v>
      </c>
      <c r="P616" s="10" t="s">
        <v>37</v>
      </c>
      <c r="Q616" s="13" t="str">
        <f>_xlfn.XLOOKUP(Table1[[#This Row],[Saving_Acct_Status]],Table5[Saving_Acct_Original],Table5[Category])</f>
        <v>High Savings</v>
      </c>
      <c r="R616" t="s">
        <v>27</v>
      </c>
      <c r="S616" s="2" t="str">
        <f>IF(
      OR(Table1[[#This Row],[Job_Type]] = "high qualif/self emp/mgmt", Table1[[#This Row],[Job_Type]] = "skilled"),
      "Skilled", "Unskilled")</f>
        <v>Unskilled</v>
      </c>
      <c r="T616" t="str">
        <f>IF(Table1[[#This Row],[Job_Type]] = "unemp/unskilled non res", "Unemployed", "Employed")</f>
        <v>Employed</v>
      </c>
      <c r="U616" t="s">
        <v>21</v>
      </c>
      <c r="V616" s="14" t="str" cm="1">
        <f t="array" ref="V61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16" t="s">
        <v>103</v>
      </c>
      <c r="X616" s="2" t="str">
        <f>_xlfn.XLOOKUP(Table1[[#This Row],[Loan_Credit_History]],Table4[Credit History],Table4[[ Category]])</f>
        <v>Critical Credit History</v>
      </c>
      <c r="Y616" s="3">
        <v>2</v>
      </c>
      <c r="Z616" s="3">
        <v>2</v>
      </c>
      <c r="AA616" s="5">
        <v>1316</v>
      </c>
      <c r="AB616" t="s">
        <v>151</v>
      </c>
      <c r="AC616" s="2" t="str" cm="1">
        <f t="array" ref="AC616">_xlfn.IFS(Table1[[#This Row],[Others_Parties]] = "No", "None",
Table1[[#This Row],[Others_Parties]] = "co applicant", "Co-applicant",
Table1[[#This Row],[Others_Parties]] = "guarantor", "Guarantor")</f>
        <v>None</v>
      </c>
      <c r="AD616" s="13" t="s">
        <v>145</v>
      </c>
      <c r="AE616" s="2" t="s">
        <v>111</v>
      </c>
      <c r="AF616" s="28" t="str" cm="1">
        <f t="array" ref="AF61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16" s="21">
        <v>15</v>
      </c>
      <c r="AH616" s="2" t="s">
        <v>154</v>
      </c>
      <c r="AI616"/>
      <c r="AZ616"/>
      <c r="BC616"/>
      <c r="BE616"/>
      <c r="BL616"/>
      <c r="BZ616"/>
      <c r="CA616"/>
      <c r="CF616"/>
      <c r="CG616"/>
      <c r="CH616"/>
      <c r="CI616"/>
      <c r="CK616"/>
      <c r="CN616"/>
    </row>
    <row r="617" spans="1:92" x14ac:dyDescent="0.3">
      <c r="A617" s="4">
        <v>615</v>
      </c>
      <c r="B617" s="11">
        <v>31</v>
      </c>
      <c r="C617" s="2" t="str">
        <f>_xlfn.XLOOKUP(Table1[[#This Row],[Age]],Table7[Start_Age],Table7[Age_Range],,-1)</f>
        <v>29-39</v>
      </c>
      <c r="D617" t="s">
        <v>130</v>
      </c>
      <c r="E617" s="2" t="s">
        <v>129</v>
      </c>
      <c r="F617" s="2" t="s">
        <v>133</v>
      </c>
      <c r="G617" s="3">
        <v>1</v>
      </c>
      <c r="H617" s="13" t="s">
        <v>152</v>
      </c>
      <c r="I617" s="2" t="str" cm="1">
        <f t="array" ref="I617">_xlfn.IFS(Table1[[#This Row],[Job_Type]] = "unskilled resident", "Resident",
Table1[[#This Row],[Job_Type]] = "unemp/unskilled non res", "Non-resident",
TRUE, "Unknown")</f>
        <v>Unknown</v>
      </c>
      <c r="J617" s="2" t="s">
        <v>148</v>
      </c>
      <c r="K617" s="3">
        <v>2</v>
      </c>
      <c r="L617" s="2" t="s">
        <v>143</v>
      </c>
      <c r="M617" s="13" t="s">
        <v>151</v>
      </c>
      <c r="N617" t="s">
        <v>17</v>
      </c>
      <c r="O617" s="2" t="str">
        <f>_xlfn.XLOOKUP(Table1[[#This Row],[Checking_Acct_Status]],Table3[Checking_Acct_Original],Table3[Category])</f>
        <v>No Account</v>
      </c>
      <c r="P617" s="10" t="s">
        <v>32</v>
      </c>
      <c r="Q617" s="13" t="str">
        <f>_xlfn.XLOOKUP(Table1[[#This Row],[Saving_Acct_Status]],Table5[Saving_Acct_Original],Table5[Category])</f>
        <v>Low Savings</v>
      </c>
      <c r="R617" t="s">
        <v>41</v>
      </c>
      <c r="S617" s="2" t="str">
        <f>IF(
      OR(Table1[[#This Row],[Job_Type]] = "high qualif/self emp/mgmt", Table1[[#This Row],[Job_Type]] = "skilled"),
      "Skilled", "Unskilled")</f>
        <v>Skilled</v>
      </c>
      <c r="T617" t="str">
        <f>IF(Table1[[#This Row],[Job_Type]] = "unemp/unskilled non res", "Unemployed", "Employed")</f>
        <v>Employed</v>
      </c>
      <c r="U617" t="s">
        <v>21</v>
      </c>
      <c r="V617" s="14" t="str" cm="1">
        <f t="array" ref="V61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17" t="s">
        <v>103</v>
      </c>
      <c r="X617" s="2" t="str">
        <f>_xlfn.XLOOKUP(Table1[[#This Row],[Loan_Credit_History]],Table4[Credit History],Table4[[ Category]])</f>
        <v>Critical Credit History</v>
      </c>
      <c r="Y617" s="3">
        <v>4</v>
      </c>
      <c r="Z617" s="3">
        <v>2</v>
      </c>
      <c r="AA617" s="5">
        <v>1360</v>
      </c>
      <c r="AB617" t="s">
        <v>151</v>
      </c>
      <c r="AC617" s="2" t="str" cm="1">
        <f t="array" ref="AC617">_xlfn.IFS(Table1[[#This Row],[Others_Parties]] = "No", "None",
Table1[[#This Row],[Others_Parties]] = "co applicant", "Co-applicant",
Table1[[#This Row],[Others_Parties]] = "guarantor", "Guarantor")</f>
        <v>None</v>
      </c>
      <c r="AD617" s="13" t="s">
        <v>145</v>
      </c>
      <c r="AE617" s="2" t="s">
        <v>111</v>
      </c>
      <c r="AF617" s="28" t="str" cm="1">
        <f t="array" ref="AF61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17" s="21">
        <v>15</v>
      </c>
      <c r="AH617" s="2" t="s">
        <v>154</v>
      </c>
      <c r="AI617"/>
      <c r="AZ617"/>
      <c r="BC617"/>
      <c r="BE617"/>
      <c r="BL617"/>
      <c r="BZ617"/>
      <c r="CA617"/>
      <c r="CF617"/>
      <c r="CG617"/>
      <c r="CH617"/>
      <c r="CI617"/>
      <c r="CK617"/>
      <c r="CN617"/>
    </row>
    <row r="618" spans="1:92" x14ac:dyDescent="0.3">
      <c r="A618" s="4">
        <v>616</v>
      </c>
      <c r="B618" s="11">
        <v>40</v>
      </c>
      <c r="C618" s="2" t="str">
        <f>_xlfn.XLOOKUP(Table1[[#This Row],[Age]],Table7[Start_Age],Table7[Age_Range],,-1)</f>
        <v>39-49</v>
      </c>
      <c r="D618" t="s">
        <v>134</v>
      </c>
      <c r="E618" s="2" t="s">
        <v>129</v>
      </c>
      <c r="F618" s="2" t="s">
        <v>135</v>
      </c>
      <c r="G618" s="3">
        <v>1</v>
      </c>
      <c r="H618" s="13" t="s">
        <v>152</v>
      </c>
      <c r="I618" s="2" t="str" cm="1">
        <f t="array" ref="I618">_xlfn.IFS(Table1[[#This Row],[Job_Type]] = "unskilled resident", "Resident",
Table1[[#This Row],[Job_Type]] = "unemp/unskilled non res", "Non-resident",
TRUE, "Unknown")</f>
        <v>Unknown</v>
      </c>
      <c r="J618" s="2" t="s">
        <v>149</v>
      </c>
      <c r="K618" s="3">
        <v>2</v>
      </c>
      <c r="L618" s="2" t="s">
        <v>144</v>
      </c>
      <c r="M618" s="13" t="s">
        <v>152</v>
      </c>
      <c r="N618" t="s">
        <v>17</v>
      </c>
      <c r="O618" s="2" t="str">
        <f>_xlfn.XLOOKUP(Table1[[#This Row],[Checking_Acct_Status]],Table3[Checking_Acct_Original],Table3[Category])</f>
        <v>No Account</v>
      </c>
      <c r="P618" s="10" t="s">
        <v>47</v>
      </c>
      <c r="Q618" s="13" t="str">
        <f>_xlfn.XLOOKUP(Table1[[#This Row],[Saving_Acct_Status]],Table5[Saving_Acct_Original],Table5[Category])</f>
        <v>No Savings</v>
      </c>
      <c r="R618" t="s">
        <v>41</v>
      </c>
      <c r="S618" s="2" t="str">
        <f>IF(
      OR(Table1[[#This Row],[Job_Type]] = "high qualif/self emp/mgmt", Table1[[#This Row],[Job_Type]] = "skilled"),
      "Skilled", "Unskilled")</f>
        <v>Skilled</v>
      </c>
      <c r="T618" t="str">
        <f>IF(Table1[[#This Row],[Job_Type]] = "unemp/unskilled non res", "Unemployed", "Employed")</f>
        <v>Employed</v>
      </c>
      <c r="U618" t="s">
        <v>21</v>
      </c>
      <c r="V618" s="14" t="str" cm="1">
        <f t="array" ref="V61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18" t="s">
        <v>31</v>
      </c>
      <c r="X618" s="2" t="str">
        <f>_xlfn.XLOOKUP(Table1[[#This Row],[Loan_Credit_History]],Table4[Credit History],Table4[[ Category]])</f>
        <v>Existing Credits Paid</v>
      </c>
      <c r="Y618" s="3">
        <v>4</v>
      </c>
      <c r="Z618" s="3">
        <v>1</v>
      </c>
      <c r="AA618" s="5">
        <v>1386</v>
      </c>
      <c r="AB618" t="s">
        <v>151</v>
      </c>
      <c r="AC618" s="2" t="str" cm="1">
        <f t="array" ref="AC618">_xlfn.IFS(Table1[[#This Row],[Others_Parties]] = "No", "None",
Table1[[#This Row],[Others_Parties]] = "co applicant", "Co-applicant",
Table1[[#This Row],[Others_Parties]] = "guarantor", "Guarantor")</f>
        <v>None</v>
      </c>
      <c r="AD618" s="13" t="s">
        <v>145</v>
      </c>
      <c r="AE618" s="2" t="s">
        <v>111</v>
      </c>
      <c r="AF618" s="28" t="str" cm="1">
        <f t="array" ref="AF61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18" s="21">
        <v>15</v>
      </c>
      <c r="AH618" s="2" t="s">
        <v>154</v>
      </c>
      <c r="AI618"/>
      <c r="AZ618"/>
      <c r="BC618"/>
      <c r="BE618"/>
      <c r="BL618"/>
      <c r="BZ618"/>
      <c r="CA618"/>
      <c r="CF618"/>
      <c r="CG618"/>
      <c r="CH618"/>
      <c r="CI618"/>
      <c r="CK618"/>
      <c r="CN618"/>
    </row>
    <row r="619" spans="1:92" x14ac:dyDescent="0.3">
      <c r="A619" s="4">
        <v>617</v>
      </c>
      <c r="B619" s="11">
        <v>28</v>
      </c>
      <c r="C619" s="2" t="str">
        <f>_xlfn.XLOOKUP(Table1[[#This Row],[Age]],Table7[Start_Age],Table7[Age_Range],,-1)</f>
        <v>19-29</v>
      </c>
      <c r="D619" t="s">
        <v>136</v>
      </c>
      <c r="E619" s="2" t="s">
        <v>131</v>
      </c>
      <c r="F619" s="2" t="s">
        <v>137</v>
      </c>
      <c r="G619" s="3">
        <v>1</v>
      </c>
      <c r="H619" s="13" t="s">
        <v>152</v>
      </c>
      <c r="I619" s="2" t="str" cm="1">
        <f t="array" ref="I619">_xlfn.IFS(Table1[[#This Row],[Job_Type]] = "unskilled resident", "Resident",
Table1[[#This Row],[Job_Type]] = "unemp/unskilled non res", "Non-resident",
TRUE, "Unknown")</f>
        <v>Unknown</v>
      </c>
      <c r="J619" s="2" t="s">
        <v>149</v>
      </c>
      <c r="K619" s="3">
        <v>4</v>
      </c>
      <c r="L619" s="2" t="s">
        <v>140</v>
      </c>
      <c r="M619" s="13" t="s">
        <v>151</v>
      </c>
      <c r="N619" t="s">
        <v>35</v>
      </c>
      <c r="O619" s="2" t="str">
        <f>_xlfn.XLOOKUP(Table1[[#This Row],[Checking_Acct_Status]],Table3[Checking_Acct_Original],Table3[Category])</f>
        <v>Negative Balance</v>
      </c>
      <c r="P619" s="10" t="s">
        <v>32</v>
      </c>
      <c r="Q619" s="13" t="str">
        <f>_xlfn.XLOOKUP(Table1[[#This Row],[Saving_Acct_Status]],Table5[Saving_Acct_Original],Table5[Category])</f>
        <v>Low Savings</v>
      </c>
      <c r="R619" t="s">
        <v>41</v>
      </c>
      <c r="S619" s="2" t="str">
        <f>IF(
      OR(Table1[[#This Row],[Job_Type]] = "high qualif/self emp/mgmt", Table1[[#This Row],[Job_Type]] = "skilled"),
      "Skilled", "Unskilled")</f>
        <v>Skilled</v>
      </c>
      <c r="T619" t="str">
        <f>IF(Table1[[#This Row],[Job_Type]] = "unemp/unskilled non res", "Unemployed", "Employed")</f>
        <v>Employed</v>
      </c>
      <c r="U619" t="s">
        <v>21</v>
      </c>
      <c r="V619" s="14" t="str" cm="1">
        <f t="array" ref="V61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19" t="s">
        <v>31</v>
      </c>
      <c r="X619" s="2" t="str">
        <f>_xlfn.XLOOKUP(Table1[[#This Row],[Loan_Credit_History]],Table4[Credit History],Table4[[ Category]])</f>
        <v>Existing Credits Paid</v>
      </c>
      <c r="Y619" s="3">
        <v>2</v>
      </c>
      <c r="Z619" s="3">
        <v>1</v>
      </c>
      <c r="AA619" s="5">
        <v>1403</v>
      </c>
      <c r="AB619" t="s">
        <v>151</v>
      </c>
      <c r="AC619" s="2" t="str" cm="1">
        <f t="array" ref="AC619">_xlfn.IFS(Table1[[#This Row],[Others_Parties]] = "No", "None",
Table1[[#This Row],[Others_Parties]] = "co applicant", "Co-applicant",
Table1[[#This Row],[Others_Parties]] = "guarantor", "Guarantor")</f>
        <v>None</v>
      </c>
      <c r="AD619" s="13" t="s">
        <v>145</v>
      </c>
      <c r="AE619" s="2" t="s">
        <v>141</v>
      </c>
      <c r="AF619" s="28" t="str" cm="1">
        <f t="array" ref="AF61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19" s="21">
        <v>15</v>
      </c>
      <c r="AH619" s="2" t="s">
        <v>154</v>
      </c>
      <c r="AI619"/>
      <c r="AZ619"/>
      <c r="BC619"/>
      <c r="BE619"/>
      <c r="BL619"/>
      <c r="BZ619"/>
      <c r="CA619"/>
      <c r="CF619"/>
      <c r="CG619"/>
      <c r="CH619"/>
      <c r="CI619"/>
      <c r="CK619"/>
      <c r="CN619"/>
    </row>
    <row r="620" spans="1:92" x14ac:dyDescent="0.3">
      <c r="A620" s="4">
        <v>618</v>
      </c>
      <c r="B620" s="11">
        <v>25</v>
      </c>
      <c r="C620" s="2" t="str">
        <f>_xlfn.XLOOKUP(Table1[[#This Row],[Age]],Table7[Start_Age],Table7[Age_Range],,-1)</f>
        <v>19-29</v>
      </c>
      <c r="D620" t="s">
        <v>136</v>
      </c>
      <c r="E620" s="2" t="s">
        <v>131</v>
      </c>
      <c r="F620" s="2" t="s">
        <v>137</v>
      </c>
      <c r="G620" s="3">
        <v>1</v>
      </c>
      <c r="H620" s="13" t="s">
        <v>152</v>
      </c>
      <c r="I620" s="2" t="str" cm="1">
        <f t="array" ref="I620">_xlfn.IFS(Table1[[#This Row],[Job_Type]] = "unskilled resident", "Resident",
Table1[[#This Row],[Job_Type]] = "unemp/unskilled non res", "Non-resident",
TRUE, "Unknown")</f>
        <v>Unknown</v>
      </c>
      <c r="J620" s="2" t="s">
        <v>149</v>
      </c>
      <c r="K620" s="3">
        <v>3</v>
      </c>
      <c r="L620" s="2" t="s">
        <v>143</v>
      </c>
      <c r="M620" s="13" t="s">
        <v>151</v>
      </c>
      <c r="N620" t="s">
        <v>35</v>
      </c>
      <c r="O620" s="2" t="str">
        <f>_xlfn.XLOOKUP(Table1[[#This Row],[Checking_Acct_Status]],Table3[Checking_Acct_Original],Table3[Category])</f>
        <v>Negative Balance</v>
      </c>
      <c r="P620" s="10" t="s">
        <v>32</v>
      </c>
      <c r="Q620" s="13" t="str">
        <f>_xlfn.XLOOKUP(Table1[[#This Row],[Saving_Acct_Status]],Table5[Saving_Acct_Original],Table5[Category])</f>
        <v>Low Savings</v>
      </c>
      <c r="R620" t="s">
        <v>41</v>
      </c>
      <c r="S620" s="2" t="str">
        <f>IF(
      OR(Table1[[#This Row],[Job_Type]] = "high qualif/self emp/mgmt", Table1[[#This Row],[Job_Type]] = "skilled"),
      "Skilled", "Unskilled")</f>
        <v>Skilled</v>
      </c>
      <c r="T620" t="str">
        <f>IF(Table1[[#This Row],[Job_Type]] = "unemp/unskilled non res", "Unemployed", "Employed")</f>
        <v>Employed</v>
      </c>
      <c r="U620" t="s">
        <v>21</v>
      </c>
      <c r="V620" s="14" t="str" cm="1">
        <f t="array" ref="V62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20" t="s">
        <v>103</v>
      </c>
      <c r="X620" s="2" t="str">
        <f>_xlfn.XLOOKUP(Table1[[#This Row],[Loan_Credit_History]],Table4[Credit History],Table4[[ Category]])</f>
        <v>Critical Credit History</v>
      </c>
      <c r="Y620" s="3">
        <v>4</v>
      </c>
      <c r="Z620" s="3">
        <v>2</v>
      </c>
      <c r="AA620" s="5">
        <v>1433</v>
      </c>
      <c r="AB620" t="s">
        <v>151</v>
      </c>
      <c r="AC620" s="2" t="str" cm="1">
        <f t="array" ref="AC620">_xlfn.IFS(Table1[[#This Row],[Others_Parties]] = "No", "None",
Table1[[#This Row],[Others_Parties]] = "co applicant", "Co-applicant",
Table1[[#This Row],[Others_Parties]] = "guarantor", "Guarantor")</f>
        <v>None</v>
      </c>
      <c r="AD620" s="13" t="s">
        <v>145</v>
      </c>
      <c r="AE620" s="2" t="s">
        <v>108</v>
      </c>
      <c r="AF620" s="28" t="str" cm="1">
        <f t="array" ref="AF62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20" s="21">
        <v>15</v>
      </c>
      <c r="AH620" s="2" t="s">
        <v>154</v>
      </c>
      <c r="AI620"/>
      <c r="AZ620"/>
      <c r="BC620"/>
      <c r="BE620"/>
      <c r="BL620"/>
      <c r="BZ620"/>
      <c r="CA620"/>
      <c r="CF620"/>
      <c r="CG620"/>
      <c r="CH620"/>
      <c r="CI620"/>
      <c r="CK620"/>
      <c r="CN620"/>
    </row>
    <row r="621" spans="1:92" x14ac:dyDescent="0.3">
      <c r="A621" s="4">
        <v>619</v>
      </c>
      <c r="B621" s="11">
        <v>23</v>
      </c>
      <c r="C621" s="2" t="str">
        <f>_xlfn.XLOOKUP(Table1[[#This Row],[Age]],Table7[Start_Age],Table7[Age_Range],,-1)</f>
        <v>19-29</v>
      </c>
      <c r="D621" t="s">
        <v>130</v>
      </c>
      <c r="E621" s="2" t="s">
        <v>129</v>
      </c>
      <c r="F621" s="2" t="s">
        <v>133</v>
      </c>
      <c r="G621" s="3">
        <v>1</v>
      </c>
      <c r="H621" s="13" t="s">
        <v>152</v>
      </c>
      <c r="I621" s="2" t="str" cm="1">
        <f t="array" ref="I621">_xlfn.IFS(Table1[[#This Row],[Job_Type]] = "unskilled resident", "Resident",
Table1[[#This Row],[Job_Type]] = "unemp/unskilled non res", "Non-resident",
TRUE, "Unknown")</f>
        <v>Unknown</v>
      </c>
      <c r="J621" s="2" t="s">
        <v>148</v>
      </c>
      <c r="K621" s="3">
        <v>1</v>
      </c>
      <c r="L621" s="2" t="s">
        <v>143</v>
      </c>
      <c r="M621" s="13" t="s">
        <v>151</v>
      </c>
      <c r="N621" t="s">
        <v>30</v>
      </c>
      <c r="O621" s="2" t="str">
        <f>_xlfn.XLOOKUP(Table1[[#This Row],[Checking_Acct_Status]],Table3[Checking_Acct_Original],Table3[Category])</f>
        <v>Low Balance</v>
      </c>
      <c r="P621" s="10" t="s">
        <v>47</v>
      </c>
      <c r="Q621" s="13" t="str">
        <f>_xlfn.XLOOKUP(Table1[[#This Row],[Saving_Acct_Status]],Table5[Saving_Acct_Original],Table5[Category])</f>
        <v>No Savings</v>
      </c>
      <c r="R621" t="s">
        <v>41</v>
      </c>
      <c r="S621" s="2" t="str">
        <f>IF(
      OR(Table1[[#This Row],[Job_Type]] = "high qualif/self emp/mgmt", Table1[[#This Row],[Job_Type]] = "skilled"),
      "Skilled", "Unskilled")</f>
        <v>Skilled</v>
      </c>
      <c r="T621" t="str">
        <f>IF(Table1[[#This Row],[Job_Type]] = "unemp/unskilled non res", "Unemployed", "Employed")</f>
        <v>Employed</v>
      </c>
      <c r="U621" t="s">
        <v>45</v>
      </c>
      <c r="V621" s="14" t="str" cm="1">
        <f t="array" ref="V62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21" t="s">
        <v>31</v>
      </c>
      <c r="X621" s="2" t="str">
        <f>_xlfn.XLOOKUP(Table1[[#This Row],[Loan_Credit_History]],Table4[Credit History],Table4[[ Category]])</f>
        <v>Existing Credits Paid</v>
      </c>
      <c r="Y621" s="3">
        <v>4</v>
      </c>
      <c r="Z621" s="3">
        <v>1</v>
      </c>
      <c r="AA621" s="5">
        <v>1444</v>
      </c>
      <c r="AB621" t="s">
        <v>151</v>
      </c>
      <c r="AC621" s="2" t="str" cm="1">
        <f t="array" ref="AC621">_xlfn.IFS(Table1[[#This Row],[Others_Parties]] = "No", "None",
Table1[[#This Row],[Others_Parties]] = "co applicant", "Co-applicant",
Table1[[#This Row],[Others_Parties]] = "guarantor", "Guarantor")</f>
        <v>None</v>
      </c>
      <c r="AD621" s="13" t="s">
        <v>145</v>
      </c>
      <c r="AE621" s="2" t="s">
        <v>111</v>
      </c>
      <c r="AF621" s="28" t="str" cm="1">
        <f t="array" ref="AF62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21" s="21">
        <v>15</v>
      </c>
      <c r="AH621" s="2" t="s">
        <v>154</v>
      </c>
      <c r="AI621"/>
      <c r="AZ621"/>
      <c r="BC621"/>
      <c r="BE621"/>
      <c r="BL621"/>
      <c r="BZ621"/>
      <c r="CA621"/>
      <c r="CF621"/>
      <c r="CG621"/>
      <c r="CH621"/>
      <c r="CI621"/>
      <c r="CK621"/>
      <c r="CN621"/>
    </row>
    <row r="622" spans="1:92" x14ac:dyDescent="0.3">
      <c r="A622" s="4">
        <v>620</v>
      </c>
      <c r="B622" s="11">
        <v>43</v>
      </c>
      <c r="C622" s="2" t="str">
        <f>_xlfn.XLOOKUP(Table1[[#This Row],[Age]],Table7[Start_Age],Table7[Age_Range],,-1)</f>
        <v>39-49</v>
      </c>
      <c r="D622" t="s">
        <v>136</v>
      </c>
      <c r="E622" s="2" t="s">
        <v>131</v>
      </c>
      <c r="F622" s="2" t="s">
        <v>137</v>
      </c>
      <c r="G622" s="3">
        <v>1</v>
      </c>
      <c r="H622" s="13" t="s">
        <v>152</v>
      </c>
      <c r="I622" s="2" t="str" cm="1">
        <f t="array" ref="I622">_xlfn.IFS(Table1[[#This Row],[Job_Type]] = "unskilled resident", "Resident",
Table1[[#This Row],[Job_Type]] = "unemp/unskilled non res", "Non-resident",
TRUE, "Unknown")</f>
        <v>Resident</v>
      </c>
      <c r="J622" s="2" t="s">
        <v>148</v>
      </c>
      <c r="K622" s="3">
        <v>2</v>
      </c>
      <c r="L622" s="2" t="s">
        <v>140</v>
      </c>
      <c r="M622" s="13" t="s">
        <v>151</v>
      </c>
      <c r="N622" t="s">
        <v>17</v>
      </c>
      <c r="O622" s="2" t="str">
        <f>_xlfn.XLOOKUP(Table1[[#This Row],[Checking_Acct_Status]],Table3[Checking_Acct_Original],Table3[Category])</f>
        <v>No Account</v>
      </c>
      <c r="P622" s="10" t="s">
        <v>32</v>
      </c>
      <c r="Q622" s="13" t="str">
        <f>_xlfn.XLOOKUP(Table1[[#This Row],[Saving_Acct_Status]],Table5[Saving_Acct_Original],Table5[Category])</f>
        <v>Low Savings</v>
      </c>
      <c r="R622" t="s">
        <v>27</v>
      </c>
      <c r="S622" s="2" t="str">
        <f>IF(
      OR(Table1[[#This Row],[Job_Type]] = "high qualif/self emp/mgmt", Table1[[#This Row],[Job_Type]] = "skilled"),
      "Skilled", "Unskilled")</f>
        <v>Unskilled</v>
      </c>
      <c r="T622" t="str">
        <f>IF(Table1[[#This Row],[Job_Type]] = "unemp/unskilled non res", "Unemployed", "Employed")</f>
        <v>Employed</v>
      </c>
      <c r="U622" t="s">
        <v>21</v>
      </c>
      <c r="V622" s="14" t="str" cm="1">
        <f t="array" ref="V62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22" t="s">
        <v>103</v>
      </c>
      <c r="X622" s="2" t="str">
        <f>_xlfn.XLOOKUP(Table1[[#This Row],[Loan_Credit_History]],Table4[Credit History],Table4[[ Category]])</f>
        <v>Critical Credit History</v>
      </c>
      <c r="Y622" s="3">
        <v>4</v>
      </c>
      <c r="Z622" s="3">
        <v>1</v>
      </c>
      <c r="AA622" s="5">
        <v>1459</v>
      </c>
      <c r="AB622" t="s">
        <v>151</v>
      </c>
      <c r="AC622" s="2" t="str" cm="1">
        <f t="array" ref="AC622">_xlfn.IFS(Table1[[#This Row],[Others_Parties]] = "No", "None",
Table1[[#This Row],[Others_Parties]] = "co applicant", "Co-applicant",
Table1[[#This Row],[Others_Parties]] = "guarantor", "Guarantor")</f>
        <v>None</v>
      </c>
      <c r="AD622" s="13" t="s">
        <v>145</v>
      </c>
      <c r="AE622" s="2" t="s">
        <v>111</v>
      </c>
      <c r="AF622" s="28" t="str" cm="1">
        <f t="array" ref="AF62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22" s="21">
        <v>15</v>
      </c>
      <c r="AH622" s="2" t="s">
        <v>154</v>
      </c>
      <c r="AI622"/>
      <c r="AZ622"/>
      <c r="BC622"/>
      <c r="BE622"/>
      <c r="BL622"/>
      <c r="BZ622"/>
      <c r="CA622"/>
      <c r="CF622"/>
      <c r="CG622"/>
      <c r="CH622"/>
      <c r="CI622"/>
      <c r="CK622"/>
      <c r="CN622"/>
    </row>
    <row r="623" spans="1:92" x14ac:dyDescent="0.3">
      <c r="A623" s="4">
        <v>621</v>
      </c>
      <c r="B623" s="11">
        <v>35</v>
      </c>
      <c r="C623" s="2" t="str">
        <f>_xlfn.XLOOKUP(Table1[[#This Row],[Age]],Table7[Start_Age],Table7[Age_Range],,-1)</f>
        <v>29-39</v>
      </c>
      <c r="D623" t="s">
        <v>130</v>
      </c>
      <c r="E623" s="2" t="s">
        <v>129</v>
      </c>
      <c r="F623" s="2" t="s">
        <v>133</v>
      </c>
      <c r="G623" s="3">
        <v>1</v>
      </c>
      <c r="H623" s="13" t="s">
        <v>152</v>
      </c>
      <c r="I623" s="2" t="str" cm="1">
        <f t="array" ref="I623">_xlfn.IFS(Table1[[#This Row],[Job_Type]] = "unskilled resident", "Resident",
Table1[[#This Row],[Job_Type]] = "unemp/unskilled non res", "Non-resident",
TRUE, "Unknown")</f>
        <v>Unknown</v>
      </c>
      <c r="J623" s="2" t="s">
        <v>150</v>
      </c>
      <c r="K623" s="3">
        <v>4</v>
      </c>
      <c r="L623" s="2" t="s">
        <v>142</v>
      </c>
      <c r="M623" s="13" t="s">
        <v>152</v>
      </c>
      <c r="N623" t="s">
        <v>17</v>
      </c>
      <c r="O623" s="2" t="str">
        <f>_xlfn.XLOOKUP(Table1[[#This Row],[Checking_Acct_Status]],Table3[Checking_Acct_Original],Table3[Category])</f>
        <v>No Account</v>
      </c>
      <c r="P623" s="10" t="s">
        <v>32</v>
      </c>
      <c r="Q623" s="13" t="str">
        <f>_xlfn.XLOOKUP(Table1[[#This Row],[Saving_Acct_Status]],Table5[Saving_Acct_Original],Table5[Category])</f>
        <v>Low Savings</v>
      </c>
      <c r="R623" t="s">
        <v>41</v>
      </c>
      <c r="S623" s="2" t="str">
        <f>IF(
      OR(Table1[[#This Row],[Job_Type]] = "high qualif/self emp/mgmt", Table1[[#This Row],[Job_Type]] = "skilled"),
      "Skilled", "Unskilled")</f>
        <v>Skilled</v>
      </c>
      <c r="T623" t="str">
        <f>IF(Table1[[#This Row],[Job_Type]] = "unemp/unskilled non res", "Unemployed", "Employed")</f>
        <v>Employed</v>
      </c>
      <c r="U623" t="s">
        <v>21</v>
      </c>
      <c r="V623" s="14" t="str" cm="1">
        <f t="array" ref="V62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23" t="s">
        <v>103</v>
      </c>
      <c r="X623" s="2" t="str">
        <f>_xlfn.XLOOKUP(Table1[[#This Row],[Loan_Credit_History]],Table4[Credit History],Table4[[ Category]])</f>
        <v>Critical Credit History</v>
      </c>
      <c r="Y623" s="3">
        <v>4</v>
      </c>
      <c r="Z623" s="3">
        <v>2</v>
      </c>
      <c r="AA623" s="5">
        <v>1471</v>
      </c>
      <c r="AB623" t="s">
        <v>151</v>
      </c>
      <c r="AC623" s="2" t="str" cm="1">
        <f t="array" ref="AC623">_xlfn.IFS(Table1[[#This Row],[Others_Parties]] = "No", "None",
Table1[[#This Row],[Others_Parties]] = "co applicant", "Co-applicant",
Table1[[#This Row],[Others_Parties]] = "guarantor", "Guarantor")</f>
        <v>None</v>
      </c>
      <c r="AD623" s="13" t="s">
        <v>145</v>
      </c>
      <c r="AE623" s="2" t="s">
        <v>111</v>
      </c>
      <c r="AF623" s="28" t="str" cm="1">
        <f t="array" ref="AF62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23" s="21">
        <v>15</v>
      </c>
      <c r="AH623" s="2" t="s">
        <v>154</v>
      </c>
      <c r="AI623"/>
      <c r="AZ623"/>
      <c r="BC623"/>
      <c r="BE623"/>
      <c r="BL623"/>
      <c r="BZ623"/>
      <c r="CA623"/>
      <c r="CF623"/>
      <c r="CG623"/>
      <c r="CH623"/>
      <c r="CI623"/>
      <c r="CK623"/>
      <c r="CN623"/>
    </row>
    <row r="624" spans="1:92" x14ac:dyDescent="0.3">
      <c r="A624" s="4">
        <v>622</v>
      </c>
      <c r="B624" s="11">
        <v>44</v>
      </c>
      <c r="C624" s="2" t="str">
        <f>_xlfn.XLOOKUP(Table1[[#This Row],[Age]],Table7[Start_Age],Table7[Age_Range],,-1)</f>
        <v>39-49</v>
      </c>
      <c r="D624" t="s">
        <v>130</v>
      </c>
      <c r="E624" s="2" t="s">
        <v>129</v>
      </c>
      <c r="F624" s="2" t="s">
        <v>133</v>
      </c>
      <c r="G624" s="3">
        <v>2</v>
      </c>
      <c r="H624" s="13" t="s">
        <v>152</v>
      </c>
      <c r="I624" s="2" t="str" cm="1">
        <f t="array" ref="I624">_xlfn.IFS(Table1[[#This Row],[Job_Type]] = "unskilled resident", "Resident",
Table1[[#This Row],[Job_Type]] = "unemp/unskilled non res", "Non-resident",
TRUE, "Unknown")</f>
        <v>Unknown</v>
      </c>
      <c r="J624" s="2" t="s">
        <v>148</v>
      </c>
      <c r="K624" s="3">
        <v>4</v>
      </c>
      <c r="L624" s="2" t="s">
        <v>140</v>
      </c>
      <c r="M624" s="13" t="s">
        <v>152</v>
      </c>
      <c r="N624" t="s">
        <v>35</v>
      </c>
      <c r="O624" s="2" t="str">
        <f>_xlfn.XLOOKUP(Table1[[#This Row],[Checking_Acct_Status]],Table3[Checking_Acct_Original],Table3[Category])</f>
        <v>Negative Balance</v>
      </c>
      <c r="P624" s="10" t="s">
        <v>32</v>
      </c>
      <c r="Q624" s="13" t="str">
        <f>_xlfn.XLOOKUP(Table1[[#This Row],[Saving_Acct_Status]],Table5[Saving_Acct_Original],Table5[Category])</f>
        <v>Low Savings</v>
      </c>
      <c r="R624" t="s">
        <v>41</v>
      </c>
      <c r="S624" s="2" t="str">
        <f>IF(
      OR(Table1[[#This Row],[Job_Type]] = "high qualif/self emp/mgmt", Table1[[#This Row],[Job_Type]] = "skilled"),
      "Skilled", "Unskilled")</f>
        <v>Skilled</v>
      </c>
      <c r="T624" t="str">
        <f>IF(Table1[[#This Row],[Job_Type]] = "unemp/unskilled non res", "Unemployed", "Employed")</f>
        <v>Employed</v>
      </c>
      <c r="U624" t="s">
        <v>38</v>
      </c>
      <c r="V624" s="14" t="str" cm="1">
        <f t="array" ref="V62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24" t="s">
        <v>103</v>
      </c>
      <c r="X624" s="2" t="str">
        <f>_xlfn.XLOOKUP(Table1[[#This Row],[Loan_Credit_History]],Table4[Credit History],Table4[[ Category]])</f>
        <v>Critical Credit History</v>
      </c>
      <c r="Y624" s="3">
        <v>4</v>
      </c>
      <c r="Z624" s="3">
        <v>2</v>
      </c>
      <c r="AA624" s="5">
        <v>1478</v>
      </c>
      <c r="AB624" t="s">
        <v>151</v>
      </c>
      <c r="AC624" s="2" t="str" cm="1">
        <f t="array" ref="AC624">_xlfn.IFS(Table1[[#This Row],[Others_Parties]] = "No", "None",
Table1[[#This Row],[Others_Parties]] = "co applicant", "Co-applicant",
Table1[[#This Row],[Others_Parties]] = "guarantor", "Guarantor")</f>
        <v>None</v>
      </c>
      <c r="AD624" s="13" t="s">
        <v>145</v>
      </c>
      <c r="AE624" s="2" t="s">
        <v>108</v>
      </c>
      <c r="AF624" s="28" t="str" cm="1">
        <f t="array" ref="AF62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24" s="21">
        <v>15</v>
      </c>
      <c r="AH624" s="2" t="s">
        <v>154</v>
      </c>
      <c r="AI624"/>
      <c r="AZ624"/>
      <c r="BC624"/>
      <c r="BE624"/>
      <c r="BL624"/>
      <c r="BZ624"/>
      <c r="CA624"/>
      <c r="CF624"/>
      <c r="CG624"/>
      <c r="CH624"/>
      <c r="CI624"/>
      <c r="CK624"/>
      <c r="CN624"/>
    </row>
    <row r="625" spans="1:92" x14ac:dyDescent="0.3">
      <c r="A625" s="4">
        <v>623</v>
      </c>
      <c r="B625" s="11">
        <v>33</v>
      </c>
      <c r="C625" s="2" t="str">
        <f>_xlfn.XLOOKUP(Table1[[#This Row],[Age]],Table7[Start_Age],Table7[Age_Range],,-1)</f>
        <v>29-39</v>
      </c>
      <c r="D625" t="s">
        <v>134</v>
      </c>
      <c r="E625" s="2" t="s">
        <v>129</v>
      </c>
      <c r="F625" s="2" t="s">
        <v>135</v>
      </c>
      <c r="G625" s="3">
        <v>1</v>
      </c>
      <c r="H625" s="13" t="s">
        <v>152</v>
      </c>
      <c r="I625" s="2" t="str" cm="1">
        <f t="array" ref="I625">_xlfn.IFS(Table1[[#This Row],[Job_Type]] = "unskilled resident", "Resident",
Table1[[#This Row],[Job_Type]] = "unemp/unskilled non res", "Non-resident",
TRUE, "Unknown")</f>
        <v>Unknown</v>
      </c>
      <c r="J625" s="2" t="s">
        <v>148</v>
      </c>
      <c r="K625" s="3">
        <v>3</v>
      </c>
      <c r="L625" s="2" t="s">
        <v>144</v>
      </c>
      <c r="M625" s="13" t="s">
        <v>151</v>
      </c>
      <c r="N625" t="s">
        <v>17</v>
      </c>
      <c r="O625" s="2" t="str">
        <f>_xlfn.XLOOKUP(Table1[[#This Row],[Checking_Acct_Status]],Table3[Checking_Acct_Original],Table3[Category])</f>
        <v>No Account</v>
      </c>
      <c r="P625" s="10" t="s">
        <v>32</v>
      </c>
      <c r="Q625" s="13" t="str">
        <f>_xlfn.XLOOKUP(Table1[[#This Row],[Saving_Acct_Status]],Table5[Saving_Acct_Original],Table5[Category])</f>
        <v>Low Savings</v>
      </c>
      <c r="R625" t="s">
        <v>41</v>
      </c>
      <c r="S625" s="2" t="str">
        <f>IF(
      OR(Table1[[#This Row],[Job_Type]] = "high qualif/self emp/mgmt", Table1[[#This Row],[Job_Type]] = "skilled"),
      "Skilled", "Unskilled")</f>
        <v>Skilled</v>
      </c>
      <c r="T625" t="str">
        <f>IF(Table1[[#This Row],[Job_Type]] = "unemp/unskilled non res", "Unemployed", "Employed")</f>
        <v>Employed</v>
      </c>
      <c r="U625" t="s">
        <v>21</v>
      </c>
      <c r="V625" s="14" t="str" cm="1">
        <f t="array" ref="V62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25" t="s">
        <v>59</v>
      </c>
      <c r="X625" s="2" t="str">
        <f>_xlfn.XLOOKUP(Table1[[#This Row],[Loan_Credit_History]],Table4[Credit History],Table4[[ Category]])</f>
        <v>Previously Delayed</v>
      </c>
      <c r="Y625" s="3">
        <v>4</v>
      </c>
      <c r="Z625" s="3">
        <v>2</v>
      </c>
      <c r="AA625" s="5">
        <v>1478</v>
      </c>
      <c r="AB625" t="s">
        <v>151</v>
      </c>
      <c r="AC625" s="2" t="str" cm="1">
        <f t="array" ref="AC625">_xlfn.IFS(Table1[[#This Row],[Others_Parties]] = "No", "None",
Table1[[#This Row],[Others_Parties]] = "co applicant", "Co-applicant",
Table1[[#This Row],[Others_Parties]] = "guarantor", "Guarantor")</f>
        <v>None</v>
      </c>
      <c r="AD625" s="13" t="s">
        <v>146</v>
      </c>
      <c r="AE625" s="2" t="s">
        <v>111</v>
      </c>
      <c r="AF625" s="28" t="str" cm="1">
        <f t="array" ref="AF62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25" s="21">
        <v>15</v>
      </c>
      <c r="AH625" s="2" t="s">
        <v>154</v>
      </c>
      <c r="AI625"/>
      <c r="AZ625"/>
      <c r="BC625"/>
      <c r="BE625"/>
      <c r="BL625"/>
      <c r="BZ625"/>
      <c r="CA625"/>
      <c r="CF625"/>
      <c r="CG625"/>
      <c r="CH625"/>
      <c r="CI625"/>
      <c r="CK625"/>
      <c r="CN625"/>
    </row>
    <row r="626" spans="1:92" x14ac:dyDescent="0.3">
      <c r="A626" s="4">
        <v>624</v>
      </c>
      <c r="B626" s="11">
        <v>61</v>
      </c>
      <c r="C626" s="2" t="str">
        <f>_xlfn.XLOOKUP(Table1[[#This Row],[Age]],Table7[Start_Age],Table7[Age_Range],,-1)</f>
        <v>59-69</v>
      </c>
      <c r="D626" t="s">
        <v>134</v>
      </c>
      <c r="E626" s="2" t="s">
        <v>129</v>
      </c>
      <c r="F626" s="2" t="s">
        <v>135</v>
      </c>
      <c r="G626" s="3">
        <v>1</v>
      </c>
      <c r="H626" s="13" t="s">
        <v>152</v>
      </c>
      <c r="I626" s="2" t="str" cm="1">
        <f t="array" ref="I626">_xlfn.IFS(Table1[[#This Row],[Job_Type]] = "unskilled resident", "Resident",
Table1[[#This Row],[Job_Type]] = "unemp/unskilled non res", "Non-resident",
TRUE, "Unknown")</f>
        <v>Unknown</v>
      </c>
      <c r="J626" s="2" t="s">
        <v>148</v>
      </c>
      <c r="K626" s="3">
        <v>3</v>
      </c>
      <c r="L626" s="2" t="s">
        <v>143</v>
      </c>
      <c r="M626" s="13" t="s">
        <v>151</v>
      </c>
      <c r="N626" t="s">
        <v>30</v>
      </c>
      <c r="O626" s="2" t="str">
        <f>_xlfn.XLOOKUP(Table1[[#This Row],[Checking_Acct_Status]],Table3[Checking_Acct_Original],Table3[Category])</f>
        <v>Low Balance</v>
      </c>
      <c r="P626" s="10" t="s">
        <v>20</v>
      </c>
      <c r="Q626" s="13" t="str">
        <f>_xlfn.XLOOKUP(Table1[[#This Row],[Saving_Acct_Status]],Table5[Saving_Acct_Original],Table5[Category])</f>
        <v>Very High Savings</v>
      </c>
      <c r="R626" t="s">
        <v>41</v>
      </c>
      <c r="S626" s="2" t="str">
        <f>IF(
      OR(Table1[[#This Row],[Job_Type]] = "high qualif/self emp/mgmt", Table1[[#This Row],[Job_Type]] = "skilled"),
      "Skilled", "Unskilled")</f>
        <v>Skilled</v>
      </c>
      <c r="T626" t="str">
        <f>IF(Table1[[#This Row],[Job_Type]] = "unemp/unskilled non res", "Unemployed", "Employed")</f>
        <v>Employed</v>
      </c>
      <c r="U626" t="s">
        <v>21</v>
      </c>
      <c r="V626" s="14" t="str" cm="1">
        <f t="array" ref="V62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26" t="s">
        <v>59</v>
      </c>
      <c r="X626" s="2" t="str">
        <f>_xlfn.XLOOKUP(Table1[[#This Row],[Loan_Credit_History]],Table4[Credit History],Table4[[ Category]])</f>
        <v>Previously Delayed</v>
      </c>
      <c r="Y626" s="3">
        <v>3</v>
      </c>
      <c r="Z626" s="3">
        <v>2</v>
      </c>
      <c r="AA626" s="5">
        <v>1512</v>
      </c>
      <c r="AB626" t="s">
        <v>151</v>
      </c>
      <c r="AC626" s="2" t="str" cm="1">
        <f t="array" ref="AC626">_xlfn.IFS(Table1[[#This Row],[Others_Parties]] = "No", "None",
Table1[[#This Row],[Others_Parties]] = "co applicant", "Co-applicant",
Table1[[#This Row],[Others_Parties]] = "guarantor", "Guarantor")</f>
        <v>None</v>
      </c>
      <c r="AD626" s="13" t="s">
        <v>147</v>
      </c>
      <c r="AE626" s="2" t="s">
        <v>109</v>
      </c>
      <c r="AF626" s="28" t="str" cm="1">
        <f t="array" ref="AF62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26" s="21">
        <v>15</v>
      </c>
      <c r="AH626" s="2" t="s">
        <v>153</v>
      </c>
      <c r="AI626"/>
      <c r="AZ626"/>
      <c r="BC626"/>
      <c r="BE626"/>
      <c r="BL626"/>
      <c r="BZ626"/>
      <c r="CA626"/>
      <c r="CF626"/>
      <c r="CG626"/>
      <c r="CH626"/>
      <c r="CI626"/>
      <c r="CK626"/>
      <c r="CN626"/>
    </row>
    <row r="627" spans="1:92" x14ac:dyDescent="0.3">
      <c r="A627" s="4">
        <v>625</v>
      </c>
      <c r="B627" s="11">
        <v>22</v>
      </c>
      <c r="C627" s="2" t="str">
        <f>_xlfn.XLOOKUP(Table1[[#This Row],[Age]],Table7[Start_Age],Table7[Age_Range],,-1)</f>
        <v>19-29</v>
      </c>
      <c r="D627" t="s">
        <v>130</v>
      </c>
      <c r="E627" s="2" t="s">
        <v>129</v>
      </c>
      <c r="F627" s="2" t="s">
        <v>133</v>
      </c>
      <c r="G627" s="3">
        <v>1</v>
      </c>
      <c r="H627" s="13" t="s">
        <v>152</v>
      </c>
      <c r="I627" s="2" t="str" cm="1">
        <f t="array" ref="I627">_xlfn.IFS(Table1[[#This Row],[Job_Type]] = "unskilled resident", "Resident",
Table1[[#This Row],[Job_Type]] = "unemp/unskilled non res", "Non-resident",
TRUE, "Unknown")</f>
        <v>Unknown</v>
      </c>
      <c r="J627" s="2" t="s">
        <v>148</v>
      </c>
      <c r="K627" s="3">
        <v>2</v>
      </c>
      <c r="L627" s="2" t="s">
        <v>144</v>
      </c>
      <c r="M627" s="13" t="s">
        <v>151</v>
      </c>
      <c r="N627" t="s">
        <v>30</v>
      </c>
      <c r="O627" s="2" t="str">
        <f>_xlfn.XLOOKUP(Table1[[#This Row],[Checking_Acct_Status]],Table3[Checking_Acct_Original],Table3[Category])</f>
        <v>Low Balance</v>
      </c>
      <c r="P627" s="10" t="s">
        <v>46</v>
      </c>
      <c r="Q627" s="13" t="str">
        <f>_xlfn.XLOOKUP(Table1[[#This Row],[Saving_Acct_Status]],Table5[Saving_Acct_Original],Table5[Category])</f>
        <v>Medium Savings</v>
      </c>
      <c r="R627" t="s">
        <v>41</v>
      </c>
      <c r="S627" s="2" t="str">
        <f>IF(
      OR(Table1[[#This Row],[Job_Type]] = "high qualif/self emp/mgmt", Table1[[#This Row],[Job_Type]] = "skilled"),
      "Skilled", "Unskilled")</f>
        <v>Skilled</v>
      </c>
      <c r="T627" t="str">
        <f>IF(Table1[[#This Row],[Job_Type]] = "unemp/unskilled non res", "Unemployed", "Employed")</f>
        <v>Employed</v>
      </c>
      <c r="U627" t="s">
        <v>21</v>
      </c>
      <c r="V627" s="14" t="str" cm="1">
        <f t="array" ref="V62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27" t="s">
        <v>31</v>
      </c>
      <c r="X627" s="2" t="str">
        <f>_xlfn.XLOOKUP(Table1[[#This Row],[Loan_Credit_History]],Table4[Credit History],Table4[[ Category]])</f>
        <v>Existing Credits Paid</v>
      </c>
      <c r="Y627" s="3">
        <v>4</v>
      </c>
      <c r="Z627" s="3">
        <v>1</v>
      </c>
      <c r="AA627" s="5">
        <v>1514</v>
      </c>
      <c r="AB627" t="s">
        <v>58</v>
      </c>
      <c r="AC627" s="2" t="str" cm="1">
        <f t="array" ref="AC627">_xlfn.IFS(Table1[[#This Row],[Others_Parties]] = "No", "None",
Table1[[#This Row],[Others_Parties]] = "co applicant", "Co-applicant",
Table1[[#This Row],[Others_Parties]] = "guarantor", "Guarantor")</f>
        <v>Guarantor</v>
      </c>
      <c r="AD627" s="13" t="s">
        <v>145</v>
      </c>
      <c r="AE627" s="2" t="s">
        <v>109</v>
      </c>
      <c r="AF627" s="28" t="str" cm="1">
        <f t="array" ref="AF62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27" s="21">
        <v>15</v>
      </c>
      <c r="AH627" s="2" t="s">
        <v>154</v>
      </c>
      <c r="AI627"/>
      <c r="AZ627"/>
      <c r="BC627"/>
      <c r="BE627"/>
      <c r="BL627"/>
      <c r="BZ627"/>
      <c r="CA627"/>
      <c r="CF627"/>
      <c r="CG627"/>
      <c r="CH627"/>
      <c r="CI627"/>
      <c r="CK627"/>
      <c r="CN627"/>
    </row>
    <row r="628" spans="1:92" x14ac:dyDescent="0.3">
      <c r="A628" s="4">
        <v>626</v>
      </c>
      <c r="B628" s="11">
        <v>63</v>
      </c>
      <c r="C628" s="2" t="str">
        <f>_xlfn.XLOOKUP(Table1[[#This Row],[Age]],Table7[Start_Age],Table7[Age_Range],,-1)</f>
        <v>59-69</v>
      </c>
      <c r="D628" t="s">
        <v>130</v>
      </c>
      <c r="E628" s="2" t="s">
        <v>129</v>
      </c>
      <c r="F628" s="2" t="s">
        <v>133</v>
      </c>
      <c r="G628" s="3">
        <v>1</v>
      </c>
      <c r="H628" s="13" t="s">
        <v>152</v>
      </c>
      <c r="I628" s="2" t="str" cm="1">
        <f t="array" ref="I628">_xlfn.IFS(Table1[[#This Row],[Job_Type]] = "unskilled resident", "Resident",
Table1[[#This Row],[Job_Type]] = "unemp/unskilled non res", "Non-resident",
TRUE, "Unknown")</f>
        <v>Unknown</v>
      </c>
      <c r="J628" s="2" t="s">
        <v>148</v>
      </c>
      <c r="K628" s="3">
        <v>4</v>
      </c>
      <c r="L628" s="2" t="s">
        <v>143</v>
      </c>
      <c r="M628" s="13" t="s">
        <v>151</v>
      </c>
      <c r="N628" t="s">
        <v>17</v>
      </c>
      <c r="O628" s="2" t="str">
        <f>_xlfn.XLOOKUP(Table1[[#This Row],[Checking_Acct_Status]],Table3[Checking_Acct_Original],Table3[Category])</f>
        <v>No Account</v>
      </c>
      <c r="P628" s="10" t="s">
        <v>47</v>
      </c>
      <c r="Q628" s="13" t="str">
        <f>_xlfn.XLOOKUP(Table1[[#This Row],[Saving_Acct_Status]],Table5[Saving_Acct_Original],Table5[Category])</f>
        <v>No Savings</v>
      </c>
      <c r="R628" t="s">
        <v>41</v>
      </c>
      <c r="S628" s="2" t="str">
        <f>IF(
      OR(Table1[[#This Row],[Job_Type]] = "high qualif/self emp/mgmt", Table1[[#This Row],[Job_Type]] = "skilled"),
      "Skilled", "Unskilled")</f>
        <v>Skilled</v>
      </c>
      <c r="T628" t="str">
        <f>IF(Table1[[#This Row],[Job_Type]] = "unemp/unskilled non res", "Unemployed", "Employed")</f>
        <v>Employed</v>
      </c>
      <c r="U628" t="s">
        <v>38</v>
      </c>
      <c r="V628" s="14" t="str" cm="1">
        <f t="array" ref="V62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28" t="s">
        <v>103</v>
      </c>
      <c r="X628" s="2" t="str">
        <f>_xlfn.XLOOKUP(Table1[[#This Row],[Loan_Credit_History]],Table4[Credit History],Table4[[ Category]])</f>
        <v>Critical Credit History</v>
      </c>
      <c r="Y628" s="3">
        <v>4</v>
      </c>
      <c r="Z628" s="3">
        <v>1</v>
      </c>
      <c r="AA628" s="5">
        <v>1520</v>
      </c>
      <c r="AB628" t="s">
        <v>151</v>
      </c>
      <c r="AC628" s="2" t="str" cm="1">
        <f t="array" ref="AC628">_xlfn.IFS(Table1[[#This Row],[Others_Parties]] = "No", "None",
Table1[[#This Row],[Others_Parties]] = "co applicant", "Co-applicant",
Table1[[#This Row],[Others_Parties]] = "guarantor", "Guarantor")</f>
        <v>None</v>
      </c>
      <c r="AD628" s="13" t="s">
        <v>145</v>
      </c>
      <c r="AE628" s="2" t="s">
        <v>108</v>
      </c>
      <c r="AF628" s="28" t="str" cm="1">
        <f t="array" ref="AF62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28" s="21">
        <v>15</v>
      </c>
      <c r="AH628" s="2" t="s">
        <v>154</v>
      </c>
      <c r="AI628"/>
      <c r="AZ628"/>
      <c r="BC628"/>
      <c r="BE628"/>
      <c r="BL628"/>
      <c r="BZ628"/>
      <c r="CA628"/>
      <c r="CF628"/>
      <c r="CG628"/>
      <c r="CH628"/>
      <c r="CI628"/>
      <c r="CK628"/>
      <c r="CN628"/>
    </row>
    <row r="629" spans="1:92" x14ac:dyDescent="0.3">
      <c r="A629" s="4">
        <v>627</v>
      </c>
      <c r="B629" s="11">
        <v>31</v>
      </c>
      <c r="C629" s="2" t="str">
        <f>_xlfn.XLOOKUP(Table1[[#This Row],[Age]],Table7[Start_Age],Table7[Age_Range],,-1)</f>
        <v>29-39</v>
      </c>
      <c r="D629" t="s">
        <v>136</v>
      </c>
      <c r="E629" s="2" t="s">
        <v>131</v>
      </c>
      <c r="F629" s="2" t="s">
        <v>137</v>
      </c>
      <c r="G629" s="3">
        <v>1</v>
      </c>
      <c r="H629" s="13" t="s">
        <v>152</v>
      </c>
      <c r="I629" s="2" t="str" cm="1">
        <f t="array" ref="I629">_xlfn.IFS(Table1[[#This Row],[Job_Type]] = "unskilled resident", "Resident",
Table1[[#This Row],[Job_Type]] = "unemp/unskilled non res", "Non-resident",
TRUE, "Unknown")</f>
        <v>Unknown</v>
      </c>
      <c r="J629" s="2" t="s">
        <v>148</v>
      </c>
      <c r="K629" s="3">
        <v>3</v>
      </c>
      <c r="L629" s="2" t="s">
        <v>140</v>
      </c>
      <c r="M629" s="13" t="s">
        <v>151</v>
      </c>
      <c r="N629" t="s">
        <v>17</v>
      </c>
      <c r="O629" s="2" t="str">
        <f>_xlfn.XLOOKUP(Table1[[#This Row],[Checking_Acct_Status]],Table3[Checking_Acct_Original],Table3[Category])</f>
        <v>No Account</v>
      </c>
      <c r="P629" s="10" t="s">
        <v>46</v>
      </c>
      <c r="Q629" s="13" t="str">
        <f>_xlfn.XLOOKUP(Table1[[#This Row],[Saving_Acct_Status]],Table5[Saving_Acct_Original],Table5[Category])</f>
        <v>Medium Savings</v>
      </c>
      <c r="R629" t="s">
        <v>41</v>
      </c>
      <c r="S629" s="2" t="str">
        <f>IF(
      OR(Table1[[#This Row],[Job_Type]] = "high qualif/self emp/mgmt", Table1[[#This Row],[Job_Type]] = "skilled"),
      "Skilled", "Unskilled")</f>
        <v>Skilled</v>
      </c>
      <c r="T629" t="str">
        <f>IF(Table1[[#This Row],[Job_Type]] = "unemp/unskilled non res", "Unemployed", "Employed")</f>
        <v>Employed</v>
      </c>
      <c r="U629" t="s">
        <v>21</v>
      </c>
      <c r="V629" s="14" t="str" cm="1">
        <f t="array" ref="V62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29" t="s">
        <v>103</v>
      </c>
      <c r="X629" s="2" t="str">
        <f>_xlfn.XLOOKUP(Table1[[#This Row],[Loan_Credit_History]],Table4[Credit History],Table4[[ Category]])</f>
        <v>Critical Credit History</v>
      </c>
      <c r="Y629" s="3">
        <v>4</v>
      </c>
      <c r="Z629" s="3">
        <v>1</v>
      </c>
      <c r="AA629" s="5">
        <v>1532</v>
      </c>
      <c r="AB629" t="s">
        <v>151</v>
      </c>
      <c r="AC629" s="2" t="str" cm="1">
        <f t="array" ref="AC629">_xlfn.IFS(Table1[[#This Row],[Others_Parties]] = "No", "None",
Table1[[#This Row],[Others_Parties]] = "co applicant", "Co-applicant",
Table1[[#This Row],[Others_Parties]] = "guarantor", "Guarantor")</f>
        <v>None</v>
      </c>
      <c r="AD629" s="13" t="s">
        <v>145</v>
      </c>
      <c r="AE629" s="2" t="s">
        <v>100</v>
      </c>
      <c r="AF629" s="28" t="str" cm="1">
        <f t="array" ref="AF62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29" s="21">
        <v>15</v>
      </c>
      <c r="AH629" s="2" t="s">
        <v>154</v>
      </c>
      <c r="AI629"/>
      <c r="AZ629"/>
      <c r="BC629"/>
      <c r="BE629"/>
      <c r="BL629"/>
      <c r="BZ629"/>
      <c r="CA629"/>
      <c r="CF629"/>
      <c r="CG629"/>
      <c r="CH629"/>
      <c r="CI629"/>
      <c r="CK629"/>
      <c r="CN629"/>
    </row>
    <row r="630" spans="1:92" x14ac:dyDescent="0.3">
      <c r="A630" s="4">
        <v>628</v>
      </c>
      <c r="B630" s="11">
        <v>50</v>
      </c>
      <c r="C630" s="2" t="str">
        <f>_xlfn.XLOOKUP(Table1[[#This Row],[Age]],Table7[Start_Age],Table7[Age_Range],,-1)</f>
        <v>49-59</v>
      </c>
      <c r="D630" t="s">
        <v>130</v>
      </c>
      <c r="E630" s="2" t="s">
        <v>129</v>
      </c>
      <c r="F630" s="2" t="s">
        <v>133</v>
      </c>
      <c r="G630" s="3">
        <v>1</v>
      </c>
      <c r="H630" s="13" t="s">
        <v>152</v>
      </c>
      <c r="I630" s="2" t="str" cm="1">
        <f t="array" ref="I630">_xlfn.IFS(Table1[[#This Row],[Job_Type]] = "unskilled resident", "Resident",
Table1[[#This Row],[Job_Type]] = "unemp/unskilled non res", "Non-resident",
TRUE, "Unknown")</f>
        <v>Unknown</v>
      </c>
      <c r="J630" s="2" t="s">
        <v>148</v>
      </c>
      <c r="K630" s="3">
        <v>4</v>
      </c>
      <c r="L630" s="2" t="s">
        <v>144</v>
      </c>
      <c r="M630" s="13" t="s">
        <v>152</v>
      </c>
      <c r="N630" t="s">
        <v>30</v>
      </c>
      <c r="O630" s="2" t="str">
        <f>_xlfn.XLOOKUP(Table1[[#This Row],[Checking_Acct_Status]],Table3[Checking_Acct_Original],Table3[Category])</f>
        <v>Low Balance</v>
      </c>
      <c r="P630" s="10" t="s">
        <v>47</v>
      </c>
      <c r="Q630" s="13" t="str">
        <f>_xlfn.XLOOKUP(Table1[[#This Row],[Saving_Acct_Status]],Table5[Saving_Acct_Original],Table5[Category])</f>
        <v>No Savings</v>
      </c>
      <c r="R630" t="s">
        <v>41</v>
      </c>
      <c r="S630" s="2" t="str">
        <f>IF(
      OR(Table1[[#This Row],[Job_Type]] = "high qualif/self emp/mgmt", Table1[[#This Row],[Job_Type]] = "skilled"),
      "Skilled", "Unskilled")</f>
        <v>Skilled</v>
      </c>
      <c r="T630" t="str">
        <f>IF(Table1[[#This Row],[Job_Type]] = "unemp/unskilled non res", "Unemployed", "Employed")</f>
        <v>Employed</v>
      </c>
      <c r="U630" t="s">
        <v>38</v>
      </c>
      <c r="V630" s="14" t="str" cm="1">
        <f t="array" ref="V63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30" t="s">
        <v>103</v>
      </c>
      <c r="X630" s="2" t="str">
        <f>_xlfn.XLOOKUP(Table1[[#This Row],[Loan_Credit_History]],Table4[Credit History],Table4[[ Category]])</f>
        <v>Critical Credit History</v>
      </c>
      <c r="Y630" s="3">
        <v>4</v>
      </c>
      <c r="Z630" s="3">
        <v>2</v>
      </c>
      <c r="AA630" s="5">
        <v>1537</v>
      </c>
      <c r="AB630" t="s">
        <v>58</v>
      </c>
      <c r="AC630" s="2" t="str" cm="1">
        <f t="array" ref="AC630">_xlfn.IFS(Table1[[#This Row],[Others_Parties]] = "No", "None",
Table1[[#This Row],[Others_Parties]] = "co applicant", "Co-applicant",
Table1[[#This Row],[Others_Parties]] = "guarantor", "Guarantor")</f>
        <v>Guarantor</v>
      </c>
      <c r="AD630" s="13" t="s">
        <v>145</v>
      </c>
      <c r="AE630" s="2" t="s">
        <v>111</v>
      </c>
      <c r="AF630" s="28" t="str" cm="1">
        <f t="array" ref="AF63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30" s="21">
        <v>15</v>
      </c>
      <c r="AH630" s="2" t="s">
        <v>154</v>
      </c>
      <c r="AI630"/>
      <c r="AZ630"/>
      <c r="BC630"/>
      <c r="BE630"/>
      <c r="BL630"/>
      <c r="BZ630"/>
      <c r="CA630"/>
      <c r="CF630"/>
      <c r="CG630"/>
      <c r="CH630"/>
      <c r="CI630"/>
      <c r="CK630"/>
      <c r="CN630"/>
    </row>
    <row r="631" spans="1:92" x14ac:dyDescent="0.3">
      <c r="A631" s="4">
        <v>629</v>
      </c>
      <c r="B631" s="11">
        <v>34</v>
      </c>
      <c r="C631" s="2" t="str">
        <f>_xlfn.XLOOKUP(Table1[[#This Row],[Age]],Table7[Start_Age],Table7[Age_Range],,-1)</f>
        <v>29-39</v>
      </c>
      <c r="D631" t="s">
        <v>130</v>
      </c>
      <c r="E631" s="2" t="s">
        <v>129</v>
      </c>
      <c r="F631" s="2" t="s">
        <v>133</v>
      </c>
      <c r="G631" s="3">
        <v>2</v>
      </c>
      <c r="H631" s="13" t="s">
        <v>152</v>
      </c>
      <c r="I631" s="2" t="str" cm="1">
        <f t="array" ref="I631">_xlfn.IFS(Table1[[#This Row],[Job_Type]] = "unskilled resident", "Resident",
Table1[[#This Row],[Job_Type]] = "unemp/unskilled non res", "Non-resident",
TRUE, "Unknown")</f>
        <v>Resident</v>
      </c>
      <c r="J631" s="2" t="s">
        <v>148</v>
      </c>
      <c r="K631" s="3">
        <v>4</v>
      </c>
      <c r="L631" s="2" t="s">
        <v>140</v>
      </c>
      <c r="M631" s="13" t="s">
        <v>151</v>
      </c>
      <c r="N631" t="s">
        <v>17</v>
      </c>
      <c r="O631" s="2" t="str">
        <f>_xlfn.XLOOKUP(Table1[[#This Row],[Checking_Acct_Status]],Table3[Checking_Acct_Original],Table3[Category])</f>
        <v>No Account</v>
      </c>
      <c r="P631" s="10" t="s">
        <v>46</v>
      </c>
      <c r="Q631" s="13" t="str">
        <f>_xlfn.XLOOKUP(Table1[[#This Row],[Saving_Acct_Status]],Table5[Saving_Acct_Original],Table5[Category])</f>
        <v>Medium Savings</v>
      </c>
      <c r="R631" t="s">
        <v>27</v>
      </c>
      <c r="S631" s="2" t="str">
        <f>IF(
      OR(Table1[[#This Row],[Job_Type]] = "high qualif/self emp/mgmt", Table1[[#This Row],[Job_Type]] = "skilled"),
      "Skilled", "Unskilled")</f>
        <v>Unskilled</v>
      </c>
      <c r="T631" t="str">
        <f>IF(Table1[[#This Row],[Job_Type]] = "unemp/unskilled non res", "Unemployed", "Employed")</f>
        <v>Employed</v>
      </c>
      <c r="U631" t="s">
        <v>38</v>
      </c>
      <c r="V631" s="14" t="str" cm="1">
        <f t="array" ref="V63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31" t="s">
        <v>42</v>
      </c>
      <c r="X631" s="2" t="str">
        <f>_xlfn.XLOOKUP(Table1[[#This Row],[Loan_Credit_History]],Table4[Credit History],Table4[[ Category]])</f>
        <v>All Paid</v>
      </c>
      <c r="Y631" s="3">
        <v>4</v>
      </c>
      <c r="Z631" s="3">
        <v>1</v>
      </c>
      <c r="AA631" s="5">
        <v>1569</v>
      </c>
      <c r="AB631" t="s">
        <v>151</v>
      </c>
      <c r="AC631" s="2" t="str" cm="1">
        <f t="array" ref="AC631">_xlfn.IFS(Table1[[#This Row],[Others_Parties]] = "No", "None",
Table1[[#This Row],[Others_Parties]] = "co applicant", "Co-applicant",
Table1[[#This Row],[Others_Parties]] = "guarantor", "Guarantor")</f>
        <v>None</v>
      </c>
      <c r="AD631" s="13" t="s">
        <v>146</v>
      </c>
      <c r="AE631" s="2" t="s">
        <v>111</v>
      </c>
      <c r="AF631" s="28" t="str" cm="1">
        <f t="array" ref="AF63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31" s="21">
        <v>15</v>
      </c>
      <c r="AH631" s="2" t="s">
        <v>154</v>
      </c>
      <c r="AI631"/>
      <c r="AZ631"/>
      <c r="BC631"/>
      <c r="BE631"/>
      <c r="BL631"/>
      <c r="BZ631"/>
      <c r="CA631"/>
      <c r="CF631"/>
      <c r="CG631"/>
      <c r="CH631"/>
      <c r="CI631"/>
      <c r="CK631"/>
      <c r="CN631"/>
    </row>
    <row r="632" spans="1:92" x14ac:dyDescent="0.3">
      <c r="A632" s="4">
        <v>630</v>
      </c>
      <c r="B632" s="11">
        <v>36</v>
      </c>
      <c r="C632" s="2" t="str">
        <f>_xlfn.XLOOKUP(Table1[[#This Row],[Age]],Table7[Start_Age],Table7[Age_Range],,-1)</f>
        <v>29-39</v>
      </c>
      <c r="D632" t="s">
        <v>130</v>
      </c>
      <c r="E632" s="2" t="s">
        <v>129</v>
      </c>
      <c r="F632" s="2" t="s">
        <v>133</v>
      </c>
      <c r="G632" s="3">
        <v>1</v>
      </c>
      <c r="H632" s="13" t="s">
        <v>152</v>
      </c>
      <c r="I632" s="2" t="str" cm="1">
        <f t="array" ref="I632">_xlfn.IFS(Table1[[#This Row],[Job_Type]] = "unskilled resident", "Resident",
Table1[[#This Row],[Job_Type]] = "unemp/unskilled non res", "Non-resident",
TRUE, "Unknown")</f>
        <v>Unknown</v>
      </c>
      <c r="J632" s="2" t="s">
        <v>148</v>
      </c>
      <c r="K632" s="3">
        <v>3</v>
      </c>
      <c r="L632" s="2" t="s">
        <v>144</v>
      </c>
      <c r="M632" s="13" t="s">
        <v>151</v>
      </c>
      <c r="N632" t="s">
        <v>35</v>
      </c>
      <c r="O632" s="2" t="str">
        <f>_xlfn.XLOOKUP(Table1[[#This Row],[Checking_Acct_Status]],Table3[Checking_Acct_Original],Table3[Category])</f>
        <v>Negative Balance</v>
      </c>
      <c r="P632" s="10" t="s">
        <v>32</v>
      </c>
      <c r="Q632" s="13" t="str">
        <f>_xlfn.XLOOKUP(Table1[[#This Row],[Saving_Acct_Status]],Table5[Saving_Acct_Original],Table5[Category])</f>
        <v>Low Savings</v>
      </c>
      <c r="R632" t="s">
        <v>41</v>
      </c>
      <c r="S632" s="2" t="str">
        <f>IF(
      OR(Table1[[#This Row],[Job_Type]] = "high qualif/self emp/mgmt", Table1[[#This Row],[Job_Type]] = "skilled"),
      "Skilled", "Unskilled")</f>
        <v>Skilled</v>
      </c>
      <c r="T632" t="str">
        <f>IF(Table1[[#This Row],[Job_Type]] = "unemp/unskilled non res", "Unemployed", "Employed")</f>
        <v>Employed</v>
      </c>
      <c r="U632" t="s">
        <v>45</v>
      </c>
      <c r="V632" s="14" t="str" cm="1">
        <f t="array" ref="V63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32" t="s">
        <v>31</v>
      </c>
      <c r="X632" s="2" t="str">
        <f>_xlfn.XLOOKUP(Table1[[#This Row],[Loan_Credit_History]],Table4[Credit History],Table4[[ Category]])</f>
        <v>Existing Credits Paid</v>
      </c>
      <c r="Y632" s="3">
        <v>2</v>
      </c>
      <c r="Z632" s="3">
        <v>1</v>
      </c>
      <c r="AA632" s="5">
        <v>1721</v>
      </c>
      <c r="AB632" t="s">
        <v>151</v>
      </c>
      <c r="AC632" s="2" t="str" cm="1">
        <f t="array" ref="AC632">_xlfn.IFS(Table1[[#This Row],[Others_Parties]] = "No", "None",
Table1[[#This Row],[Others_Parties]] = "co applicant", "Co-applicant",
Table1[[#This Row],[Others_Parties]] = "guarantor", "Guarantor")</f>
        <v>None</v>
      </c>
      <c r="AD632" s="13" t="s">
        <v>145</v>
      </c>
      <c r="AE632" s="2" t="s">
        <v>141</v>
      </c>
      <c r="AF632" s="28" t="str" cm="1">
        <f t="array" ref="AF63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32" s="21">
        <v>15</v>
      </c>
      <c r="AH632" s="2" t="s">
        <v>154</v>
      </c>
      <c r="AI632"/>
      <c r="AZ632"/>
      <c r="BC632"/>
      <c r="BE632"/>
      <c r="BL632"/>
      <c r="BZ632"/>
      <c r="CA632"/>
      <c r="CF632"/>
      <c r="CG632"/>
      <c r="CH632"/>
      <c r="CI632"/>
      <c r="CK632"/>
      <c r="CN632"/>
    </row>
    <row r="633" spans="1:92" x14ac:dyDescent="0.3">
      <c r="A633" s="4">
        <v>631</v>
      </c>
      <c r="B633" s="11">
        <v>26</v>
      </c>
      <c r="C633" s="2" t="str">
        <f>_xlfn.XLOOKUP(Table1[[#This Row],[Age]],Table7[Start_Age],Table7[Age_Range],,-1)</f>
        <v>19-29</v>
      </c>
      <c r="D633" t="s">
        <v>136</v>
      </c>
      <c r="E633" s="2" t="s">
        <v>131</v>
      </c>
      <c r="F633" s="2" t="s">
        <v>137</v>
      </c>
      <c r="G633" s="3">
        <v>1</v>
      </c>
      <c r="H633" s="13" t="s">
        <v>152</v>
      </c>
      <c r="I633" s="2" t="str" cm="1">
        <f t="array" ref="I633">_xlfn.IFS(Table1[[#This Row],[Job_Type]] = "unskilled resident", "Resident",
Table1[[#This Row],[Job_Type]] = "unemp/unskilled non res", "Non-resident",
TRUE, "Unknown")</f>
        <v>Non-resident</v>
      </c>
      <c r="J633" s="2" t="s">
        <v>149</v>
      </c>
      <c r="K633" s="3">
        <v>1</v>
      </c>
      <c r="L633" s="2" t="s">
        <v>144</v>
      </c>
      <c r="M633" s="13" t="s">
        <v>151</v>
      </c>
      <c r="N633" t="s">
        <v>30</v>
      </c>
      <c r="O633" s="2" t="str">
        <f>_xlfn.XLOOKUP(Table1[[#This Row],[Checking_Acct_Status]],Table3[Checking_Acct_Original],Table3[Category])</f>
        <v>Low Balance</v>
      </c>
      <c r="P633" s="10" t="s">
        <v>32</v>
      </c>
      <c r="Q633" s="13" t="str">
        <f>_xlfn.XLOOKUP(Table1[[#This Row],[Saving_Acct_Status]],Table5[Saving_Acct_Original],Table5[Category])</f>
        <v>Low Savings</v>
      </c>
      <c r="R633" t="s">
        <v>62</v>
      </c>
      <c r="S633" s="2" t="str">
        <f>IF(
      OR(Table1[[#This Row],[Job_Type]] = "high qualif/self emp/mgmt", Table1[[#This Row],[Job_Type]] = "skilled"),
      "Skilled", "Unskilled")</f>
        <v>Unskilled</v>
      </c>
      <c r="T633" t="str">
        <f>IF(Table1[[#This Row],[Job_Type]] = "unemp/unskilled non res", "Unemployed", "Employed")</f>
        <v>Unemployed</v>
      </c>
      <c r="U633" t="s">
        <v>45</v>
      </c>
      <c r="V633" s="14" t="str" cm="1">
        <f t="array" ref="V63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33" t="s">
        <v>52</v>
      </c>
      <c r="X633" s="2" t="str">
        <f>_xlfn.XLOOKUP(Table1[[#This Row],[Loan_Credit_History]],Table4[Credit History],Table4[[ Category]])</f>
        <v>No Credit History</v>
      </c>
      <c r="Y633" s="3">
        <v>2</v>
      </c>
      <c r="Z633" s="3">
        <v>2</v>
      </c>
      <c r="AA633" s="5">
        <v>1778</v>
      </c>
      <c r="AB633" t="s">
        <v>151</v>
      </c>
      <c r="AC633" s="2" t="str" cm="1">
        <f t="array" ref="AC633">_xlfn.IFS(Table1[[#This Row],[Others_Parties]] = "No", "None",
Table1[[#This Row],[Others_Parties]] = "co applicant", "Co-applicant",
Table1[[#This Row],[Others_Parties]] = "guarantor", "Guarantor")</f>
        <v>None</v>
      </c>
      <c r="AD633" s="13" t="s">
        <v>145</v>
      </c>
      <c r="AE633" s="2" t="s">
        <v>141</v>
      </c>
      <c r="AF633" s="28" t="str" cm="1">
        <f t="array" ref="AF63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33" s="21">
        <v>15</v>
      </c>
      <c r="AH633" s="2" t="s">
        <v>153</v>
      </c>
      <c r="AI633"/>
      <c r="AZ633"/>
      <c r="BC633"/>
      <c r="BE633"/>
      <c r="BL633"/>
      <c r="BZ633"/>
      <c r="CA633"/>
      <c r="CF633"/>
      <c r="CG633"/>
      <c r="CH633"/>
      <c r="CI633"/>
      <c r="CK633"/>
      <c r="CN633"/>
    </row>
    <row r="634" spans="1:92" x14ac:dyDescent="0.3">
      <c r="A634" s="4">
        <v>632</v>
      </c>
      <c r="B634" s="11">
        <v>46</v>
      </c>
      <c r="C634" s="2" t="str">
        <f>_xlfn.XLOOKUP(Table1[[#This Row],[Age]],Table7[Start_Age],Table7[Age_Range],,-1)</f>
        <v>39-49</v>
      </c>
      <c r="D634" t="s">
        <v>130</v>
      </c>
      <c r="E634" s="2" t="s">
        <v>129</v>
      </c>
      <c r="F634" s="2" t="s">
        <v>133</v>
      </c>
      <c r="G634" s="3">
        <v>1</v>
      </c>
      <c r="H634" s="13" t="s">
        <v>152</v>
      </c>
      <c r="I634" s="2" t="str" cm="1">
        <f t="array" ref="I634">_xlfn.IFS(Table1[[#This Row],[Job_Type]] = "unskilled resident", "Resident",
Table1[[#This Row],[Job_Type]] = "unemp/unskilled non res", "Non-resident",
TRUE, "Unknown")</f>
        <v>Unknown</v>
      </c>
      <c r="J634" s="2" t="s">
        <v>148</v>
      </c>
      <c r="K634" s="3">
        <v>4</v>
      </c>
      <c r="L634" s="2" t="s">
        <v>140</v>
      </c>
      <c r="M634" s="13" t="s">
        <v>152</v>
      </c>
      <c r="N634" t="s">
        <v>17</v>
      </c>
      <c r="O634" s="2" t="str">
        <f>_xlfn.XLOOKUP(Table1[[#This Row],[Checking_Acct_Status]],Table3[Checking_Acct_Original],Table3[Category])</f>
        <v>No Account</v>
      </c>
      <c r="P634" s="10" t="s">
        <v>32</v>
      </c>
      <c r="Q634" s="13" t="str">
        <f>_xlfn.XLOOKUP(Table1[[#This Row],[Saving_Acct_Status]],Table5[Saving_Acct_Original],Table5[Category])</f>
        <v>Low Savings</v>
      </c>
      <c r="R634" t="s">
        <v>41</v>
      </c>
      <c r="S634" s="2" t="str">
        <f>IF(
      OR(Table1[[#This Row],[Job_Type]] = "high qualif/self emp/mgmt", Table1[[#This Row],[Job_Type]] = "skilled"),
      "Skilled", "Unskilled")</f>
        <v>Skilled</v>
      </c>
      <c r="T634" t="str">
        <f>IF(Table1[[#This Row],[Job_Type]] = "unemp/unskilled non res", "Unemployed", "Employed")</f>
        <v>Employed</v>
      </c>
      <c r="U634" t="s">
        <v>38</v>
      </c>
      <c r="V634" s="14" t="str" cm="1">
        <f t="array" ref="V63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34" t="s">
        <v>103</v>
      </c>
      <c r="X634" s="2" t="str">
        <f>_xlfn.XLOOKUP(Table1[[#This Row],[Loan_Credit_History]],Table4[Credit History],Table4[[ Category]])</f>
        <v>Critical Credit History</v>
      </c>
      <c r="Y634" s="3">
        <v>4</v>
      </c>
      <c r="Z634" s="3">
        <v>2</v>
      </c>
      <c r="AA634" s="5">
        <v>1829</v>
      </c>
      <c r="AB634" t="s">
        <v>151</v>
      </c>
      <c r="AC634" s="2" t="str" cm="1">
        <f t="array" ref="AC634">_xlfn.IFS(Table1[[#This Row],[Others_Parties]] = "No", "None",
Table1[[#This Row],[Others_Parties]] = "co applicant", "Co-applicant",
Table1[[#This Row],[Others_Parties]] = "guarantor", "Guarantor")</f>
        <v>None</v>
      </c>
      <c r="AD634" s="13" t="s">
        <v>145</v>
      </c>
      <c r="AE634" s="2" t="s">
        <v>111</v>
      </c>
      <c r="AF634" s="28" t="str" cm="1">
        <f t="array" ref="AF63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34" s="21">
        <v>15</v>
      </c>
      <c r="AH634" s="2" t="s">
        <v>154</v>
      </c>
      <c r="AI634"/>
      <c r="AZ634"/>
      <c r="BC634"/>
      <c r="BE634"/>
      <c r="BL634"/>
      <c r="BZ634"/>
      <c r="CA634"/>
      <c r="CF634"/>
      <c r="CG634"/>
      <c r="CH634"/>
      <c r="CI634"/>
      <c r="CK634"/>
      <c r="CN634"/>
    </row>
    <row r="635" spans="1:92" x14ac:dyDescent="0.3">
      <c r="A635" s="4">
        <v>633</v>
      </c>
      <c r="B635" s="11">
        <v>46</v>
      </c>
      <c r="C635" s="2" t="str">
        <f>_xlfn.XLOOKUP(Table1[[#This Row],[Age]],Table7[Start_Age],Table7[Age_Range],,-1)</f>
        <v>39-49</v>
      </c>
      <c r="D635" t="s">
        <v>136</v>
      </c>
      <c r="E635" s="2" t="s">
        <v>131</v>
      </c>
      <c r="F635" s="2" t="s">
        <v>137</v>
      </c>
      <c r="G635" s="3">
        <v>1</v>
      </c>
      <c r="H635" s="13" t="s">
        <v>152</v>
      </c>
      <c r="I635" s="2" t="str" cm="1">
        <f t="array" ref="I635">_xlfn.IFS(Table1[[#This Row],[Job_Type]] = "unskilled resident", "Resident",
Table1[[#This Row],[Job_Type]] = "unemp/unskilled non res", "Non-resident",
TRUE, "Unknown")</f>
        <v>Unknown</v>
      </c>
      <c r="J635" s="2" t="s">
        <v>149</v>
      </c>
      <c r="K635" s="3">
        <v>1</v>
      </c>
      <c r="L635" s="2" t="s">
        <v>143</v>
      </c>
      <c r="M635" s="13" t="s">
        <v>151</v>
      </c>
      <c r="N635" t="s">
        <v>35</v>
      </c>
      <c r="O635" s="2" t="str">
        <f>_xlfn.XLOOKUP(Table1[[#This Row],[Checking_Acct_Status]],Table3[Checking_Acct_Original],Table3[Category])</f>
        <v>Negative Balance</v>
      </c>
      <c r="P635" s="10" t="s">
        <v>32</v>
      </c>
      <c r="Q635" s="13" t="str">
        <f>_xlfn.XLOOKUP(Table1[[#This Row],[Saving_Acct_Status]],Table5[Saving_Acct_Original],Table5[Category])</f>
        <v>Low Savings</v>
      </c>
      <c r="R635" t="s">
        <v>41</v>
      </c>
      <c r="S635" s="2" t="str">
        <f>IF(
      OR(Table1[[#This Row],[Job_Type]] = "high qualif/self emp/mgmt", Table1[[#This Row],[Job_Type]] = "skilled"),
      "Skilled", "Unskilled")</f>
        <v>Skilled</v>
      </c>
      <c r="T635" t="str">
        <f>IF(Table1[[#This Row],[Job_Type]] = "unemp/unskilled non res", "Unemployed", "Employed")</f>
        <v>Employed</v>
      </c>
      <c r="U635" t="s">
        <v>45</v>
      </c>
      <c r="V635" s="14" t="str" cm="1">
        <f t="array" ref="V63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35" t="s">
        <v>31</v>
      </c>
      <c r="X635" s="2" t="str">
        <f>_xlfn.XLOOKUP(Table1[[#This Row],[Loan_Credit_History]],Table4[Credit History],Table4[[ Category]])</f>
        <v>Existing Credits Paid</v>
      </c>
      <c r="Y635" s="3">
        <v>4</v>
      </c>
      <c r="Z635" s="3">
        <v>1</v>
      </c>
      <c r="AA635" s="5">
        <v>1845</v>
      </c>
      <c r="AB635" t="s">
        <v>58</v>
      </c>
      <c r="AC635" s="2" t="str" cm="1">
        <f t="array" ref="AC635">_xlfn.IFS(Table1[[#This Row],[Others_Parties]] = "No", "None",
Table1[[#This Row],[Others_Parties]] = "co applicant", "Co-applicant",
Table1[[#This Row],[Others_Parties]] = "guarantor", "Guarantor")</f>
        <v>Guarantor</v>
      </c>
      <c r="AD635" s="13" t="s">
        <v>145</v>
      </c>
      <c r="AE635" s="2" t="s">
        <v>108</v>
      </c>
      <c r="AF635" s="28" t="str" cm="1">
        <f t="array" ref="AF63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35" s="21">
        <v>15</v>
      </c>
      <c r="AH635" s="2" t="s">
        <v>154</v>
      </c>
      <c r="AI635"/>
      <c r="AZ635"/>
      <c r="BC635"/>
      <c r="BE635"/>
      <c r="BL635"/>
      <c r="BZ635"/>
      <c r="CA635"/>
      <c r="CF635"/>
      <c r="CG635"/>
      <c r="CH635"/>
      <c r="CI635"/>
      <c r="CK635"/>
      <c r="CN635"/>
    </row>
    <row r="636" spans="1:92" x14ac:dyDescent="0.3">
      <c r="A636" s="4">
        <v>634</v>
      </c>
      <c r="B636" s="11">
        <v>40</v>
      </c>
      <c r="C636" s="2" t="str">
        <f>_xlfn.XLOOKUP(Table1[[#This Row],[Age]],Table7[Start_Age],Table7[Age_Range],,-1)</f>
        <v>39-49</v>
      </c>
      <c r="D636" t="s">
        <v>130</v>
      </c>
      <c r="E636" s="2" t="s">
        <v>129</v>
      </c>
      <c r="F636" s="2" t="s">
        <v>133</v>
      </c>
      <c r="G636" s="3">
        <v>1</v>
      </c>
      <c r="H636" s="13" t="s">
        <v>152</v>
      </c>
      <c r="I636" s="2" t="str" cm="1">
        <f t="array" ref="I636">_xlfn.IFS(Table1[[#This Row],[Job_Type]] = "unskilled resident", "Resident",
Table1[[#This Row],[Job_Type]] = "unemp/unskilled non res", "Non-resident",
TRUE, "Unknown")</f>
        <v>Unknown</v>
      </c>
      <c r="J636" s="2" t="s">
        <v>149</v>
      </c>
      <c r="K636" s="3">
        <v>4</v>
      </c>
      <c r="L636" s="2" t="s">
        <v>140</v>
      </c>
      <c r="M636" s="13" t="s">
        <v>152</v>
      </c>
      <c r="N636" t="s">
        <v>50</v>
      </c>
      <c r="O636" s="2" t="str">
        <f>_xlfn.XLOOKUP(Table1[[#This Row],[Checking_Acct_Status]],Table3[Checking_Acct_Original],Table3[Category])</f>
        <v>High Balance</v>
      </c>
      <c r="P636" s="10" t="s">
        <v>32</v>
      </c>
      <c r="Q636" s="13" t="str">
        <f>_xlfn.XLOOKUP(Table1[[#This Row],[Saving_Acct_Status]],Table5[Saving_Acct_Original],Table5[Category])</f>
        <v>Low Savings</v>
      </c>
      <c r="R636" t="s">
        <v>63</v>
      </c>
      <c r="S636" s="2" t="str">
        <f>IF(
      OR(Table1[[#This Row],[Job_Type]] = "high qualif/self emp/mgmt", Table1[[#This Row],[Job_Type]] = "skilled"),
      "Skilled", "Unskilled")</f>
        <v>Skilled</v>
      </c>
      <c r="T636" t="str">
        <f>IF(Table1[[#This Row],[Job_Type]] = "unemp/unskilled non res", "Unemployed", "Employed")</f>
        <v>Employed</v>
      </c>
      <c r="U636" t="s">
        <v>38</v>
      </c>
      <c r="V636" s="14" t="str" cm="1">
        <f t="array" ref="V63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36" t="s">
        <v>31</v>
      </c>
      <c r="X636" s="2" t="str">
        <f>_xlfn.XLOOKUP(Table1[[#This Row],[Loan_Credit_History]],Table4[Credit History],Table4[[ Category]])</f>
        <v>Existing Credits Paid</v>
      </c>
      <c r="Y636" s="3">
        <v>4</v>
      </c>
      <c r="Z636" s="3">
        <v>1</v>
      </c>
      <c r="AA636" s="5">
        <v>1905</v>
      </c>
      <c r="AB636" t="s">
        <v>151</v>
      </c>
      <c r="AC636" s="2" t="str" cm="1">
        <f t="array" ref="AC636">_xlfn.IFS(Table1[[#This Row],[Others_Parties]] = "No", "None",
Table1[[#This Row],[Others_Parties]] = "co applicant", "Co-applicant",
Table1[[#This Row],[Others_Parties]] = "guarantor", "Guarantor")</f>
        <v>None</v>
      </c>
      <c r="AD636" s="13" t="s">
        <v>145</v>
      </c>
      <c r="AE636" s="2" t="s">
        <v>100</v>
      </c>
      <c r="AF636" s="28" t="str" cm="1">
        <f t="array" ref="AF63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36" s="21">
        <v>15</v>
      </c>
      <c r="AH636" s="2" t="s">
        <v>154</v>
      </c>
      <c r="AI636"/>
      <c r="AZ636"/>
      <c r="BC636"/>
      <c r="BE636"/>
      <c r="BL636"/>
      <c r="BZ636"/>
      <c r="CA636"/>
      <c r="CF636"/>
      <c r="CG636"/>
      <c r="CH636"/>
      <c r="CI636"/>
      <c r="CK636"/>
      <c r="CN636"/>
    </row>
    <row r="637" spans="1:92" x14ac:dyDescent="0.3">
      <c r="A637" s="4">
        <v>635</v>
      </c>
      <c r="B637" s="11">
        <v>35</v>
      </c>
      <c r="C637" s="2" t="str">
        <f>_xlfn.XLOOKUP(Table1[[#This Row],[Age]],Table7[Start_Age],Table7[Age_Range],,-1)</f>
        <v>29-39</v>
      </c>
      <c r="D637" t="s">
        <v>130</v>
      </c>
      <c r="E637" s="2" t="s">
        <v>129</v>
      </c>
      <c r="F637" s="2" t="s">
        <v>133</v>
      </c>
      <c r="G637" s="3">
        <v>1</v>
      </c>
      <c r="H637" s="13" t="s">
        <v>152</v>
      </c>
      <c r="I637" s="2" t="str" cm="1">
        <f t="array" ref="I637">_xlfn.IFS(Table1[[#This Row],[Job_Type]] = "unskilled resident", "Resident",
Table1[[#This Row],[Job_Type]] = "unemp/unskilled non res", "Non-resident",
TRUE, "Unknown")</f>
        <v>Unknown</v>
      </c>
      <c r="J637" s="2" t="s">
        <v>148</v>
      </c>
      <c r="K637" s="3">
        <v>2</v>
      </c>
      <c r="L637" s="2" t="s">
        <v>140</v>
      </c>
      <c r="M637" s="13" t="s">
        <v>151</v>
      </c>
      <c r="N637" t="s">
        <v>17</v>
      </c>
      <c r="O637" s="2" t="str">
        <f>_xlfn.XLOOKUP(Table1[[#This Row],[Checking_Acct_Status]],Table3[Checking_Acct_Original],Table3[Category])</f>
        <v>No Account</v>
      </c>
      <c r="P637" s="10" t="s">
        <v>47</v>
      </c>
      <c r="Q637" s="13" t="str">
        <f>_xlfn.XLOOKUP(Table1[[#This Row],[Saving_Acct_Status]],Table5[Saving_Acct_Original],Table5[Category])</f>
        <v>No Savings</v>
      </c>
      <c r="R637" t="s">
        <v>41</v>
      </c>
      <c r="S637" s="2" t="str">
        <f>IF(
      OR(Table1[[#This Row],[Job_Type]] = "high qualif/self emp/mgmt", Table1[[#This Row],[Job_Type]] = "skilled"),
      "Skilled", "Unskilled")</f>
        <v>Skilled</v>
      </c>
      <c r="T637" t="str">
        <f>IF(Table1[[#This Row],[Job_Type]] = "unemp/unskilled non res", "Unemployed", "Employed")</f>
        <v>Employed</v>
      </c>
      <c r="U637" t="s">
        <v>38</v>
      </c>
      <c r="V637" s="14" t="str" cm="1">
        <f t="array" ref="V63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37" t="s">
        <v>31</v>
      </c>
      <c r="X637" s="2" t="str">
        <f>_xlfn.XLOOKUP(Table1[[#This Row],[Loan_Credit_History]],Table4[Credit History],Table4[[ Category]])</f>
        <v>Existing Credits Paid</v>
      </c>
      <c r="Y637" s="3">
        <v>4</v>
      </c>
      <c r="Z637" s="3">
        <v>1</v>
      </c>
      <c r="AA637" s="5">
        <v>1979</v>
      </c>
      <c r="AB637" t="s">
        <v>151</v>
      </c>
      <c r="AC637" s="2" t="str" cm="1">
        <f t="array" ref="AC637">_xlfn.IFS(Table1[[#This Row],[Others_Parties]] = "No", "None",
Table1[[#This Row],[Others_Parties]] = "co applicant", "Co-applicant",
Table1[[#This Row],[Others_Parties]] = "guarantor", "Guarantor")</f>
        <v>None</v>
      </c>
      <c r="AD637" s="13" t="s">
        <v>145</v>
      </c>
      <c r="AE637" s="2" t="s">
        <v>111</v>
      </c>
      <c r="AF637" s="28" t="str" cm="1">
        <f t="array" ref="AF63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37" s="21">
        <v>15</v>
      </c>
      <c r="AH637" s="2" t="s">
        <v>154</v>
      </c>
      <c r="AI637"/>
      <c r="AZ637"/>
      <c r="BC637"/>
      <c r="BE637"/>
      <c r="BL637"/>
      <c r="BZ637"/>
      <c r="CA637"/>
      <c r="CF637"/>
      <c r="CG637"/>
      <c r="CH637"/>
      <c r="CI637"/>
      <c r="CK637"/>
      <c r="CN637"/>
    </row>
    <row r="638" spans="1:92" x14ac:dyDescent="0.3">
      <c r="A638" s="4">
        <v>636</v>
      </c>
      <c r="B638" s="11">
        <v>33</v>
      </c>
      <c r="C638" s="2" t="str">
        <f>_xlfn.XLOOKUP(Table1[[#This Row],[Age]],Table7[Start_Age],Table7[Age_Range],,-1)</f>
        <v>29-39</v>
      </c>
      <c r="D638" t="s">
        <v>136</v>
      </c>
      <c r="E638" s="2" t="s">
        <v>131</v>
      </c>
      <c r="F638" s="2" t="s">
        <v>137</v>
      </c>
      <c r="G638" s="3">
        <v>1</v>
      </c>
      <c r="H638" s="13" t="s">
        <v>152</v>
      </c>
      <c r="I638" s="2" t="str" cm="1">
        <f t="array" ref="I638">_xlfn.IFS(Table1[[#This Row],[Job_Type]] = "unskilled resident", "Resident",
Table1[[#This Row],[Job_Type]] = "unemp/unskilled non res", "Non-resident",
TRUE, "Unknown")</f>
        <v>Resident</v>
      </c>
      <c r="J638" s="2" t="s">
        <v>149</v>
      </c>
      <c r="K638" s="3">
        <v>4</v>
      </c>
      <c r="L638" s="2" t="s">
        <v>144</v>
      </c>
      <c r="M638" s="13" t="s">
        <v>151</v>
      </c>
      <c r="N638" t="s">
        <v>17</v>
      </c>
      <c r="O638" s="2" t="str">
        <f>_xlfn.XLOOKUP(Table1[[#This Row],[Checking_Acct_Status]],Table3[Checking_Acct_Original],Table3[Category])</f>
        <v>No Account</v>
      </c>
      <c r="P638" s="10" t="s">
        <v>47</v>
      </c>
      <c r="Q638" s="13" t="str">
        <f>_xlfn.XLOOKUP(Table1[[#This Row],[Saving_Acct_Status]],Table5[Saving_Acct_Original],Table5[Category])</f>
        <v>No Savings</v>
      </c>
      <c r="R638" t="s">
        <v>27</v>
      </c>
      <c r="S638" s="2" t="str">
        <f>IF(
      OR(Table1[[#This Row],[Job_Type]] = "high qualif/self emp/mgmt", Table1[[#This Row],[Job_Type]] = "skilled"),
      "Skilled", "Unskilled")</f>
        <v>Unskilled</v>
      </c>
      <c r="T638" t="str">
        <f>IF(Table1[[#This Row],[Job_Type]] = "unemp/unskilled non res", "Unemployed", "Employed")</f>
        <v>Employed</v>
      </c>
      <c r="U638" t="s">
        <v>49</v>
      </c>
      <c r="V638" s="14" t="str" cm="1">
        <f t="array" ref="V63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38" t="s">
        <v>31</v>
      </c>
      <c r="X638" s="2" t="str">
        <f>_xlfn.XLOOKUP(Table1[[#This Row],[Loan_Credit_History]],Table4[Credit History],Table4[[ Category]])</f>
        <v>Existing Credits Paid</v>
      </c>
      <c r="Y638" s="3">
        <v>1</v>
      </c>
      <c r="Z638" s="3">
        <v>1</v>
      </c>
      <c r="AA638" s="5">
        <v>2186</v>
      </c>
      <c r="AB638" t="s">
        <v>151</v>
      </c>
      <c r="AC638" s="2" t="str" cm="1">
        <f t="array" ref="AC638">_xlfn.IFS(Table1[[#This Row],[Others_Parties]] = "No", "None",
Table1[[#This Row],[Others_Parties]] = "co applicant", "Co-applicant",
Table1[[#This Row],[Others_Parties]] = "guarantor", "Guarantor")</f>
        <v>None</v>
      </c>
      <c r="AD638" s="13" t="s">
        <v>146</v>
      </c>
      <c r="AE638" s="2" t="s">
        <v>108</v>
      </c>
      <c r="AF638" s="28" t="str" cm="1">
        <f t="array" ref="AF63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38" s="21">
        <v>15</v>
      </c>
      <c r="AH638" s="2" t="s">
        <v>154</v>
      </c>
      <c r="AI638"/>
      <c r="AZ638"/>
      <c r="BC638"/>
      <c r="BE638"/>
      <c r="BL638"/>
      <c r="BZ638"/>
      <c r="CA638"/>
      <c r="CF638"/>
      <c r="CG638"/>
      <c r="CH638"/>
      <c r="CI638"/>
      <c r="CK638"/>
      <c r="CN638"/>
    </row>
    <row r="639" spans="1:92" x14ac:dyDescent="0.3">
      <c r="A639" s="4">
        <v>637</v>
      </c>
      <c r="B639" s="11">
        <v>20</v>
      </c>
      <c r="C639" s="2" t="str">
        <f>_xlfn.XLOOKUP(Table1[[#This Row],[Age]],Table7[Start_Age],Table7[Age_Range],,-1)</f>
        <v>19-29</v>
      </c>
      <c r="D639" t="s">
        <v>136</v>
      </c>
      <c r="E639" s="2" t="s">
        <v>131</v>
      </c>
      <c r="F639" s="2" t="s">
        <v>137</v>
      </c>
      <c r="G639" s="3">
        <v>1</v>
      </c>
      <c r="H639" s="13" t="s">
        <v>152</v>
      </c>
      <c r="I639" s="2" t="str" cm="1">
        <f t="array" ref="I639">_xlfn.IFS(Table1[[#This Row],[Job_Type]] = "unskilled resident", "Resident",
Table1[[#This Row],[Job_Type]] = "unemp/unskilled non res", "Non-resident",
TRUE, "Unknown")</f>
        <v>Unknown</v>
      </c>
      <c r="J639" s="2" t="s">
        <v>149</v>
      </c>
      <c r="K639" s="3">
        <v>4</v>
      </c>
      <c r="L639" s="2" t="s">
        <v>140</v>
      </c>
      <c r="M639" s="13" t="s">
        <v>151</v>
      </c>
      <c r="N639" t="s">
        <v>17</v>
      </c>
      <c r="O639" s="2" t="str">
        <f>_xlfn.XLOOKUP(Table1[[#This Row],[Checking_Acct_Status]],Table3[Checking_Acct_Original],Table3[Category])</f>
        <v>No Account</v>
      </c>
      <c r="P639" s="10" t="s">
        <v>37</v>
      </c>
      <c r="Q639" s="13" t="str">
        <f>_xlfn.XLOOKUP(Table1[[#This Row],[Saving_Acct_Status]],Table5[Saving_Acct_Original],Table5[Category])</f>
        <v>High Savings</v>
      </c>
      <c r="R639" t="s">
        <v>41</v>
      </c>
      <c r="S639" s="2" t="str">
        <f>IF(
      OR(Table1[[#This Row],[Job_Type]] = "high qualif/self emp/mgmt", Table1[[#This Row],[Job_Type]] = "skilled"),
      "Skilled", "Unskilled")</f>
        <v>Skilled</v>
      </c>
      <c r="T639" t="str">
        <f>IF(Table1[[#This Row],[Job_Type]] = "unemp/unskilled non res", "Unemployed", "Employed")</f>
        <v>Employed</v>
      </c>
      <c r="U639" t="s">
        <v>21</v>
      </c>
      <c r="V639" s="14" t="str" cm="1">
        <f t="array" ref="V63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39" t="s">
        <v>31</v>
      </c>
      <c r="X639" s="2" t="str">
        <f>_xlfn.XLOOKUP(Table1[[#This Row],[Loan_Credit_History]],Table4[Credit History],Table4[[ Category]])</f>
        <v>Existing Credits Paid</v>
      </c>
      <c r="Y639" s="3">
        <v>2</v>
      </c>
      <c r="Z639" s="3">
        <v>1</v>
      </c>
      <c r="AA639" s="5">
        <v>2221</v>
      </c>
      <c r="AB639" t="s">
        <v>151</v>
      </c>
      <c r="AC639" s="2" t="str" cm="1">
        <f t="array" ref="AC639">_xlfn.IFS(Table1[[#This Row],[Others_Parties]] = "No", "None",
Table1[[#This Row],[Others_Parties]] = "co applicant", "Co-applicant",
Table1[[#This Row],[Others_Parties]] = "guarantor", "Guarantor")</f>
        <v>None</v>
      </c>
      <c r="AD639" s="13" t="s">
        <v>145</v>
      </c>
      <c r="AE639" s="2" t="s">
        <v>108</v>
      </c>
      <c r="AF639" s="28" t="str" cm="1">
        <f t="array" ref="AF63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39" s="21">
        <v>15</v>
      </c>
      <c r="AH639" s="2" t="s">
        <v>154</v>
      </c>
      <c r="AI639"/>
      <c r="AZ639"/>
      <c r="BC639"/>
      <c r="BE639"/>
      <c r="BL639"/>
      <c r="BZ639"/>
      <c r="CA639"/>
      <c r="CF639"/>
      <c r="CG639"/>
      <c r="CH639"/>
      <c r="CI639"/>
      <c r="CK639"/>
      <c r="CN639"/>
    </row>
    <row r="640" spans="1:92" x14ac:dyDescent="0.3">
      <c r="A640" s="4">
        <v>638</v>
      </c>
      <c r="B640" s="11">
        <v>27</v>
      </c>
      <c r="C640" s="2" t="str">
        <f>_xlfn.XLOOKUP(Table1[[#This Row],[Age]],Table7[Start_Age],Table7[Age_Range],,-1)</f>
        <v>19-29</v>
      </c>
      <c r="D640" t="s">
        <v>130</v>
      </c>
      <c r="E640" s="2" t="s">
        <v>129</v>
      </c>
      <c r="F640" s="2" t="s">
        <v>133</v>
      </c>
      <c r="G640" s="3">
        <v>1</v>
      </c>
      <c r="H640" s="13" t="s">
        <v>152</v>
      </c>
      <c r="I640" s="2" t="str" cm="1">
        <f t="array" ref="I640">_xlfn.IFS(Table1[[#This Row],[Job_Type]] = "unskilled resident", "Resident",
Table1[[#This Row],[Job_Type]] = "unemp/unskilled non res", "Non-resident",
TRUE, "Unknown")</f>
        <v>Unknown</v>
      </c>
      <c r="J640" s="2" t="s">
        <v>148</v>
      </c>
      <c r="K640" s="3">
        <v>4</v>
      </c>
      <c r="L640" s="2" t="s">
        <v>140</v>
      </c>
      <c r="M640" s="13" t="s">
        <v>151</v>
      </c>
      <c r="N640" t="s">
        <v>30</v>
      </c>
      <c r="O640" s="2" t="str">
        <f>_xlfn.XLOOKUP(Table1[[#This Row],[Checking_Acct_Status]],Table3[Checking_Acct_Original],Table3[Category])</f>
        <v>Low Balance</v>
      </c>
      <c r="P640" s="10" t="s">
        <v>37</v>
      </c>
      <c r="Q640" s="13" t="str">
        <f>_xlfn.XLOOKUP(Table1[[#This Row],[Saving_Acct_Status]],Table5[Saving_Acct_Original],Table5[Category])</f>
        <v>High Savings</v>
      </c>
      <c r="R640" t="s">
        <v>41</v>
      </c>
      <c r="S640" s="2" t="str">
        <f>IF(
      OR(Table1[[#This Row],[Job_Type]] = "high qualif/self emp/mgmt", Table1[[#This Row],[Job_Type]] = "skilled"),
      "Skilled", "Unskilled")</f>
        <v>Skilled</v>
      </c>
      <c r="T640" t="str">
        <f>IF(Table1[[#This Row],[Job_Type]] = "unemp/unskilled non res", "Unemployed", "Employed")</f>
        <v>Employed</v>
      </c>
      <c r="U640" t="s">
        <v>21</v>
      </c>
      <c r="V640" s="14" t="str" cm="1">
        <f t="array" ref="V64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40" t="s">
        <v>103</v>
      </c>
      <c r="X640" s="2" t="str">
        <f>_xlfn.XLOOKUP(Table1[[#This Row],[Loan_Credit_History]],Table4[Credit History],Table4[[ Category]])</f>
        <v>Critical Credit History</v>
      </c>
      <c r="Y640" s="3">
        <v>2</v>
      </c>
      <c r="Z640" s="3">
        <v>1</v>
      </c>
      <c r="AA640" s="5">
        <v>2326</v>
      </c>
      <c r="AB640" t="s">
        <v>151</v>
      </c>
      <c r="AC640" s="2" t="str" cm="1">
        <f t="array" ref="AC640">_xlfn.IFS(Table1[[#This Row],[Others_Parties]] = "No", "None",
Table1[[#This Row],[Others_Parties]] = "co applicant", "Co-applicant",
Table1[[#This Row],[Others_Parties]] = "guarantor", "Guarantor")</f>
        <v>None</v>
      </c>
      <c r="AD640" s="13" t="s">
        <v>146</v>
      </c>
      <c r="AE640" s="2" t="s">
        <v>105</v>
      </c>
      <c r="AF640" s="28" t="str" cm="1">
        <f t="array" ref="AF64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40" s="21">
        <v>15</v>
      </c>
      <c r="AH640" s="2" t="s">
        <v>154</v>
      </c>
      <c r="AI640"/>
      <c r="AZ640"/>
      <c r="BC640"/>
      <c r="BE640"/>
      <c r="BL640"/>
      <c r="BZ640"/>
      <c r="CA640"/>
      <c r="CF640"/>
      <c r="CG640"/>
      <c r="CH640"/>
      <c r="CI640"/>
      <c r="CK640"/>
      <c r="CN640"/>
    </row>
    <row r="641" spans="1:92" x14ac:dyDescent="0.3">
      <c r="A641" s="4">
        <v>639</v>
      </c>
      <c r="B641" s="11">
        <v>25</v>
      </c>
      <c r="C641" s="2" t="str">
        <f>_xlfn.XLOOKUP(Table1[[#This Row],[Age]],Table7[Start_Age],Table7[Age_Range],,-1)</f>
        <v>19-29</v>
      </c>
      <c r="D641" t="s">
        <v>136</v>
      </c>
      <c r="E641" s="2" t="s">
        <v>131</v>
      </c>
      <c r="F641" s="2" t="s">
        <v>137</v>
      </c>
      <c r="G641" s="3">
        <v>1</v>
      </c>
      <c r="H641" s="13" t="s">
        <v>152</v>
      </c>
      <c r="I641" s="2" t="str" cm="1">
        <f t="array" ref="I641">_xlfn.IFS(Table1[[#This Row],[Job_Type]] = "unskilled resident", "Resident",
Table1[[#This Row],[Job_Type]] = "unemp/unskilled non res", "Non-resident",
TRUE, "Unknown")</f>
        <v>Resident</v>
      </c>
      <c r="J641" s="2" t="s">
        <v>148</v>
      </c>
      <c r="K641" s="3">
        <v>3</v>
      </c>
      <c r="L641" s="2" t="s">
        <v>144</v>
      </c>
      <c r="M641" s="13" t="s">
        <v>151</v>
      </c>
      <c r="N641" t="s">
        <v>50</v>
      </c>
      <c r="O641" s="2" t="str">
        <f>_xlfn.XLOOKUP(Table1[[#This Row],[Checking_Acct_Status]],Table3[Checking_Acct_Original],Table3[Category])</f>
        <v>High Balance</v>
      </c>
      <c r="P641" s="10" t="s">
        <v>32</v>
      </c>
      <c r="Q641" s="13" t="str">
        <f>_xlfn.XLOOKUP(Table1[[#This Row],[Saving_Acct_Status]],Table5[Saving_Acct_Original],Table5[Category])</f>
        <v>Low Savings</v>
      </c>
      <c r="R641" t="s">
        <v>27</v>
      </c>
      <c r="S641" s="2" t="str">
        <f>IF(
      OR(Table1[[#This Row],[Job_Type]] = "high qualif/self emp/mgmt", Table1[[#This Row],[Job_Type]] = "skilled"),
      "Skilled", "Unskilled")</f>
        <v>Unskilled</v>
      </c>
      <c r="T641" t="str">
        <f>IF(Table1[[#This Row],[Job_Type]] = "unemp/unskilled non res", "Unemployed", "Employed")</f>
        <v>Employed</v>
      </c>
      <c r="U641" t="s">
        <v>45</v>
      </c>
      <c r="V641" s="14" t="str" cm="1">
        <f t="array" ref="V64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41" t="s">
        <v>31</v>
      </c>
      <c r="X641" s="2" t="str">
        <f>_xlfn.XLOOKUP(Table1[[#This Row],[Loan_Credit_History]],Table4[Credit History],Table4[[ Category]])</f>
        <v>Existing Credits Paid</v>
      </c>
      <c r="Y641" s="3">
        <v>2</v>
      </c>
      <c r="Z641" s="3">
        <v>1</v>
      </c>
      <c r="AA641" s="5">
        <v>2327</v>
      </c>
      <c r="AB641" t="s">
        <v>151</v>
      </c>
      <c r="AC641" s="2" t="str" cm="1">
        <f t="array" ref="AC641">_xlfn.IFS(Table1[[#This Row],[Others_Parties]] = "No", "None",
Table1[[#This Row],[Others_Parties]] = "co applicant", "Co-applicant",
Table1[[#This Row],[Others_Parties]] = "guarantor", "Guarantor")</f>
        <v>None</v>
      </c>
      <c r="AD641" s="13" t="s">
        <v>145</v>
      </c>
      <c r="AE641" s="2" t="s">
        <v>111</v>
      </c>
      <c r="AF641" s="28" t="str" cm="1">
        <f t="array" ref="AF64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41" s="21">
        <v>15</v>
      </c>
      <c r="AH641" s="2" t="s">
        <v>153</v>
      </c>
      <c r="AI641"/>
      <c r="AZ641"/>
      <c r="BC641"/>
      <c r="BE641"/>
      <c r="BL641"/>
      <c r="BZ641"/>
      <c r="CA641"/>
      <c r="CF641"/>
      <c r="CG641"/>
      <c r="CH641"/>
      <c r="CI641"/>
      <c r="CK641"/>
      <c r="CN641"/>
    </row>
    <row r="642" spans="1:92" x14ac:dyDescent="0.3">
      <c r="A642" s="4">
        <v>640</v>
      </c>
      <c r="B642" s="11">
        <v>36</v>
      </c>
      <c r="C642" s="2" t="str">
        <f>_xlfn.XLOOKUP(Table1[[#This Row],[Age]],Table7[Start_Age],Table7[Age_Range],,-1)</f>
        <v>29-39</v>
      </c>
      <c r="D642" t="s">
        <v>130</v>
      </c>
      <c r="E642" s="2" t="s">
        <v>129</v>
      </c>
      <c r="F642" s="2" t="s">
        <v>133</v>
      </c>
      <c r="G642" s="3">
        <v>1</v>
      </c>
      <c r="H642" s="13" t="s">
        <v>152</v>
      </c>
      <c r="I642" s="2" t="str" cm="1">
        <f t="array" ref="I642">_xlfn.IFS(Table1[[#This Row],[Job_Type]] = "unskilled resident", "Resident",
Table1[[#This Row],[Job_Type]] = "unemp/unskilled non res", "Non-resident",
TRUE, "Unknown")</f>
        <v>Unknown</v>
      </c>
      <c r="J642" s="2" t="s">
        <v>148</v>
      </c>
      <c r="K642" s="3">
        <v>2</v>
      </c>
      <c r="L642" s="2" t="s">
        <v>140</v>
      </c>
      <c r="M642" s="13" t="s">
        <v>152</v>
      </c>
      <c r="N642" t="s">
        <v>50</v>
      </c>
      <c r="O642" s="2" t="str">
        <f>_xlfn.XLOOKUP(Table1[[#This Row],[Checking_Acct_Status]],Table3[Checking_Acct_Original],Table3[Category])</f>
        <v>High Balance</v>
      </c>
      <c r="P642" s="10" t="s">
        <v>37</v>
      </c>
      <c r="Q642" s="13" t="str">
        <f>_xlfn.XLOOKUP(Table1[[#This Row],[Saving_Acct_Status]],Table5[Saving_Acct_Original],Table5[Category])</f>
        <v>High Savings</v>
      </c>
      <c r="R642" t="s">
        <v>41</v>
      </c>
      <c r="S642" s="2" t="str">
        <f>IF(
      OR(Table1[[#This Row],[Job_Type]] = "high qualif/self emp/mgmt", Table1[[#This Row],[Job_Type]] = "skilled"),
      "Skilled", "Unskilled")</f>
        <v>Skilled</v>
      </c>
      <c r="T642" t="str">
        <f>IF(Table1[[#This Row],[Job_Type]] = "unemp/unskilled non res", "Unemployed", "Employed")</f>
        <v>Employed</v>
      </c>
      <c r="U642" t="s">
        <v>21</v>
      </c>
      <c r="V642" s="14" t="str" cm="1">
        <f t="array" ref="V64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42" t="s">
        <v>103</v>
      </c>
      <c r="X642" s="2" t="str">
        <f>_xlfn.XLOOKUP(Table1[[#This Row],[Loan_Credit_History]],Table4[Credit History],Table4[[ Category]])</f>
        <v>Critical Credit History</v>
      </c>
      <c r="Y642" s="3">
        <v>2</v>
      </c>
      <c r="Z642" s="3">
        <v>1</v>
      </c>
      <c r="AA642" s="5">
        <v>2360</v>
      </c>
      <c r="AB642" t="s">
        <v>151</v>
      </c>
      <c r="AC642" s="2" t="str" cm="1">
        <f t="array" ref="AC642">_xlfn.IFS(Table1[[#This Row],[Others_Parties]] = "No", "None",
Table1[[#This Row],[Others_Parties]] = "co applicant", "Co-applicant",
Table1[[#This Row],[Others_Parties]] = "guarantor", "Guarantor")</f>
        <v>None</v>
      </c>
      <c r="AD642" s="13" t="s">
        <v>145</v>
      </c>
      <c r="AE642" s="2" t="s">
        <v>107</v>
      </c>
      <c r="AF642" s="28" t="str" cm="1">
        <f t="array" ref="AF64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42" s="21">
        <v>15</v>
      </c>
      <c r="AH642" s="2" t="s">
        <v>154</v>
      </c>
      <c r="AI642"/>
      <c r="AZ642"/>
      <c r="BC642"/>
      <c r="BE642"/>
      <c r="BL642"/>
      <c r="BZ642"/>
      <c r="CA642"/>
      <c r="CF642"/>
      <c r="CG642"/>
      <c r="CH642"/>
      <c r="CI642"/>
      <c r="CK642"/>
      <c r="CN642"/>
    </row>
    <row r="643" spans="1:92" x14ac:dyDescent="0.3">
      <c r="A643" s="4">
        <v>641</v>
      </c>
      <c r="B643" s="11">
        <v>23</v>
      </c>
      <c r="C643" s="2" t="str">
        <f>_xlfn.XLOOKUP(Table1[[#This Row],[Age]],Table7[Start_Age],Table7[Age_Range],,-1)</f>
        <v>19-29</v>
      </c>
      <c r="D643" t="s">
        <v>136</v>
      </c>
      <c r="E643" s="2" t="s">
        <v>131</v>
      </c>
      <c r="F643" s="2" t="s">
        <v>137</v>
      </c>
      <c r="G643" s="3">
        <v>1</v>
      </c>
      <c r="H643" s="13" t="s">
        <v>152</v>
      </c>
      <c r="I643" s="2" t="str" cm="1">
        <f t="array" ref="I643">_xlfn.IFS(Table1[[#This Row],[Job_Type]] = "unskilled resident", "Resident",
Table1[[#This Row],[Job_Type]] = "unemp/unskilled non res", "Non-resident",
TRUE, "Unknown")</f>
        <v>Unknown</v>
      </c>
      <c r="J643" s="2" t="s">
        <v>149</v>
      </c>
      <c r="K643" s="3">
        <v>4</v>
      </c>
      <c r="L643" s="2" t="s">
        <v>140</v>
      </c>
      <c r="M643" s="13" t="s">
        <v>151</v>
      </c>
      <c r="N643" t="s">
        <v>35</v>
      </c>
      <c r="O643" s="2" t="str">
        <f>_xlfn.XLOOKUP(Table1[[#This Row],[Checking_Acct_Status]],Table3[Checking_Acct_Original],Table3[Category])</f>
        <v>Negative Balance</v>
      </c>
      <c r="P643" s="10" t="s">
        <v>32</v>
      </c>
      <c r="Q643" s="13" t="str">
        <f>_xlfn.XLOOKUP(Table1[[#This Row],[Saving_Acct_Status]],Table5[Saving_Acct_Original],Table5[Category])</f>
        <v>Low Savings</v>
      </c>
      <c r="R643" t="s">
        <v>41</v>
      </c>
      <c r="S643" s="2" t="str">
        <f>IF(
      OR(Table1[[#This Row],[Job_Type]] = "high qualif/self emp/mgmt", Table1[[#This Row],[Job_Type]] = "skilled"),
      "Skilled", "Unskilled")</f>
        <v>Skilled</v>
      </c>
      <c r="T643" t="str">
        <f>IF(Table1[[#This Row],[Job_Type]] = "unemp/unskilled non res", "Unemployed", "Employed")</f>
        <v>Employed</v>
      </c>
      <c r="U643" t="s">
        <v>54</v>
      </c>
      <c r="V643" s="14" t="str" cm="1">
        <f t="array" ref="V643">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643" t="s">
        <v>31</v>
      </c>
      <c r="X643" s="2" t="str">
        <f>_xlfn.XLOOKUP(Table1[[#This Row],[Loan_Credit_History]],Table4[Credit History],Table4[[ Category]])</f>
        <v>Existing Credits Paid</v>
      </c>
      <c r="Y643" s="3">
        <v>1</v>
      </c>
      <c r="Z643" s="3">
        <v>1</v>
      </c>
      <c r="AA643" s="5">
        <v>2511</v>
      </c>
      <c r="AB643" t="s">
        <v>151</v>
      </c>
      <c r="AC643" s="2" t="str" cm="1">
        <f t="array" ref="AC643">_xlfn.IFS(Table1[[#This Row],[Others_Parties]] = "No", "None",
Table1[[#This Row],[Others_Parties]] = "co applicant", "Co-applicant",
Table1[[#This Row],[Others_Parties]] = "guarantor", "Guarantor")</f>
        <v>None</v>
      </c>
      <c r="AD643" s="13" t="s">
        <v>145</v>
      </c>
      <c r="AE643" s="2" t="s">
        <v>141</v>
      </c>
      <c r="AF643" s="28" t="str" cm="1">
        <f t="array" ref="AF64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43" s="21">
        <v>15</v>
      </c>
      <c r="AH643" s="2" t="s">
        <v>154</v>
      </c>
      <c r="AI643"/>
      <c r="AZ643"/>
      <c r="BC643"/>
      <c r="BE643"/>
      <c r="BL643"/>
      <c r="BZ643"/>
      <c r="CA643"/>
      <c r="CF643"/>
      <c r="CG643"/>
      <c r="CH643"/>
      <c r="CI643"/>
      <c r="CK643"/>
      <c r="CN643"/>
    </row>
    <row r="644" spans="1:92" x14ac:dyDescent="0.3">
      <c r="A644" s="4">
        <v>642</v>
      </c>
      <c r="B644" s="11">
        <v>28</v>
      </c>
      <c r="C644" s="2" t="str">
        <f>_xlfn.XLOOKUP(Table1[[#This Row],[Age]],Table7[Start_Age],Table7[Age_Range],,-1)</f>
        <v>19-29</v>
      </c>
      <c r="D644" t="s">
        <v>136</v>
      </c>
      <c r="E644" s="2" t="s">
        <v>131</v>
      </c>
      <c r="F644" s="2" t="s">
        <v>137</v>
      </c>
      <c r="G644" s="3">
        <v>1</v>
      </c>
      <c r="H644" s="13" t="s">
        <v>152</v>
      </c>
      <c r="I644" s="2" t="str" cm="1">
        <f t="array" ref="I644">_xlfn.IFS(Table1[[#This Row],[Job_Type]] = "unskilled resident", "Resident",
Table1[[#This Row],[Job_Type]] = "unemp/unskilled non res", "Non-resident",
TRUE, "Unknown")</f>
        <v>Unknown</v>
      </c>
      <c r="J644" s="2" t="s">
        <v>149</v>
      </c>
      <c r="K644" s="3">
        <v>4</v>
      </c>
      <c r="L644" s="2" t="s">
        <v>140</v>
      </c>
      <c r="M644" s="13" t="s">
        <v>152</v>
      </c>
      <c r="N644" t="s">
        <v>30</v>
      </c>
      <c r="O644" s="2" t="str">
        <f>_xlfn.XLOOKUP(Table1[[#This Row],[Checking_Acct_Status]],Table3[Checking_Acct_Original],Table3[Category])</f>
        <v>Low Balance</v>
      </c>
      <c r="P644" s="10" t="s">
        <v>46</v>
      </c>
      <c r="Q644" s="13" t="str">
        <f>_xlfn.XLOOKUP(Table1[[#This Row],[Saving_Acct_Status]],Table5[Saving_Acct_Original],Table5[Category])</f>
        <v>Medium Savings</v>
      </c>
      <c r="R644" t="s">
        <v>41</v>
      </c>
      <c r="S644" s="2" t="str">
        <f>IF(
      OR(Table1[[#This Row],[Job_Type]] = "high qualif/self emp/mgmt", Table1[[#This Row],[Job_Type]] = "skilled"),
      "Skilled", "Unskilled")</f>
        <v>Skilled</v>
      </c>
      <c r="T644" t="str">
        <f>IF(Table1[[#This Row],[Job_Type]] = "unemp/unskilled non res", "Unemployed", "Employed")</f>
        <v>Employed</v>
      </c>
      <c r="U644" t="s">
        <v>21</v>
      </c>
      <c r="V644" s="14" t="str" cm="1">
        <f t="array" ref="V64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44" t="s">
        <v>31</v>
      </c>
      <c r="X644" s="2" t="str">
        <f>_xlfn.XLOOKUP(Table1[[#This Row],[Loan_Credit_History]],Table4[Credit History],Table4[[ Category]])</f>
        <v>Existing Credits Paid</v>
      </c>
      <c r="Y644" s="3">
        <v>2</v>
      </c>
      <c r="Z644" s="3">
        <v>2</v>
      </c>
      <c r="AA644" s="5">
        <v>2631</v>
      </c>
      <c r="AB644" t="s">
        <v>151</v>
      </c>
      <c r="AC644" s="2" t="str" cm="1">
        <f t="array" ref="AC644">_xlfn.IFS(Table1[[#This Row],[Others_Parties]] = "No", "None",
Table1[[#This Row],[Others_Parties]] = "co applicant", "Co-applicant",
Table1[[#This Row],[Others_Parties]] = "guarantor", "Guarantor")</f>
        <v>None</v>
      </c>
      <c r="AD644" s="13" t="s">
        <v>145</v>
      </c>
      <c r="AE644" s="2" t="s">
        <v>141</v>
      </c>
      <c r="AF644" s="28" t="str" cm="1">
        <f t="array" ref="AF64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44" s="21">
        <v>15</v>
      </c>
      <c r="AH644" s="2" t="s">
        <v>153</v>
      </c>
      <c r="AI644"/>
      <c r="AZ644"/>
      <c r="BC644"/>
      <c r="BE644"/>
      <c r="BL644"/>
      <c r="BZ644"/>
      <c r="CA644"/>
      <c r="CF644"/>
      <c r="CG644"/>
      <c r="CH644"/>
      <c r="CI644"/>
      <c r="CK644"/>
      <c r="CN644"/>
    </row>
    <row r="645" spans="1:92" x14ac:dyDescent="0.3">
      <c r="A645" s="4">
        <v>643</v>
      </c>
      <c r="B645" s="11">
        <v>25</v>
      </c>
      <c r="C645" s="2" t="str">
        <f>_xlfn.XLOOKUP(Table1[[#This Row],[Age]],Table7[Start_Age],Table7[Age_Range],,-1)</f>
        <v>19-29</v>
      </c>
      <c r="D645" t="s">
        <v>136</v>
      </c>
      <c r="E645" s="2" t="s">
        <v>131</v>
      </c>
      <c r="F645" s="2" t="s">
        <v>137</v>
      </c>
      <c r="G645" s="3">
        <v>1</v>
      </c>
      <c r="H645" s="13" t="s">
        <v>152</v>
      </c>
      <c r="I645" s="2" t="str" cm="1">
        <f t="array" ref="I645">_xlfn.IFS(Table1[[#This Row],[Job_Type]] = "unskilled resident", "Resident",
Table1[[#This Row],[Job_Type]] = "unemp/unskilled non res", "Non-resident",
TRUE, "Unknown")</f>
        <v>Resident</v>
      </c>
      <c r="J645" s="2" t="s">
        <v>148</v>
      </c>
      <c r="K645" s="3">
        <v>2</v>
      </c>
      <c r="L645" s="2" t="s">
        <v>144</v>
      </c>
      <c r="M645" s="13" t="s">
        <v>151</v>
      </c>
      <c r="N645" t="s">
        <v>30</v>
      </c>
      <c r="O645" s="2" t="str">
        <f>_xlfn.XLOOKUP(Table1[[#This Row],[Checking_Acct_Status]],Table3[Checking_Acct_Original],Table3[Category])</f>
        <v>Low Balance</v>
      </c>
      <c r="P645" s="10" t="s">
        <v>46</v>
      </c>
      <c r="Q645" s="13" t="str">
        <f>_xlfn.XLOOKUP(Table1[[#This Row],[Saving_Acct_Status]],Table5[Saving_Acct_Original],Table5[Category])</f>
        <v>Medium Savings</v>
      </c>
      <c r="R645" t="s">
        <v>27</v>
      </c>
      <c r="S645" s="2" t="str">
        <f>IF(
      OR(Table1[[#This Row],[Job_Type]] = "high qualif/self emp/mgmt", Table1[[#This Row],[Job_Type]] = "skilled"),
      "Skilled", "Unskilled")</f>
        <v>Unskilled</v>
      </c>
      <c r="T645" t="str">
        <f>IF(Table1[[#This Row],[Job_Type]] = "unemp/unskilled non res", "Unemployed", "Employed")</f>
        <v>Employed</v>
      </c>
      <c r="U645" t="s">
        <v>21</v>
      </c>
      <c r="V645" s="14" t="str" cm="1">
        <f t="array" ref="V64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45" t="s">
        <v>31</v>
      </c>
      <c r="X645" s="2" t="str">
        <f>_xlfn.XLOOKUP(Table1[[#This Row],[Loan_Credit_History]],Table4[Credit History],Table4[[ Category]])</f>
        <v>Existing Credits Paid</v>
      </c>
      <c r="Y645" s="3">
        <v>3</v>
      </c>
      <c r="Z645" s="3">
        <v>1</v>
      </c>
      <c r="AA645" s="5">
        <v>2631</v>
      </c>
      <c r="AB645" t="s">
        <v>151</v>
      </c>
      <c r="AC645" s="2" t="str" cm="1">
        <f t="array" ref="AC645">_xlfn.IFS(Table1[[#This Row],[Others_Parties]] = "No", "None",
Table1[[#This Row],[Others_Parties]] = "co applicant", "Co-applicant",
Table1[[#This Row],[Others_Parties]] = "guarantor", "Guarantor")</f>
        <v>None</v>
      </c>
      <c r="AD645" s="13" t="s">
        <v>145</v>
      </c>
      <c r="AE645" s="2" t="s">
        <v>109</v>
      </c>
      <c r="AF645" s="28" t="str" cm="1">
        <f t="array" ref="AF64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45" s="21">
        <v>15</v>
      </c>
      <c r="AH645" s="2" t="s">
        <v>154</v>
      </c>
      <c r="AI645"/>
      <c r="AZ645"/>
      <c r="BC645"/>
      <c r="BE645"/>
      <c r="BL645"/>
      <c r="BZ645"/>
      <c r="CA645"/>
      <c r="CF645"/>
      <c r="CG645"/>
      <c r="CH645"/>
      <c r="CI645"/>
      <c r="CK645"/>
      <c r="CN645"/>
    </row>
    <row r="646" spans="1:92" x14ac:dyDescent="0.3">
      <c r="A646" s="4">
        <v>644</v>
      </c>
      <c r="B646" s="11">
        <v>26</v>
      </c>
      <c r="C646" s="2" t="str">
        <f>_xlfn.XLOOKUP(Table1[[#This Row],[Age]],Table7[Start_Age],Table7[Age_Range],,-1)</f>
        <v>19-29</v>
      </c>
      <c r="D646" t="s">
        <v>130</v>
      </c>
      <c r="E646" s="2" t="s">
        <v>129</v>
      </c>
      <c r="F646" s="2" t="s">
        <v>133</v>
      </c>
      <c r="G646" s="3">
        <v>1</v>
      </c>
      <c r="H646" s="13" t="s">
        <v>152</v>
      </c>
      <c r="I646" s="2" t="str" cm="1">
        <f t="array" ref="I646">_xlfn.IFS(Table1[[#This Row],[Job_Type]] = "unskilled resident", "Resident",
Table1[[#This Row],[Job_Type]] = "unemp/unskilled non res", "Non-resident",
TRUE, "Unknown")</f>
        <v>Unknown</v>
      </c>
      <c r="J646" s="2" t="s">
        <v>149</v>
      </c>
      <c r="K646" s="3">
        <v>4</v>
      </c>
      <c r="L646" s="2" t="s">
        <v>143</v>
      </c>
      <c r="M646" s="13" t="s">
        <v>152</v>
      </c>
      <c r="N646" t="s">
        <v>50</v>
      </c>
      <c r="O646" s="2" t="str">
        <f>_xlfn.XLOOKUP(Table1[[#This Row],[Checking_Acct_Status]],Table3[Checking_Acct_Original],Table3[Category])</f>
        <v>High Balance</v>
      </c>
      <c r="P646" s="10" t="s">
        <v>32</v>
      </c>
      <c r="Q646" s="13" t="str">
        <f>_xlfn.XLOOKUP(Table1[[#This Row],[Saving_Acct_Status]],Table5[Saving_Acct_Original],Table5[Category])</f>
        <v>Low Savings</v>
      </c>
      <c r="R646" t="s">
        <v>41</v>
      </c>
      <c r="S646" s="2" t="str">
        <f>IF(
      OR(Table1[[#This Row],[Job_Type]] = "high qualif/self emp/mgmt", Table1[[#This Row],[Job_Type]] = "skilled"),
      "Skilled", "Unskilled")</f>
        <v>Skilled</v>
      </c>
      <c r="T646" t="str">
        <f>IF(Table1[[#This Row],[Job_Type]] = "unemp/unskilled non res", "Unemployed", "Employed")</f>
        <v>Employed</v>
      </c>
      <c r="U646" t="s">
        <v>49</v>
      </c>
      <c r="V646" s="14" t="str" cm="1">
        <f t="array" ref="V64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46" t="s">
        <v>31</v>
      </c>
      <c r="X646" s="2" t="str">
        <f>_xlfn.XLOOKUP(Table1[[#This Row],[Loan_Credit_History]],Table4[Credit History],Table4[[ Category]])</f>
        <v>Existing Credits Paid</v>
      </c>
      <c r="Y646" s="3">
        <v>2</v>
      </c>
      <c r="Z646" s="3">
        <v>1</v>
      </c>
      <c r="AA646" s="5">
        <v>2687</v>
      </c>
      <c r="AB646" t="s">
        <v>151</v>
      </c>
      <c r="AC646" s="2" t="str" cm="1">
        <f t="array" ref="AC646">_xlfn.IFS(Table1[[#This Row],[Others_Parties]] = "No", "None",
Table1[[#This Row],[Others_Parties]] = "co applicant", "Co-applicant",
Table1[[#This Row],[Others_Parties]] = "guarantor", "Guarantor")</f>
        <v>None</v>
      </c>
      <c r="AD646" s="13" t="s">
        <v>145</v>
      </c>
      <c r="AE646" s="2" t="s">
        <v>105</v>
      </c>
      <c r="AF646" s="28" t="str" cm="1">
        <f t="array" ref="AF64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46" s="21">
        <v>15</v>
      </c>
      <c r="AH646" s="2" t="s">
        <v>154</v>
      </c>
      <c r="AI646"/>
      <c r="AZ646"/>
      <c r="BC646"/>
      <c r="BE646"/>
      <c r="BL646"/>
      <c r="BZ646"/>
      <c r="CA646"/>
      <c r="CF646"/>
      <c r="CG646"/>
      <c r="CH646"/>
      <c r="CI646"/>
      <c r="CK646"/>
      <c r="CN646"/>
    </row>
    <row r="647" spans="1:92" x14ac:dyDescent="0.3">
      <c r="A647" s="4">
        <v>645</v>
      </c>
      <c r="B647" s="11">
        <v>27</v>
      </c>
      <c r="C647" s="2" t="str">
        <f>_xlfn.XLOOKUP(Table1[[#This Row],[Age]],Table7[Start_Age],Table7[Age_Range],,-1)</f>
        <v>19-29</v>
      </c>
      <c r="D647" t="s">
        <v>130</v>
      </c>
      <c r="E647" s="2" t="s">
        <v>129</v>
      </c>
      <c r="F647" s="2" t="s">
        <v>133</v>
      </c>
      <c r="G647" s="3">
        <v>1</v>
      </c>
      <c r="H647" s="13" t="s">
        <v>152</v>
      </c>
      <c r="I647" s="2" t="str" cm="1">
        <f t="array" ref="I647">_xlfn.IFS(Table1[[#This Row],[Job_Type]] = "unskilled resident", "Resident",
Table1[[#This Row],[Job_Type]] = "unemp/unskilled non res", "Non-resident",
TRUE, "Unknown")</f>
        <v>Resident</v>
      </c>
      <c r="J647" s="2" t="s">
        <v>148</v>
      </c>
      <c r="K647" s="3">
        <v>3</v>
      </c>
      <c r="L647" s="2" t="s">
        <v>143</v>
      </c>
      <c r="M647" s="13" t="s">
        <v>151</v>
      </c>
      <c r="N647" t="s">
        <v>17</v>
      </c>
      <c r="O647" s="2" t="str">
        <f>_xlfn.XLOOKUP(Table1[[#This Row],[Checking_Acct_Status]],Table3[Checking_Acct_Original],Table3[Category])</f>
        <v>No Account</v>
      </c>
      <c r="P647" s="10" t="s">
        <v>32</v>
      </c>
      <c r="Q647" s="13" t="str">
        <f>_xlfn.XLOOKUP(Table1[[#This Row],[Saving_Acct_Status]],Table5[Saving_Acct_Original],Table5[Category])</f>
        <v>Low Savings</v>
      </c>
      <c r="R647" t="s">
        <v>27</v>
      </c>
      <c r="S647" s="2" t="str">
        <f>IF(
      OR(Table1[[#This Row],[Job_Type]] = "high qualif/self emp/mgmt", Table1[[#This Row],[Job_Type]] = "skilled"),
      "Skilled", "Unskilled")</f>
        <v>Unskilled</v>
      </c>
      <c r="T647" t="str">
        <f>IF(Table1[[#This Row],[Job_Type]] = "unemp/unskilled non res", "Unemployed", "Employed")</f>
        <v>Employed</v>
      </c>
      <c r="U647" t="s">
        <v>45</v>
      </c>
      <c r="V647" s="14" t="str" cm="1">
        <f t="array" ref="V64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47" t="s">
        <v>31</v>
      </c>
      <c r="X647" s="2" t="str">
        <f>_xlfn.XLOOKUP(Table1[[#This Row],[Loan_Credit_History]],Table4[Credit History],Table4[[ Category]])</f>
        <v>Existing Credits Paid</v>
      </c>
      <c r="Y647" s="3">
        <v>2</v>
      </c>
      <c r="Z647" s="3">
        <v>2</v>
      </c>
      <c r="AA647" s="5">
        <v>2708</v>
      </c>
      <c r="AB647" t="s">
        <v>151</v>
      </c>
      <c r="AC647" s="2" t="str" cm="1">
        <f t="array" ref="AC647">_xlfn.IFS(Table1[[#This Row],[Others_Parties]] = "No", "None",
Table1[[#This Row],[Others_Parties]] = "co applicant", "Co-applicant",
Table1[[#This Row],[Others_Parties]] = "guarantor", "Guarantor")</f>
        <v>None</v>
      </c>
      <c r="AD647" s="13" t="s">
        <v>146</v>
      </c>
      <c r="AE647" s="2" t="s">
        <v>108</v>
      </c>
      <c r="AF647" s="28" t="str" cm="1">
        <f t="array" ref="AF64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47" s="21">
        <v>15</v>
      </c>
      <c r="AH647" s="2" t="s">
        <v>154</v>
      </c>
      <c r="AI647"/>
      <c r="AZ647"/>
      <c r="BC647"/>
      <c r="BE647"/>
      <c r="BL647"/>
      <c r="BZ647"/>
      <c r="CA647"/>
      <c r="CF647"/>
      <c r="CG647"/>
      <c r="CH647"/>
      <c r="CI647"/>
      <c r="CK647"/>
      <c r="CN647"/>
    </row>
    <row r="648" spans="1:92" x14ac:dyDescent="0.3">
      <c r="A648" s="4">
        <v>646</v>
      </c>
      <c r="B648" s="11">
        <v>35</v>
      </c>
      <c r="C648" s="2" t="str">
        <f>_xlfn.XLOOKUP(Table1[[#This Row],[Age]],Table7[Start_Age],Table7[Age_Range],,-1)</f>
        <v>29-39</v>
      </c>
      <c r="D648" t="s">
        <v>130</v>
      </c>
      <c r="E648" s="2" t="s">
        <v>129</v>
      </c>
      <c r="F648" s="2" t="s">
        <v>133</v>
      </c>
      <c r="G648" s="3">
        <v>1</v>
      </c>
      <c r="H648" s="13" t="s">
        <v>152</v>
      </c>
      <c r="I648" s="2" t="str" cm="1">
        <f t="array" ref="I648">_xlfn.IFS(Table1[[#This Row],[Job_Type]] = "unskilled resident", "Resident",
Table1[[#This Row],[Job_Type]] = "unemp/unskilled non res", "Non-resident",
TRUE, "Unknown")</f>
        <v>Unknown</v>
      </c>
      <c r="J648" s="2" t="s">
        <v>148</v>
      </c>
      <c r="K648" s="3">
        <v>2</v>
      </c>
      <c r="L648" s="2" t="s">
        <v>144</v>
      </c>
      <c r="M648" s="13" t="s">
        <v>152</v>
      </c>
      <c r="N648" t="s">
        <v>30</v>
      </c>
      <c r="O648" s="2" t="str">
        <f>_xlfn.XLOOKUP(Table1[[#This Row],[Checking_Acct_Status]],Table3[Checking_Acct_Original],Table3[Category])</f>
        <v>Low Balance</v>
      </c>
      <c r="P648" s="10" t="s">
        <v>47</v>
      </c>
      <c r="Q648" s="13" t="str">
        <f>_xlfn.XLOOKUP(Table1[[#This Row],[Saving_Acct_Status]],Table5[Saving_Acct_Original],Table5[Category])</f>
        <v>No Savings</v>
      </c>
      <c r="R648" t="s">
        <v>41</v>
      </c>
      <c r="S648" s="2" t="str">
        <f>IF(
      OR(Table1[[#This Row],[Job_Type]] = "high qualif/self emp/mgmt", Table1[[#This Row],[Job_Type]] = "skilled"),
      "Skilled", "Unskilled")</f>
        <v>Skilled</v>
      </c>
      <c r="T648" t="str">
        <f>IF(Table1[[#This Row],[Job_Type]] = "unemp/unskilled non res", "Unemployed", "Employed")</f>
        <v>Employed</v>
      </c>
      <c r="U648" t="s">
        <v>49</v>
      </c>
      <c r="V648" s="14" t="str" cm="1">
        <f t="array" ref="V64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48" t="s">
        <v>103</v>
      </c>
      <c r="X648" s="2" t="str">
        <f>_xlfn.XLOOKUP(Table1[[#This Row],[Loan_Credit_History]],Table4[Credit History],Table4[[ Category]])</f>
        <v>Critical Credit History</v>
      </c>
      <c r="Y648" s="3">
        <v>4</v>
      </c>
      <c r="Z648" s="3">
        <v>3</v>
      </c>
      <c r="AA648" s="5">
        <v>2728</v>
      </c>
      <c r="AB648" t="s">
        <v>58</v>
      </c>
      <c r="AC648" s="2" t="str" cm="1">
        <f t="array" ref="AC648">_xlfn.IFS(Table1[[#This Row],[Others_Parties]] = "No", "None",
Table1[[#This Row],[Others_Parties]] = "co applicant", "Co-applicant",
Table1[[#This Row],[Others_Parties]] = "guarantor", "Guarantor")</f>
        <v>Guarantor</v>
      </c>
      <c r="AD648" s="13" t="s">
        <v>146</v>
      </c>
      <c r="AE648" s="2" t="s">
        <v>111</v>
      </c>
      <c r="AF648" s="28" t="str" cm="1">
        <f t="array" ref="AF64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48" s="21">
        <v>15</v>
      </c>
      <c r="AH648" s="2" t="s">
        <v>154</v>
      </c>
      <c r="AI648"/>
      <c r="AZ648"/>
      <c r="BC648"/>
      <c r="BE648"/>
      <c r="BL648"/>
      <c r="BZ648"/>
      <c r="CA648"/>
      <c r="CF648"/>
      <c r="CG648"/>
      <c r="CH648"/>
      <c r="CI648"/>
      <c r="CK648"/>
      <c r="CN648"/>
    </row>
    <row r="649" spans="1:92" x14ac:dyDescent="0.3">
      <c r="A649" s="4">
        <v>647</v>
      </c>
      <c r="B649" s="11">
        <v>24</v>
      </c>
      <c r="C649" s="2" t="str">
        <f>_xlfn.XLOOKUP(Table1[[#This Row],[Age]],Table7[Start_Age],Table7[Age_Range],,-1)</f>
        <v>19-29</v>
      </c>
      <c r="D649" t="s">
        <v>136</v>
      </c>
      <c r="E649" s="2" t="s">
        <v>131</v>
      </c>
      <c r="F649" s="2" t="s">
        <v>137</v>
      </c>
      <c r="G649" s="3">
        <v>1</v>
      </c>
      <c r="H649" s="13" t="s">
        <v>152</v>
      </c>
      <c r="I649" s="2" t="str" cm="1">
        <f t="array" ref="I649">_xlfn.IFS(Table1[[#This Row],[Job_Type]] = "unskilled resident", "Resident",
Table1[[#This Row],[Job_Type]] = "unemp/unskilled non res", "Non-resident",
TRUE, "Unknown")</f>
        <v>Unknown</v>
      </c>
      <c r="J649" s="2" t="s">
        <v>148</v>
      </c>
      <c r="K649" s="3">
        <v>3</v>
      </c>
      <c r="L649" s="2" t="s">
        <v>140</v>
      </c>
      <c r="M649" s="13" t="s">
        <v>151</v>
      </c>
      <c r="N649" t="s">
        <v>17</v>
      </c>
      <c r="O649" s="2" t="str">
        <f>_xlfn.XLOOKUP(Table1[[#This Row],[Checking_Acct_Status]],Table3[Checking_Acct_Original],Table3[Category])</f>
        <v>No Account</v>
      </c>
      <c r="P649" s="10" t="s">
        <v>32</v>
      </c>
      <c r="Q649" s="13" t="str">
        <f>_xlfn.XLOOKUP(Table1[[#This Row],[Saving_Acct_Status]],Table5[Saving_Acct_Original],Table5[Category])</f>
        <v>Low Savings</v>
      </c>
      <c r="R649" t="s">
        <v>41</v>
      </c>
      <c r="S649" s="2" t="str">
        <f>IF(
      OR(Table1[[#This Row],[Job_Type]] = "high qualif/self emp/mgmt", Table1[[#This Row],[Job_Type]] = "skilled"),
      "Skilled", "Unskilled")</f>
        <v>Skilled</v>
      </c>
      <c r="T649" t="str">
        <f>IF(Table1[[#This Row],[Job_Type]] = "unemp/unskilled non res", "Unemployed", "Employed")</f>
        <v>Employed</v>
      </c>
      <c r="U649" t="s">
        <v>49</v>
      </c>
      <c r="V649" s="14" t="str" cm="1">
        <f t="array" ref="V64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49" t="s">
        <v>103</v>
      </c>
      <c r="X649" s="2" t="str">
        <f>_xlfn.XLOOKUP(Table1[[#This Row],[Loan_Credit_History]],Table4[Credit History],Table4[[ Category]])</f>
        <v>Critical Credit History</v>
      </c>
      <c r="Y649" s="3">
        <v>2</v>
      </c>
      <c r="Z649" s="3">
        <v>2</v>
      </c>
      <c r="AA649" s="5">
        <v>2788</v>
      </c>
      <c r="AB649" t="s">
        <v>55</v>
      </c>
      <c r="AC649" s="2" t="str" cm="1">
        <f t="array" ref="AC649">_xlfn.IFS(Table1[[#This Row],[Others_Parties]] = "No", "None",
Table1[[#This Row],[Others_Parties]] = "co applicant", "Co-applicant",
Table1[[#This Row],[Others_Parties]] = "guarantor", "Guarantor")</f>
        <v>Co-applicant</v>
      </c>
      <c r="AD649" s="13" t="s">
        <v>146</v>
      </c>
      <c r="AE649" s="2" t="s">
        <v>108</v>
      </c>
      <c r="AF649" s="28" t="str" cm="1">
        <f t="array" ref="AF64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49" s="21">
        <v>15</v>
      </c>
      <c r="AH649" s="2" t="s">
        <v>154</v>
      </c>
      <c r="AI649"/>
      <c r="AZ649"/>
      <c r="BC649"/>
      <c r="BE649"/>
      <c r="BL649"/>
      <c r="BZ649"/>
      <c r="CA649"/>
      <c r="CF649"/>
      <c r="CG649"/>
      <c r="CH649"/>
      <c r="CI649"/>
      <c r="CK649"/>
      <c r="CN649"/>
    </row>
    <row r="650" spans="1:92" x14ac:dyDescent="0.3">
      <c r="A650" s="4">
        <v>648</v>
      </c>
      <c r="B650" s="11">
        <v>33</v>
      </c>
      <c r="C650" s="2" t="str">
        <f>_xlfn.XLOOKUP(Table1[[#This Row],[Age]],Table7[Start_Age],Table7[Age_Range],,-1)</f>
        <v>29-39</v>
      </c>
      <c r="D650" t="s">
        <v>130</v>
      </c>
      <c r="E650" s="2" t="s">
        <v>129</v>
      </c>
      <c r="F650" s="2" t="s">
        <v>133</v>
      </c>
      <c r="G650" s="3">
        <v>1</v>
      </c>
      <c r="H650" s="13" t="s">
        <v>152</v>
      </c>
      <c r="I650" s="2" t="str" cm="1">
        <f t="array" ref="I650">_xlfn.IFS(Table1[[#This Row],[Job_Type]] = "unskilled resident", "Resident",
Table1[[#This Row],[Job_Type]] = "unemp/unskilled non res", "Non-resident",
TRUE, "Unknown")</f>
        <v>Unknown</v>
      </c>
      <c r="J650" s="2" t="s">
        <v>148</v>
      </c>
      <c r="K650" s="3">
        <v>2</v>
      </c>
      <c r="L650" s="2" t="s">
        <v>140</v>
      </c>
      <c r="M650" s="13" t="s">
        <v>151</v>
      </c>
      <c r="N650" t="s">
        <v>17</v>
      </c>
      <c r="O650" s="2" t="str">
        <f>_xlfn.XLOOKUP(Table1[[#This Row],[Checking_Acct_Status]],Table3[Checking_Acct_Original],Table3[Category])</f>
        <v>No Account</v>
      </c>
      <c r="P650" s="10" t="s">
        <v>32</v>
      </c>
      <c r="Q650" s="13" t="str">
        <f>_xlfn.XLOOKUP(Table1[[#This Row],[Saving_Acct_Status]],Table5[Saving_Acct_Original],Table5[Category])</f>
        <v>Low Savings</v>
      </c>
      <c r="R650" t="s">
        <v>41</v>
      </c>
      <c r="S650" s="2" t="str">
        <f>IF(
      OR(Table1[[#This Row],[Job_Type]] = "high qualif/self emp/mgmt", Table1[[#This Row],[Job_Type]] = "skilled"),
      "Skilled", "Unskilled")</f>
        <v>Skilled</v>
      </c>
      <c r="T650" t="str">
        <f>IF(Table1[[#This Row],[Job_Type]] = "unemp/unskilled non res", "Unemployed", "Employed")</f>
        <v>Employed</v>
      </c>
      <c r="U650" t="s">
        <v>49</v>
      </c>
      <c r="V650" s="14" t="str" cm="1">
        <f t="array" ref="V65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50" t="s">
        <v>31</v>
      </c>
      <c r="X650" s="2" t="str">
        <f>_xlfn.XLOOKUP(Table1[[#This Row],[Loan_Credit_History]],Table4[Credit History],Table4[[ Category]])</f>
        <v>Existing Credits Paid</v>
      </c>
      <c r="Y650" s="3">
        <v>2</v>
      </c>
      <c r="Z650" s="3">
        <v>1</v>
      </c>
      <c r="AA650" s="5">
        <v>3029</v>
      </c>
      <c r="AB650" t="s">
        <v>151</v>
      </c>
      <c r="AC650" s="2" t="str" cm="1">
        <f t="array" ref="AC650">_xlfn.IFS(Table1[[#This Row],[Others_Parties]] = "No", "None",
Table1[[#This Row],[Others_Parties]] = "co applicant", "Co-applicant",
Table1[[#This Row],[Others_Parties]] = "guarantor", "Guarantor")</f>
        <v>None</v>
      </c>
      <c r="AD650" s="13" t="s">
        <v>145</v>
      </c>
      <c r="AE650" s="2" t="s">
        <v>107</v>
      </c>
      <c r="AF650" s="28" t="str" cm="1">
        <f t="array" ref="AF65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50" s="21">
        <v>15</v>
      </c>
      <c r="AH650" s="2" t="s">
        <v>154</v>
      </c>
      <c r="AI650"/>
      <c r="AZ650"/>
      <c r="BC650"/>
      <c r="BE650"/>
      <c r="BL650"/>
      <c r="BZ650"/>
      <c r="CA650"/>
      <c r="CF650"/>
      <c r="CG650"/>
      <c r="CH650"/>
      <c r="CI650"/>
      <c r="CK650"/>
      <c r="CN650"/>
    </row>
    <row r="651" spans="1:92" x14ac:dyDescent="0.3">
      <c r="A651" s="4">
        <v>649</v>
      </c>
      <c r="B651" s="11">
        <v>20</v>
      </c>
      <c r="C651" s="2" t="str">
        <f>_xlfn.XLOOKUP(Table1[[#This Row],[Age]],Table7[Start_Age],Table7[Age_Range],,-1)</f>
        <v>19-29</v>
      </c>
      <c r="D651" t="s">
        <v>136</v>
      </c>
      <c r="E651" s="2" t="s">
        <v>131</v>
      </c>
      <c r="F651" s="2" t="s">
        <v>137</v>
      </c>
      <c r="G651" s="3">
        <v>1</v>
      </c>
      <c r="H651" s="13" t="s">
        <v>152</v>
      </c>
      <c r="I651" s="2" t="str" cm="1">
        <f t="array" ref="I651">_xlfn.IFS(Table1[[#This Row],[Job_Type]] = "unskilled resident", "Resident",
Table1[[#This Row],[Job_Type]] = "unemp/unskilled non res", "Non-resident",
TRUE, "Unknown")</f>
        <v>Unknown</v>
      </c>
      <c r="J651" s="2" t="s">
        <v>149</v>
      </c>
      <c r="K651" s="3">
        <v>3</v>
      </c>
      <c r="L651" s="2" t="s">
        <v>140</v>
      </c>
      <c r="M651" s="13" t="s">
        <v>151</v>
      </c>
      <c r="N651" t="s">
        <v>17</v>
      </c>
      <c r="O651" s="2" t="str">
        <f>_xlfn.XLOOKUP(Table1[[#This Row],[Checking_Acct_Status]],Table3[Checking_Acct_Original],Table3[Category])</f>
        <v>No Account</v>
      </c>
      <c r="P651" s="10" t="s">
        <v>20</v>
      </c>
      <c r="Q651" s="13" t="str">
        <f>_xlfn.XLOOKUP(Table1[[#This Row],[Saving_Acct_Status]],Table5[Saving_Acct_Original],Table5[Category])</f>
        <v>Very High Savings</v>
      </c>
      <c r="R651" t="s">
        <v>41</v>
      </c>
      <c r="S651" s="2" t="str">
        <f>IF(
      OR(Table1[[#This Row],[Job_Type]] = "high qualif/self emp/mgmt", Table1[[#This Row],[Job_Type]] = "skilled"),
      "Skilled", "Unskilled")</f>
        <v>Skilled</v>
      </c>
      <c r="T651" t="str">
        <f>IF(Table1[[#This Row],[Job_Type]] = "unemp/unskilled non res", "Unemployed", "Employed")</f>
        <v>Employed</v>
      </c>
      <c r="U651" t="s">
        <v>49</v>
      </c>
      <c r="V651" s="14" t="str" cm="1">
        <f t="array" ref="V65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51" t="s">
        <v>31</v>
      </c>
      <c r="X651" s="2" t="str">
        <f>_xlfn.XLOOKUP(Table1[[#This Row],[Loan_Credit_History]],Table4[Credit History],Table4[[ Category]])</f>
        <v>Existing Credits Paid</v>
      </c>
      <c r="Y651" s="3">
        <v>2</v>
      </c>
      <c r="Z651" s="3">
        <v>1</v>
      </c>
      <c r="AA651" s="5">
        <v>3186</v>
      </c>
      <c r="AB651" t="s">
        <v>151</v>
      </c>
      <c r="AC651" s="2" t="str" cm="1">
        <f t="array" ref="AC651">_xlfn.IFS(Table1[[#This Row],[Others_Parties]] = "No", "None",
Table1[[#This Row],[Others_Parties]] = "co applicant", "Co-applicant",
Table1[[#This Row],[Others_Parties]] = "guarantor", "Guarantor")</f>
        <v>None</v>
      </c>
      <c r="AD651" s="13" t="s">
        <v>145</v>
      </c>
      <c r="AE651" s="2" t="s">
        <v>141</v>
      </c>
      <c r="AF651" s="28" t="str" cm="1">
        <f t="array" ref="AF65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51" s="21">
        <v>15</v>
      </c>
      <c r="AH651" s="2" t="s">
        <v>154</v>
      </c>
      <c r="AI651"/>
      <c r="AZ651"/>
      <c r="BC651"/>
      <c r="BE651"/>
      <c r="BL651"/>
      <c r="BZ651"/>
      <c r="CA651"/>
      <c r="CF651"/>
      <c r="CG651"/>
      <c r="CH651"/>
      <c r="CI651"/>
      <c r="CK651"/>
      <c r="CN651"/>
    </row>
    <row r="652" spans="1:92" x14ac:dyDescent="0.3">
      <c r="A652" s="4">
        <v>650</v>
      </c>
      <c r="B652" s="11">
        <v>28</v>
      </c>
      <c r="C652" s="2" t="str">
        <f>_xlfn.XLOOKUP(Table1[[#This Row],[Age]],Table7[Start_Age],Table7[Age_Range],,-1)</f>
        <v>19-29</v>
      </c>
      <c r="D652" t="s">
        <v>130</v>
      </c>
      <c r="E652" s="2" t="s">
        <v>129</v>
      </c>
      <c r="F652" s="2" t="s">
        <v>133</v>
      </c>
      <c r="G652" s="3">
        <v>1</v>
      </c>
      <c r="H652" s="13" t="s">
        <v>152</v>
      </c>
      <c r="I652" s="2" t="str" cm="1">
        <f t="array" ref="I652">_xlfn.IFS(Table1[[#This Row],[Job_Type]] = "unskilled resident", "Resident",
Table1[[#This Row],[Job_Type]] = "unemp/unskilled non res", "Non-resident",
TRUE, "Unknown")</f>
        <v>Unknown</v>
      </c>
      <c r="J652" s="2" t="s">
        <v>150</v>
      </c>
      <c r="K652" s="3">
        <v>2</v>
      </c>
      <c r="L652" s="2" t="s">
        <v>142</v>
      </c>
      <c r="M652" s="13" t="s">
        <v>152</v>
      </c>
      <c r="N652" t="s">
        <v>17</v>
      </c>
      <c r="O652" s="2" t="str">
        <f>_xlfn.XLOOKUP(Table1[[#This Row],[Checking_Acct_Status]],Table3[Checking_Acct_Original],Table3[Category])</f>
        <v>No Account</v>
      </c>
      <c r="P652" s="10" t="s">
        <v>32</v>
      </c>
      <c r="Q652" s="13" t="str">
        <f>_xlfn.XLOOKUP(Table1[[#This Row],[Saving_Acct_Status]],Table5[Saving_Acct_Original],Table5[Category])</f>
        <v>Low Savings</v>
      </c>
      <c r="R652" t="s">
        <v>41</v>
      </c>
      <c r="S652" s="2" t="str">
        <f>IF(
      OR(Table1[[#This Row],[Job_Type]] = "high qualif/self emp/mgmt", Table1[[#This Row],[Job_Type]] = "skilled"),
      "Skilled", "Unskilled")</f>
        <v>Skilled</v>
      </c>
      <c r="T652" t="str">
        <f>IF(Table1[[#This Row],[Job_Type]] = "unemp/unskilled non res", "Unemployed", "Employed")</f>
        <v>Employed</v>
      </c>
      <c r="U652" t="s">
        <v>21</v>
      </c>
      <c r="V652" s="14" t="str" cm="1">
        <f t="array" ref="V65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52" t="s">
        <v>103</v>
      </c>
      <c r="X652" s="2" t="str">
        <f>_xlfn.XLOOKUP(Table1[[#This Row],[Loan_Credit_History]],Table4[Credit History],Table4[[ Category]])</f>
        <v>Critical Credit History</v>
      </c>
      <c r="Y652" s="3">
        <v>4</v>
      </c>
      <c r="Z652" s="3">
        <v>1</v>
      </c>
      <c r="AA652" s="5">
        <v>3343</v>
      </c>
      <c r="AB652" t="s">
        <v>151</v>
      </c>
      <c r="AC652" s="2" t="str" cm="1">
        <f t="array" ref="AC652">_xlfn.IFS(Table1[[#This Row],[Others_Parties]] = "No", "None",
Table1[[#This Row],[Others_Parties]] = "co applicant", "Co-applicant",
Table1[[#This Row],[Others_Parties]] = "guarantor", "Guarantor")</f>
        <v>None</v>
      </c>
      <c r="AD652" s="13" t="s">
        <v>145</v>
      </c>
      <c r="AE652" s="2" t="s">
        <v>108</v>
      </c>
      <c r="AF652" s="28" t="str" cm="1">
        <f t="array" ref="AF65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52" s="21">
        <v>15</v>
      </c>
      <c r="AH652" s="2" t="s">
        <v>154</v>
      </c>
      <c r="AI652"/>
      <c r="AZ652"/>
      <c r="BC652"/>
      <c r="BE652"/>
      <c r="BL652"/>
      <c r="BZ652"/>
      <c r="CA652"/>
      <c r="CF652"/>
      <c r="CG652"/>
      <c r="CH652"/>
      <c r="CI652"/>
      <c r="CK652"/>
      <c r="CN652"/>
    </row>
    <row r="653" spans="1:92" x14ac:dyDescent="0.3">
      <c r="A653" s="4">
        <v>651</v>
      </c>
      <c r="B653" s="11">
        <v>23</v>
      </c>
      <c r="C653" s="2" t="str">
        <f>_xlfn.XLOOKUP(Table1[[#This Row],[Age]],Table7[Start_Age],Table7[Age_Range],,-1)</f>
        <v>19-29</v>
      </c>
      <c r="D653" t="s">
        <v>130</v>
      </c>
      <c r="E653" s="2" t="s">
        <v>129</v>
      </c>
      <c r="F653" s="2" t="s">
        <v>133</v>
      </c>
      <c r="G653" s="3">
        <v>1</v>
      </c>
      <c r="H653" s="13" t="s">
        <v>152</v>
      </c>
      <c r="I653" s="2" t="str" cm="1">
        <f t="array" ref="I653">_xlfn.IFS(Table1[[#This Row],[Job_Type]] = "unskilled resident", "Resident",
Table1[[#This Row],[Job_Type]] = "unemp/unskilled non res", "Non-resident",
TRUE, "Unknown")</f>
        <v>Unknown</v>
      </c>
      <c r="J653" s="2" t="s">
        <v>149</v>
      </c>
      <c r="K653" s="3">
        <v>4</v>
      </c>
      <c r="L653" s="2" t="s">
        <v>142</v>
      </c>
      <c r="M653" s="13" t="s">
        <v>152</v>
      </c>
      <c r="N653" t="s">
        <v>17</v>
      </c>
      <c r="O653" s="2" t="str">
        <f>_xlfn.XLOOKUP(Table1[[#This Row],[Checking_Acct_Status]],Table3[Checking_Acct_Original],Table3[Category])</f>
        <v>No Account</v>
      </c>
      <c r="P653" s="10" t="s">
        <v>20</v>
      </c>
      <c r="Q653" s="13" t="str">
        <f>_xlfn.XLOOKUP(Table1[[#This Row],[Saving_Acct_Status]],Table5[Saving_Acct_Original],Table5[Category])</f>
        <v>Very High Savings</v>
      </c>
      <c r="R653" t="s">
        <v>41</v>
      </c>
      <c r="S653" s="2" t="str">
        <f>IF(
      OR(Table1[[#This Row],[Job_Type]] = "high qualif/self emp/mgmt", Table1[[#This Row],[Job_Type]] = "skilled"),
      "Skilled", "Unskilled")</f>
        <v>Skilled</v>
      </c>
      <c r="T653" t="str">
        <f>IF(Table1[[#This Row],[Job_Type]] = "unemp/unskilled non res", "Unemployed", "Employed")</f>
        <v>Employed</v>
      </c>
      <c r="U653" t="s">
        <v>38</v>
      </c>
      <c r="V653" s="14" t="str" cm="1">
        <f t="array" ref="V65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53" t="s">
        <v>103</v>
      </c>
      <c r="X653" s="2" t="str">
        <f>_xlfn.XLOOKUP(Table1[[#This Row],[Loan_Credit_History]],Table4[Credit History],Table4[[ Category]])</f>
        <v>Critical Credit History</v>
      </c>
      <c r="Y653" s="3">
        <v>3</v>
      </c>
      <c r="Z653" s="3">
        <v>2</v>
      </c>
      <c r="AA653" s="5">
        <v>3368</v>
      </c>
      <c r="AB653" t="s">
        <v>151</v>
      </c>
      <c r="AC653" s="2" t="str" cm="1">
        <f t="array" ref="AC653">_xlfn.IFS(Table1[[#This Row],[Others_Parties]] = "No", "None",
Table1[[#This Row],[Others_Parties]] = "co applicant", "Co-applicant",
Table1[[#This Row],[Others_Parties]] = "guarantor", "Guarantor")</f>
        <v>None</v>
      </c>
      <c r="AD653" s="13" t="s">
        <v>145</v>
      </c>
      <c r="AE653" s="2" t="s">
        <v>107</v>
      </c>
      <c r="AF653" s="28" t="str" cm="1">
        <f t="array" ref="AF65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53" s="21">
        <v>15</v>
      </c>
      <c r="AH653" s="2" t="s">
        <v>154</v>
      </c>
      <c r="AI653"/>
      <c r="AZ653"/>
      <c r="BC653"/>
      <c r="BE653"/>
      <c r="BL653"/>
      <c r="BZ653"/>
      <c r="CA653"/>
      <c r="CF653"/>
      <c r="CG653"/>
      <c r="CH653"/>
      <c r="CI653"/>
      <c r="CK653"/>
      <c r="CN653"/>
    </row>
    <row r="654" spans="1:92" x14ac:dyDescent="0.3">
      <c r="A654" s="4">
        <v>652</v>
      </c>
      <c r="B654" s="11">
        <v>29</v>
      </c>
      <c r="C654" s="2" t="str">
        <f>_xlfn.XLOOKUP(Table1[[#This Row],[Age]],Table7[Start_Age],Table7[Age_Range],,-1)</f>
        <v>29-39</v>
      </c>
      <c r="D654" t="s">
        <v>130</v>
      </c>
      <c r="E654" s="2" t="s">
        <v>129</v>
      </c>
      <c r="F654" s="2" t="s">
        <v>133</v>
      </c>
      <c r="G654" s="3">
        <v>1</v>
      </c>
      <c r="H654" s="13" t="s">
        <v>152</v>
      </c>
      <c r="I654" s="2" t="str" cm="1">
        <f t="array" ref="I654">_xlfn.IFS(Table1[[#This Row],[Job_Type]] = "unskilled resident", "Resident",
Table1[[#This Row],[Job_Type]] = "unemp/unskilled non res", "Non-resident",
TRUE, "Unknown")</f>
        <v>Unknown</v>
      </c>
      <c r="J654" s="2" t="s">
        <v>148</v>
      </c>
      <c r="K654" s="3">
        <v>2</v>
      </c>
      <c r="L654" s="2" t="s">
        <v>142</v>
      </c>
      <c r="M654" s="13" t="s">
        <v>151</v>
      </c>
      <c r="N654" t="s">
        <v>17</v>
      </c>
      <c r="O654" s="2" t="str">
        <f>_xlfn.XLOOKUP(Table1[[#This Row],[Checking_Acct_Status]],Table3[Checking_Acct_Original],Table3[Category])</f>
        <v>No Account</v>
      </c>
      <c r="P654" s="10" t="s">
        <v>47</v>
      </c>
      <c r="Q654" s="13" t="str">
        <f>_xlfn.XLOOKUP(Table1[[#This Row],[Saving_Acct_Status]],Table5[Saving_Acct_Original],Table5[Category])</f>
        <v>No Savings</v>
      </c>
      <c r="R654" t="s">
        <v>41</v>
      </c>
      <c r="S654" s="2" t="str">
        <f>IF(
      OR(Table1[[#This Row],[Job_Type]] = "high qualif/self emp/mgmt", Table1[[#This Row],[Job_Type]] = "skilled"),
      "Skilled", "Unskilled")</f>
        <v>Skilled</v>
      </c>
      <c r="T654" t="str">
        <f>IF(Table1[[#This Row],[Job_Type]] = "unemp/unskilled non res", "Unemployed", "Employed")</f>
        <v>Employed</v>
      </c>
      <c r="U654" t="s">
        <v>21</v>
      </c>
      <c r="V654" s="14" t="str" cm="1">
        <f t="array" ref="V65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54" t="s">
        <v>31</v>
      </c>
      <c r="X654" s="2" t="str">
        <f>_xlfn.XLOOKUP(Table1[[#This Row],[Loan_Credit_History]],Table4[Credit History],Table4[[ Category]])</f>
        <v>Existing Credits Paid</v>
      </c>
      <c r="Y654" s="3">
        <v>3</v>
      </c>
      <c r="Z654" s="3">
        <v>1</v>
      </c>
      <c r="AA654" s="5">
        <v>3556</v>
      </c>
      <c r="AB654" t="s">
        <v>151</v>
      </c>
      <c r="AC654" s="2" t="str" cm="1">
        <f t="array" ref="AC654">_xlfn.IFS(Table1[[#This Row],[Others_Parties]] = "No", "None",
Table1[[#This Row],[Others_Parties]] = "co applicant", "Co-applicant",
Table1[[#This Row],[Others_Parties]] = "guarantor", "Guarantor")</f>
        <v>None</v>
      </c>
      <c r="AD654" s="13" t="s">
        <v>145</v>
      </c>
      <c r="AE654" s="2" t="s">
        <v>141</v>
      </c>
      <c r="AF654" s="28" t="str" cm="1">
        <f t="array" ref="AF65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54" s="21">
        <v>15</v>
      </c>
      <c r="AH654" s="2" t="s">
        <v>154</v>
      </c>
      <c r="AI654"/>
      <c r="AZ654"/>
      <c r="BC654"/>
      <c r="BE654"/>
      <c r="BL654"/>
      <c r="BZ654"/>
      <c r="CA654"/>
      <c r="CF654"/>
      <c r="CG654"/>
      <c r="CH654"/>
      <c r="CI654"/>
      <c r="CK654"/>
      <c r="CN654"/>
    </row>
    <row r="655" spans="1:92" x14ac:dyDescent="0.3">
      <c r="A655" s="4">
        <v>653</v>
      </c>
      <c r="B655" s="11">
        <v>54</v>
      </c>
      <c r="C655" s="2" t="str">
        <f>_xlfn.XLOOKUP(Table1[[#This Row],[Age]],Table7[Start_Age],Table7[Age_Range],,-1)</f>
        <v>49-59</v>
      </c>
      <c r="D655" t="s">
        <v>136</v>
      </c>
      <c r="E655" s="2" t="s">
        <v>131</v>
      </c>
      <c r="F655" s="2" t="s">
        <v>137</v>
      </c>
      <c r="G655" s="3">
        <v>1</v>
      </c>
      <c r="H655" s="13" t="s">
        <v>152</v>
      </c>
      <c r="I655" s="2" t="str" cm="1">
        <f t="array" ref="I655">_xlfn.IFS(Table1[[#This Row],[Job_Type]] = "unskilled resident", "Resident",
Table1[[#This Row],[Job_Type]] = "unemp/unskilled non res", "Non-resident",
TRUE, "Unknown")</f>
        <v>Unknown</v>
      </c>
      <c r="J655" s="2" t="s">
        <v>149</v>
      </c>
      <c r="K655" s="3">
        <v>2</v>
      </c>
      <c r="L655" s="2" t="s">
        <v>140</v>
      </c>
      <c r="M655" s="13" t="s">
        <v>152</v>
      </c>
      <c r="N655" t="s">
        <v>17</v>
      </c>
      <c r="O655" s="2" t="str">
        <f>_xlfn.XLOOKUP(Table1[[#This Row],[Checking_Acct_Status]],Table3[Checking_Acct_Original],Table3[Category])</f>
        <v>No Account</v>
      </c>
      <c r="P655" s="10" t="s">
        <v>32</v>
      </c>
      <c r="Q655" s="13" t="str">
        <f>_xlfn.XLOOKUP(Table1[[#This Row],[Saving_Acct_Status]],Table5[Saving_Acct_Original],Table5[Category])</f>
        <v>Low Savings</v>
      </c>
      <c r="R655" t="s">
        <v>63</v>
      </c>
      <c r="S655" s="2" t="str">
        <f>IF(
      OR(Table1[[#This Row],[Job_Type]] = "high qualif/self emp/mgmt", Table1[[#This Row],[Job_Type]] = "skilled"),
      "Skilled", "Unskilled")</f>
        <v>Skilled</v>
      </c>
      <c r="T655" t="str">
        <f>IF(Table1[[#This Row],[Job_Type]] = "unemp/unskilled non res", "Unemployed", "Employed")</f>
        <v>Employed</v>
      </c>
      <c r="U655" t="s">
        <v>38</v>
      </c>
      <c r="V655" s="14" t="str" cm="1">
        <f t="array" ref="V65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55" t="s">
        <v>31</v>
      </c>
      <c r="X655" s="2" t="str">
        <f>_xlfn.XLOOKUP(Table1[[#This Row],[Loan_Credit_History]],Table4[Credit History],Table4[[ Category]])</f>
        <v>Existing Credits Paid</v>
      </c>
      <c r="Y655" s="3">
        <v>4</v>
      </c>
      <c r="Z655" s="3">
        <v>1</v>
      </c>
      <c r="AA655" s="5">
        <v>3568</v>
      </c>
      <c r="AB655" t="s">
        <v>151</v>
      </c>
      <c r="AC655" s="2" t="str" cm="1">
        <f t="array" ref="AC655">_xlfn.IFS(Table1[[#This Row],[Others_Parties]] = "No", "None",
Table1[[#This Row],[Others_Parties]] = "co applicant", "Co-applicant",
Table1[[#This Row],[Others_Parties]] = "guarantor", "Guarantor")</f>
        <v>None</v>
      </c>
      <c r="AD655" s="13" t="s">
        <v>146</v>
      </c>
      <c r="AE655" s="2" t="s">
        <v>111</v>
      </c>
      <c r="AF655" s="28" t="str" cm="1">
        <f t="array" ref="AF65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55" s="21">
        <v>15</v>
      </c>
      <c r="AH655" s="2" t="s">
        <v>154</v>
      </c>
      <c r="AI655"/>
      <c r="AZ655"/>
      <c r="BC655"/>
      <c r="BE655"/>
      <c r="BL655"/>
      <c r="BZ655"/>
      <c r="CA655"/>
      <c r="CF655"/>
      <c r="CG655"/>
      <c r="CH655"/>
      <c r="CI655"/>
      <c r="CK655"/>
      <c r="CN655"/>
    </row>
    <row r="656" spans="1:92" x14ac:dyDescent="0.3">
      <c r="A656" s="4">
        <v>654</v>
      </c>
      <c r="B656" s="11">
        <v>46</v>
      </c>
      <c r="C656" s="2" t="str">
        <f>_xlfn.XLOOKUP(Table1[[#This Row],[Age]],Table7[Start_Age],Table7[Age_Range],,-1)</f>
        <v>39-49</v>
      </c>
      <c r="D656" t="s">
        <v>136</v>
      </c>
      <c r="E656" s="2" t="s">
        <v>131</v>
      </c>
      <c r="F656" s="2" t="s">
        <v>137</v>
      </c>
      <c r="G656" s="3">
        <v>1</v>
      </c>
      <c r="H656" s="13" t="s">
        <v>152</v>
      </c>
      <c r="I656" s="2" t="str" cm="1">
        <f t="array" ref="I656">_xlfn.IFS(Table1[[#This Row],[Job_Type]] = "unskilled resident", "Resident",
Table1[[#This Row],[Job_Type]] = "unemp/unskilled non res", "Non-resident",
TRUE, "Unknown")</f>
        <v>Resident</v>
      </c>
      <c r="J656" s="2" t="s">
        <v>148</v>
      </c>
      <c r="K656" s="3">
        <v>2</v>
      </c>
      <c r="L656" s="2" t="s">
        <v>143</v>
      </c>
      <c r="M656" s="13" t="s">
        <v>151</v>
      </c>
      <c r="N656" t="s">
        <v>17</v>
      </c>
      <c r="O656" s="2" t="str">
        <f>_xlfn.XLOOKUP(Table1[[#This Row],[Checking_Acct_Status]],Table3[Checking_Acct_Original],Table3[Category])</f>
        <v>No Account</v>
      </c>
      <c r="P656" s="10" t="s">
        <v>32</v>
      </c>
      <c r="Q656" s="13" t="str">
        <f>_xlfn.XLOOKUP(Table1[[#This Row],[Saving_Acct_Status]],Table5[Saving_Acct_Original],Table5[Category])</f>
        <v>Low Savings</v>
      </c>
      <c r="R656" t="s">
        <v>27</v>
      </c>
      <c r="S656" s="2" t="str">
        <f>IF(
      OR(Table1[[#This Row],[Job_Type]] = "high qualif/self emp/mgmt", Table1[[#This Row],[Job_Type]] = "skilled"),
      "Skilled", "Unskilled")</f>
        <v>Unskilled</v>
      </c>
      <c r="T656" t="str">
        <f>IF(Table1[[#This Row],[Job_Type]] = "unemp/unskilled non res", "Unemployed", "Employed")</f>
        <v>Employed</v>
      </c>
      <c r="U656" t="s">
        <v>45</v>
      </c>
      <c r="V656" s="14" t="str" cm="1">
        <f t="array" ref="V65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56" t="s">
        <v>59</v>
      </c>
      <c r="X656" s="2" t="str">
        <f>_xlfn.XLOOKUP(Table1[[#This Row],[Loan_Credit_History]],Table4[Credit History],Table4[[ Category]])</f>
        <v>Previously Delayed</v>
      </c>
      <c r="Y656" s="3">
        <v>1</v>
      </c>
      <c r="Z656" s="3">
        <v>2</v>
      </c>
      <c r="AA656" s="5">
        <v>3594</v>
      </c>
      <c r="AB656" t="s">
        <v>151</v>
      </c>
      <c r="AC656" s="2" t="str" cm="1">
        <f t="array" ref="AC656">_xlfn.IFS(Table1[[#This Row],[Others_Parties]] = "No", "None",
Table1[[#This Row],[Others_Parties]] = "co applicant", "Co-applicant",
Table1[[#This Row],[Others_Parties]] = "guarantor", "Guarantor")</f>
        <v>None</v>
      </c>
      <c r="AD656" s="13" t="s">
        <v>145</v>
      </c>
      <c r="AE656" s="2" t="s">
        <v>107</v>
      </c>
      <c r="AF656" s="28" t="str" cm="1">
        <f t="array" ref="AF65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56" s="21">
        <v>15</v>
      </c>
      <c r="AH656" s="2" t="s">
        <v>154</v>
      </c>
      <c r="AI656"/>
      <c r="AZ656"/>
      <c r="BC656"/>
      <c r="BE656"/>
      <c r="BL656"/>
      <c r="BZ656"/>
      <c r="CA656"/>
      <c r="CF656"/>
      <c r="CG656"/>
      <c r="CH656"/>
      <c r="CI656"/>
      <c r="CK656"/>
      <c r="CN656"/>
    </row>
    <row r="657" spans="1:92" x14ac:dyDescent="0.3">
      <c r="A657" s="4">
        <v>655</v>
      </c>
      <c r="B657" s="11">
        <v>27</v>
      </c>
      <c r="C657" s="2" t="str">
        <f>_xlfn.XLOOKUP(Table1[[#This Row],[Age]],Table7[Start_Age],Table7[Age_Range],,-1)</f>
        <v>19-29</v>
      </c>
      <c r="D657" t="s">
        <v>136</v>
      </c>
      <c r="E657" s="2" t="s">
        <v>131</v>
      </c>
      <c r="F657" s="2" t="s">
        <v>137</v>
      </c>
      <c r="G657" s="3">
        <v>1</v>
      </c>
      <c r="H657" s="13" t="s">
        <v>152</v>
      </c>
      <c r="I657" s="2" t="str" cm="1">
        <f t="array" ref="I657">_xlfn.IFS(Table1[[#This Row],[Job_Type]] = "unskilled resident", "Resident",
Table1[[#This Row],[Job_Type]] = "unemp/unskilled non res", "Non-resident",
TRUE, "Unknown")</f>
        <v>Resident</v>
      </c>
      <c r="J657" s="2" t="s">
        <v>148</v>
      </c>
      <c r="K657" s="3">
        <v>4</v>
      </c>
      <c r="L657" s="2" t="s">
        <v>143</v>
      </c>
      <c r="M657" s="13" t="s">
        <v>151</v>
      </c>
      <c r="N657" t="s">
        <v>35</v>
      </c>
      <c r="O657" s="2" t="str">
        <f>_xlfn.XLOOKUP(Table1[[#This Row],[Checking_Acct_Status]],Table3[Checking_Acct_Original],Table3[Category])</f>
        <v>Negative Balance</v>
      </c>
      <c r="P657" s="10" t="s">
        <v>32</v>
      </c>
      <c r="Q657" s="13" t="str">
        <f>_xlfn.XLOOKUP(Table1[[#This Row],[Saving_Acct_Status]],Table5[Saving_Acct_Original],Table5[Category])</f>
        <v>Low Savings</v>
      </c>
      <c r="R657" t="s">
        <v>27</v>
      </c>
      <c r="S657" s="2" t="str">
        <f>IF(
      OR(Table1[[#This Row],[Job_Type]] = "high qualif/self emp/mgmt", Table1[[#This Row],[Job_Type]] = "skilled"),
      "Skilled", "Unskilled")</f>
        <v>Unskilled</v>
      </c>
      <c r="T657" t="str">
        <f>IF(Table1[[#This Row],[Job_Type]] = "unemp/unskilled non res", "Unemployed", "Employed")</f>
        <v>Employed</v>
      </c>
      <c r="U657" t="s">
        <v>38</v>
      </c>
      <c r="V657" s="14" t="str" cm="1">
        <f t="array" ref="V65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57" t="s">
        <v>59</v>
      </c>
      <c r="X657" s="2" t="str">
        <f>_xlfn.XLOOKUP(Table1[[#This Row],[Loan_Credit_History]],Table4[Credit History],Table4[[ Category]])</f>
        <v>Previously Delayed</v>
      </c>
      <c r="Y657" s="3">
        <v>1</v>
      </c>
      <c r="Z657" s="3">
        <v>2</v>
      </c>
      <c r="AA657" s="5">
        <v>3643</v>
      </c>
      <c r="AB657" t="s">
        <v>151</v>
      </c>
      <c r="AC657" s="2" t="str" cm="1">
        <f t="array" ref="AC657">_xlfn.IFS(Table1[[#This Row],[Others_Parties]] = "No", "None",
Table1[[#This Row],[Others_Parties]] = "co applicant", "Co-applicant",
Table1[[#This Row],[Others_Parties]] = "guarantor", "Guarantor")</f>
        <v>None</v>
      </c>
      <c r="AD657" s="13" t="s">
        <v>145</v>
      </c>
      <c r="AE657" s="2" t="s">
        <v>108</v>
      </c>
      <c r="AF657" s="28" t="str" cm="1">
        <f t="array" ref="AF65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57" s="21">
        <v>15</v>
      </c>
      <c r="AH657" s="2" t="s">
        <v>154</v>
      </c>
      <c r="AI657"/>
      <c r="AZ657"/>
      <c r="BC657"/>
      <c r="BE657"/>
      <c r="BL657"/>
      <c r="BZ657"/>
      <c r="CA657"/>
      <c r="CF657"/>
      <c r="CG657"/>
      <c r="CH657"/>
      <c r="CI657"/>
      <c r="CK657"/>
      <c r="CN657"/>
    </row>
    <row r="658" spans="1:92" x14ac:dyDescent="0.3">
      <c r="A658" s="4">
        <v>656</v>
      </c>
      <c r="B658" s="11">
        <v>23</v>
      </c>
      <c r="C658" s="2" t="str">
        <f>_xlfn.XLOOKUP(Table1[[#This Row],[Age]],Table7[Start_Age],Table7[Age_Range],,-1)</f>
        <v>19-29</v>
      </c>
      <c r="D658" t="s">
        <v>136</v>
      </c>
      <c r="E658" s="2" t="s">
        <v>131</v>
      </c>
      <c r="F658" s="2" t="s">
        <v>137</v>
      </c>
      <c r="G658" s="3">
        <v>1</v>
      </c>
      <c r="H658" s="13" t="s">
        <v>152</v>
      </c>
      <c r="I658" s="2" t="str" cm="1">
        <f t="array" ref="I658">_xlfn.IFS(Table1[[#This Row],[Job_Type]] = "unskilled resident", "Resident",
Table1[[#This Row],[Job_Type]] = "unemp/unskilled non res", "Non-resident",
TRUE, "Unknown")</f>
        <v>Unknown</v>
      </c>
      <c r="J658" s="2" t="s">
        <v>148</v>
      </c>
      <c r="K658" s="3">
        <v>4</v>
      </c>
      <c r="L658" s="2" t="s">
        <v>140</v>
      </c>
      <c r="M658" s="13" t="s">
        <v>152</v>
      </c>
      <c r="N658" t="s">
        <v>17</v>
      </c>
      <c r="O658" s="2" t="str">
        <f>_xlfn.XLOOKUP(Table1[[#This Row],[Checking_Acct_Status]],Table3[Checking_Acct_Original],Table3[Category])</f>
        <v>No Account</v>
      </c>
      <c r="P658" s="10" t="s">
        <v>46</v>
      </c>
      <c r="Q658" s="13" t="str">
        <f>_xlfn.XLOOKUP(Table1[[#This Row],[Saving_Acct_Status]],Table5[Saving_Acct_Original],Table5[Category])</f>
        <v>Medium Savings</v>
      </c>
      <c r="R658" t="s">
        <v>41</v>
      </c>
      <c r="S658" s="2" t="str">
        <f>IF(
      OR(Table1[[#This Row],[Job_Type]] = "high qualif/self emp/mgmt", Table1[[#This Row],[Job_Type]] = "skilled"),
      "Skilled", "Unskilled")</f>
        <v>Skilled</v>
      </c>
      <c r="T658" t="str">
        <f>IF(Table1[[#This Row],[Job_Type]] = "unemp/unskilled non res", "Unemployed", "Employed")</f>
        <v>Employed</v>
      </c>
      <c r="U658" t="s">
        <v>45</v>
      </c>
      <c r="V658" s="14" t="str" cm="1">
        <f t="array" ref="V65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58" t="s">
        <v>31</v>
      </c>
      <c r="X658" s="2" t="str">
        <f>_xlfn.XLOOKUP(Table1[[#This Row],[Loan_Credit_History]],Table4[Credit History],Table4[[ Category]])</f>
        <v>Existing Credits Paid</v>
      </c>
      <c r="Y658" s="3">
        <v>1</v>
      </c>
      <c r="Z658" s="3">
        <v>1</v>
      </c>
      <c r="AA658" s="5">
        <v>3812</v>
      </c>
      <c r="AB658" t="s">
        <v>151</v>
      </c>
      <c r="AC658" s="2" t="str" cm="1">
        <f t="array" ref="AC658">_xlfn.IFS(Table1[[#This Row],[Others_Parties]] = "No", "None",
Table1[[#This Row],[Others_Parties]] = "co applicant", "Co-applicant",
Table1[[#This Row],[Others_Parties]] = "guarantor", "Guarantor")</f>
        <v>None</v>
      </c>
      <c r="AD658" s="13" t="s">
        <v>145</v>
      </c>
      <c r="AE658" s="2" t="s">
        <v>107</v>
      </c>
      <c r="AF658" s="28" t="str" cm="1">
        <f t="array" ref="AF65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58" s="21">
        <v>15</v>
      </c>
      <c r="AH658" s="2" t="s">
        <v>154</v>
      </c>
      <c r="AI658"/>
      <c r="AZ658"/>
      <c r="BC658"/>
      <c r="BE658"/>
      <c r="BL658"/>
      <c r="BZ658"/>
      <c r="CA658"/>
      <c r="CF658"/>
      <c r="CG658"/>
      <c r="CH658"/>
      <c r="CI658"/>
      <c r="CK658"/>
      <c r="CN658"/>
    </row>
    <row r="659" spans="1:92" x14ac:dyDescent="0.3">
      <c r="A659" s="4">
        <v>657</v>
      </c>
      <c r="B659" s="11">
        <v>29</v>
      </c>
      <c r="C659" s="2" t="str">
        <f>_xlfn.XLOOKUP(Table1[[#This Row],[Age]],Table7[Start_Age],Table7[Age_Range],,-1)</f>
        <v>29-39</v>
      </c>
      <c r="D659" t="s">
        <v>136</v>
      </c>
      <c r="E659" s="2" t="s">
        <v>131</v>
      </c>
      <c r="F659" s="2" t="s">
        <v>137</v>
      </c>
      <c r="G659" s="3">
        <v>1</v>
      </c>
      <c r="H659" s="13" t="s">
        <v>152</v>
      </c>
      <c r="I659" s="2" t="str" cm="1">
        <f t="array" ref="I659">_xlfn.IFS(Table1[[#This Row],[Job_Type]] = "unskilled resident", "Resident",
Table1[[#This Row],[Job_Type]] = "unemp/unskilled non res", "Non-resident",
TRUE, "Unknown")</f>
        <v>Unknown</v>
      </c>
      <c r="J659" s="2" t="s">
        <v>148</v>
      </c>
      <c r="K659" s="3">
        <v>2</v>
      </c>
      <c r="L659" s="2" t="s">
        <v>143</v>
      </c>
      <c r="M659" s="13" t="s">
        <v>152</v>
      </c>
      <c r="N659" t="s">
        <v>35</v>
      </c>
      <c r="O659" s="2" t="str">
        <f>_xlfn.XLOOKUP(Table1[[#This Row],[Checking_Acct_Status]],Table3[Checking_Acct_Original],Table3[Category])</f>
        <v>Negative Balance</v>
      </c>
      <c r="P659" s="10" t="s">
        <v>32</v>
      </c>
      <c r="Q659" s="13" t="str">
        <f>_xlfn.XLOOKUP(Table1[[#This Row],[Saving_Acct_Status]],Table5[Saving_Acct_Original],Table5[Category])</f>
        <v>Low Savings</v>
      </c>
      <c r="R659" t="s">
        <v>41</v>
      </c>
      <c r="S659" s="2" t="str">
        <f>IF(
      OR(Table1[[#This Row],[Job_Type]] = "high qualif/self emp/mgmt", Table1[[#This Row],[Job_Type]] = "skilled"),
      "Skilled", "Unskilled")</f>
        <v>Skilled</v>
      </c>
      <c r="T659" t="str">
        <f>IF(Table1[[#This Row],[Job_Type]] = "unemp/unskilled non res", "Unemployed", "Employed")</f>
        <v>Employed</v>
      </c>
      <c r="U659" t="s">
        <v>21</v>
      </c>
      <c r="V659" s="14" t="str" cm="1">
        <f t="array" ref="V65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59" t="s">
        <v>31</v>
      </c>
      <c r="X659" s="2" t="str">
        <f>_xlfn.XLOOKUP(Table1[[#This Row],[Loan_Credit_History]],Table4[Credit History],Table4[[ Category]])</f>
        <v>Existing Credits Paid</v>
      </c>
      <c r="Y659" s="3">
        <v>3</v>
      </c>
      <c r="Z659" s="3">
        <v>1</v>
      </c>
      <c r="AA659" s="5">
        <v>3959</v>
      </c>
      <c r="AB659" t="s">
        <v>151</v>
      </c>
      <c r="AC659" s="2" t="str" cm="1">
        <f t="array" ref="AC659">_xlfn.IFS(Table1[[#This Row],[Others_Parties]] = "No", "None",
Table1[[#This Row],[Others_Parties]] = "co applicant", "Co-applicant",
Table1[[#This Row],[Others_Parties]] = "guarantor", "Guarantor")</f>
        <v>None</v>
      </c>
      <c r="AD659" s="13" t="s">
        <v>145</v>
      </c>
      <c r="AE659" s="2" t="s">
        <v>141</v>
      </c>
      <c r="AF659" s="28" t="str" cm="1">
        <f t="array" ref="AF65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59" s="21">
        <v>15</v>
      </c>
      <c r="AH659" s="2" t="s">
        <v>153</v>
      </c>
      <c r="AI659"/>
      <c r="AZ659"/>
      <c r="BC659"/>
      <c r="BE659"/>
      <c r="BL659"/>
      <c r="BZ659"/>
      <c r="CA659"/>
      <c r="CF659"/>
      <c r="CG659"/>
      <c r="CH659"/>
      <c r="CI659"/>
      <c r="CK659"/>
      <c r="CN659"/>
    </row>
    <row r="660" spans="1:92" x14ac:dyDescent="0.3">
      <c r="A660" s="4">
        <v>658</v>
      </c>
      <c r="B660" s="11">
        <v>40</v>
      </c>
      <c r="C660" s="2" t="str">
        <f>_xlfn.XLOOKUP(Table1[[#This Row],[Age]],Table7[Start_Age],Table7[Age_Range],,-1)</f>
        <v>39-49</v>
      </c>
      <c r="D660" t="s">
        <v>130</v>
      </c>
      <c r="E660" s="2" t="s">
        <v>129</v>
      </c>
      <c r="F660" s="2" t="s">
        <v>133</v>
      </c>
      <c r="G660" s="3">
        <v>1</v>
      </c>
      <c r="H660" s="13" t="s">
        <v>152</v>
      </c>
      <c r="I660" s="2" t="str" cm="1">
        <f t="array" ref="I660">_xlfn.IFS(Table1[[#This Row],[Job_Type]] = "unskilled resident", "Resident",
Table1[[#This Row],[Job_Type]] = "unemp/unskilled non res", "Non-resident",
TRUE, "Unknown")</f>
        <v>Unknown</v>
      </c>
      <c r="J660" s="2" t="s">
        <v>148</v>
      </c>
      <c r="K660" s="3">
        <v>2</v>
      </c>
      <c r="L660" s="2" t="s">
        <v>143</v>
      </c>
      <c r="M660" s="13" t="s">
        <v>152</v>
      </c>
      <c r="N660" t="s">
        <v>17</v>
      </c>
      <c r="O660" s="2" t="str">
        <f>_xlfn.XLOOKUP(Table1[[#This Row],[Checking_Acct_Status]],Table3[Checking_Acct_Original],Table3[Category])</f>
        <v>No Account</v>
      </c>
      <c r="P660" s="10" t="s">
        <v>46</v>
      </c>
      <c r="Q660" s="13" t="str">
        <f>_xlfn.XLOOKUP(Table1[[#This Row],[Saving_Acct_Status]],Table5[Saving_Acct_Original],Table5[Category])</f>
        <v>Medium Savings</v>
      </c>
      <c r="R660" t="s">
        <v>63</v>
      </c>
      <c r="S660" s="2" t="str">
        <f>IF(
      OR(Table1[[#This Row],[Job_Type]] = "high qualif/self emp/mgmt", Table1[[#This Row],[Job_Type]] = "skilled"),
      "Skilled", "Unskilled")</f>
        <v>Skilled</v>
      </c>
      <c r="T660" t="str">
        <f>IF(Table1[[#This Row],[Job_Type]] = "unemp/unskilled non res", "Unemployed", "Employed")</f>
        <v>Employed</v>
      </c>
      <c r="U660" t="s">
        <v>21</v>
      </c>
      <c r="V660" s="14" t="str" cm="1">
        <f t="array" ref="V66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60" t="s">
        <v>31</v>
      </c>
      <c r="X660" s="2" t="str">
        <f>_xlfn.XLOOKUP(Table1[[#This Row],[Loan_Credit_History]],Table4[Credit History],Table4[[ Category]])</f>
        <v>Existing Credits Paid</v>
      </c>
      <c r="Y660" s="3">
        <v>3</v>
      </c>
      <c r="Z660" s="3">
        <v>1</v>
      </c>
      <c r="AA660" s="5">
        <v>4623</v>
      </c>
      <c r="AB660" t="s">
        <v>151</v>
      </c>
      <c r="AC660" s="2" t="str" cm="1">
        <f t="array" ref="AC660">_xlfn.IFS(Table1[[#This Row],[Others_Parties]] = "No", "None",
Table1[[#This Row],[Others_Parties]] = "co applicant", "Co-applicant",
Table1[[#This Row],[Others_Parties]] = "guarantor", "Guarantor")</f>
        <v>None</v>
      </c>
      <c r="AD660" s="13" t="s">
        <v>145</v>
      </c>
      <c r="AE660" s="2" t="s">
        <v>100</v>
      </c>
      <c r="AF660" s="28" t="str" cm="1">
        <f t="array" ref="AF66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60" s="21">
        <v>15</v>
      </c>
      <c r="AH660" s="2" t="s">
        <v>153</v>
      </c>
      <c r="AI660"/>
      <c r="AZ660"/>
      <c r="BC660"/>
      <c r="BE660"/>
      <c r="BL660"/>
      <c r="BZ660"/>
      <c r="CA660"/>
      <c r="CF660"/>
      <c r="CG660"/>
      <c r="CH660"/>
      <c r="CI660"/>
      <c r="CK660"/>
      <c r="CN660"/>
    </row>
    <row r="661" spans="1:92" x14ac:dyDescent="0.3">
      <c r="A661" s="4">
        <v>659</v>
      </c>
      <c r="B661" s="11">
        <v>30</v>
      </c>
      <c r="C661" s="2" t="str">
        <f>_xlfn.XLOOKUP(Table1[[#This Row],[Age]],Table7[Start_Age],Table7[Age_Range],,-1)</f>
        <v>29-39</v>
      </c>
      <c r="D661" t="s">
        <v>130</v>
      </c>
      <c r="E661" s="2" t="s">
        <v>129</v>
      </c>
      <c r="F661" s="2" t="s">
        <v>133</v>
      </c>
      <c r="G661" s="3">
        <v>1</v>
      </c>
      <c r="H661" s="13" t="s">
        <v>152</v>
      </c>
      <c r="I661" s="2" t="str" cm="1">
        <f t="array" ref="I661">_xlfn.IFS(Table1[[#This Row],[Job_Type]] = "unskilled resident", "Resident",
Table1[[#This Row],[Job_Type]] = "unemp/unskilled non res", "Non-resident",
TRUE, "Unknown")</f>
        <v>Unknown</v>
      </c>
      <c r="J661" s="2" t="s">
        <v>148</v>
      </c>
      <c r="K661" s="3">
        <v>2</v>
      </c>
      <c r="L661" s="2" t="s">
        <v>140</v>
      </c>
      <c r="M661" s="13" t="s">
        <v>152</v>
      </c>
      <c r="N661" t="s">
        <v>17</v>
      </c>
      <c r="O661" s="2" t="str">
        <f>_xlfn.XLOOKUP(Table1[[#This Row],[Checking_Acct_Status]],Table3[Checking_Acct_Original],Table3[Category])</f>
        <v>No Account</v>
      </c>
      <c r="P661" s="10" t="s">
        <v>32</v>
      </c>
      <c r="Q661" s="13" t="str">
        <f>_xlfn.XLOOKUP(Table1[[#This Row],[Saving_Acct_Status]],Table5[Saving_Acct_Original],Table5[Category])</f>
        <v>Low Savings</v>
      </c>
      <c r="R661" t="s">
        <v>41</v>
      </c>
      <c r="S661" s="2" t="str">
        <f>IF(
      OR(Table1[[#This Row],[Job_Type]] = "high qualif/self emp/mgmt", Table1[[#This Row],[Job_Type]] = "skilled"),
      "Skilled", "Unskilled")</f>
        <v>Skilled</v>
      </c>
      <c r="T661" t="str">
        <f>IF(Table1[[#This Row],[Job_Type]] = "unemp/unskilled non res", "Unemployed", "Employed")</f>
        <v>Employed</v>
      </c>
      <c r="U661" t="s">
        <v>21</v>
      </c>
      <c r="V661" s="14" t="str" cm="1">
        <f t="array" ref="V66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61" t="s">
        <v>31</v>
      </c>
      <c r="X661" s="2" t="str">
        <f>_xlfn.XLOOKUP(Table1[[#This Row],[Loan_Credit_History]],Table4[Credit History],Table4[[ Category]])</f>
        <v>Existing Credits Paid</v>
      </c>
      <c r="Y661" s="3">
        <v>3</v>
      </c>
      <c r="Z661" s="3">
        <v>1</v>
      </c>
      <c r="AA661" s="5">
        <v>4657</v>
      </c>
      <c r="AB661" t="s">
        <v>151</v>
      </c>
      <c r="AC661" s="2" t="str" cm="1">
        <f t="array" ref="AC661">_xlfn.IFS(Table1[[#This Row],[Others_Parties]] = "No", "None",
Table1[[#This Row],[Others_Parties]] = "co applicant", "Co-applicant",
Table1[[#This Row],[Others_Parties]] = "guarantor", "Guarantor")</f>
        <v>None</v>
      </c>
      <c r="AD661" s="13" t="s">
        <v>145</v>
      </c>
      <c r="AE661" s="2" t="s">
        <v>107</v>
      </c>
      <c r="AF661" s="28" t="str" cm="1">
        <f t="array" ref="AF66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61" s="21">
        <v>15</v>
      </c>
      <c r="AH661" s="2" t="s">
        <v>154</v>
      </c>
      <c r="AI661"/>
      <c r="AZ661"/>
      <c r="BC661"/>
      <c r="BE661"/>
      <c r="BL661"/>
      <c r="BZ661"/>
      <c r="CA661"/>
      <c r="CF661"/>
      <c r="CG661"/>
      <c r="CH661"/>
      <c r="CI661"/>
      <c r="CK661"/>
      <c r="CN661"/>
    </row>
    <row r="662" spans="1:92" x14ac:dyDescent="0.3">
      <c r="A662" s="4">
        <v>660</v>
      </c>
      <c r="B662" s="11">
        <v>59</v>
      </c>
      <c r="C662" s="2" t="str">
        <f>_xlfn.XLOOKUP(Table1[[#This Row],[Age]],Table7[Start_Age],Table7[Age_Range],,-1)</f>
        <v>59-69</v>
      </c>
      <c r="D662" t="s">
        <v>136</v>
      </c>
      <c r="E662" s="2" t="s">
        <v>131</v>
      </c>
      <c r="F662" s="2" t="s">
        <v>137</v>
      </c>
      <c r="G662" s="3">
        <v>1</v>
      </c>
      <c r="H662" s="13" t="s">
        <v>152</v>
      </c>
      <c r="I662" s="2" t="str" cm="1">
        <f t="array" ref="I662">_xlfn.IFS(Table1[[#This Row],[Job_Type]] = "unskilled resident", "Resident",
Table1[[#This Row],[Job_Type]] = "unemp/unskilled non res", "Non-resident",
TRUE, "Unknown")</f>
        <v>Unknown</v>
      </c>
      <c r="J662" s="2" t="s">
        <v>148</v>
      </c>
      <c r="K662" s="3">
        <v>4</v>
      </c>
      <c r="L662" s="2" t="s">
        <v>140</v>
      </c>
      <c r="M662" s="13" t="s">
        <v>152</v>
      </c>
      <c r="N662" t="s">
        <v>17</v>
      </c>
      <c r="O662" s="2" t="str">
        <f>_xlfn.XLOOKUP(Table1[[#This Row],[Checking_Acct_Status]],Table3[Checking_Acct_Original],Table3[Category])</f>
        <v>No Account</v>
      </c>
      <c r="P662" s="10" t="s">
        <v>47</v>
      </c>
      <c r="Q662" s="13" t="str">
        <f>_xlfn.XLOOKUP(Table1[[#This Row],[Saving_Acct_Status]],Table5[Saving_Acct_Original],Table5[Category])</f>
        <v>No Savings</v>
      </c>
      <c r="R662" t="s">
        <v>41</v>
      </c>
      <c r="S662" s="2" t="str">
        <f>IF(
      OR(Table1[[#This Row],[Job_Type]] = "high qualif/self emp/mgmt", Table1[[#This Row],[Job_Type]] = "skilled"),
      "Skilled", "Unskilled")</f>
        <v>Skilled</v>
      </c>
      <c r="T662" t="str">
        <f>IF(Table1[[#This Row],[Job_Type]] = "unemp/unskilled non res", "Unemployed", "Employed")</f>
        <v>Employed</v>
      </c>
      <c r="U662" t="s">
        <v>38</v>
      </c>
      <c r="V662" s="14" t="str" cm="1">
        <f t="array" ref="V66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62" t="s">
        <v>103</v>
      </c>
      <c r="X662" s="2" t="str">
        <f>_xlfn.XLOOKUP(Table1[[#This Row],[Loan_Credit_History]],Table4[Credit History],Table4[[ Category]])</f>
        <v>Critical Credit History</v>
      </c>
      <c r="Y662" s="3">
        <v>1</v>
      </c>
      <c r="Z662" s="3">
        <v>1</v>
      </c>
      <c r="AA662" s="5">
        <v>5045</v>
      </c>
      <c r="AB662" t="s">
        <v>151</v>
      </c>
      <c r="AC662" s="2" t="str" cm="1">
        <f t="array" ref="AC662">_xlfn.IFS(Table1[[#This Row],[Others_Parties]] = "No", "None",
Table1[[#This Row],[Others_Parties]] = "co applicant", "Co-applicant",
Table1[[#This Row],[Others_Parties]] = "guarantor", "Guarantor")</f>
        <v>None</v>
      </c>
      <c r="AD662" s="13" t="s">
        <v>145</v>
      </c>
      <c r="AE662" s="2" t="s">
        <v>141</v>
      </c>
      <c r="AF662" s="28" t="str" cm="1">
        <f t="array" ref="AF66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62" s="21">
        <v>15</v>
      </c>
      <c r="AH662" s="2" t="s">
        <v>154</v>
      </c>
      <c r="AI662"/>
      <c r="AZ662"/>
      <c r="BC662"/>
      <c r="BE662"/>
      <c r="BL662"/>
      <c r="BZ662"/>
      <c r="CA662"/>
      <c r="CF662"/>
      <c r="CG662"/>
      <c r="CH662"/>
      <c r="CI662"/>
      <c r="CK662"/>
      <c r="CN662"/>
    </row>
    <row r="663" spans="1:92" x14ac:dyDescent="0.3">
      <c r="A663" s="4">
        <v>661</v>
      </c>
      <c r="B663" s="11">
        <v>35</v>
      </c>
      <c r="C663" s="2" t="str">
        <f>_xlfn.XLOOKUP(Table1[[#This Row],[Age]],Table7[Start_Age],Table7[Age_Range],,-1)</f>
        <v>29-39</v>
      </c>
      <c r="D663" t="s">
        <v>136</v>
      </c>
      <c r="E663" s="2" t="s">
        <v>131</v>
      </c>
      <c r="F663" s="2" t="s">
        <v>137</v>
      </c>
      <c r="G663" s="3">
        <v>1</v>
      </c>
      <c r="H663" s="13" t="s">
        <v>152</v>
      </c>
      <c r="I663" s="2" t="str" cm="1">
        <f t="array" ref="I663">_xlfn.IFS(Table1[[#This Row],[Job_Type]] = "unskilled resident", "Resident",
Table1[[#This Row],[Job_Type]] = "unemp/unskilled non res", "Non-resident",
TRUE, "Unknown")</f>
        <v>Unknown</v>
      </c>
      <c r="J663" s="2" t="s">
        <v>150</v>
      </c>
      <c r="K663" s="3">
        <v>4</v>
      </c>
      <c r="L663" s="2" t="s">
        <v>142</v>
      </c>
      <c r="M663" s="13" t="s">
        <v>151</v>
      </c>
      <c r="N663" t="s">
        <v>17</v>
      </c>
      <c r="O663" s="2" t="str">
        <f>_xlfn.XLOOKUP(Table1[[#This Row],[Checking_Acct_Status]],Table3[Checking_Acct_Original],Table3[Category])</f>
        <v>No Account</v>
      </c>
      <c r="P663" s="10" t="s">
        <v>37</v>
      </c>
      <c r="Q663" s="13" t="str">
        <f>_xlfn.XLOOKUP(Table1[[#This Row],[Saving_Acct_Status]],Table5[Saving_Acct_Original],Table5[Category])</f>
        <v>High Savings</v>
      </c>
      <c r="R663" t="s">
        <v>41</v>
      </c>
      <c r="S663" s="2" t="str">
        <f>IF(
      OR(Table1[[#This Row],[Job_Type]] = "high qualif/self emp/mgmt", Table1[[#This Row],[Job_Type]] = "skilled"),
      "Skilled", "Unskilled")</f>
        <v>Skilled</v>
      </c>
      <c r="T663" t="str">
        <f>IF(Table1[[#This Row],[Job_Type]] = "unemp/unskilled non res", "Unemployed", "Employed")</f>
        <v>Employed</v>
      </c>
      <c r="U663" t="s">
        <v>38</v>
      </c>
      <c r="V663" s="14" t="str" cm="1">
        <f t="array" ref="V66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63" t="s">
        <v>31</v>
      </c>
      <c r="X663" s="2" t="str">
        <f>_xlfn.XLOOKUP(Table1[[#This Row],[Loan_Credit_History]],Table4[Credit History],Table4[[ Category]])</f>
        <v>Existing Credits Paid</v>
      </c>
      <c r="Y663" s="3">
        <v>1</v>
      </c>
      <c r="Z663" s="3">
        <v>1</v>
      </c>
      <c r="AA663" s="5">
        <v>5324</v>
      </c>
      <c r="AB663" t="s">
        <v>151</v>
      </c>
      <c r="AC663" s="2" t="str" cm="1">
        <f t="array" ref="AC663">_xlfn.IFS(Table1[[#This Row],[Others_Parties]] = "No", "None",
Table1[[#This Row],[Others_Parties]] = "co applicant", "Co-applicant",
Table1[[#This Row],[Others_Parties]] = "guarantor", "Guarantor")</f>
        <v>None</v>
      </c>
      <c r="AD663" s="13" t="s">
        <v>145</v>
      </c>
      <c r="AE663" s="2" t="s">
        <v>141</v>
      </c>
      <c r="AF663" s="28" t="str" cm="1">
        <f t="array" ref="AF66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63" s="21">
        <v>15</v>
      </c>
      <c r="AH663" s="2" t="s">
        <v>154</v>
      </c>
      <c r="AI663"/>
      <c r="AZ663"/>
      <c r="BC663"/>
      <c r="BE663"/>
      <c r="BL663"/>
      <c r="BZ663"/>
      <c r="CA663"/>
      <c r="CF663"/>
      <c r="CG663"/>
      <c r="CH663"/>
      <c r="CI663"/>
      <c r="CK663"/>
      <c r="CN663"/>
    </row>
    <row r="664" spans="1:92" x14ac:dyDescent="0.3">
      <c r="A664" s="4">
        <v>662</v>
      </c>
      <c r="B664" s="11">
        <v>34</v>
      </c>
      <c r="C664" s="2" t="str">
        <f>_xlfn.XLOOKUP(Table1[[#This Row],[Age]],Table7[Start_Age],Table7[Age_Range],,-1)</f>
        <v>29-39</v>
      </c>
      <c r="D664" t="s">
        <v>130</v>
      </c>
      <c r="E664" s="2" t="s">
        <v>129</v>
      </c>
      <c r="F664" s="2" t="s">
        <v>133</v>
      </c>
      <c r="G664" s="3">
        <v>2</v>
      </c>
      <c r="H664" s="13" t="s">
        <v>152</v>
      </c>
      <c r="I664" s="2" t="str" cm="1">
        <f t="array" ref="I664">_xlfn.IFS(Table1[[#This Row],[Job_Type]] = "unskilled resident", "Resident",
Table1[[#This Row],[Job_Type]] = "unemp/unskilled non res", "Non-resident",
TRUE, "Unknown")</f>
        <v>Unknown</v>
      </c>
      <c r="J664" s="2" t="s">
        <v>148</v>
      </c>
      <c r="K664" s="3">
        <v>2</v>
      </c>
      <c r="L664" s="2" t="s">
        <v>143</v>
      </c>
      <c r="M664" s="13" t="s">
        <v>152</v>
      </c>
      <c r="N664" t="s">
        <v>30</v>
      </c>
      <c r="O664" s="2" t="str">
        <f>_xlfn.XLOOKUP(Table1[[#This Row],[Checking_Acct_Status]],Table3[Checking_Acct_Original],Table3[Category])</f>
        <v>Low Balance</v>
      </c>
      <c r="P664" s="10" t="s">
        <v>46</v>
      </c>
      <c r="Q664" s="13" t="str">
        <f>_xlfn.XLOOKUP(Table1[[#This Row],[Saving_Acct_Status]],Table5[Saving_Acct_Original],Table5[Category])</f>
        <v>Medium Savings</v>
      </c>
      <c r="R664" t="s">
        <v>63</v>
      </c>
      <c r="S664" s="2" t="str">
        <f>IF(
      OR(Table1[[#This Row],[Job_Type]] = "high qualif/self emp/mgmt", Table1[[#This Row],[Job_Type]] = "skilled"),
      "Skilled", "Unskilled")</f>
        <v>Skilled</v>
      </c>
      <c r="T664" t="str">
        <f>IF(Table1[[#This Row],[Job_Type]] = "unemp/unskilled non res", "Unemployed", "Employed")</f>
        <v>Employed</v>
      </c>
      <c r="U664" t="s">
        <v>54</v>
      </c>
      <c r="V664" s="14" t="str" cm="1">
        <f t="array" ref="V664">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664" t="s">
        <v>42</v>
      </c>
      <c r="X664" s="2" t="str">
        <f>_xlfn.XLOOKUP(Table1[[#This Row],[Loan_Credit_History]],Table4[Credit History],Table4[[ Category]])</f>
        <v>All Paid</v>
      </c>
      <c r="Y664" s="3">
        <v>1</v>
      </c>
      <c r="Z664" s="3">
        <v>1</v>
      </c>
      <c r="AA664" s="5">
        <v>6850</v>
      </c>
      <c r="AB664" t="s">
        <v>151</v>
      </c>
      <c r="AC664" s="2" t="str" cm="1">
        <f t="array" ref="AC664">_xlfn.IFS(Table1[[#This Row],[Others_Parties]] = "No", "None",
Table1[[#This Row],[Others_Parties]] = "co applicant", "Co-applicant",
Table1[[#This Row],[Others_Parties]] = "guarantor", "Guarantor")</f>
        <v>None</v>
      </c>
      <c r="AD664" s="13" t="s">
        <v>145</v>
      </c>
      <c r="AE664" s="2" t="s">
        <v>141</v>
      </c>
      <c r="AF664" s="28" t="str" cm="1">
        <f t="array" ref="AF66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64" s="21">
        <v>15</v>
      </c>
      <c r="AH664" s="2" t="s">
        <v>153</v>
      </c>
      <c r="AI664"/>
      <c r="AZ664"/>
      <c r="BC664"/>
      <c r="BE664"/>
      <c r="BL664"/>
      <c r="BZ664"/>
      <c r="CA664"/>
      <c r="CF664"/>
      <c r="CG664"/>
      <c r="CH664"/>
      <c r="CI664"/>
      <c r="CK664"/>
      <c r="CN664"/>
    </row>
    <row r="665" spans="1:92" x14ac:dyDescent="0.3">
      <c r="A665" s="4">
        <v>663</v>
      </c>
      <c r="B665" s="11">
        <v>27</v>
      </c>
      <c r="C665" s="2" t="str">
        <f>_xlfn.XLOOKUP(Table1[[#This Row],[Age]],Table7[Start_Age],Table7[Age_Range],,-1)</f>
        <v>19-29</v>
      </c>
      <c r="D665" t="s">
        <v>130</v>
      </c>
      <c r="E665" s="2" t="s">
        <v>129</v>
      </c>
      <c r="F665" s="2" t="s">
        <v>133</v>
      </c>
      <c r="G665" s="3">
        <v>1</v>
      </c>
      <c r="H665" s="13" t="s">
        <v>152</v>
      </c>
      <c r="I665" s="2" t="str" cm="1">
        <f t="array" ref="I665">_xlfn.IFS(Table1[[#This Row],[Job_Type]] = "unskilled resident", "Resident",
Table1[[#This Row],[Job_Type]] = "unemp/unskilled non res", "Non-resident",
TRUE, "Unknown")</f>
        <v>Resident</v>
      </c>
      <c r="J665" s="2" t="s">
        <v>148</v>
      </c>
      <c r="K665" s="3">
        <v>2</v>
      </c>
      <c r="L665" s="2" t="s">
        <v>140</v>
      </c>
      <c r="M665" s="13" t="s">
        <v>151</v>
      </c>
      <c r="N665" t="s">
        <v>17</v>
      </c>
      <c r="O665" s="2" t="str">
        <f>_xlfn.XLOOKUP(Table1[[#This Row],[Checking_Acct_Status]],Table3[Checking_Acct_Original],Table3[Category])</f>
        <v>No Account</v>
      </c>
      <c r="P665" s="10" t="s">
        <v>32</v>
      </c>
      <c r="Q665" s="13" t="str">
        <f>_xlfn.XLOOKUP(Table1[[#This Row],[Saving_Acct_Status]],Table5[Saving_Acct_Original],Table5[Category])</f>
        <v>Low Savings</v>
      </c>
      <c r="R665" t="s">
        <v>27</v>
      </c>
      <c r="S665" s="2" t="str">
        <f>IF(
      OR(Table1[[#This Row],[Job_Type]] = "high qualif/self emp/mgmt", Table1[[#This Row],[Job_Type]] = "skilled"),
      "Skilled", "Unskilled")</f>
        <v>Unskilled</v>
      </c>
      <c r="T665" t="str">
        <f>IF(Table1[[#This Row],[Job_Type]] = "unemp/unskilled non res", "Unemployed", "Employed")</f>
        <v>Employed</v>
      </c>
      <c r="U665" t="s">
        <v>21</v>
      </c>
      <c r="V665" s="14" t="str" cm="1">
        <f t="array" ref="V66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65" t="s">
        <v>59</v>
      </c>
      <c r="X665" s="2" t="str">
        <f>_xlfn.XLOOKUP(Table1[[#This Row],[Loan_Credit_History]],Table4[Credit History],Table4[[ Category]])</f>
        <v>Previously Delayed</v>
      </c>
      <c r="Y665" s="3">
        <v>4</v>
      </c>
      <c r="Z665" s="3">
        <v>2</v>
      </c>
      <c r="AA665" s="5">
        <v>802</v>
      </c>
      <c r="AB665" t="s">
        <v>151</v>
      </c>
      <c r="AC665" s="2" t="str" cm="1">
        <f t="array" ref="AC665">_xlfn.IFS(Table1[[#This Row],[Others_Parties]] = "No", "None",
Table1[[#This Row],[Others_Parties]] = "co applicant", "Co-applicant",
Table1[[#This Row],[Others_Parties]] = "guarantor", "Guarantor")</f>
        <v>None</v>
      </c>
      <c r="AD665" s="13" t="s">
        <v>145</v>
      </c>
      <c r="AE665" s="2" t="s">
        <v>141</v>
      </c>
      <c r="AF665" s="28" t="str" cm="1">
        <f t="array" ref="AF66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65" s="21">
        <v>14</v>
      </c>
      <c r="AH665" s="2" t="s">
        <v>154</v>
      </c>
      <c r="AI665"/>
      <c r="AZ665"/>
      <c r="BC665"/>
      <c r="BE665"/>
      <c r="BL665"/>
      <c r="BZ665"/>
      <c r="CA665"/>
      <c r="CF665"/>
      <c r="CG665"/>
      <c r="CH665"/>
      <c r="CI665"/>
      <c r="CK665"/>
      <c r="CN665"/>
    </row>
    <row r="666" spans="1:92" x14ac:dyDescent="0.3">
      <c r="A666" s="4">
        <v>664</v>
      </c>
      <c r="B666" s="11">
        <v>35</v>
      </c>
      <c r="C666" s="2" t="str">
        <f>_xlfn.XLOOKUP(Table1[[#This Row],[Age]],Table7[Start_Age],Table7[Age_Range],,-1)</f>
        <v>29-39</v>
      </c>
      <c r="D666" t="s">
        <v>134</v>
      </c>
      <c r="E666" s="2" t="s">
        <v>129</v>
      </c>
      <c r="F666" s="2" t="s">
        <v>135</v>
      </c>
      <c r="G666" s="3">
        <v>1</v>
      </c>
      <c r="H666" s="13" t="s">
        <v>152</v>
      </c>
      <c r="I666" s="2" t="str" cm="1">
        <f t="array" ref="I666">_xlfn.IFS(Table1[[#This Row],[Job_Type]] = "unskilled resident", "Resident",
Table1[[#This Row],[Job_Type]] = "unemp/unskilled non res", "Non-resident",
TRUE, "Unknown")</f>
        <v>Unknown</v>
      </c>
      <c r="J666" s="2" t="s">
        <v>148</v>
      </c>
      <c r="K666" s="3">
        <v>2</v>
      </c>
      <c r="L666" s="2" t="s">
        <v>144</v>
      </c>
      <c r="M666" s="13" t="s">
        <v>152</v>
      </c>
      <c r="N666" t="s">
        <v>30</v>
      </c>
      <c r="O666" s="2" t="str">
        <f>_xlfn.XLOOKUP(Table1[[#This Row],[Checking_Acct_Status]],Table3[Checking_Acct_Original],Table3[Category])</f>
        <v>Low Balance</v>
      </c>
      <c r="P666" s="10" t="s">
        <v>37</v>
      </c>
      <c r="Q666" s="13" t="str">
        <f>_xlfn.XLOOKUP(Table1[[#This Row],[Saving_Acct_Status]],Table5[Saving_Acct_Original],Table5[Category])</f>
        <v>High Savings</v>
      </c>
      <c r="R666" t="s">
        <v>41</v>
      </c>
      <c r="S666" s="2" t="str">
        <f>IF(
      OR(Table1[[#This Row],[Job_Type]] = "high qualif/self emp/mgmt", Table1[[#This Row],[Job_Type]] = "skilled"),
      "Skilled", "Unskilled")</f>
        <v>Skilled</v>
      </c>
      <c r="T666" t="str">
        <f>IF(Table1[[#This Row],[Job_Type]] = "unemp/unskilled non res", "Unemployed", "Employed")</f>
        <v>Employed</v>
      </c>
      <c r="U666" t="s">
        <v>38</v>
      </c>
      <c r="V666" s="14" t="str" cm="1">
        <f t="array" ref="V66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66" t="s">
        <v>31</v>
      </c>
      <c r="X666" s="2" t="str">
        <f>_xlfn.XLOOKUP(Table1[[#This Row],[Loan_Credit_History]],Table4[Credit History],Table4[[ Category]])</f>
        <v>Existing Credits Paid</v>
      </c>
      <c r="Y666" s="3">
        <v>1</v>
      </c>
      <c r="Z666" s="3">
        <v>1</v>
      </c>
      <c r="AA666" s="5">
        <v>1410</v>
      </c>
      <c r="AB666" t="s">
        <v>151</v>
      </c>
      <c r="AC666" s="2" t="str" cm="1">
        <f t="array" ref="AC666">_xlfn.IFS(Table1[[#This Row],[Others_Parties]] = "No", "None",
Table1[[#This Row],[Others_Parties]] = "co applicant", "Co-applicant",
Table1[[#This Row],[Others_Parties]] = "guarantor", "Guarantor")</f>
        <v>None</v>
      </c>
      <c r="AD666" s="13" t="s">
        <v>145</v>
      </c>
      <c r="AE666" s="2" t="s">
        <v>105</v>
      </c>
      <c r="AF666" s="28" t="str" cm="1">
        <f t="array" ref="AF66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66" s="21">
        <v>14</v>
      </c>
      <c r="AH666" s="2" t="s">
        <v>154</v>
      </c>
      <c r="AI666"/>
      <c r="AZ666"/>
      <c r="BC666"/>
      <c r="BE666"/>
      <c r="BL666"/>
      <c r="BZ666"/>
      <c r="CA666"/>
      <c r="CF666"/>
      <c r="CG666"/>
      <c r="CH666"/>
      <c r="CI666"/>
      <c r="CK666"/>
      <c r="CN666"/>
    </row>
    <row r="667" spans="1:92" x14ac:dyDescent="0.3">
      <c r="A667" s="4">
        <v>665</v>
      </c>
      <c r="B667" s="11">
        <v>22</v>
      </c>
      <c r="C667" s="2" t="str">
        <f>_xlfn.XLOOKUP(Table1[[#This Row],[Age]],Table7[Start_Age],Table7[Age_Range],,-1)</f>
        <v>19-29</v>
      </c>
      <c r="D667" t="s">
        <v>130</v>
      </c>
      <c r="E667" s="2" t="s">
        <v>129</v>
      </c>
      <c r="F667" s="2" t="s">
        <v>133</v>
      </c>
      <c r="G667" s="3">
        <v>1</v>
      </c>
      <c r="H667" s="13" t="s">
        <v>152</v>
      </c>
      <c r="I667" s="2" t="str" cm="1">
        <f t="array" ref="I667">_xlfn.IFS(Table1[[#This Row],[Job_Type]] = "unskilled resident", "Resident",
Table1[[#This Row],[Job_Type]] = "unemp/unskilled non res", "Non-resident",
TRUE, "Unknown")</f>
        <v>Unknown</v>
      </c>
      <c r="J667" s="2" t="s">
        <v>150</v>
      </c>
      <c r="K667" s="3">
        <v>4</v>
      </c>
      <c r="L667" s="2" t="s">
        <v>142</v>
      </c>
      <c r="M667" s="13" t="s">
        <v>151</v>
      </c>
      <c r="N667" t="s">
        <v>35</v>
      </c>
      <c r="O667" s="2" t="str">
        <f>_xlfn.XLOOKUP(Table1[[#This Row],[Checking_Acct_Status]],Table3[Checking_Acct_Original],Table3[Category])</f>
        <v>Negative Balance</v>
      </c>
      <c r="P667" s="10" t="s">
        <v>32</v>
      </c>
      <c r="Q667" s="13" t="str">
        <f>_xlfn.XLOOKUP(Table1[[#This Row],[Saving_Acct_Status]],Table5[Saving_Acct_Original],Table5[Category])</f>
        <v>Low Savings</v>
      </c>
      <c r="R667" t="s">
        <v>41</v>
      </c>
      <c r="S667" s="2" t="str">
        <f>IF(
      OR(Table1[[#This Row],[Job_Type]] = "high qualif/self emp/mgmt", Table1[[#This Row],[Job_Type]] = "skilled"),
      "Skilled", "Unskilled")</f>
        <v>Skilled</v>
      </c>
      <c r="T667" t="str">
        <f>IF(Table1[[#This Row],[Job_Type]] = "unemp/unskilled non res", "Unemployed", "Employed")</f>
        <v>Employed</v>
      </c>
      <c r="U667" t="s">
        <v>54</v>
      </c>
      <c r="V667" s="14" t="str" cm="1">
        <f t="array" ref="V667">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667" t="s">
        <v>31</v>
      </c>
      <c r="X667" s="2" t="str">
        <f>_xlfn.XLOOKUP(Table1[[#This Row],[Loan_Credit_History]],Table4[Credit History],Table4[[ Category]])</f>
        <v>Existing Credits Paid</v>
      </c>
      <c r="Y667" s="3">
        <v>1</v>
      </c>
      <c r="Z667" s="3">
        <v>1</v>
      </c>
      <c r="AA667" s="5">
        <v>3973</v>
      </c>
      <c r="AB667" t="s">
        <v>151</v>
      </c>
      <c r="AC667" s="2" t="str" cm="1">
        <f t="array" ref="AC667">_xlfn.IFS(Table1[[#This Row],[Others_Parties]] = "No", "None",
Table1[[#This Row],[Others_Parties]] = "co applicant", "Co-applicant",
Table1[[#This Row],[Others_Parties]] = "guarantor", "Guarantor")</f>
        <v>None</v>
      </c>
      <c r="AD667" s="13" t="s">
        <v>145</v>
      </c>
      <c r="AE667" s="2" t="s">
        <v>141</v>
      </c>
      <c r="AF667" s="28" t="str" cm="1">
        <f t="array" ref="AF66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67" s="21">
        <v>14</v>
      </c>
      <c r="AH667" s="2" t="s">
        <v>154</v>
      </c>
      <c r="AI667"/>
      <c r="AZ667"/>
      <c r="BC667"/>
      <c r="BE667"/>
      <c r="BL667"/>
      <c r="BZ667"/>
      <c r="CA667"/>
      <c r="CF667"/>
      <c r="CG667"/>
      <c r="CH667"/>
      <c r="CI667"/>
      <c r="CK667"/>
      <c r="CN667"/>
    </row>
    <row r="668" spans="1:92" x14ac:dyDescent="0.3">
      <c r="A668" s="4">
        <v>666</v>
      </c>
      <c r="B668" s="11">
        <v>23</v>
      </c>
      <c r="C668" s="2" t="str">
        <f>_xlfn.XLOOKUP(Table1[[#This Row],[Age]],Table7[Start_Age],Table7[Age_Range],,-1)</f>
        <v>19-29</v>
      </c>
      <c r="D668" t="s">
        <v>130</v>
      </c>
      <c r="E668" s="2" t="s">
        <v>129</v>
      </c>
      <c r="F668" s="2" t="s">
        <v>133</v>
      </c>
      <c r="G668" s="3">
        <v>1</v>
      </c>
      <c r="H668" s="13" t="s">
        <v>152</v>
      </c>
      <c r="I668" s="2" t="str" cm="1">
        <f t="array" ref="I668">_xlfn.IFS(Table1[[#This Row],[Job_Type]] = "unskilled resident", "Resident",
Table1[[#This Row],[Job_Type]] = "unemp/unskilled non res", "Non-resident",
TRUE, "Unknown")</f>
        <v>Unknown</v>
      </c>
      <c r="J668" s="2" t="s">
        <v>148</v>
      </c>
      <c r="K668" s="3">
        <v>4</v>
      </c>
      <c r="L668" s="2" t="s">
        <v>144</v>
      </c>
      <c r="M668" s="13" t="s">
        <v>151</v>
      </c>
      <c r="N668" t="s">
        <v>30</v>
      </c>
      <c r="O668" s="2" t="str">
        <f>_xlfn.XLOOKUP(Table1[[#This Row],[Checking_Acct_Status]],Table3[Checking_Acct_Original],Table3[Category])</f>
        <v>Low Balance</v>
      </c>
      <c r="P668" s="10" t="s">
        <v>32</v>
      </c>
      <c r="Q668" s="13" t="str">
        <f>_xlfn.XLOOKUP(Table1[[#This Row],[Saving_Acct_Status]],Table5[Saving_Acct_Original],Table5[Category])</f>
        <v>Low Savings</v>
      </c>
      <c r="R668" t="s">
        <v>41</v>
      </c>
      <c r="S668" s="2" t="str">
        <f>IF(
      OR(Table1[[#This Row],[Job_Type]] = "high qualif/self emp/mgmt", Table1[[#This Row],[Job_Type]] = "skilled"),
      "Skilled", "Unskilled")</f>
        <v>Skilled</v>
      </c>
      <c r="T668" t="str">
        <f>IF(Table1[[#This Row],[Job_Type]] = "unemp/unskilled non res", "Unemployed", "Employed")</f>
        <v>Employed</v>
      </c>
      <c r="U668" t="s">
        <v>45</v>
      </c>
      <c r="V668" s="14" t="str" cm="1">
        <f t="array" ref="V66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68" t="s">
        <v>103</v>
      </c>
      <c r="X668" s="2" t="str">
        <f>_xlfn.XLOOKUP(Table1[[#This Row],[Loan_Credit_History]],Table4[Credit History],Table4[[ Category]])</f>
        <v>Critical Credit History</v>
      </c>
      <c r="Y668" s="3">
        <v>4</v>
      </c>
      <c r="Z668" s="3">
        <v>2</v>
      </c>
      <c r="AA668" s="5">
        <v>882</v>
      </c>
      <c r="AB668" t="s">
        <v>58</v>
      </c>
      <c r="AC668" s="2" t="str" cm="1">
        <f t="array" ref="AC668">_xlfn.IFS(Table1[[#This Row],[Others_Parties]] = "No", "None",
Table1[[#This Row],[Others_Parties]] = "co applicant", "Co-applicant",
Table1[[#This Row],[Others_Parties]] = "guarantor", "Guarantor")</f>
        <v>Guarantor</v>
      </c>
      <c r="AD668" s="13" t="s">
        <v>145</v>
      </c>
      <c r="AE668" s="2" t="s">
        <v>111</v>
      </c>
      <c r="AF668" s="28" t="str" cm="1">
        <f t="array" ref="AF66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68" s="21">
        <v>13</v>
      </c>
      <c r="AH668" s="2" t="s">
        <v>154</v>
      </c>
      <c r="AI668"/>
      <c r="AZ668"/>
      <c r="BC668"/>
      <c r="BE668"/>
      <c r="BL668"/>
      <c r="BZ668"/>
      <c r="CA668"/>
      <c r="CF668"/>
      <c r="CG668"/>
      <c r="CH668"/>
      <c r="CI668"/>
      <c r="CK668"/>
      <c r="CN668"/>
    </row>
    <row r="669" spans="1:92" x14ac:dyDescent="0.3">
      <c r="A669" s="4">
        <v>667</v>
      </c>
      <c r="B669" s="11">
        <v>64</v>
      </c>
      <c r="C669" s="2" t="str">
        <f>_xlfn.XLOOKUP(Table1[[#This Row],[Age]],Table7[Start_Age],Table7[Age_Range],,-1)</f>
        <v>59-69</v>
      </c>
      <c r="D669" t="s">
        <v>136</v>
      </c>
      <c r="E669" s="2" t="s">
        <v>131</v>
      </c>
      <c r="F669" s="2" t="s">
        <v>137</v>
      </c>
      <c r="G669" s="3">
        <v>1</v>
      </c>
      <c r="H669" s="13" t="s">
        <v>152</v>
      </c>
      <c r="I669" s="2" t="str" cm="1">
        <f t="array" ref="I669">_xlfn.IFS(Table1[[#This Row],[Job_Type]] = "unskilled resident", "Resident",
Table1[[#This Row],[Job_Type]] = "unemp/unskilled non res", "Non-resident",
TRUE, "Unknown")</f>
        <v>Unknown</v>
      </c>
      <c r="J669" s="2" t="s">
        <v>148</v>
      </c>
      <c r="K669" s="3">
        <v>4</v>
      </c>
      <c r="L669" s="2" t="s">
        <v>144</v>
      </c>
      <c r="M669" s="13" t="s">
        <v>151</v>
      </c>
      <c r="N669" t="s">
        <v>17</v>
      </c>
      <c r="O669" s="2" t="str">
        <f>_xlfn.XLOOKUP(Table1[[#This Row],[Checking_Acct_Status]],Table3[Checking_Acct_Original],Table3[Category])</f>
        <v>No Account</v>
      </c>
      <c r="P669" s="10" t="s">
        <v>46</v>
      </c>
      <c r="Q669" s="13" t="str">
        <f>_xlfn.XLOOKUP(Table1[[#This Row],[Saving_Acct_Status]],Table5[Saving_Acct_Original],Table5[Category])</f>
        <v>Medium Savings</v>
      </c>
      <c r="R669" t="s">
        <v>41</v>
      </c>
      <c r="S669" s="2" t="str">
        <f>IF(
      OR(Table1[[#This Row],[Job_Type]] = "high qualif/self emp/mgmt", Table1[[#This Row],[Job_Type]] = "skilled"),
      "Skilled", "Unskilled")</f>
        <v>Skilled</v>
      </c>
      <c r="T669" t="str">
        <f>IF(Table1[[#This Row],[Job_Type]] = "unemp/unskilled non res", "Unemployed", "Employed")</f>
        <v>Employed</v>
      </c>
      <c r="U669" t="s">
        <v>54</v>
      </c>
      <c r="V669" s="14" t="str" cm="1">
        <f t="array" ref="V669">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669" t="s">
        <v>31</v>
      </c>
      <c r="X669" s="2" t="str">
        <f>_xlfn.XLOOKUP(Table1[[#This Row],[Loan_Credit_History]],Table4[Credit History],Table4[[ Category]])</f>
        <v>Existing Credits Paid</v>
      </c>
      <c r="Y669" s="3">
        <v>2</v>
      </c>
      <c r="Z669" s="3">
        <v>1</v>
      </c>
      <c r="AA669" s="5">
        <v>1409</v>
      </c>
      <c r="AB669" t="s">
        <v>151</v>
      </c>
      <c r="AC669" s="2" t="str" cm="1">
        <f t="array" ref="AC669">_xlfn.IFS(Table1[[#This Row],[Others_Parties]] = "No", "None",
Table1[[#This Row],[Others_Parties]] = "co applicant", "Co-applicant",
Table1[[#This Row],[Others_Parties]] = "guarantor", "Guarantor")</f>
        <v>None</v>
      </c>
      <c r="AD669" s="13" t="s">
        <v>145</v>
      </c>
      <c r="AE669" s="2" t="s">
        <v>111</v>
      </c>
      <c r="AF669" s="28" t="str" cm="1">
        <f t="array" ref="AF66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69" s="21">
        <v>13</v>
      </c>
      <c r="AH669" s="2" t="s">
        <v>154</v>
      </c>
      <c r="AI669"/>
      <c r="AZ669"/>
      <c r="BC669"/>
      <c r="BE669"/>
      <c r="BL669"/>
      <c r="BZ669"/>
      <c r="CA669"/>
      <c r="CF669"/>
      <c r="CG669"/>
      <c r="CH669"/>
      <c r="CI669"/>
      <c r="CK669"/>
      <c r="CN669"/>
    </row>
    <row r="670" spans="1:92" x14ac:dyDescent="0.3">
      <c r="A670" s="4">
        <v>668</v>
      </c>
      <c r="B670" s="11">
        <v>28</v>
      </c>
      <c r="C670" s="2" t="str">
        <f>_xlfn.XLOOKUP(Table1[[#This Row],[Age]],Table7[Start_Age],Table7[Age_Range],,-1)</f>
        <v>19-29</v>
      </c>
      <c r="D670" t="s">
        <v>130</v>
      </c>
      <c r="E670" s="2" t="s">
        <v>129</v>
      </c>
      <c r="F670" s="2" t="s">
        <v>133</v>
      </c>
      <c r="G670" s="3">
        <v>1</v>
      </c>
      <c r="H670" s="13" t="s">
        <v>152</v>
      </c>
      <c r="I670" s="2" t="str" cm="1">
        <f t="array" ref="I670">_xlfn.IFS(Table1[[#This Row],[Job_Type]] = "unskilled resident", "Resident",
Table1[[#This Row],[Job_Type]] = "unemp/unskilled non res", "Non-resident",
TRUE, "Unknown")</f>
        <v>Resident</v>
      </c>
      <c r="J670" s="2" t="s">
        <v>148</v>
      </c>
      <c r="K670" s="3">
        <v>1</v>
      </c>
      <c r="L670" s="2" t="s">
        <v>143</v>
      </c>
      <c r="M670" s="13" t="s">
        <v>151</v>
      </c>
      <c r="N670" t="s">
        <v>35</v>
      </c>
      <c r="O670" s="2" t="str">
        <f>_xlfn.XLOOKUP(Table1[[#This Row],[Checking_Acct_Status]],Table3[Checking_Acct_Original],Table3[Category])</f>
        <v>Negative Balance</v>
      </c>
      <c r="P670" s="10" t="s">
        <v>32</v>
      </c>
      <c r="Q670" s="13" t="str">
        <f>_xlfn.XLOOKUP(Table1[[#This Row],[Saving_Acct_Status]],Table5[Saving_Acct_Original],Table5[Category])</f>
        <v>Low Savings</v>
      </c>
      <c r="R670" t="s">
        <v>27</v>
      </c>
      <c r="S670" s="2" t="str">
        <f>IF(
      OR(Table1[[#This Row],[Job_Type]] = "high qualif/self emp/mgmt", Table1[[#This Row],[Job_Type]] = "skilled"),
      "Skilled", "Unskilled")</f>
        <v>Unskilled</v>
      </c>
      <c r="T670" t="str">
        <f>IF(Table1[[#This Row],[Job_Type]] = "unemp/unskilled non res", "Unemployed", "Employed")</f>
        <v>Employed</v>
      </c>
      <c r="U670" t="s">
        <v>45</v>
      </c>
      <c r="V670" s="14" t="str" cm="1">
        <f t="array" ref="V67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70" t="s">
        <v>103</v>
      </c>
      <c r="X670" s="2" t="str">
        <f>_xlfn.XLOOKUP(Table1[[#This Row],[Loan_Credit_History]],Table4[Credit History],Table4[[ Category]])</f>
        <v>Critical Credit History</v>
      </c>
      <c r="Y670" s="3">
        <v>3</v>
      </c>
      <c r="Z670" s="3">
        <v>2</v>
      </c>
      <c r="AA670" s="5">
        <v>1797</v>
      </c>
      <c r="AB670" t="s">
        <v>151</v>
      </c>
      <c r="AC670" s="2" t="str" cm="1">
        <f t="array" ref="AC670">_xlfn.IFS(Table1[[#This Row],[Others_Parties]] = "No", "None",
Table1[[#This Row],[Others_Parties]] = "co applicant", "Co-applicant",
Table1[[#This Row],[Others_Parties]] = "guarantor", "Guarantor")</f>
        <v>None</v>
      </c>
      <c r="AD670" s="13" t="s">
        <v>146</v>
      </c>
      <c r="AE670" s="2" t="s">
        <v>105</v>
      </c>
      <c r="AF670" s="28" t="str" cm="1">
        <f t="array" ref="AF67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70" s="21">
        <v>13</v>
      </c>
      <c r="AH670" s="2" t="s">
        <v>154</v>
      </c>
      <c r="AI670"/>
      <c r="AZ670"/>
      <c r="BC670"/>
      <c r="BE670"/>
      <c r="BL670"/>
      <c r="BZ670"/>
      <c r="CA670"/>
      <c r="CF670"/>
      <c r="CG670"/>
      <c r="CH670"/>
      <c r="CI670"/>
      <c r="CK670"/>
      <c r="CN670"/>
    </row>
    <row r="671" spans="1:92" x14ac:dyDescent="0.3">
      <c r="A671" s="4">
        <v>669</v>
      </c>
      <c r="B671" s="11">
        <v>23</v>
      </c>
      <c r="C671" s="2" t="str">
        <f>_xlfn.XLOOKUP(Table1[[#This Row],[Age]],Table7[Start_Age],Table7[Age_Range],,-1)</f>
        <v>19-29</v>
      </c>
      <c r="D671" t="s">
        <v>136</v>
      </c>
      <c r="E671" s="2" t="s">
        <v>131</v>
      </c>
      <c r="F671" s="2" t="s">
        <v>137</v>
      </c>
      <c r="G671" s="3">
        <v>1</v>
      </c>
      <c r="H671" s="13" t="s">
        <v>152</v>
      </c>
      <c r="I671" s="2" t="str" cm="1">
        <f t="array" ref="I671">_xlfn.IFS(Table1[[#This Row],[Job_Type]] = "unskilled resident", "Resident",
Table1[[#This Row],[Job_Type]] = "unemp/unskilled non res", "Non-resident",
TRUE, "Unknown")</f>
        <v>Resident</v>
      </c>
      <c r="J671" s="2" t="s">
        <v>148</v>
      </c>
      <c r="K671" s="3">
        <v>4</v>
      </c>
      <c r="L671" s="2" t="s">
        <v>143</v>
      </c>
      <c r="M671" s="13" t="s">
        <v>151</v>
      </c>
      <c r="N671" t="s">
        <v>30</v>
      </c>
      <c r="O671" s="2" t="str">
        <f>_xlfn.XLOOKUP(Table1[[#This Row],[Checking_Acct_Status]],Table3[Checking_Acct_Original],Table3[Category])</f>
        <v>Low Balance</v>
      </c>
      <c r="P671" s="10" t="s">
        <v>32</v>
      </c>
      <c r="Q671" s="13" t="str">
        <f>_xlfn.XLOOKUP(Table1[[#This Row],[Saving_Acct_Status]],Table5[Saving_Acct_Original],Table5[Category])</f>
        <v>Low Savings</v>
      </c>
      <c r="R671" t="s">
        <v>27</v>
      </c>
      <c r="S671" s="2" t="str">
        <f>IF(
      OR(Table1[[#This Row],[Job_Type]] = "high qualif/self emp/mgmt", Table1[[#This Row],[Job_Type]] = "skilled"),
      "Skilled", "Unskilled")</f>
        <v>Unskilled</v>
      </c>
      <c r="T671" t="str">
        <f>IF(Table1[[#This Row],[Job_Type]] = "unemp/unskilled non res", "Unemployed", "Employed")</f>
        <v>Employed</v>
      </c>
      <c r="U671" t="s">
        <v>45</v>
      </c>
      <c r="V671" s="14" t="str" cm="1">
        <f t="array" ref="V67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71" t="s">
        <v>31</v>
      </c>
      <c r="X671" s="2" t="str">
        <f>_xlfn.XLOOKUP(Table1[[#This Row],[Loan_Credit_History]],Table4[Credit History],Table4[[ Category]])</f>
        <v>Existing Credits Paid</v>
      </c>
      <c r="Y671" s="3">
        <v>2</v>
      </c>
      <c r="Z671" s="3">
        <v>1</v>
      </c>
      <c r="AA671" s="5">
        <v>2101</v>
      </c>
      <c r="AB671" t="s">
        <v>58</v>
      </c>
      <c r="AC671" s="2" t="str" cm="1">
        <f t="array" ref="AC671">_xlfn.IFS(Table1[[#This Row],[Others_Parties]] = "No", "None",
Table1[[#This Row],[Others_Parties]] = "co applicant", "Co-applicant",
Table1[[#This Row],[Others_Parties]] = "guarantor", "Guarantor")</f>
        <v>Guarantor</v>
      </c>
      <c r="AD671" s="13" t="s">
        <v>145</v>
      </c>
      <c r="AE671" s="2" t="s">
        <v>111</v>
      </c>
      <c r="AF671" s="28" t="str" cm="1">
        <f t="array" ref="AF67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13-24</v>
      </c>
      <c r="AG671" s="21">
        <v>13</v>
      </c>
      <c r="AH671" s="2" t="s">
        <v>154</v>
      </c>
      <c r="AI671"/>
      <c r="AZ671"/>
      <c r="BC671"/>
      <c r="BE671"/>
      <c r="BL671"/>
      <c r="BZ671"/>
      <c r="CA671"/>
      <c r="CF671"/>
      <c r="CG671"/>
      <c r="CH671"/>
      <c r="CI671"/>
      <c r="CK671"/>
      <c r="CN671"/>
    </row>
    <row r="672" spans="1:92" x14ac:dyDescent="0.3">
      <c r="A672" s="4">
        <v>670</v>
      </c>
      <c r="B672" s="11">
        <v>45</v>
      </c>
      <c r="C672" s="2" t="str">
        <f>_xlfn.XLOOKUP(Table1[[#This Row],[Age]],Table7[Start_Age],Table7[Age_Range],,-1)</f>
        <v>39-49</v>
      </c>
      <c r="D672" t="s">
        <v>134</v>
      </c>
      <c r="E672" s="2" t="s">
        <v>129</v>
      </c>
      <c r="F672" s="2" t="s">
        <v>135</v>
      </c>
      <c r="G672" s="3">
        <v>1</v>
      </c>
      <c r="H672" s="13" t="s">
        <v>152</v>
      </c>
      <c r="I672" s="2" t="str" cm="1">
        <f t="array" ref="I672">_xlfn.IFS(Table1[[#This Row],[Job_Type]] = "unskilled resident", "Resident",
Table1[[#This Row],[Job_Type]] = "unemp/unskilled non res", "Non-resident",
TRUE, "Unknown")</f>
        <v>Resident</v>
      </c>
      <c r="J672" s="2" t="s">
        <v>148</v>
      </c>
      <c r="K672" s="3">
        <v>1</v>
      </c>
      <c r="L672" s="2" t="s">
        <v>140</v>
      </c>
      <c r="M672" s="13" t="s">
        <v>151</v>
      </c>
      <c r="N672" t="s">
        <v>35</v>
      </c>
      <c r="O672" s="2" t="str">
        <f>_xlfn.XLOOKUP(Table1[[#This Row],[Checking_Acct_Status]],Table3[Checking_Acct_Original],Table3[Category])</f>
        <v>Negative Balance</v>
      </c>
      <c r="P672" s="10" t="s">
        <v>32</v>
      </c>
      <c r="Q672" s="13" t="str">
        <f>_xlfn.XLOOKUP(Table1[[#This Row],[Saving_Acct_Status]],Table5[Saving_Acct_Original],Table5[Category])</f>
        <v>Low Savings</v>
      </c>
      <c r="R672" t="s">
        <v>27</v>
      </c>
      <c r="S672" s="2" t="str">
        <f>IF(
      OR(Table1[[#This Row],[Job_Type]] = "high qualif/self emp/mgmt", Table1[[#This Row],[Job_Type]] = "skilled"),
      "Skilled", "Unskilled")</f>
        <v>Unskilled</v>
      </c>
      <c r="T672" t="str">
        <f>IF(Table1[[#This Row],[Job_Type]] = "unemp/unskilled non res", "Unemployed", "Employed")</f>
        <v>Employed</v>
      </c>
      <c r="U672" t="s">
        <v>38</v>
      </c>
      <c r="V672" s="14" t="str" cm="1">
        <f t="array" ref="V67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72" t="s">
        <v>42</v>
      </c>
      <c r="X672" s="2" t="str">
        <f>_xlfn.XLOOKUP(Table1[[#This Row],[Loan_Credit_History]],Table4[Credit History],Table4[[ Category]])</f>
        <v>All Paid</v>
      </c>
      <c r="Y672" s="3">
        <v>4</v>
      </c>
      <c r="Z672" s="3">
        <v>1</v>
      </c>
      <c r="AA672" s="5">
        <v>339</v>
      </c>
      <c r="AB672" t="s">
        <v>151</v>
      </c>
      <c r="AC672" s="2" t="str" cm="1">
        <f t="array" ref="AC672">_xlfn.IFS(Table1[[#This Row],[Others_Parties]] = "No", "None",
Table1[[#This Row],[Others_Parties]] = "co applicant", "Co-applicant",
Table1[[#This Row],[Others_Parties]] = "guarantor", "Guarantor")</f>
        <v>None</v>
      </c>
      <c r="AD672" s="13" t="s">
        <v>146</v>
      </c>
      <c r="AE672" s="2" t="s">
        <v>110</v>
      </c>
      <c r="AF672" s="28" t="str" cm="1">
        <f t="array" ref="AF67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72" s="21">
        <v>12</v>
      </c>
      <c r="AH672" s="2" t="s">
        <v>154</v>
      </c>
      <c r="AI672"/>
      <c r="AZ672"/>
      <c r="BC672"/>
      <c r="BE672"/>
      <c r="BL672"/>
      <c r="BZ672"/>
      <c r="CA672"/>
      <c r="CF672"/>
      <c r="CG672"/>
      <c r="CH672"/>
      <c r="CI672"/>
      <c r="CK672"/>
      <c r="CN672"/>
    </row>
    <row r="673" spans="1:92" x14ac:dyDescent="0.3">
      <c r="A673" s="4">
        <v>671</v>
      </c>
      <c r="B673" s="11">
        <v>58</v>
      </c>
      <c r="C673" s="2" t="str">
        <f>_xlfn.XLOOKUP(Table1[[#This Row],[Age]],Table7[Start_Age],Table7[Age_Range],,-1)</f>
        <v>49-59</v>
      </c>
      <c r="D673" t="s">
        <v>136</v>
      </c>
      <c r="E673" s="2" t="s">
        <v>131</v>
      </c>
      <c r="F673" s="2" t="s">
        <v>137</v>
      </c>
      <c r="G673" s="3">
        <v>1</v>
      </c>
      <c r="H673" s="13" t="s">
        <v>152</v>
      </c>
      <c r="I673" s="2" t="str" cm="1">
        <f t="array" ref="I673">_xlfn.IFS(Table1[[#This Row],[Job_Type]] = "unskilled resident", "Resident",
Table1[[#This Row],[Job_Type]] = "unemp/unskilled non res", "Non-resident",
TRUE, "Unknown")</f>
        <v>Resident</v>
      </c>
      <c r="J673" s="2" t="s">
        <v>148</v>
      </c>
      <c r="K673" s="3">
        <v>3</v>
      </c>
      <c r="L673" s="2" t="s">
        <v>144</v>
      </c>
      <c r="M673" s="13" t="s">
        <v>152</v>
      </c>
      <c r="N673" t="s">
        <v>35</v>
      </c>
      <c r="O673" s="2" t="str">
        <f>_xlfn.XLOOKUP(Table1[[#This Row],[Checking_Acct_Status]],Table3[Checking_Acct_Original],Table3[Category])</f>
        <v>Negative Balance</v>
      </c>
      <c r="P673" s="10" t="s">
        <v>32</v>
      </c>
      <c r="Q673" s="13" t="str">
        <f>_xlfn.XLOOKUP(Table1[[#This Row],[Saving_Acct_Status]],Table5[Saving_Acct_Original],Table5[Category])</f>
        <v>Low Savings</v>
      </c>
      <c r="R673" t="s">
        <v>27</v>
      </c>
      <c r="S673" s="2" t="str">
        <f>IF(
      OR(Table1[[#This Row],[Job_Type]] = "high qualif/self emp/mgmt", Table1[[#This Row],[Job_Type]] = "skilled"),
      "Skilled", "Unskilled")</f>
        <v>Unskilled</v>
      </c>
      <c r="T673" t="str">
        <f>IF(Table1[[#This Row],[Job_Type]] = "unemp/unskilled non res", "Unemployed", "Employed")</f>
        <v>Employed</v>
      </c>
      <c r="U673" t="s">
        <v>49</v>
      </c>
      <c r="V673" s="14" t="str" cm="1">
        <f t="array" ref="V67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73" t="s">
        <v>103</v>
      </c>
      <c r="X673" s="2" t="str">
        <f>_xlfn.XLOOKUP(Table1[[#This Row],[Loan_Credit_History]],Table4[Credit History],Table4[[ Category]])</f>
        <v>Critical Credit History</v>
      </c>
      <c r="Y673" s="3">
        <v>4</v>
      </c>
      <c r="Z673" s="3">
        <v>4</v>
      </c>
      <c r="AA673" s="5">
        <v>385</v>
      </c>
      <c r="AB673" t="s">
        <v>151</v>
      </c>
      <c r="AC673" s="2" t="str" cm="1">
        <f t="array" ref="AC673">_xlfn.IFS(Table1[[#This Row],[Others_Parties]] = "No", "None",
Table1[[#This Row],[Others_Parties]] = "co applicant", "Co-applicant",
Table1[[#This Row],[Others_Parties]] = "guarantor", "Guarantor")</f>
        <v>None</v>
      </c>
      <c r="AD673" s="13" t="s">
        <v>145</v>
      </c>
      <c r="AE673" s="2" t="s">
        <v>111</v>
      </c>
      <c r="AF673" s="28" t="str" cm="1">
        <f t="array" ref="AF67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73" s="21">
        <v>12</v>
      </c>
      <c r="AH673" s="2" t="s">
        <v>154</v>
      </c>
      <c r="AI673"/>
      <c r="AZ673"/>
      <c r="BC673"/>
      <c r="BE673"/>
      <c r="BL673"/>
      <c r="BZ673"/>
      <c r="CA673"/>
      <c r="CF673"/>
      <c r="CG673"/>
      <c r="CH673"/>
      <c r="CI673"/>
      <c r="CK673"/>
      <c r="CN673"/>
    </row>
    <row r="674" spans="1:92" x14ac:dyDescent="0.3">
      <c r="A674" s="4">
        <v>672</v>
      </c>
      <c r="B674" s="11">
        <v>42</v>
      </c>
      <c r="C674" s="2" t="str">
        <f>_xlfn.XLOOKUP(Table1[[#This Row],[Age]],Table7[Start_Age],Table7[Age_Range],,-1)</f>
        <v>39-49</v>
      </c>
      <c r="D674" t="s">
        <v>136</v>
      </c>
      <c r="E674" s="2" t="s">
        <v>131</v>
      </c>
      <c r="F674" s="2" t="s">
        <v>137</v>
      </c>
      <c r="G674" s="3">
        <v>1</v>
      </c>
      <c r="H674" s="13" t="s">
        <v>152</v>
      </c>
      <c r="I674" s="2" t="str" cm="1">
        <f t="array" ref="I674">_xlfn.IFS(Table1[[#This Row],[Job_Type]] = "unskilled resident", "Resident",
Table1[[#This Row],[Job_Type]] = "unemp/unskilled non res", "Non-resident",
TRUE, "Unknown")</f>
        <v>Unknown</v>
      </c>
      <c r="J674" s="2" t="s">
        <v>149</v>
      </c>
      <c r="K674" s="3">
        <v>3</v>
      </c>
      <c r="L674" s="2" t="s">
        <v>144</v>
      </c>
      <c r="M674" s="13" t="s">
        <v>151</v>
      </c>
      <c r="N674" t="s">
        <v>50</v>
      </c>
      <c r="O674" s="2" t="str">
        <f>_xlfn.XLOOKUP(Table1[[#This Row],[Checking_Acct_Status]],Table3[Checking_Acct_Original],Table3[Category])</f>
        <v>High Balance</v>
      </c>
      <c r="P674" s="10" t="s">
        <v>20</v>
      </c>
      <c r="Q674" s="13" t="str">
        <f>_xlfn.XLOOKUP(Table1[[#This Row],[Saving_Acct_Status]],Table5[Saving_Acct_Original],Table5[Category])</f>
        <v>Very High Savings</v>
      </c>
      <c r="R674" t="s">
        <v>41</v>
      </c>
      <c r="S674" s="2" t="str">
        <f>IF(
      OR(Table1[[#This Row],[Job_Type]] = "high qualif/self emp/mgmt", Table1[[#This Row],[Job_Type]] = "skilled"),
      "Skilled", "Unskilled")</f>
        <v>Skilled</v>
      </c>
      <c r="T674" t="str">
        <f>IF(Table1[[#This Row],[Job_Type]] = "unemp/unskilled non res", "Unemployed", "Employed")</f>
        <v>Employed</v>
      </c>
      <c r="U674" t="s">
        <v>21</v>
      </c>
      <c r="V674" s="14" t="str" cm="1">
        <f t="array" ref="V67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74" t="s">
        <v>42</v>
      </c>
      <c r="X674" s="2" t="str">
        <f>_xlfn.XLOOKUP(Table1[[#This Row],[Loan_Credit_History]],Table4[Credit History],Table4[[ Category]])</f>
        <v>All Paid</v>
      </c>
      <c r="Y674" s="3">
        <v>3</v>
      </c>
      <c r="Z674" s="3">
        <v>2</v>
      </c>
      <c r="AA674" s="5">
        <v>409</v>
      </c>
      <c r="AB674" t="s">
        <v>151</v>
      </c>
      <c r="AC674" s="2" t="str" cm="1">
        <f t="array" ref="AC674">_xlfn.IFS(Table1[[#This Row],[Others_Parties]] = "No", "None",
Table1[[#This Row],[Others_Parties]] = "co applicant", "Co-applicant",
Table1[[#This Row],[Others_Parties]] = "guarantor", "Guarantor")</f>
        <v>None</v>
      </c>
      <c r="AD674" s="13" t="s">
        <v>145</v>
      </c>
      <c r="AE674" s="2" t="s">
        <v>111</v>
      </c>
      <c r="AF674" s="28" t="str" cm="1">
        <f t="array" ref="AF67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74" s="21">
        <v>12</v>
      </c>
      <c r="AH674" s="2" t="s">
        <v>154</v>
      </c>
      <c r="AI674"/>
      <c r="AZ674"/>
      <c r="BC674"/>
      <c r="BE674"/>
      <c r="BL674"/>
      <c r="BZ674"/>
      <c r="CA674"/>
      <c r="CF674"/>
      <c r="CG674"/>
      <c r="CH674"/>
      <c r="CI674"/>
      <c r="CK674"/>
      <c r="CN674"/>
    </row>
    <row r="675" spans="1:92" x14ac:dyDescent="0.3">
      <c r="A675" s="4">
        <v>673</v>
      </c>
      <c r="B675" s="11">
        <v>42</v>
      </c>
      <c r="C675" s="2" t="str">
        <f>_xlfn.XLOOKUP(Table1[[#This Row],[Age]],Table7[Start_Age],Table7[Age_Range],,-1)</f>
        <v>39-49</v>
      </c>
      <c r="D675" t="s">
        <v>130</v>
      </c>
      <c r="E675" s="2" t="s">
        <v>129</v>
      </c>
      <c r="F675" s="2" t="s">
        <v>133</v>
      </c>
      <c r="G675" s="3">
        <v>2</v>
      </c>
      <c r="H675" s="13" t="s">
        <v>152</v>
      </c>
      <c r="I675" s="2" t="str" cm="1">
        <f t="array" ref="I675">_xlfn.IFS(Table1[[#This Row],[Job_Type]] = "unskilled resident", "Resident",
Table1[[#This Row],[Job_Type]] = "unemp/unskilled non res", "Non-resident",
TRUE, "Unknown")</f>
        <v>Unknown</v>
      </c>
      <c r="J675" s="2" t="s">
        <v>148</v>
      </c>
      <c r="K675" s="3">
        <v>4</v>
      </c>
      <c r="L675" s="2" t="s">
        <v>143</v>
      </c>
      <c r="M675" s="13" t="s">
        <v>152</v>
      </c>
      <c r="N675" t="s">
        <v>17</v>
      </c>
      <c r="O675" s="2" t="str">
        <f>_xlfn.XLOOKUP(Table1[[#This Row],[Checking_Acct_Status]],Table3[Checking_Acct_Original],Table3[Category])</f>
        <v>No Account</v>
      </c>
      <c r="P675" s="10" t="s">
        <v>37</v>
      </c>
      <c r="Q675" s="13" t="str">
        <f>_xlfn.XLOOKUP(Table1[[#This Row],[Saving_Acct_Status]],Table5[Saving_Acct_Original],Table5[Category])</f>
        <v>High Savings</v>
      </c>
      <c r="R675" t="s">
        <v>41</v>
      </c>
      <c r="S675" s="2" t="str">
        <f>IF(
      OR(Table1[[#This Row],[Job_Type]] = "high qualif/self emp/mgmt", Table1[[#This Row],[Job_Type]] = "skilled"),
      "Skilled", "Unskilled")</f>
        <v>Skilled</v>
      </c>
      <c r="T675" t="str">
        <f>IF(Table1[[#This Row],[Job_Type]] = "unemp/unskilled non res", "Unemployed", "Employed")</f>
        <v>Employed</v>
      </c>
      <c r="U675" t="s">
        <v>38</v>
      </c>
      <c r="V675" s="14" t="str" cm="1">
        <f t="array" ref="V67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75" t="s">
        <v>103</v>
      </c>
      <c r="X675" s="2" t="str">
        <f>_xlfn.XLOOKUP(Table1[[#This Row],[Loan_Credit_History]],Table4[Credit History],Table4[[ Category]])</f>
        <v>Critical Credit History</v>
      </c>
      <c r="Y675" s="3">
        <v>4</v>
      </c>
      <c r="Z675" s="3">
        <v>2</v>
      </c>
      <c r="AA675" s="5">
        <v>522</v>
      </c>
      <c r="AB675" t="s">
        <v>151</v>
      </c>
      <c r="AC675" s="2" t="str" cm="1">
        <f t="array" ref="AC675">_xlfn.IFS(Table1[[#This Row],[Others_Parties]] = "No", "None",
Table1[[#This Row],[Others_Parties]] = "co applicant", "Co-applicant",
Table1[[#This Row],[Others_Parties]] = "guarantor", "Guarantor")</f>
        <v>None</v>
      </c>
      <c r="AD675" s="13" t="s">
        <v>145</v>
      </c>
      <c r="AE675" s="2" t="s">
        <v>111</v>
      </c>
      <c r="AF675" s="28" t="str" cm="1">
        <f t="array" ref="AF67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75" s="21">
        <v>12</v>
      </c>
      <c r="AH675" s="2" t="s">
        <v>154</v>
      </c>
      <c r="AI675"/>
      <c r="AZ675"/>
      <c r="BC675"/>
      <c r="BE675"/>
      <c r="BL675"/>
      <c r="BZ675"/>
      <c r="CA675"/>
      <c r="CF675"/>
      <c r="CG675"/>
      <c r="CH675"/>
      <c r="CI675"/>
      <c r="CK675"/>
      <c r="CN675"/>
    </row>
    <row r="676" spans="1:92" x14ac:dyDescent="0.3">
      <c r="A676" s="4">
        <v>674</v>
      </c>
      <c r="B676" s="11">
        <v>20</v>
      </c>
      <c r="C676" s="2" t="str">
        <f>_xlfn.XLOOKUP(Table1[[#This Row],[Age]],Table7[Start_Age],Table7[Age_Range],,-1)</f>
        <v>19-29</v>
      </c>
      <c r="D676" t="s">
        <v>134</v>
      </c>
      <c r="E676" s="2" t="s">
        <v>129</v>
      </c>
      <c r="F676" s="2" t="s">
        <v>135</v>
      </c>
      <c r="G676" s="3">
        <v>1</v>
      </c>
      <c r="H676" s="13" t="s">
        <v>152</v>
      </c>
      <c r="I676" s="2" t="str" cm="1">
        <f t="array" ref="I676">_xlfn.IFS(Table1[[#This Row],[Job_Type]] = "unskilled resident", "Resident",
Table1[[#This Row],[Job_Type]] = "unemp/unskilled non res", "Non-resident",
TRUE, "Unknown")</f>
        <v>Unknown</v>
      </c>
      <c r="J676" s="2" t="s">
        <v>149</v>
      </c>
      <c r="K676" s="3">
        <v>4</v>
      </c>
      <c r="L676" s="2" t="s">
        <v>144</v>
      </c>
      <c r="M676" s="13" t="s">
        <v>151</v>
      </c>
      <c r="N676" t="s">
        <v>30</v>
      </c>
      <c r="O676" s="2" t="str">
        <f>_xlfn.XLOOKUP(Table1[[#This Row],[Checking_Acct_Status]],Table3[Checking_Acct_Original],Table3[Category])</f>
        <v>Low Balance</v>
      </c>
      <c r="P676" s="10" t="s">
        <v>32</v>
      </c>
      <c r="Q676" s="13" t="str">
        <f>_xlfn.XLOOKUP(Table1[[#This Row],[Saving_Acct_Status]],Table5[Saving_Acct_Original],Table5[Category])</f>
        <v>Low Savings</v>
      </c>
      <c r="R676" t="s">
        <v>41</v>
      </c>
      <c r="S676" s="2" t="str">
        <f>IF(
      OR(Table1[[#This Row],[Job_Type]] = "high qualif/self emp/mgmt", Table1[[#This Row],[Job_Type]] = "skilled"),
      "Skilled", "Unskilled")</f>
        <v>Skilled</v>
      </c>
      <c r="T676" t="str">
        <f>IF(Table1[[#This Row],[Job_Type]] = "unemp/unskilled non res", "Unemployed", "Employed")</f>
        <v>Employed</v>
      </c>
      <c r="U676" t="s">
        <v>21</v>
      </c>
      <c r="V676" s="14" t="str" cm="1">
        <f t="array" ref="V67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76" t="s">
        <v>59</v>
      </c>
      <c r="X676" s="2" t="str">
        <f>_xlfn.XLOOKUP(Table1[[#This Row],[Loan_Credit_History]],Table4[Credit History],Table4[[ Category]])</f>
        <v>Previously Delayed</v>
      </c>
      <c r="Y676" s="3">
        <v>4</v>
      </c>
      <c r="Z676" s="3">
        <v>2</v>
      </c>
      <c r="AA676" s="5">
        <v>585</v>
      </c>
      <c r="AB676" t="s">
        <v>55</v>
      </c>
      <c r="AC676" s="2" t="str" cm="1">
        <f t="array" ref="AC676">_xlfn.IFS(Table1[[#This Row],[Others_Parties]] = "No", "None",
Table1[[#This Row],[Others_Parties]] = "co applicant", "Co-applicant",
Table1[[#This Row],[Others_Parties]] = "guarantor", "Guarantor")</f>
        <v>Co-applicant</v>
      </c>
      <c r="AD676" s="13" t="s">
        <v>145</v>
      </c>
      <c r="AE676" s="2" t="s">
        <v>111</v>
      </c>
      <c r="AF676" s="28" t="str" cm="1">
        <f t="array" ref="AF67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76" s="21">
        <v>12</v>
      </c>
      <c r="AH676" s="2" t="s">
        <v>154</v>
      </c>
      <c r="AI676"/>
      <c r="AZ676"/>
      <c r="BC676"/>
      <c r="BE676"/>
      <c r="BL676"/>
      <c r="BZ676"/>
      <c r="CA676"/>
      <c r="CF676"/>
      <c r="CG676"/>
      <c r="CH676"/>
      <c r="CI676"/>
      <c r="CK676"/>
      <c r="CN676"/>
    </row>
    <row r="677" spans="1:92" x14ac:dyDescent="0.3">
      <c r="A677" s="4">
        <v>675</v>
      </c>
      <c r="B677" s="11">
        <v>26</v>
      </c>
      <c r="C677" s="2" t="str">
        <f>_xlfn.XLOOKUP(Table1[[#This Row],[Age]],Table7[Start_Age],Table7[Age_Range],,-1)</f>
        <v>19-29</v>
      </c>
      <c r="D677" t="s">
        <v>136</v>
      </c>
      <c r="E677" s="2" t="s">
        <v>131</v>
      </c>
      <c r="F677" s="2" t="s">
        <v>137</v>
      </c>
      <c r="G677" s="3">
        <v>1</v>
      </c>
      <c r="H677" s="13" t="s">
        <v>152</v>
      </c>
      <c r="I677" s="2" t="str" cm="1">
        <f t="array" ref="I677">_xlfn.IFS(Table1[[#This Row],[Job_Type]] = "unskilled resident", "Resident",
Table1[[#This Row],[Job_Type]] = "unemp/unskilled non res", "Non-resident",
TRUE, "Unknown")</f>
        <v>Non-resident</v>
      </c>
      <c r="J677" s="2" t="s">
        <v>148</v>
      </c>
      <c r="K677" s="3">
        <v>1</v>
      </c>
      <c r="L677" s="2" t="s">
        <v>144</v>
      </c>
      <c r="M677" s="13" t="s">
        <v>151</v>
      </c>
      <c r="N677" t="s">
        <v>50</v>
      </c>
      <c r="O677" s="2" t="str">
        <f>_xlfn.XLOOKUP(Table1[[#This Row],[Checking_Acct_Status]],Table3[Checking_Acct_Original],Table3[Category])</f>
        <v>High Balance</v>
      </c>
      <c r="P677" s="10" t="s">
        <v>32</v>
      </c>
      <c r="Q677" s="13" t="str">
        <f>_xlfn.XLOOKUP(Table1[[#This Row],[Saving_Acct_Status]],Table5[Saving_Acct_Original],Table5[Category])</f>
        <v>Low Savings</v>
      </c>
      <c r="R677" t="s">
        <v>62</v>
      </c>
      <c r="S677" s="2" t="str">
        <f>IF(
      OR(Table1[[#This Row],[Job_Type]] = "high qualif/self emp/mgmt", Table1[[#This Row],[Job_Type]] = "skilled"),
      "Skilled", "Unskilled")</f>
        <v>Unskilled</v>
      </c>
      <c r="T677" t="str">
        <f>IF(Table1[[#This Row],[Job_Type]] = "unemp/unskilled non res", "Unemployed", "Employed")</f>
        <v>Unemployed</v>
      </c>
      <c r="U677" t="s">
        <v>45</v>
      </c>
      <c r="V677" s="14" t="str" cm="1">
        <f t="array" ref="V67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77" t="s">
        <v>42</v>
      </c>
      <c r="X677" s="2" t="str">
        <f>_xlfn.XLOOKUP(Table1[[#This Row],[Loan_Credit_History]],Table4[Credit History],Table4[[ Category]])</f>
        <v>All Paid</v>
      </c>
      <c r="Y677" s="3">
        <v>4</v>
      </c>
      <c r="Z677" s="3">
        <v>1</v>
      </c>
      <c r="AA677" s="5">
        <v>609</v>
      </c>
      <c r="AB677" t="s">
        <v>151</v>
      </c>
      <c r="AC677" s="2" t="str" cm="1">
        <f t="array" ref="AC677">_xlfn.IFS(Table1[[#This Row],[Others_Parties]] = "No", "None",
Table1[[#This Row],[Others_Parties]] = "co applicant", "Co-applicant",
Table1[[#This Row],[Others_Parties]] = "guarantor", "Guarantor")</f>
        <v>None</v>
      </c>
      <c r="AD677" s="13" t="s">
        <v>145</v>
      </c>
      <c r="AE677" s="2" t="s">
        <v>105</v>
      </c>
      <c r="AF677" s="28" t="str" cm="1">
        <f t="array" ref="AF67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77" s="21">
        <v>12</v>
      </c>
      <c r="AH677" s="2" t="s">
        <v>153</v>
      </c>
      <c r="AI677"/>
      <c r="AZ677"/>
      <c r="BC677"/>
      <c r="BE677"/>
      <c r="BL677"/>
      <c r="BZ677"/>
      <c r="CA677"/>
      <c r="CF677"/>
      <c r="CG677"/>
      <c r="CH677"/>
      <c r="CI677"/>
      <c r="CK677"/>
      <c r="CN677"/>
    </row>
    <row r="678" spans="1:92" x14ac:dyDescent="0.3">
      <c r="A678" s="4">
        <v>676</v>
      </c>
      <c r="B678" s="11">
        <v>56</v>
      </c>
      <c r="C678" s="2" t="str">
        <f>_xlfn.XLOOKUP(Table1[[#This Row],[Age]],Table7[Start_Age],Table7[Age_Range],,-1)</f>
        <v>49-59</v>
      </c>
      <c r="D678" t="s">
        <v>130</v>
      </c>
      <c r="E678" s="2" t="s">
        <v>129</v>
      </c>
      <c r="F678" s="2" t="s">
        <v>133</v>
      </c>
      <c r="G678" s="3">
        <v>1</v>
      </c>
      <c r="H678" s="13" t="s">
        <v>152</v>
      </c>
      <c r="I678" s="2" t="str" cm="1">
        <f t="array" ref="I678">_xlfn.IFS(Table1[[#This Row],[Job_Type]] = "unskilled resident", "Resident",
Table1[[#This Row],[Job_Type]] = "unemp/unskilled non res", "Non-resident",
TRUE, "Unknown")</f>
        <v>Unknown</v>
      </c>
      <c r="J678" s="2" t="s">
        <v>148</v>
      </c>
      <c r="K678" s="3">
        <v>4</v>
      </c>
      <c r="L678" s="2" t="s">
        <v>144</v>
      </c>
      <c r="M678" s="13" t="s">
        <v>151</v>
      </c>
      <c r="N678" t="s">
        <v>17</v>
      </c>
      <c r="O678" s="2" t="str">
        <f>_xlfn.XLOOKUP(Table1[[#This Row],[Checking_Acct_Status]],Table3[Checking_Acct_Original],Table3[Category])</f>
        <v>No Account</v>
      </c>
      <c r="P678" s="10" t="s">
        <v>32</v>
      </c>
      <c r="Q678" s="13" t="str">
        <f>_xlfn.XLOOKUP(Table1[[#This Row],[Saving_Acct_Status]],Table5[Saving_Acct_Original],Table5[Category])</f>
        <v>Low Savings</v>
      </c>
      <c r="R678" t="s">
        <v>41</v>
      </c>
      <c r="S678" s="2" t="str">
        <f>IF(
      OR(Table1[[#This Row],[Job_Type]] = "high qualif/self emp/mgmt", Table1[[#This Row],[Job_Type]] = "skilled"),
      "Skilled", "Unskilled")</f>
        <v>Skilled</v>
      </c>
      <c r="T678" t="str">
        <f>IF(Table1[[#This Row],[Job_Type]] = "unemp/unskilled non res", "Unemployed", "Employed")</f>
        <v>Employed</v>
      </c>
      <c r="U678" t="s">
        <v>38</v>
      </c>
      <c r="V678" s="14" t="str" cm="1">
        <f t="array" ref="V67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78" t="s">
        <v>103</v>
      </c>
      <c r="X678" s="2" t="str">
        <f>_xlfn.XLOOKUP(Table1[[#This Row],[Loan_Credit_History]],Table4[Credit History],Table4[[ Category]])</f>
        <v>Critical Credit History</v>
      </c>
      <c r="Y678" s="3">
        <v>4</v>
      </c>
      <c r="Z678" s="3">
        <v>1</v>
      </c>
      <c r="AA678" s="5">
        <v>618</v>
      </c>
      <c r="AB678" t="s">
        <v>151</v>
      </c>
      <c r="AC678" s="2" t="str" cm="1">
        <f t="array" ref="AC678">_xlfn.IFS(Table1[[#This Row],[Others_Parties]] = "No", "None",
Table1[[#This Row],[Others_Parties]] = "co applicant", "Co-applicant",
Table1[[#This Row],[Others_Parties]] = "guarantor", "Guarantor")</f>
        <v>None</v>
      </c>
      <c r="AD678" s="13" t="s">
        <v>145</v>
      </c>
      <c r="AE678" s="2" t="s">
        <v>111</v>
      </c>
      <c r="AF678" s="28" t="str" cm="1">
        <f t="array" ref="AF67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78" s="21">
        <v>12</v>
      </c>
      <c r="AH678" s="2" t="s">
        <v>154</v>
      </c>
      <c r="AI678"/>
      <c r="AZ678"/>
      <c r="BC678"/>
      <c r="BE678"/>
      <c r="BL678"/>
      <c r="BZ678"/>
      <c r="CA678"/>
      <c r="CF678"/>
      <c r="CG678"/>
      <c r="CH678"/>
      <c r="CI678"/>
      <c r="CK678"/>
      <c r="CN678"/>
    </row>
    <row r="679" spans="1:92" x14ac:dyDescent="0.3">
      <c r="A679" s="4">
        <v>677</v>
      </c>
      <c r="B679" s="11">
        <v>26</v>
      </c>
      <c r="C679" s="2" t="str">
        <f>_xlfn.XLOOKUP(Table1[[#This Row],[Age]],Table7[Start_Age],Table7[Age_Range],,-1)</f>
        <v>19-29</v>
      </c>
      <c r="D679" t="s">
        <v>134</v>
      </c>
      <c r="E679" s="2" t="s">
        <v>129</v>
      </c>
      <c r="F679" s="2" t="s">
        <v>135</v>
      </c>
      <c r="G679" s="3">
        <v>1</v>
      </c>
      <c r="H679" s="13" t="s">
        <v>152</v>
      </c>
      <c r="I679" s="2" t="str" cm="1">
        <f t="array" ref="I679">_xlfn.IFS(Table1[[#This Row],[Job_Type]] = "unskilled resident", "Resident",
Table1[[#This Row],[Job_Type]] = "unemp/unskilled non res", "Non-resident",
TRUE, "Unknown")</f>
        <v>Resident</v>
      </c>
      <c r="J679" s="2" t="s">
        <v>148</v>
      </c>
      <c r="K679" s="3">
        <v>1</v>
      </c>
      <c r="L679" s="2" t="s">
        <v>144</v>
      </c>
      <c r="M679" s="13" t="s">
        <v>151</v>
      </c>
      <c r="N679" t="s">
        <v>30</v>
      </c>
      <c r="O679" s="2" t="str">
        <f>_xlfn.XLOOKUP(Table1[[#This Row],[Checking_Acct_Status]],Table3[Checking_Acct_Original],Table3[Category])</f>
        <v>Low Balance</v>
      </c>
      <c r="P679" s="10" t="s">
        <v>32</v>
      </c>
      <c r="Q679" s="13" t="str">
        <f>_xlfn.XLOOKUP(Table1[[#This Row],[Saving_Acct_Status]],Table5[Saving_Acct_Original],Table5[Category])</f>
        <v>Low Savings</v>
      </c>
      <c r="R679" t="s">
        <v>27</v>
      </c>
      <c r="S679" s="2" t="str">
        <f>IF(
      OR(Table1[[#This Row],[Job_Type]] = "high qualif/self emp/mgmt", Table1[[#This Row],[Job_Type]] = "skilled"),
      "Skilled", "Unskilled")</f>
        <v>Unskilled</v>
      </c>
      <c r="T679" t="str">
        <f>IF(Table1[[#This Row],[Job_Type]] = "unemp/unskilled non res", "Unemployed", "Employed")</f>
        <v>Employed</v>
      </c>
      <c r="U679" t="s">
        <v>45</v>
      </c>
      <c r="V679" s="14" t="str" cm="1">
        <f t="array" ref="V67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79" t="s">
        <v>31</v>
      </c>
      <c r="X679" s="2" t="str">
        <f>_xlfn.XLOOKUP(Table1[[#This Row],[Loan_Credit_History]],Table4[Credit History],Table4[[ Category]])</f>
        <v>Existing Credits Paid</v>
      </c>
      <c r="Y679" s="3">
        <v>4</v>
      </c>
      <c r="Z679" s="3">
        <v>1</v>
      </c>
      <c r="AA679" s="5">
        <v>625</v>
      </c>
      <c r="AB679" t="s">
        <v>58</v>
      </c>
      <c r="AC679" s="2" t="str" cm="1">
        <f t="array" ref="AC679">_xlfn.IFS(Table1[[#This Row],[Others_Parties]] = "No", "None",
Table1[[#This Row],[Others_Parties]] = "co applicant", "Co-applicant",
Table1[[#This Row],[Others_Parties]] = "guarantor", "Guarantor")</f>
        <v>Guarantor</v>
      </c>
      <c r="AD679" s="13" t="s">
        <v>146</v>
      </c>
      <c r="AE679" s="2" t="s">
        <v>111</v>
      </c>
      <c r="AF679" s="28" t="str" cm="1">
        <f t="array" ref="AF67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79" s="21">
        <v>12</v>
      </c>
      <c r="AH679" s="2" t="s">
        <v>154</v>
      </c>
      <c r="AI679"/>
      <c r="AZ679"/>
      <c r="BC679"/>
      <c r="BE679"/>
      <c r="BL679"/>
      <c r="BZ679"/>
      <c r="CA679"/>
      <c r="CF679"/>
      <c r="CG679"/>
      <c r="CH679"/>
      <c r="CI679"/>
      <c r="CK679"/>
      <c r="CN679"/>
    </row>
    <row r="680" spans="1:92" x14ac:dyDescent="0.3">
      <c r="A680" s="4">
        <v>678</v>
      </c>
      <c r="B680" s="11">
        <v>24</v>
      </c>
      <c r="C680" s="2" t="str">
        <f>_xlfn.XLOOKUP(Table1[[#This Row],[Age]],Table7[Start_Age],Table7[Age_Range],,-1)</f>
        <v>19-29</v>
      </c>
      <c r="D680" t="s">
        <v>136</v>
      </c>
      <c r="E680" s="2" t="s">
        <v>131</v>
      </c>
      <c r="F680" s="2" t="s">
        <v>137</v>
      </c>
      <c r="G680" s="3">
        <v>1</v>
      </c>
      <c r="H680" s="13" t="s">
        <v>152</v>
      </c>
      <c r="I680" s="2" t="str" cm="1">
        <f t="array" ref="I680">_xlfn.IFS(Table1[[#This Row],[Job_Type]] = "unskilled resident", "Resident",
Table1[[#This Row],[Job_Type]] = "unemp/unskilled non res", "Non-resident",
TRUE, "Unknown")</f>
        <v>Resident</v>
      </c>
      <c r="J680" s="2" t="s">
        <v>148</v>
      </c>
      <c r="K680" s="3">
        <v>4</v>
      </c>
      <c r="L680" s="2" t="s">
        <v>144</v>
      </c>
      <c r="M680" s="13" t="s">
        <v>151</v>
      </c>
      <c r="N680" t="s">
        <v>35</v>
      </c>
      <c r="O680" s="2" t="str">
        <f>_xlfn.XLOOKUP(Table1[[#This Row],[Checking_Acct_Status]],Table3[Checking_Acct_Original],Table3[Category])</f>
        <v>Negative Balance</v>
      </c>
      <c r="P680" s="10" t="s">
        <v>32</v>
      </c>
      <c r="Q680" s="13" t="str">
        <f>_xlfn.XLOOKUP(Table1[[#This Row],[Saving_Acct_Status]],Table5[Saving_Acct_Original],Table5[Category])</f>
        <v>Low Savings</v>
      </c>
      <c r="R680" t="s">
        <v>27</v>
      </c>
      <c r="S680" s="2" t="str">
        <f>IF(
      OR(Table1[[#This Row],[Job_Type]] = "high qualif/self emp/mgmt", Table1[[#This Row],[Job_Type]] = "skilled"),
      "Skilled", "Unskilled")</f>
        <v>Unskilled</v>
      </c>
      <c r="T680" t="str">
        <f>IF(Table1[[#This Row],[Job_Type]] = "unemp/unskilled non res", "Unemployed", "Employed")</f>
        <v>Employed</v>
      </c>
      <c r="U680" t="s">
        <v>21</v>
      </c>
      <c r="V680" s="14" t="str" cm="1">
        <f t="array" ref="V68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80" t="s">
        <v>42</v>
      </c>
      <c r="X680" s="2" t="str">
        <f>_xlfn.XLOOKUP(Table1[[#This Row],[Loan_Credit_History]],Table4[Credit History],Table4[[ Category]])</f>
        <v>All Paid</v>
      </c>
      <c r="Y680" s="3">
        <v>4</v>
      </c>
      <c r="Z680" s="3">
        <v>1</v>
      </c>
      <c r="AA680" s="5">
        <v>626</v>
      </c>
      <c r="AB680" t="s">
        <v>151</v>
      </c>
      <c r="AC680" s="2" t="str" cm="1">
        <f t="array" ref="AC680">_xlfn.IFS(Table1[[#This Row],[Others_Parties]] = "No", "None",
Table1[[#This Row],[Others_Parties]] = "co applicant", "Co-applicant",
Table1[[#This Row],[Others_Parties]] = "guarantor", "Guarantor")</f>
        <v>None</v>
      </c>
      <c r="AD680" s="13" t="s">
        <v>146</v>
      </c>
      <c r="AE680" s="2" t="s">
        <v>111</v>
      </c>
      <c r="AF680" s="28" t="str" cm="1">
        <f t="array" ref="AF68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80" s="21">
        <v>12</v>
      </c>
      <c r="AH680" s="2" t="s">
        <v>153</v>
      </c>
      <c r="AI680"/>
      <c r="AZ680"/>
      <c r="BC680"/>
      <c r="BE680"/>
      <c r="BL680"/>
      <c r="BZ680"/>
      <c r="CA680"/>
      <c r="CF680"/>
      <c r="CG680"/>
      <c r="CH680"/>
      <c r="CI680"/>
      <c r="CK680"/>
      <c r="CN680"/>
    </row>
    <row r="681" spans="1:92" x14ac:dyDescent="0.3">
      <c r="A681" s="4">
        <v>679</v>
      </c>
      <c r="B681" s="11">
        <v>30</v>
      </c>
      <c r="C681" s="2" t="str">
        <f>_xlfn.XLOOKUP(Table1[[#This Row],[Age]],Table7[Start_Age],Table7[Age_Range],,-1)</f>
        <v>29-39</v>
      </c>
      <c r="D681" t="s">
        <v>130</v>
      </c>
      <c r="E681" s="2" t="s">
        <v>129</v>
      </c>
      <c r="F681" s="2" t="s">
        <v>133</v>
      </c>
      <c r="G681" s="3">
        <v>1</v>
      </c>
      <c r="H681" s="13" t="s">
        <v>152</v>
      </c>
      <c r="I681" s="2" t="str" cm="1">
        <f t="array" ref="I681">_xlfn.IFS(Table1[[#This Row],[Job_Type]] = "unskilled resident", "Resident",
Table1[[#This Row],[Job_Type]] = "unemp/unskilled non res", "Non-resident",
TRUE, "Unknown")</f>
        <v>Unknown</v>
      </c>
      <c r="J681" s="2" t="s">
        <v>148</v>
      </c>
      <c r="K681" s="3">
        <v>2</v>
      </c>
      <c r="L681" s="2" t="s">
        <v>140</v>
      </c>
      <c r="M681" s="13" t="s">
        <v>151</v>
      </c>
      <c r="N681" t="s">
        <v>30</v>
      </c>
      <c r="O681" s="2" t="str">
        <f>_xlfn.XLOOKUP(Table1[[#This Row],[Checking_Acct_Status]],Table3[Checking_Acct_Original],Table3[Category])</f>
        <v>Low Balance</v>
      </c>
      <c r="P681" s="10" t="s">
        <v>32</v>
      </c>
      <c r="Q681" s="13" t="str">
        <f>_xlfn.XLOOKUP(Table1[[#This Row],[Saving_Acct_Status]],Table5[Saving_Acct_Original],Table5[Category])</f>
        <v>Low Savings</v>
      </c>
      <c r="R681" t="s">
        <v>41</v>
      </c>
      <c r="S681" s="2" t="str">
        <f>IF(
      OR(Table1[[#This Row],[Job_Type]] = "high qualif/self emp/mgmt", Table1[[#This Row],[Job_Type]] = "skilled"),
      "Skilled", "Unskilled")</f>
        <v>Skilled</v>
      </c>
      <c r="T681" t="str">
        <f>IF(Table1[[#This Row],[Job_Type]] = "unemp/unskilled non res", "Unemployed", "Employed")</f>
        <v>Employed</v>
      </c>
      <c r="U681" t="s">
        <v>21</v>
      </c>
      <c r="V681" s="14" t="str" cm="1">
        <f t="array" ref="V68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81" t="s">
        <v>31</v>
      </c>
      <c r="X681" s="2" t="str">
        <f>_xlfn.XLOOKUP(Table1[[#This Row],[Loan_Credit_History]],Table4[Credit History],Table4[[ Category]])</f>
        <v>Existing Credits Paid</v>
      </c>
      <c r="Y681" s="3">
        <v>4</v>
      </c>
      <c r="Z681" s="3">
        <v>1</v>
      </c>
      <c r="AA681" s="5">
        <v>639</v>
      </c>
      <c r="AB681" t="s">
        <v>151</v>
      </c>
      <c r="AC681" s="2" t="str" cm="1">
        <f t="array" ref="AC681">_xlfn.IFS(Table1[[#This Row],[Others_Parties]] = "No", "None",
Table1[[#This Row],[Others_Parties]] = "co applicant", "Co-applicant",
Table1[[#This Row],[Others_Parties]] = "guarantor", "Guarantor")</f>
        <v>None</v>
      </c>
      <c r="AD681" s="13" t="s">
        <v>145</v>
      </c>
      <c r="AE681" s="2" t="s">
        <v>109</v>
      </c>
      <c r="AF681" s="28" t="str" cm="1">
        <f t="array" ref="AF68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81" s="21">
        <v>12</v>
      </c>
      <c r="AH681" s="2" t="s">
        <v>153</v>
      </c>
      <c r="AI681"/>
      <c r="AZ681"/>
      <c r="BC681"/>
      <c r="BE681"/>
      <c r="BL681"/>
      <c r="BZ681"/>
      <c r="CA681"/>
      <c r="CF681"/>
      <c r="CG681"/>
      <c r="CH681"/>
      <c r="CI681"/>
      <c r="CK681"/>
      <c r="CN681"/>
    </row>
    <row r="682" spans="1:92" x14ac:dyDescent="0.3">
      <c r="A682" s="4">
        <v>680</v>
      </c>
      <c r="B682" s="11">
        <v>49</v>
      </c>
      <c r="C682" s="2" t="str">
        <f>_xlfn.XLOOKUP(Table1[[#This Row],[Age]],Table7[Start_Age],Table7[Age_Range],,-1)</f>
        <v>49-59</v>
      </c>
      <c r="D682" t="s">
        <v>138</v>
      </c>
      <c r="E682" s="2" t="s">
        <v>129</v>
      </c>
      <c r="F682" s="2" t="s">
        <v>178</v>
      </c>
      <c r="G682" s="3">
        <v>1</v>
      </c>
      <c r="H682" s="13" t="s">
        <v>152</v>
      </c>
      <c r="I682" s="2" t="str" cm="1">
        <f t="array" ref="I682">_xlfn.IFS(Table1[[#This Row],[Job_Type]] = "unskilled resident", "Resident",
Table1[[#This Row],[Job_Type]] = "unemp/unskilled non res", "Non-resident",
TRUE, "Unknown")</f>
        <v>Resident</v>
      </c>
      <c r="J682" s="2" t="s">
        <v>148</v>
      </c>
      <c r="K682" s="3">
        <v>2</v>
      </c>
      <c r="L682" s="2" t="s">
        <v>144</v>
      </c>
      <c r="M682" s="13" t="s">
        <v>151</v>
      </c>
      <c r="N682" t="s">
        <v>17</v>
      </c>
      <c r="O682" s="2" t="str">
        <f>_xlfn.XLOOKUP(Table1[[#This Row],[Checking_Acct_Status]],Table3[Checking_Acct_Original],Table3[Category])</f>
        <v>No Account</v>
      </c>
      <c r="P682" s="10" t="s">
        <v>32</v>
      </c>
      <c r="Q682" s="13" t="str">
        <f>_xlfn.XLOOKUP(Table1[[#This Row],[Saving_Acct_Status]],Table5[Saving_Acct_Original],Table5[Category])</f>
        <v>Low Savings</v>
      </c>
      <c r="R682" t="s">
        <v>27</v>
      </c>
      <c r="S682" s="2" t="str">
        <f>IF(
      OR(Table1[[#This Row],[Job_Type]] = "high qualif/self emp/mgmt", Table1[[#This Row],[Job_Type]] = "skilled"),
      "Skilled", "Unskilled")</f>
        <v>Unskilled</v>
      </c>
      <c r="T682" t="str">
        <f>IF(Table1[[#This Row],[Job_Type]] = "unemp/unskilled non res", "Unemployed", "Employed")</f>
        <v>Employed</v>
      </c>
      <c r="U682" t="s">
        <v>21</v>
      </c>
      <c r="V682" s="14" t="str" cm="1">
        <f t="array" ref="V68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82" t="s">
        <v>31</v>
      </c>
      <c r="X682" s="2" t="str">
        <f>_xlfn.XLOOKUP(Table1[[#This Row],[Loan_Credit_History]],Table4[Credit History],Table4[[ Category]])</f>
        <v>Existing Credits Paid</v>
      </c>
      <c r="Y682" s="3">
        <v>4</v>
      </c>
      <c r="Z682" s="3">
        <v>1</v>
      </c>
      <c r="AA682" s="5">
        <v>640</v>
      </c>
      <c r="AB682" t="s">
        <v>151</v>
      </c>
      <c r="AC682" s="2" t="str" cm="1">
        <f t="array" ref="AC682">_xlfn.IFS(Table1[[#This Row],[Others_Parties]] = "No", "None",
Table1[[#This Row],[Others_Parties]] = "co applicant", "Co-applicant",
Table1[[#This Row],[Others_Parties]] = "guarantor", "Guarantor")</f>
        <v>None</v>
      </c>
      <c r="AD682" s="13" t="s">
        <v>145</v>
      </c>
      <c r="AE682" s="2" t="s">
        <v>141</v>
      </c>
      <c r="AF682" s="28" t="str" cm="1">
        <f t="array" ref="AF68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82" s="21">
        <v>12</v>
      </c>
      <c r="AH682" s="2" t="s">
        <v>154</v>
      </c>
      <c r="AI682"/>
      <c r="AZ682"/>
      <c r="BC682"/>
      <c r="BE682"/>
      <c r="BL682"/>
      <c r="BZ682"/>
      <c r="CA682"/>
      <c r="CF682"/>
      <c r="CG682"/>
      <c r="CH682"/>
      <c r="CI682"/>
      <c r="CK682"/>
      <c r="CN682"/>
    </row>
    <row r="683" spans="1:92" x14ac:dyDescent="0.3">
      <c r="A683" s="4">
        <v>681</v>
      </c>
      <c r="B683" s="11">
        <v>24</v>
      </c>
      <c r="C683" s="2" t="str">
        <f>_xlfn.XLOOKUP(Table1[[#This Row],[Age]],Table7[Start_Age],Table7[Age_Range],,-1)</f>
        <v>19-29</v>
      </c>
      <c r="D683" t="s">
        <v>136</v>
      </c>
      <c r="E683" s="2" t="s">
        <v>131</v>
      </c>
      <c r="F683" s="2" t="s">
        <v>137</v>
      </c>
      <c r="G683" s="3">
        <v>1</v>
      </c>
      <c r="H683" s="13" t="s">
        <v>152</v>
      </c>
      <c r="I683" s="2" t="str" cm="1">
        <f t="array" ref="I683">_xlfn.IFS(Table1[[#This Row],[Job_Type]] = "unskilled resident", "Resident",
Table1[[#This Row],[Job_Type]] = "unemp/unskilled non res", "Non-resident",
TRUE, "Unknown")</f>
        <v>Unknown</v>
      </c>
      <c r="J683" s="2" t="s">
        <v>149</v>
      </c>
      <c r="K683" s="3">
        <v>4</v>
      </c>
      <c r="L683" s="2" t="s">
        <v>143</v>
      </c>
      <c r="M683" s="13" t="s">
        <v>151</v>
      </c>
      <c r="N683" t="s">
        <v>35</v>
      </c>
      <c r="O683" s="2" t="str">
        <f>_xlfn.XLOOKUP(Table1[[#This Row],[Checking_Acct_Status]],Table3[Checking_Acct_Original],Table3[Category])</f>
        <v>Negative Balance</v>
      </c>
      <c r="P683" s="10" t="s">
        <v>32</v>
      </c>
      <c r="Q683" s="13" t="str">
        <f>_xlfn.XLOOKUP(Table1[[#This Row],[Saving_Acct_Status]],Table5[Saving_Acct_Original],Table5[Category])</f>
        <v>Low Savings</v>
      </c>
      <c r="R683" t="s">
        <v>41</v>
      </c>
      <c r="S683" s="2" t="str">
        <f>IF(
      OR(Table1[[#This Row],[Job_Type]] = "high qualif/self emp/mgmt", Table1[[#This Row],[Job_Type]] = "skilled"),
      "Skilled", "Unskilled")</f>
        <v>Skilled</v>
      </c>
      <c r="T683" t="str">
        <f>IF(Table1[[#This Row],[Job_Type]] = "unemp/unskilled non res", "Unemployed", "Employed")</f>
        <v>Employed</v>
      </c>
      <c r="U683" t="s">
        <v>38</v>
      </c>
      <c r="V683" s="14" t="str" cm="1">
        <f t="array" ref="V68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83" t="s">
        <v>31</v>
      </c>
      <c r="X683" s="2" t="str">
        <f>_xlfn.XLOOKUP(Table1[[#This Row],[Loan_Credit_History]],Table4[Credit History],Table4[[ Category]])</f>
        <v>Existing Credits Paid</v>
      </c>
      <c r="Y683" s="3">
        <v>4</v>
      </c>
      <c r="Z683" s="3">
        <v>1</v>
      </c>
      <c r="AA683" s="5">
        <v>652</v>
      </c>
      <c r="AB683" t="s">
        <v>151</v>
      </c>
      <c r="AC683" s="2" t="str" cm="1">
        <f t="array" ref="AC683">_xlfn.IFS(Table1[[#This Row],[Others_Parties]] = "No", "None",
Table1[[#This Row],[Others_Parties]] = "co applicant", "Co-applicant",
Table1[[#This Row],[Others_Parties]] = "guarantor", "Guarantor")</f>
        <v>None</v>
      </c>
      <c r="AD683" s="13" t="s">
        <v>145</v>
      </c>
      <c r="AE683" s="2" t="s">
        <v>108</v>
      </c>
      <c r="AF683" s="28" t="str" cm="1">
        <f t="array" ref="AF68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83" s="21">
        <v>12</v>
      </c>
      <c r="AH683" s="2" t="s">
        <v>154</v>
      </c>
      <c r="AI683"/>
      <c r="AZ683"/>
      <c r="BC683"/>
      <c r="BE683"/>
      <c r="BL683"/>
      <c r="BZ683"/>
      <c r="CA683"/>
      <c r="CF683"/>
      <c r="CG683"/>
      <c r="CH683"/>
      <c r="CI683"/>
      <c r="CK683"/>
      <c r="CN683"/>
    </row>
    <row r="684" spans="1:92" x14ac:dyDescent="0.3">
      <c r="A684" s="4">
        <v>682</v>
      </c>
      <c r="B684" s="11">
        <v>20</v>
      </c>
      <c r="C684" s="2" t="str">
        <f>_xlfn.XLOOKUP(Table1[[#This Row],[Age]],Table7[Start_Age],Table7[Age_Range],,-1)</f>
        <v>19-29</v>
      </c>
      <c r="D684" t="s">
        <v>134</v>
      </c>
      <c r="E684" s="2" t="s">
        <v>129</v>
      </c>
      <c r="F684" s="2" t="s">
        <v>135</v>
      </c>
      <c r="G684" s="3">
        <v>1</v>
      </c>
      <c r="H684" s="13" t="s">
        <v>152</v>
      </c>
      <c r="I684" s="2" t="str" cm="1">
        <f t="array" ref="I684">_xlfn.IFS(Table1[[#This Row],[Job_Type]] = "unskilled resident", "Resident",
Table1[[#This Row],[Job_Type]] = "unemp/unskilled non res", "Non-resident",
TRUE, "Unknown")</f>
        <v>Unknown</v>
      </c>
      <c r="J684" s="2" t="s">
        <v>148</v>
      </c>
      <c r="K684" s="3">
        <v>1</v>
      </c>
      <c r="L684" s="2" t="s">
        <v>143</v>
      </c>
      <c r="M684" s="13" t="s">
        <v>151</v>
      </c>
      <c r="N684" t="s">
        <v>35</v>
      </c>
      <c r="O684" s="2" t="str">
        <f>_xlfn.XLOOKUP(Table1[[#This Row],[Checking_Acct_Status]],Table3[Checking_Acct_Original],Table3[Category])</f>
        <v>Negative Balance</v>
      </c>
      <c r="P684" s="10" t="s">
        <v>46</v>
      </c>
      <c r="Q684" s="13" t="str">
        <f>_xlfn.XLOOKUP(Table1[[#This Row],[Saving_Acct_Status]],Table5[Saving_Acct_Original],Table5[Category])</f>
        <v>Medium Savings</v>
      </c>
      <c r="R684" t="s">
        <v>41</v>
      </c>
      <c r="S684" s="2" t="str">
        <f>IF(
      OR(Table1[[#This Row],[Job_Type]] = "high qualif/self emp/mgmt", Table1[[#This Row],[Job_Type]] = "skilled"),
      "Skilled", "Unskilled")</f>
        <v>Skilled</v>
      </c>
      <c r="T684" t="str">
        <f>IF(Table1[[#This Row],[Job_Type]] = "unemp/unskilled non res", "Unemployed", "Employed")</f>
        <v>Employed</v>
      </c>
      <c r="U684" t="s">
        <v>49</v>
      </c>
      <c r="V684" s="14" t="str" cm="1">
        <f t="array" ref="V68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84" t="s">
        <v>31</v>
      </c>
      <c r="X684" s="2" t="str">
        <f>_xlfn.XLOOKUP(Table1[[#This Row],[Loan_Credit_History]],Table4[Credit History],Table4[[ Category]])</f>
        <v>Existing Credits Paid</v>
      </c>
      <c r="Y684" s="3">
        <v>4</v>
      </c>
      <c r="Z684" s="3">
        <v>1</v>
      </c>
      <c r="AA684" s="5">
        <v>674</v>
      </c>
      <c r="AB684" t="s">
        <v>151</v>
      </c>
      <c r="AC684" s="2" t="str" cm="1">
        <f t="array" ref="AC684">_xlfn.IFS(Table1[[#This Row],[Others_Parties]] = "No", "None",
Table1[[#This Row],[Others_Parties]] = "co applicant", "Co-applicant",
Table1[[#This Row],[Others_Parties]] = "guarantor", "Guarantor")</f>
        <v>None</v>
      </c>
      <c r="AD684" s="13" t="s">
        <v>145</v>
      </c>
      <c r="AE684" s="2" t="s">
        <v>111</v>
      </c>
      <c r="AF684" s="28" t="str" cm="1">
        <f t="array" ref="AF68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84" s="21">
        <v>12</v>
      </c>
      <c r="AH684" s="2" t="s">
        <v>153</v>
      </c>
      <c r="AI684"/>
      <c r="AZ684"/>
      <c r="BC684"/>
      <c r="BE684"/>
      <c r="BL684"/>
      <c r="BZ684"/>
      <c r="CA684"/>
      <c r="CF684"/>
      <c r="CG684"/>
      <c r="CH684"/>
      <c r="CI684"/>
      <c r="CK684"/>
      <c r="CN684"/>
    </row>
    <row r="685" spans="1:92" x14ac:dyDescent="0.3">
      <c r="A685" s="4">
        <v>683</v>
      </c>
      <c r="B685" s="11">
        <v>51</v>
      </c>
      <c r="C685" s="2" t="str">
        <f>_xlfn.XLOOKUP(Table1[[#This Row],[Age]],Table7[Start_Age],Table7[Age_Range],,-1)</f>
        <v>49-59</v>
      </c>
      <c r="D685" t="s">
        <v>136</v>
      </c>
      <c r="E685" s="2" t="s">
        <v>131</v>
      </c>
      <c r="F685" s="2" t="s">
        <v>137</v>
      </c>
      <c r="G685" s="3">
        <v>1</v>
      </c>
      <c r="H685" s="13" t="s">
        <v>152</v>
      </c>
      <c r="I685" s="2" t="str" cm="1">
        <f t="array" ref="I685">_xlfn.IFS(Table1[[#This Row],[Job_Type]] = "unskilled resident", "Resident",
Table1[[#This Row],[Job_Type]] = "unemp/unskilled non res", "Non-resident",
TRUE, "Unknown")</f>
        <v>Unknown</v>
      </c>
      <c r="J685" s="2" t="s">
        <v>148</v>
      </c>
      <c r="K685" s="3">
        <v>3</v>
      </c>
      <c r="L685" s="2" t="s">
        <v>140</v>
      </c>
      <c r="M685" s="13" t="s">
        <v>152</v>
      </c>
      <c r="N685" t="s">
        <v>17</v>
      </c>
      <c r="O685" s="2" t="str">
        <f>_xlfn.XLOOKUP(Table1[[#This Row],[Checking_Acct_Status]],Table3[Checking_Acct_Original],Table3[Category])</f>
        <v>No Account</v>
      </c>
      <c r="P685" s="10" t="s">
        <v>46</v>
      </c>
      <c r="Q685" s="13" t="str">
        <f>_xlfn.XLOOKUP(Table1[[#This Row],[Saving_Acct_Status]],Table5[Saving_Acct_Original],Table5[Category])</f>
        <v>Medium Savings</v>
      </c>
      <c r="R685" t="s">
        <v>41</v>
      </c>
      <c r="S685" s="2" t="str">
        <f>IF(
      OR(Table1[[#This Row],[Job_Type]] = "high qualif/self emp/mgmt", Table1[[#This Row],[Job_Type]] = "skilled"),
      "Skilled", "Unskilled")</f>
        <v>Skilled</v>
      </c>
      <c r="T685" t="str">
        <f>IF(Table1[[#This Row],[Job_Type]] = "unemp/unskilled non res", "Unemployed", "Employed")</f>
        <v>Employed</v>
      </c>
      <c r="U685" t="s">
        <v>49</v>
      </c>
      <c r="V685" s="14" t="str" cm="1">
        <f t="array" ref="V68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85" t="s">
        <v>103</v>
      </c>
      <c r="X685" s="2" t="str">
        <f>_xlfn.XLOOKUP(Table1[[#This Row],[Loan_Credit_History]],Table4[Credit History],Table4[[ Category]])</f>
        <v>Critical Credit History</v>
      </c>
      <c r="Y685" s="3">
        <v>4</v>
      </c>
      <c r="Z685" s="3">
        <v>2</v>
      </c>
      <c r="AA685" s="5">
        <v>682</v>
      </c>
      <c r="AB685" t="s">
        <v>151</v>
      </c>
      <c r="AC685" s="2" t="str" cm="1">
        <f t="array" ref="AC685">_xlfn.IFS(Table1[[#This Row],[Others_Parties]] = "No", "None",
Table1[[#This Row],[Others_Parties]] = "co applicant", "Co-applicant",
Table1[[#This Row],[Others_Parties]] = "guarantor", "Guarantor")</f>
        <v>None</v>
      </c>
      <c r="AD685" s="13" t="s">
        <v>145</v>
      </c>
      <c r="AE685" s="2" t="s">
        <v>141</v>
      </c>
      <c r="AF685" s="28" t="str" cm="1">
        <f t="array" ref="AF68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85" s="21">
        <v>12</v>
      </c>
      <c r="AH685" s="2" t="s">
        <v>154</v>
      </c>
      <c r="AI685"/>
      <c r="AZ685"/>
      <c r="BC685"/>
      <c r="BE685"/>
      <c r="BL685"/>
      <c r="BZ685"/>
      <c r="CA685"/>
      <c r="CF685"/>
      <c r="CG685"/>
      <c r="CH685"/>
      <c r="CI685"/>
      <c r="CK685"/>
      <c r="CN685"/>
    </row>
    <row r="686" spans="1:92" x14ac:dyDescent="0.3">
      <c r="A686" s="4">
        <v>684</v>
      </c>
      <c r="B686" s="11">
        <v>40</v>
      </c>
      <c r="C686" s="2" t="str">
        <f>_xlfn.XLOOKUP(Table1[[#This Row],[Age]],Table7[Start_Age],Table7[Age_Range],,-1)</f>
        <v>39-49</v>
      </c>
      <c r="D686" t="s">
        <v>130</v>
      </c>
      <c r="E686" s="2" t="s">
        <v>129</v>
      </c>
      <c r="F686" s="2" t="s">
        <v>133</v>
      </c>
      <c r="G686" s="3">
        <v>2</v>
      </c>
      <c r="H686" s="13" t="s">
        <v>152</v>
      </c>
      <c r="I686" s="2" t="str" cm="1">
        <f t="array" ref="I686">_xlfn.IFS(Table1[[#This Row],[Job_Type]] = "unskilled resident", "Resident",
Table1[[#This Row],[Job_Type]] = "unemp/unskilled non res", "Non-resident",
TRUE, "Unknown")</f>
        <v>Resident</v>
      </c>
      <c r="J686" s="2" t="s">
        <v>149</v>
      </c>
      <c r="K686" s="3">
        <v>4</v>
      </c>
      <c r="L686" s="2" t="s">
        <v>140</v>
      </c>
      <c r="M686" s="13" t="s">
        <v>151</v>
      </c>
      <c r="N686" t="s">
        <v>35</v>
      </c>
      <c r="O686" s="2" t="str">
        <f>_xlfn.XLOOKUP(Table1[[#This Row],[Checking_Acct_Status]],Table3[Checking_Acct_Original],Table3[Category])</f>
        <v>Negative Balance</v>
      </c>
      <c r="P686" s="10" t="s">
        <v>32</v>
      </c>
      <c r="Q686" s="13" t="str">
        <f>_xlfn.XLOOKUP(Table1[[#This Row],[Saving_Acct_Status]],Table5[Saving_Acct_Original],Table5[Category])</f>
        <v>Low Savings</v>
      </c>
      <c r="R686" t="s">
        <v>27</v>
      </c>
      <c r="S686" s="2" t="str">
        <f>IF(
      OR(Table1[[#This Row],[Job_Type]] = "high qualif/self emp/mgmt", Table1[[#This Row],[Job_Type]] = "skilled"),
      "Skilled", "Unskilled")</f>
        <v>Unskilled</v>
      </c>
      <c r="T686" t="str">
        <f>IF(Table1[[#This Row],[Job_Type]] = "unemp/unskilled non res", "Unemployed", "Employed")</f>
        <v>Employed</v>
      </c>
      <c r="U686" t="s">
        <v>21</v>
      </c>
      <c r="V686" s="14" t="str" cm="1">
        <f t="array" ref="V68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86" t="s">
        <v>31</v>
      </c>
      <c r="X686" s="2" t="str">
        <f>_xlfn.XLOOKUP(Table1[[#This Row],[Loan_Credit_History]],Table4[Credit History],Table4[[ Category]])</f>
        <v>Existing Credits Paid</v>
      </c>
      <c r="Y686" s="3">
        <v>4</v>
      </c>
      <c r="Z686" s="3">
        <v>1</v>
      </c>
      <c r="AA686" s="5">
        <v>684</v>
      </c>
      <c r="AB686" t="s">
        <v>151</v>
      </c>
      <c r="AC686" s="2" t="str" cm="1">
        <f t="array" ref="AC686">_xlfn.IFS(Table1[[#This Row],[Others_Parties]] = "No", "None",
Table1[[#This Row],[Others_Parties]] = "co applicant", "Co-applicant",
Table1[[#This Row],[Others_Parties]] = "guarantor", "Guarantor")</f>
        <v>None</v>
      </c>
      <c r="AD686" s="13" t="s">
        <v>145</v>
      </c>
      <c r="AE686" s="2" t="s">
        <v>100</v>
      </c>
      <c r="AF686" s="28" t="str" cm="1">
        <f t="array" ref="AF68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86" s="21">
        <v>12</v>
      </c>
      <c r="AH686" s="2" t="s">
        <v>153</v>
      </c>
      <c r="AI686"/>
      <c r="AZ686"/>
      <c r="BC686"/>
      <c r="BE686"/>
      <c r="BL686"/>
      <c r="BZ686"/>
      <c r="CA686"/>
      <c r="CF686"/>
      <c r="CG686"/>
      <c r="CH686"/>
      <c r="CI686"/>
      <c r="CK686"/>
      <c r="CN686"/>
    </row>
    <row r="687" spans="1:92" x14ac:dyDescent="0.3">
      <c r="A687" s="4">
        <v>685</v>
      </c>
      <c r="B687" s="11">
        <v>25</v>
      </c>
      <c r="C687" s="2" t="str">
        <f>_xlfn.XLOOKUP(Table1[[#This Row],[Age]],Table7[Start_Age],Table7[Age_Range],,-1)</f>
        <v>19-29</v>
      </c>
      <c r="D687" t="s">
        <v>134</v>
      </c>
      <c r="E687" s="2" t="s">
        <v>129</v>
      </c>
      <c r="F687" s="2" t="s">
        <v>135</v>
      </c>
      <c r="G687" s="3">
        <v>1</v>
      </c>
      <c r="H687" s="13" t="s">
        <v>152</v>
      </c>
      <c r="I687" s="2" t="str" cm="1">
        <f t="array" ref="I687">_xlfn.IFS(Table1[[#This Row],[Job_Type]] = "unskilled resident", "Resident",
Table1[[#This Row],[Job_Type]] = "unemp/unskilled non res", "Non-resident",
TRUE, "Unknown")</f>
        <v>Resident</v>
      </c>
      <c r="J687" s="2" t="s">
        <v>148</v>
      </c>
      <c r="K687" s="3">
        <v>3</v>
      </c>
      <c r="L687" s="2" t="s">
        <v>140</v>
      </c>
      <c r="M687" s="13" t="s">
        <v>151</v>
      </c>
      <c r="N687" t="s">
        <v>30</v>
      </c>
      <c r="O687" s="2" t="str">
        <f>_xlfn.XLOOKUP(Table1[[#This Row],[Checking_Acct_Status]],Table3[Checking_Acct_Original],Table3[Category])</f>
        <v>Low Balance</v>
      </c>
      <c r="P687" s="10" t="s">
        <v>32</v>
      </c>
      <c r="Q687" s="13" t="str">
        <f>_xlfn.XLOOKUP(Table1[[#This Row],[Saving_Acct_Status]],Table5[Saving_Acct_Original],Table5[Category])</f>
        <v>Low Savings</v>
      </c>
      <c r="R687" t="s">
        <v>27</v>
      </c>
      <c r="S687" s="2" t="str">
        <f>IF(
      OR(Table1[[#This Row],[Job_Type]] = "high qualif/self emp/mgmt", Table1[[#This Row],[Job_Type]] = "skilled"),
      "Skilled", "Unskilled")</f>
        <v>Unskilled</v>
      </c>
      <c r="T687" t="str">
        <f>IF(Table1[[#This Row],[Job_Type]] = "unemp/unskilled non res", "Unemployed", "Employed")</f>
        <v>Employed</v>
      </c>
      <c r="U687" t="s">
        <v>49</v>
      </c>
      <c r="V687" s="14" t="str" cm="1">
        <f t="array" ref="V68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687" t="s">
        <v>31</v>
      </c>
      <c r="X687" s="2" t="str">
        <f>_xlfn.XLOOKUP(Table1[[#This Row],[Loan_Credit_History]],Table4[Credit History],Table4[[ Category]])</f>
        <v>Existing Credits Paid</v>
      </c>
      <c r="Y687" s="3">
        <v>2</v>
      </c>
      <c r="Z687" s="3">
        <v>1</v>
      </c>
      <c r="AA687" s="5">
        <v>685</v>
      </c>
      <c r="AB687" t="s">
        <v>151</v>
      </c>
      <c r="AC687" s="2" t="str" cm="1">
        <f t="array" ref="AC687">_xlfn.IFS(Table1[[#This Row],[Others_Parties]] = "No", "None",
Table1[[#This Row],[Others_Parties]] = "co applicant", "Co-applicant",
Table1[[#This Row],[Others_Parties]] = "guarantor", "Guarantor")</f>
        <v>None</v>
      </c>
      <c r="AD687" s="13" t="s">
        <v>146</v>
      </c>
      <c r="AE687" s="2" t="s">
        <v>141</v>
      </c>
      <c r="AF687" s="28" t="str" cm="1">
        <f t="array" ref="AF68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87" s="21">
        <v>12</v>
      </c>
      <c r="AH687" s="2" t="s">
        <v>153</v>
      </c>
      <c r="AI687"/>
      <c r="AZ687"/>
      <c r="BC687"/>
      <c r="BE687"/>
      <c r="BL687"/>
      <c r="BZ687"/>
      <c r="CA687"/>
      <c r="CF687"/>
      <c r="CG687"/>
      <c r="CH687"/>
      <c r="CI687"/>
      <c r="CK687"/>
      <c r="CN687"/>
    </row>
    <row r="688" spans="1:92" x14ac:dyDescent="0.3">
      <c r="A688" s="4">
        <v>686</v>
      </c>
      <c r="B688" s="11">
        <v>35</v>
      </c>
      <c r="C688" s="2" t="str">
        <f>_xlfn.XLOOKUP(Table1[[#This Row],[Age]],Table7[Start_Age],Table7[Age_Range],,-1)</f>
        <v>29-39</v>
      </c>
      <c r="D688" t="s">
        <v>130</v>
      </c>
      <c r="E688" s="2" t="s">
        <v>129</v>
      </c>
      <c r="F688" s="2" t="s">
        <v>133</v>
      </c>
      <c r="G688" s="3">
        <v>1</v>
      </c>
      <c r="H688" s="13" t="s">
        <v>152</v>
      </c>
      <c r="I688" s="2" t="str" cm="1">
        <f t="array" ref="I688">_xlfn.IFS(Table1[[#This Row],[Job_Type]] = "unskilled resident", "Resident",
Table1[[#This Row],[Job_Type]] = "unemp/unskilled non res", "Non-resident",
TRUE, "Unknown")</f>
        <v>Unknown</v>
      </c>
      <c r="J688" s="2" t="s">
        <v>148</v>
      </c>
      <c r="K688" s="3">
        <v>3</v>
      </c>
      <c r="L688" s="2" t="s">
        <v>143</v>
      </c>
      <c r="M688" s="13" t="s">
        <v>151</v>
      </c>
      <c r="N688" t="s">
        <v>35</v>
      </c>
      <c r="O688" s="2" t="str">
        <f>_xlfn.XLOOKUP(Table1[[#This Row],[Checking_Acct_Status]],Table3[Checking_Acct_Original],Table3[Category])</f>
        <v>Negative Balance</v>
      </c>
      <c r="P688" s="10" t="s">
        <v>32</v>
      </c>
      <c r="Q688" s="13" t="str">
        <f>_xlfn.XLOOKUP(Table1[[#This Row],[Saving_Acct_Status]],Table5[Saving_Acct_Original],Table5[Category])</f>
        <v>Low Savings</v>
      </c>
      <c r="R688" t="s">
        <v>41</v>
      </c>
      <c r="S688" s="2" t="str">
        <f>IF(
      OR(Table1[[#This Row],[Job_Type]] = "high qualif/self emp/mgmt", Table1[[#This Row],[Job_Type]] = "skilled"),
      "Skilled", "Unskilled")</f>
        <v>Skilled</v>
      </c>
      <c r="T688" t="str">
        <f>IF(Table1[[#This Row],[Job_Type]] = "unemp/unskilled non res", "Unemployed", "Employed")</f>
        <v>Employed</v>
      </c>
      <c r="U688" t="s">
        <v>38</v>
      </c>
      <c r="V688" s="14" t="str" cm="1">
        <f t="array" ref="V68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88" t="s">
        <v>103</v>
      </c>
      <c r="X688" s="2" t="str">
        <f>_xlfn.XLOOKUP(Table1[[#This Row],[Loan_Credit_History]],Table4[Credit History],Table4[[ Category]])</f>
        <v>Critical Credit History</v>
      </c>
      <c r="Y688" s="3">
        <v>4</v>
      </c>
      <c r="Z688" s="3">
        <v>2</v>
      </c>
      <c r="AA688" s="5">
        <v>691</v>
      </c>
      <c r="AB688" t="s">
        <v>151</v>
      </c>
      <c r="AC688" s="2" t="str" cm="1">
        <f t="array" ref="AC688">_xlfn.IFS(Table1[[#This Row],[Others_Parties]] = "No", "None",
Table1[[#This Row],[Others_Parties]] = "co applicant", "Co-applicant",
Table1[[#This Row],[Others_Parties]] = "guarantor", "Guarantor")</f>
        <v>None</v>
      </c>
      <c r="AD688" s="13" t="s">
        <v>145</v>
      </c>
      <c r="AE688" s="2" t="s">
        <v>141</v>
      </c>
      <c r="AF688" s="28" t="str" cm="1">
        <f t="array" ref="AF68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88" s="21">
        <v>12</v>
      </c>
      <c r="AH688" s="2" t="s">
        <v>153</v>
      </c>
      <c r="AI688"/>
      <c r="AZ688"/>
      <c r="BC688"/>
      <c r="BE688"/>
      <c r="BL688"/>
      <c r="BZ688"/>
      <c r="CA688"/>
      <c r="CF688"/>
      <c r="CG688"/>
      <c r="CH688"/>
      <c r="CI688"/>
      <c r="CK688"/>
      <c r="CN688"/>
    </row>
    <row r="689" spans="1:92" x14ac:dyDescent="0.3">
      <c r="A689" s="4">
        <v>687</v>
      </c>
      <c r="B689" s="11">
        <v>46</v>
      </c>
      <c r="C689" s="2" t="str">
        <f>_xlfn.XLOOKUP(Table1[[#This Row],[Age]],Table7[Start_Age],Table7[Age_Range],,-1)</f>
        <v>39-49</v>
      </c>
      <c r="D689" t="s">
        <v>130</v>
      </c>
      <c r="E689" s="2" t="s">
        <v>129</v>
      </c>
      <c r="F689" s="2" t="s">
        <v>133</v>
      </c>
      <c r="G689" s="3">
        <v>1</v>
      </c>
      <c r="H689" s="13" t="s">
        <v>152</v>
      </c>
      <c r="I689" s="2" t="str" cm="1">
        <f t="array" ref="I689">_xlfn.IFS(Table1[[#This Row],[Job_Type]] = "unskilled resident", "Resident",
Table1[[#This Row],[Job_Type]] = "unemp/unskilled non res", "Non-resident",
TRUE, "Unknown")</f>
        <v>Unknown</v>
      </c>
      <c r="J689" s="2" t="s">
        <v>148</v>
      </c>
      <c r="K689" s="3">
        <v>2</v>
      </c>
      <c r="L689" s="2" t="s">
        <v>140</v>
      </c>
      <c r="M689" s="13" t="s">
        <v>152</v>
      </c>
      <c r="N689" t="s">
        <v>35</v>
      </c>
      <c r="O689" s="2" t="str">
        <f>_xlfn.XLOOKUP(Table1[[#This Row],[Checking_Acct_Status]],Table3[Checking_Acct_Original],Table3[Category])</f>
        <v>Negative Balance</v>
      </c>
      <c r="P689" s="10" t="s">
        <v>32</v>
      </c>
      <c r="Q689" s="13" t="str">
        <f>_xlfn.XLOOKUP(Table1[[#This Row],[Saving_Acct_Status]],Table5[Saving_Acct_Original],Table5[Category])</f>
        <v>Low Savings</v>
      </c>
      <c r="R689" t="s">
        <v>41</v>
      </c>
      <c r="S689" s="2" t="str">
        <f>IF(
      OR(Table1[[#This Row],[Job_Type]] = "high qualif/self emp/mgmt", Table1[[#This Row],[Job_Type]] = "skilled"),
      "Skilled", "Unskilled")</f>
        <v>Skilled</v>
      </c>
      <c r="T689" t="str">
        <f>IF(Table1[[#This Row],[Job_Type]] = "unemp/unskilled non res", "Unemployed", "Employed")</f>
        <v>Employed</v>
      </c>
      <c r="U689" t="s">
        <v>45</v>
      </c>
      <c r="V689" s="14" t="str" cm="1">
        <f t="array" ref="V68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89" t="s">
        <v>42</v>
      </c>
      <c r="X689" s="2" t="str">
        <f>_xlfn.XLOOKUP(Table1[[#This Row],[Loan_Credit_History]],Table4[Credit History],Table4[[ Category]])</f>
        <v>All Paid</v>
      </c>
      <c r="Y689" s="3">
        <v>4</v>
      </c>
      <c r="Z689" s="3">
        <v>2</v>
      </c>
      <c r="AA689" s="5">
        <v>697</v>
      </c>
      <c r="AB689" t="s">
        <v>151</v>
      </c>
      <c r="AC689" s="2" t="str" cm="1">
        <f t="array" ref="AC689">_xlfn.IFS(Table1[[#This Row],[Others_Parties]] = "No", "None",
Table1[[#This Row],[Others_Parties]] = "co applicant", "Co-applicant",
Table1[[#This Row],[Others_Parties]] = "guarantor", "Guarantor")</f>
        <v>None</v>
      </c>
      <c r="AD689" s="13" t="s">
        <v>146</v>
      </c>
      <c r="AE689" s="2" t="s">
        <v>141</v>
      </c>
      <c r="AF689" s="28" t="str" cm="1">
        <f t="array" ref="AF68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89" s="21">
        <v>12</v>
      </c>
      <c r="AH689" s="2" t="s">
        <v>153</v>
      </c>
      <c r="AI689"/>
      <c r="AZ689"/>
      <c r="BC689"/>
      <c r="BE689"/>
      <c r="BL689"/>
      <c r="BZ689"/>
      <c r="CA689"/>
      <c r="CF689"/>
      <c r="CG689"/>
      <c r="CH689"/>
      <c r="CI689"/>
      <c r="CK689"/>
      <c r="CN689"/>
    </row>
    <row r="690" spans="1:92" x14ac:dyDescent="0.3">
      <c r="A690" s="4">
        <v>688</v>
      </c>
      <c r="B690" s="11">
        <v>40</v>
      </c>
      <c r="C690" s="2" t="str">
        <f>_xlfn.XLOOKUP(Table1[[#This Row],[Age]],Table7[Start_Age],Table7[Age_Range],,-1)</f>
        <v>39-49</v>
      </c>
      <c r="D690" t="s">
        <v>134</v>
      </c>
      <c r="E690" s="2" t="s">
        <v>129</v>
      </c>
      <c r="F690" s="2" t="s">
        <v>135</v>
      </c>
      <c r="G690" s="3">
        <v>1</v>
      </c>
      <c r="H690" s="13" t="s">
        <v>152</v>
      </c>
      <c r="I690" s="2" t="str" cm="1">
        <f t="array" ref="I690">_xlfn.IFS(Table1[[#This Row],[Job_Type]] = "unskilled resident", "Resident",
Table1[[#This Row],[Job_Type]] = "unemp/unskilled non res", "Non-resident",
TRUE, "Unknown")</f>
        <v>Resident</v>
      </c>
      <c r="J690" s="2" t="s">
        <v>148</v>
      </c>
      <c r="K690" s="3">
        <v>2</v>
      </c>
      <c r="L690" s="2" t="s">
        <v>144</v>
      </c>
      <c r="M690" s="13" t="s">
        <v>151</v>
      </c>
      <c r="N690" t="s">
        <v>35</v>
      </c>
      <c r="O690" s="2" t="str">
        <f>_xlfn.XLOOKUP(Table1[[#This Row],[Checking_Acct_Status]],Table3[Checking_Acct_Original],Table3[Category])</f>
        <v>Negative Balance</v>
      </c>
      <c r="P690" s="10" t="s">
        <v>32</v>
      </c>
      <c r="Q690" s="13" t="str">
        <f>_xlfn.XLOOKUP(Table1[[#This Row],[Saving_Acct_Status]],Table5[Saving_Acct_Original],Table5[Category])</f>
        <v>Low Savings</v>
      </c>
      <c r="R690" t="s">
        <v>27</v>
      </c>
      <c r="S690" s="2" t="str">
        <f>IF(
      OR(Table1[[#This Row],[Job_Type]] = "high qualif/self emp/mgmt", Table1[[#This Row],[Job_Type]] = "skilled"),
      "Skilled", "Unskilled")</f>
        <v>Unskilled</v>
      </c>
      <c r="T690" t="str">
        <f>IF(Table1[[#This Row],[Job_Type]] = "unemp/unskilled non res", "Unemployed", "Employed")</f>
        <v>Employed</v>
      </c>
      <c r="U690" t="s">
        <v>21</v>
      </c>
      <c r="V690" s="14" t="str" cm="1">
        <f t="array" ref="V69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90" t="s">
        <v>31</v>
      </c>
      <c r="X690" s="2" t="str">
        <f>_xlfn.XLOOKUP(Table1[[#This Row],[Loan_Credit_History]],Table4[Credit History],Table4[[ Category]])</f>
        <v>Existing Credits Paid</v>
      </c>
      <c r="Y690" s="3">
        <v>4</v>
      </c>
      <c r="Z690" s="3">
        <v>1</v>
      </c>
      <c r="AA690" s="5">
        <v>701</v>
      </c>
      <c r="AB690" t="s">
        <v>151</v>
      </c>
      <c r="AC690" s="2" t="str" cm="1">
        <f t="array" ref="AC690">_xlfn.IFS(Table1[[#This Row],[Others_Parties]] = "No", "None",
Table1[[#This Row],[Others_Parties]] = "co applicant", "Co-applicant",
Table1[[#This Row],[Others_Parties]] = "guarantor", "Guarantor")</f>
        <v>None</v>
      </c>
      <c r="AD690" s="13" t="s">
        <v>145</v>
      </c>
      <c r="AE690" s="2" t="s">
        <v>111</v>
      </c>
      <c r="AF690" s="28" t="str" cm="1">
        <f t="array" ref="AF69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90" s="21">
        <v>12</v>
      </c>
      <c r="AH690" s="2" t="s">
        <v>154</v>
      </c>
      <c r="AI690"/>
      <c r="AZ690"/>
      <c r="BC690"/>
      <c r="BE690"/>
      <c r="BL690"/>
      <c r="BZ690"/>
      <c r="CA690"/>
      <c r="CF690"/>
      <c r="CG690"/>
      <c r="CH690"/>
      <c r="CI690"/>
      <c r="CK690"/>
      <c r="CN690"/>
    </row>
    <row r="691" spans="1:92" x14ac:dyDescent="0.3">
      <c r="A691" s="4">
        <v>689</v>
      </c>
      <c r="B691" s="11">
        <v>32</v>
      </c>
      <c r="C691" s="2" t="str">
        <f>_xlfn.XLOOKUP(Table1[[#This Row],[Age]],Table7[Start_Age],Table7[Age_Range],,-1)</f>
        <v>29-39</v>
      </c>
      <c r="D691" t="s">
        <v>130</v>
      </c>
      <c r="E691" s="2" t="s">
        <v>129</v>
      </c>
      <c r="F691" s="2" t="s">
        <v>133</v>
      </c>
      <c r="G691" s="3">
        <v>1</v>
      </c>
      <c r="H691" s="13" t="s">
        <v>152</v>
      </c>
      <c r="I691" s="2" t="str" cm="1">
        <f t="array" ref="I691">_xlfn.IFS(Table1[[#This Row],[Job_Type]] = "unskilled resident", "Resident",
Table1[[#This Row],[Job_Type]] = "unemp/unskilled non res", "Non-resident",
TRUE, "Unknown")</f>
        <v>Unknown</v>
      </c>
      <c r="J691" s="2" t="s">
        <v>148</v>
      </c>
      <c r="K691" s="3">
        <v>2</v>
      </c>
      <c r="L691" s="2" t="s">
        <v>140</v>
      </c>
      <c r="M691" s="13" t="s">
        <v>151</v>
      </c>
      <c r="N691" t="s">
        <v>17</v>
      </c>
      <c r="O691" s="2" t="str">
        <f>_xlfn.XLOOKUP(Table1[[#This Row],[Checking_Acct_Status]],Table3[Checking_Acct_Original],Table3[Category])</f>
        <v>No Account</v>
      </c>
      <c r="P691" s="10" t="s">
        <v>32</v>
      </c>
      <c r="Q691" s="13" t="str">
        <f>_xlfn.XLOOKUP(Table1[[#This Row],[Saving_Acct_Status]],Table5[Saving_Acct_Original],Table5[Category])</f>
        <v>Low Savings</v>
      </c>
      <c r="R691" t="s">
        <v>41</v>
      </c>
      <c r="S691" s="2" t="str">
        <f>IF(
      OR(Table1[[#This Row],[Job_Type]] = "high qualif/self emp/mgmt", Table1[[#This Row],[Job_Type]] = "skilled"),
      "Skilled", "Unskilled")</f>
        <v>Skilled</v>
      </c>
      <c r="T691" t="str">
        <f>IF(Table1[[#This Row],[Job_Type]] = "unemp/unskilled non res", "Unemployed", "Employed")</f>
        <v>Employed</v>
      </c>
      <c r="U691" t="s">
        <v>21</v>
      </c>
      <c r="V691" s="14" t="str" cm="1">
        <f t="array" ref="V69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91" t="s">
        <v>103</v>
      </c>
      <c r="X691" s="2" t="str">
        <f>_xlfn.XLOOKUP(Table1[[#This Row],[Loan_Credit_History]],Table4[Credit History],Table4[[ Category]])</f>
        <v>Critical Credit History</v>
      </c>
      <c r="Y691" s="3">
        <v>4</v>
      </c>
      <c r="Z691" s="3">
        <v>2</v>
      </c>
      <c r="AA691" s="5">
        <v>701</v>
      </c>
      <c r="AB691" t="s">
        <v>151</v>
      </c>
      <c r="AC691" s="2" t="str" cm="1">
        <f t="array" ref="AC691">_xlfn.IFS(Table1[[#This Row],[Others_Parties]] = "No", "None",
Table1[[#This Row],[Others_Parties]] = "co applicant", "Co-applicant",
Table1[[#This Row],[Others_Parties]] = "guarantor", "Guarantor")</f>
        <v>None</v>
      </c>
      <c r="AD691" s="13" t="s">
        <v>145</v>
      </c>
      <c r="AE691" s="2" t="s">
        <v>100</v>
      </c>
      <c r="AF691" s="28" t="str" cm="1">
        <f t="array" ref="AF69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91" s="21">
        <v>12</v>
      </c>
      <c r="AH691" s="2" t="s">
        <v>154</v>
      </c>
      <c r="AI691"/>
      <c r="AZ691"/>
      <c r="BC691"/>
      <c r="BE691"/>
      <c r="BL691"/>
      <c r="BZ691"/>
      <c r="CA691"/>
      <c r="CF691"/>
      <c r="CG691"/>
      <c r="CH691"/>
      <c r="CI691"/>
      <c r="CK691"/>
      <c r="CN691"/>
    </row>
    <row r="692" spans="1:92" x14ac:dyDescent="0.3">
      <c r="A692" s="4">
        <v>690</v>
      </c>
      <c r="B692" s="11">
        <v>30</v>
      </c>
      <c r="C692" s="2" t="str">
        <f>_xlfn.XLOOKUP(Table1[[#This Row],[Age]],Table7[Start_Age],Table7[Age_Range],,-1)</f>
        <v>29-39</v>
      </c>
      <c r="D692" t="s">
        <v>130</v>
      </c>
      <c r="E692" s="2" t="s">
        <v>129</v>
      </c>
      <c r="F692" s="2" t="s">
        <v>133</v>
      </c>
      <c r="G692" s="3">
        <v>1</v>
      </c>
      <c r="H692" s="13" t="s">
        <v>152</v>
      </c>
      <c r="I692" s="2" t="str" cm="1">
        <f t="array" ref="I692">_xlfn.IFS(Table1[[#This Row],[Job_Type]] = "unskilled resident", "Resident",
Table1[[#This Row],[Job_Type]] = "unemp/unskilled non res", "Non-resident",
TRUE, "Unknown")</f>
        <v>Unknown</v>
      </c>
      <c r="J692" s="2" t="s">
        <v>148</v>
      </c>
      <c r="K692" s="3">
        <v>2</v>
      </c>
      <c r="L692" s="2" t="s">
        <v>144</v>
      </c>
      <c r="M692" s="13" t="s">
        <v>151</v>
      </c>
      <c r="N692" t="s">
        <v>17</v>
      </c>
      <c r="O692" s="2" t="str">
        <f>_xlfn.XLOOKUP(Table1[[#This Row],[Checking_Acct_Status]],Table3[Checking_Acct_Original],Table3[Category])</f>
        <v>No Account</v>
      </c>
      <c r="P692" s="10" t="s">
        <v>32</v>
      </c>
      <c r="Q692" s="13" t="str">
        <f>_xlfn.XLOOKUP(Table1[[#This Row],[Saving_Acct_Status]],Table5[Saving_Acct_Original],Table5[Category])</f>
        <v>Low Savings</v>
      </c>
      <c r="R692" t="s">
        <v>41</v>
      </c>
      <c r="S692" s="2" t="str">
        <f>IF(
      OR(Table1[[#This Row],[Job_Type]] = "high qualif/self emp/mgmt", Table1[[#This Row],[Job_Type]] = "skilled"),
      "Skilled", "Unskilled")</f>
        <v>Skilled</v>
      </c>
      <c r="T692" t="str">
        <f>IF(Table1[[#This Row],[Job_Type]] = "unemp/unskilled non res", "Unemployed", "Employed")</f>
        <v>Employed</v>
      </c>
      <c r="U692" t="s">
        <v>21</v>
      </c>
      <c r="V692" s="14" t="str" cm="1">
        <f t="array" ref="V69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92" t="s">
        <v>31</v>
      </c>
      <c r="X692" s="2" t="str">
        <f>_xlfn.XLOOKUP(Table1[[#This Row],[Loan_Credit_History]],Table4[Credit History],Table4[[ Category]])</f>
        <v>Existing Credits Paid</v>
      </c>
      <c r="Y692" s="3">
        <v>4</v>
      </c>
      <c r="Z692" s="3">
        <v>2</v>
      </c>
      <c r="AA692" s="5">
        <v>707</v>
      </c>
      <c r="AB692" t="s">
        <v>151</v>
      </c>
      <c r="AC692" s="2" t="str" cm="1">
        <f t="array" ref="AC692">_xlfn.IFS(Table1[[#This Row],[Others_Parties]] = "No", "None",
Table1[[#This Row],[Others_Parties]] = "co applicant", "Co-applicant",
Table1[[#This Row],[Others_Parties]] = "guarantor", "Guarantor")</f>
        <v>None</v>
      </c>
      <c r="AD692" s="13" t="s">
        <v>146</v>
      </c>
      <c r="AE692" s="2" t="s">
        <v>111</v>
      </c>
      <c r="AF692" s="28" t="str" cm="1">
        <f t="array" ref="AF69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92" s="21">
        <v>12</v>
      </c>
      <c r="AH692" s="2" t="s">
        <v>154</v>
      </c>
      <c r="AI692"/>
      <c r="AZ692"/>
      <c r="BC692"/>
      <c r="BE692"/>
      <c r="BL692"/>
      <c r="BZ692"/>
      <c r="CA692"/>
      <c r="CF692"/>
      <c r="CG692"/>
      <c r="CH692"/>
      <c r="CI692"/>
      <c r="CK692"/>
      <c r="CN692"/>
    </row>
    <row r="693" spans="1:92" x14ac:dyDescent="0.3">
      <c r="A693" s="4">
        <v>691</v>
      </c>
      <c r="B693" s="11">
        <v>38</v>
      </c>
      <c r="C693" s="2" t="str">
        <f>_xlfn.XLOOKUP(Table1[[#This Row],[Age]],Table7[Start_Age],Table7[Age_Range],,-1)</f>
        <v>29-39</v>
      </c>
      <c r="D693" t="s">
        <v>130</v>
      </c>
      <c r="E693" s="2" t="s">
        <v>129</v>
      </c>
      <c r="F693" s="2" t="s">
        <v>133</v>
      </c>
      <c r="G693" s="3">
        <v>2</v>
      </c>
      <c r="H693" s="13" t="s">
        <v>152</v>
      </c>
      <c r="I693" s="2" t="str" cm="1">
        <f t="array" ref="I693">_xlfn.IFS(Table1[[#This Row],[Job_Type]] = "unskilled resident", "Resident",
Table1[[#This Row],[Job_Type]] = "unemp/unskilled non res", "Non-resident",
TRUE, "Unknown")</f>
        <v>Resident</v>
      </c>
      <c r="J693" s="2" t="s">
        <v>148</v>
      </c>
      <c r="K693" s="3">
        <v>3</v>
      </c>
      <c r="L693" s="2" t="s">
        <v>143</v>
      </c>
      <c r="M693" s="13" t="s">
        <v>151</v>
      </c>
      <c r="N693" t="s">
        <v>35</v>
      </c>
      <c r="O693" s="2" t="str">
        <f>_xlfn.XLOOKUP(Table1[[#This Row],[Checking_Acct_Status]],Table3[Checking_Acct_Original],Table3[Category])</f>
        <v>Negative Balance</v>
      </c>
      <c r="P693" s="10" t="s">
        <v>32</v>
      </c>
      <c r="Q693" s="13" t="str">
        <f>_xlfn.XLOOKUP(Table1[[#This Row],[Saving_Acct_Status]],Table5[Saving_Acct_Original],Table5[Category])</f>
        <v>Low Savings</v>
      </c>
      <c r="R693" t="s">
        <v>27</v>
      </c>
      <c r="S693" s="2" t="str">
        <f>IF(
      OR(Table1[[#This Row],[Job_Type]] = "high qualif/self emp/mgmt", Table1[[#This Row],[Job_Type]] = "skilled"),
      "Skilled", "Unskilled")</f>
        <v>Unskilled</v>
      </c>
      <c r="T693" t="str">
        <f>IF(Table1[[#This Row],[Job_Type]] = "unemp/unskilled non res", "Unemployed", "Employed")</f>
        <v>Employed</v>
      </c>
      <c r="U693" t="s">
        <v>21</v>
      </c>
      <c r="V693" s="14" t="str" cm="1">
        <f t="array" ref="V69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693" t="s">
        <v>31</v>
      </c>
      <c r="X693" s="2" t="str">
        <f>_xlfn.XLOOKUP(Table1[[#This Row],[Loan_Credit_History]],Table4[Credit History],Table4[[ Category]])</f>
        <v>Existing Credits Paid</v>
      </c>
      <c r="Y693" s="3">
        <v>2</v>
      </c>
      <c r="Z693" s="3">
        <v>1</v>
      </c>
      <c r="AA693" s="5">
        <v>708</v>
      </c>
      <c r="AB693" t="s">
        <v>58</v>
      </c>
      <c r="AC693" s="2" t="str" cm="1">
        <f t="array" ref="AC693">_xlfn.IFS(Table1[[#This Row],[Others_Parties]] = "No", "None",
Table1[[#This Row],[Others_Parties]] = "co applicant", "Co-applicant",
Table1[[#This Row],[Others_Parties]] = "guarantor", "Guarantor")</f>
        <v>Guarantor</v>
      </c>
      <c r="AD693" s="13" t="s">
        <v>145</v>
      </c>
      <c r="AE693" s="2" t="s">
        <v>108</v>
      </c>
      <c r="AF693" s="28" t="str" cm="1">
        <f t="array" ref="AF69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93" s="21">
        <v>12</v>
      </c>
      <c r="AH693" s="2" t="s">
        <v>154</v>
      </c>
      <c r="AI693"/>
      <c r="AZ693"/>
      <c r="BC693"/>
      <c r="BE693"/>
      <c r="BL693"/>
      <c r="BZ693"/>
      <c r="CA693"/>
      <c r="CF693"/>
      <c r="CG693"/>
      <c r="CH693"/>
      <c r="CI693"/>
      <c r="CK693"/>
      <c r="CN693"/>
    </row>
    <row r="694" spans="1:92" x14ac:dyDescent="0.3">
      <c r="A694" s="4">
        <v>692</v>
      </c>
      <c r="B694" s="11">
        <v>57</v>
      </c>
      <c r="C694" s="2" t="str">
        <f>_xlfn.XLOOKUP(Table1[[#This Row],[Age]],Table7[Start_Age],Table7[Age_Range],,-1)</f>
        <v>49-59</v>
      </c>
      <c r="D694" t="s">
        <v>130</v>
      </c>
      <c r="E694" s="2" t="s">
        <v>129</v>
      </c>
      <c r="F694" s="2" t="s">
        <v>133</v>
      </c>
      <c r="G694" s="3">
        <v>1</v>
      </c>
      <c r="H694" s="13" t="s">
        <v>152</v>
      </c>
      <c r="I694" s="2" t="str" cm="1">
        <f t="array" ref="I694">_xlfn.IFS(Table1[[#This Row],[Job_Type]] = "unskilled resident", "Resident",
Table1[[#This Row],[Job_Type]] = "unemp/unskilled non res", "Non-resident",
TRUE, "Unknown")</f>
        <v>Resident</v>
      </c>
      <c r="J694" s="2" t="s">
        <v>148</v>
      </c>
      <c r="K694" s="3">
        <v>4</v>
      </c>
      <c r="L694" s="2" t="s">
        <v>144</v>
      </c>
      <c r="M694" s="13" t="s">
        <v>151</v>
      </c>
      <c r="N694" t="s">
        <v>35</v>
      </c>
      <c r="O694" s="2" t="str">
        <f>_xlfn.XLOOKUP(Table1[[#This Row],[Checking_Acct_Status]],Table3[Checking_Acct_Original],Table3[Category])</f>
        <v>Negative Balance</v>
      </c>
      <c r="P694" s="10" t="s">
        <v>32</v>
      </c>
      <c r="Q694" s="13" t="str">
        <f>_xlfn.XLOOKUP(Table1[[#This Row],[Saving_Acct_Status]],Table5[Saving_Acct_Original],Table5[Category])</f>
        <v>Low Savings</v>
      </c>
      <c r="R694" t="s">
        <v>27</v>
      </c>
      <c r="S694" s="2" t="str">
        <f>IF(
      OR(Table1[[#This Row],[Job_Type]] = "high qualif/self emp/mgmt", Table1[[#This Row],[Job_Type]] = "skilled"),
      "Skilled", "Unskilled")</f>
        <v>Unskilled</v>
      </c>
      <c r="T694" t="str">
        <f>IF(Table1[[#This Row],[Job_Type]] = "unemp/unskilled non res", "Unemployed", "Employed")</f>
        <v>Employed</v>
      </c>
      <c r="U694" t="s">
        <v>38</v>
      </c>
      <c r="V694" s="14" t="str" cm="1">
        <f t="array" ref="V69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94" t="s">
        <v>31</v>
      </c>
      <c r="X694" s="2" t="str">
        <f>_xlfn.XLOOKUP(Table1[[#This Row],[Loan_Credit_History]],Table4[Credit History],Table4[[ Category]])</f>
        <v>Existing Credits Paid</v>
      </c>
      <c r="Y694" s="3">
        <v>4</v>
      </c>
      <c r="Z694" s="3">
        <v>1</v>
      </c>
      <c r="AA694" s="5">
        <v>709</v>
      </c>
      <c r="AB694" t="s">
        <v>151</v>
      </c>
      <c r="AC694" s="2" t="str" cm="1">
        <f t="array" ref="AC694">_xlfn.IFS(Table1[[#This Row],[Others_Parties]] = "No", "None",
Table1[[#This Row],[Others_Parties]] = "co applicant", "Co-applicant",
Table1[[#This Row],[Others_Parties]] = "guarantor", "Guarantor")</f>
        <v>None</v>
      </c>
      <c r="AD694" s="13" t="s">
        <v>147</v>
      </c>
      <c r="AE694" s="2" t="s">
        <v>111</v>
      </c>
      <c r="AF694" s="28" t="str" cm="1">
        <f t="array" ref="AF69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94" s="21">
        <v>12</v>
      </c>
      <c r="AH694" s="2" t="s">
        <v>153</v>
      </c>
      <c r="AI694"/>
      <c r="AZ694"/>
      <c r="BC694"/>
      <c r="BE694"/>
      <c r="BL694"/>
      <c r="BZ694"/>
      <c r="CA694"/>
      <c r="CF694"/>
      <c r="CG694"/>
      <c r="CH694"/>
      <c r="CI694"/>
      <c r="CK694"/>
      <c r="CN694"/>
    </row>
    <row r="695" spans="1:92" x14ac:dyDescent="0.3">
      <c r="A695" s="4">
        <v>693</v>
      </c>
      <c r="B695" s="11">
        <v>52</v>
      </c>
      <c r="C695" s="2" t="str">
        <f>_xlfn.XLOOKUP(Table1[[#This Row],[Age]],Table7[Start_Age],Table7[Age_Range],,-1)</f>
        <v>49-59</v>
      </c>
      <c r="D695" t="s">
        <v>130</v>
      </c>
      <c r="E695" s="2" t="s">
        <v>129</v>
      </c>
      <c r="F695" s="2" t="s">
        <v>133</v>
      </c>
      <c r="G695" s="3">
        <v>1</v>
      </c>
      <c r="H695" s="13" t="s">
        <v>152</v>
      </c>
      <c r="I695" s="2" t="str" cm="1">
        <f t="array" ref="I695">_xlfn.IFS(Table1[[#This Row],[Job_Type]] = "unskilled resident", "Resident",
Table1[[#This Row],[Job_Type]] = "unemp/unskilled non res", "Non-resident",
TRUE, "Unknown")</f>
        <v>Unknown</v>
      </c>
      <c r="J695" s="2" t="s">
        <v>148</v>
      </c>
      <c r="K695" s="3">
        <v>4</v>
      </c>
      <c r="L695" s="2" t="s">
        <v>144</v>
      </c>
      <c r="M695" s="13" t="s">
        <v>151</v>
      </c>
      <c r="N695" t="s">
        <v>17</v>
      </c>
      <c r="O695" s="2" t="str">
        <f>_xlfn.XLOOKUP(Table1[[#This Row],[Checking_Acct_Status]],Table3[Checking_Acct_Original],Table3[Category])</f>
        <v>No Account</v>
      </c>
      <c r="P695" s="10" t="s">
        <v>32</v>
      </c>
      <c r="Q695" s="13" t="str">
        <f>_xlfn.XLOOKUP(Table1[[#This Row],[Saving_Acct_Status]],Table5[Saving_Acct_Original],Table5[Category])</f>
        <v>Low Savings</v>
      </c>
      <c r="R695" t="s">
        <v>41</v>
      </c>
      <c r="S695" s="2" t="str">
        <f>IF(
      OR(Table1[[#This Row],[Job_Type]] = "high qualif/self emp/mgmt", Table1[[#This Row],[Job_Type]] = "skilled"),
      "Skilled", "Unskilled")</f>
        <v>Skilled</v>
      </c>
      <c r="T695" t="str">
        <f>IF(Table1[[#This Row],[Job_Type]] = "unemp/unskilled non res", "Unemployed", "Employed")</f>
        <v>Employed</v>
      </c>
      <c r="U695" t="s">
        <v>38</v>
      </c>
      <c r="V695" s="14" t="str" cm="1">
        <f t="array" ref="V69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95" t="s">
        <v>103</v>
      </c>
      <c r="X695" s="2" t="str">
        <f>_xlfn.XLOOKUP(Table1[[#This Row],[Loan_Credit_History]],Table4[Credit History],Table4[[ Category]])</f>
        <v>Critical Credit History</v>
      </c>
      <c r="Y695" s="3">
        <v>4</v>
      </c>
      <c r="Z695" s="3">
        <v>3</v>
      </c>
      <c r="AA695" s="5">
        <v>717</v>
      </c>
      <c r="AB695" t="s">
        <v>151</v>
      </c>
      <c r="AC695" s="2" t="str" cm="1">
        <f t="array" ref="AC695">_xlfn.IFS(Table1[[#This Row],[Others_Parties]] = "No", "None",
Table1[[#This Row],[Others_Parties]] = "co applicant", "Co-applicant",
Table1[[#This Row],[Others_Parties]] = "guarantor", "Guarantor")</f>
        <v>None</v>
      </c>
      <c r="AD695" s="13" t="s">
        <v>145</v>
      </c>
      <c r="AE695" s="2" t="s">
        <v>111</v>
      </c>
      <c r="AF695" s="28" t="str" cm="1">
        <f t="array" ref="AF69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95" s="21">
        <v>12</v>
      </c>
      <c r="AH695" s="2" t="s">
        <v>154</v>
      </c>
      <c r="AI695"/>
      <c r="AZ695"/>
      <c r="BC695"/>
      <c r="BE695"/>
      <c r="BL695"/>
      <c r="BZ695"/>
      <c r="CA695"/>
      <c r="CF695"/>
      <c r="CG695"/>
      <c r="CH695"/>
      <c r="CI695"/>
      <c r="CK695"/>
      <c r="CN695"/>
    </row>
    <row r="696" spans="1:92" x14ac:dyDescent="0.3">
      <c r="A696" s="4">
        <v>694</v>
      </c>
      <c r="B696" s="11">
        <v>41</v>
      </c>
      <c r="C696" s="2" t="str">
        <f>_xlfn.XLOOKUP(Table1[[#This Row],[Age]],Table7[Start_Age],Table7[Age_Range],,-1)</f>
        <v>39-49</v>
      </c>
      <c r="D696" t="s">
        <v>130</v>
      </c>
      <c r="E696" s="2" t="s">
        <v>129</v>
      </c>
      <c r="F696" s="2" t="s">
        <v>133</v>
      </c>
      <c r="G696" s="3">
        <v>2</v>
      </c>
      <c r="H696" s="13" t="s">
        <v>152</v>
      </c>
      <c r="I696" s="2" t="str" cm="1">
        <f t="array" ref="I696">_xlfn.IFS(Table1[[#This Row],[Job_Type]] = "unskilled resident", "Resident",
Table1[[#This Row],[Job_Type]] = "unemp/unskilled non res", "Non-resident",
TRUE, "Unknown")</f>
        <v>Resident</v>
      </c>
      <c r="J696" s="2" t="s">
        <v>148</v>
      </c>
      <c r="K696" s="3">
        <v>4</v>
      </c>
      <c r="L696" s="2" t="s">
        <v>140</v>
      </c>
      <c r="M696" s="13" t="s">
        <v>151</v>
      </c>
      <c r="N696" t="s">
        <v>17</v>
      </c>
      <c r="O696" s="2" t="str">
        <f>_xlfn.XLOOKUP(Table1[[#This Row],[Checking_Acct_Status]],Table3[Checking_Acct_Original],Table3[Category])</f>
        <v>No Account</v>
      </c>
      <c r="P696" s="10" t="s">
        <v>32</v>
      </c>
      <c r="Q696" s="13" t="str">
        <f>_xlfn.XLOOKUP(Table1[[#This Row],[Saving_Acct_Status]],Table5[Saving_Acct_Original],Table5[Category])</f>
        <v>Low Savings</v>
      </c>
      <c r="R696" t="s">
        <v>27</v>
      </c>
      <c r="S696" s="2" t="str">
        <f>IF(
      OR(Table1[[#This Row],[Job_Type]] = "high qualif/self emp/mgmt", Table1[[#This Row],[Job_Type]] = "skilled"),
      "Skilled", "Unskilled")</f>
        <v>Unskilled</v>
      </c>
      <c r="T696" t="str">
        <f>IF(Table1[[#This Row],[Job_Type]] = "unemp/unskilled non res", "Unemployed", "Employed")</f>
        <v>Employed</v>
      </c>
      <c r="U696" t="s">
        <v>38</v>
      </c>
      <c r="V696" s="14" t="str" cm="1">
        <f t="array" ref="V69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96" t="s">
        <v>31</v>
      </c>
      <c r="X696" s="2" t="str">
        <f>_xlfn.XLOOKUP(Table1[[#This Row],[Loan_Credit_History]],Table4[Credit History],Table4[[ Category]])</f>
        <v>Existing Credits Paid</v>
      </c>
      <c r="Y696" s="3">
        <v>4</v>
      </c>
      <c r="Z696" s="3">
        <v>1</v>
      </c>
      <c r="AA696" s="5">
        <v>719</v>
      </c>
      <c r="AB696" t="s">
        <v>151</v>
      </c>
      <c r="AC696" s="2" t="str" cm="1">
        <f t="array" ref="AC696">_xlfn.IFS(Table1[[#This Row],[Others_Parties]] = "No", "None",
Table1[[#This Row],[Others_Parties]] = "co applicant", "Co-applicant",
Table1[[#This Row],[Others_Parties]] = "guarantor", "Guarantor")</f>
        <v>None</v>
      </c>
      <c r="AD696" s="13" t="s">
        <v>146</v>
      </c>
      <c r="AE696" s="2" t="s">
        <v>100</v>
      </c>
      <c r="AF696" s="28" t="str" cm="1">
        <f t="array" ref="AF69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96" s="21">
        <v>12</v>
      </c>
      <c r="AH696" s="2" t="s">
        <v>153</v>
      </c>
      <c r="AI696"/>
      <c r="AZ696"/>
      <c r="BC696"/>
      <c r="BE696"/>
      <c r="BL696"/>
      <c r="BZ696"/>
      <c r="CA696"/>
      <c r="CF696"/>
      <c r="CG696"/>
      <c r="CH696"/>
      <c r="CI696"/>
      <c r="CK696"/>
      <c r="CN696"/>
    </row>
    <row r="697" spans="1:92" x14ac:dyDescent="0.3">
      <c r="A697" s="4">
        <v>695</v>
      </c>
      <c r="B697" s="11">
        <v>33</v>
      </c>
      <c r="C697" s="2" t="str">
        <f>_xlfn.XLOOKUP(Table1[[#This Row],[Age]],Table7[Start_Age],Table7[Age_Range],,-1)</f>
        <v>29-39</v>
      </c>
      <c r="D697" t="s">
        <v>134</v>
      </c>
      <c r="E697" s="2" t="s">
        <v>129</v>
      </c>
      <c r="F697" s="2" t="s">
        <v>135</v>
      </c>
      <c r="G697" s="3">
        <v>1</v>
      </c>
      <c r="H697" s="13" t="s">
        <v>152</v>
      </c>
      <c r="I697" s="2" t="str" cm="1">
        <f t="array" ref="I697">_xlfn.IFS(Table1[[#This Row],[Job_Type]] = "unskilled resident", "Resident",
Table1[[#This Row],[Job_Type]] = "unemp/unskilled non res", "Non-resident",
TRUE, "Unknown")</f>
        <v>Resident</v>
      </c>
      <c r="J697" s="2" t="s">
        <v>148</v>
      </c>
      <c r="K697" s="3">
        <v>3</v>
      </c>
      <c r="L697" s="2" t="s">
        <v>142</v>
      </c>
      <c r="M697" s="13" t="s">
        <v>152</v>
      </c>
      <c r="N697" t="s">
        <v>35</v>
      </c>
      <c r="O697" s="2" t="str">
        <f>_xlfn.XLOOKUP(Table1[[#This Row],[Checking_Acct_Status]],Table3[Checking_Acct_Original],Table3[Category])</f>
        <v>Negative Balance</v>
      </c>
      <c r="P697" s="10" t="s">
        <v>46</v>
      </c>
      <c r="Q697" s="13" t="str">
        <f>_xlfn.XLOOKUP(Table1[[#This Row],[Saving_Acct_Status]],Table5[Saving_Acct_Original],Table5[Category])</f>
        <v>Medium Savings</v>
      </c>
      <c r="R697" t="s">
        <v>27</v>
      </c>
      <c r="S697" s="2" t="str">
        <f>IF(
      OR(Table1[[#This Row],[Job_Type]] = "high qualif/self emp/mgmt", Table1[[#This Row],[Job_Type]] = "skilled"),
      "Skilled", "Unskilled")</f>
        <v>Unskilled</v>
      </c>
      <c r="T697" t="str">
        <f>IF(Table1[[#This Row],[Job_Type]] = "unemp/unskilled non res", "Unemployed", "Employed")</f>
        <v>Employed</v>
      </c>
      <c r="U697" t="s">
        <v>45</v>
      </c>
      <c r="V697" s="14" t="str" cm="1">
        <f t="array" ref="V69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697" t="s">
        <v>31</v>
      </c>
      <c r="X697" s="2" t="str">
        <f>_xlfn.XLOOKUP(Table1[[#This Row],[Loan_Credit_History]],Table4[Credit History],Table4[[ Category]])</f>
        <v>Existing Credits Paid</v>
      </c>
      <c r="Y697" s="3">
        <v>4</v>
      </c>
      <c r="Z697" s="3">
        <v>1</v>
      </c>
      <c r="AA697" s="5">
        <v>727</v>
      </c>
      <c r="AB697" t="s">
        <v>151</v>
      </c>
      <c r="AC697" s="2" t="str" cm="1">
        <f t="array" ref="AC697">_xlfn.IFS(Table1[[#This Row],[Others_Parties]] = "No", "None",
Table1[[#This Row],[Others_Parties]] = "co applicant", "Co-applicant",
Table1[[#This Row],[Others_Parties]] = "guarantor", "Guarantor")</f>
        <v>None</v>
      </c>
      <c r="AD697" s="13" t="s">
        <v>145</v>
      </c>
      <c r="AE697" s="2" t="s">
        <v>111</v>
      </c>
      <c r="AF697" s="28" t="str" cm="1">
        <f t="array" ref="AF69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97" s="21">
        <v>12</v>
      </c>
      <c r="AH697" s="2" t="s">
        <v>153</v>
      </c>
      <c r="AI697"/>
      <c r="AZ697"/>
      <c r="BC697"/>
      <c r="BE697"/>
      <c r="BL697"/>
      <c r="BZ697"/>
      <c r="CA697"/>
      <c r="CF697"/>
      <c r="CG697"/>
      <c r="CH697"/>
      <c r="CI697"/>
      <c r="CK697"/>
      <c r="CN697"/>
    </row>
    <row r="698" spans="1:92" x14ac:dyDescent="0.3">
      <c r="A698" s="4">
        <v>696</v>
      </c>
      <c r="B698" s="11">
        <v>22</v>
      </c>
      <c r="C698" s="2" t="str">
        <f>_xlfn.XLOOKUP(Table1[[#This Row],[Age]],Table7[Start_Age],Table7[Age_Range],,-1)</f>
        <v>19-29</v>
      </c>
      <c r="D698" t="s">
        <v>136</v>
      </c>
      <c r="E698" s="2" t="s">
        <v>131</v>
      </c>
      <c r="F698" s="2" t="s">
        <v>137</v>
      </c>
      <c r="G698" s="3">
        <v>1</v>
      </c>
      <c r="H698" s="13" t="s">
        <v>152</v>
      </c>
      <c r="I698" s="2" t="str" cm="1">
        <f t="array" ref="I698">_xlfn.IFS(Table1[[#This Row],[Job_Type]] = "unskilled resident", "Resident",
Table1[[#This Row],[Job_Type]] = "unemp/unskilled non res", "Non-resident",
TRUE, "Unknown")</f>
        <v>Unknown</v>
      </c>
      <c r="J698" s="2" t="s">
        <v>148</v>
      </c>
      <c r="K698" s="3">
        <v>3</v>
      </c>
      <c r="L698" s="2" t="s">
        <v>143</v>
      </c>
      <c r="M698" s="13" t="s">
        <v>151</v>
      </c>
      <c r="N698" t="s">
        <v>35</v>
      </c>
      <c r="O698" s="2" t="str">
        <f>_xlfn.XLOOKUP(Table1[[#This Row],[Checking_Acct_Status]],Table3[Checking_Acct_Original],Table3[Category])</f>
        <v>Negative Balance</v>
      </c>
      <c r="P698" s="10" t="s">
        <v>46</v>
      </c>
      <c r="Q698" s="13" t="str">
        <f>_xlfn.XLOOKUP(Table1[[#This Row],[Saving_Acct_Status]],Table5[Saving_Acct_Original],Table5[Category])</f>
        <v>Medium Savings</v>
      </c>
      <c r="R698" t="s">
        <v>41</v>
      </c>
      <c r="S698" s="2" t="str">
        <f>IF(
      OR(Table1[[#This Row],[Job_Type]] = "high qualif/self emp/mgmt", Table1[[#This Row],[Job_Type]] = "skilled"),
      "Skilled", "Unskilled")</f>
        <v>Skilled</v>
      </c>
      <c r="T698" t="str">
        <f>IF(Table1[[#This Row],[Job_Type]] = "unemp/unskilled non res", "Unemployed", "Employed")</f>
        <v>Employed</v>
      </c>
      <c r="U698" t="s">
        <v>54</v>
      </c>
      <c r="V698" s="14" t="str" cm="1">
        <f t="array" ref="V698">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698" t="s">
        <v>31</v>
      </c>
      <c r="X698" s="2" t="str">
        <f>_xlfn.XLOOKUP(Table1[[#This Row],[Loan_Credit_History]],Table4[Credit History],Table4[[ Category]])</f>
        <v>Existing Credits Paid</v>
      </c>
      <c r="Y698" s="3">
        <v>4</v>
      </c>
      <c r="Z698" s="3">
        <v>1</v>
      </c>
      <c r="AA698" s="5">
        <v>741</v>
      </c>
      <c r="AB698" t="s">
        <v>151</v>
      </c>
      <c r="AC698" s="2" t="str" cm="1">
        <f t="array" ref="AC698">_xlfn.IFS(Table1[[#This Row],[Others_Parties]] = "No", "None",
Table1[[#This Row],[Others_Parties]] = "co applicant", "Co-applicant",
Table1[[#This Row],[Others_Parties]] = "guarantor", "Guarantor")</f>
        <v>None</v>
      </c>
      <c r="AD698" s="13" t="s">
        <v>145</v>
      </c>
      <c r="AE698" s="2" t="s">
        <v>106</v>
      </c>
      <c r="AF698" s="28" t="str" cm="1">
        <f t="array" ref="AF69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98" s="21">
        <v>12</v>
      </c>
      <c r="AH698" s="2" t="s">
        <v>153</v>
      </c>
      <c r="AI698"/>
      <c r="AZ698"/>
      <c r="BC698"/>
      <c r="BE698"/>
      <c r="BL698"/>
      <c r="BZ698"/>
      <c r="CA698"/>
      <c r="CF698"/>
      <c r="CG698"/>
      <c r="CH698"/>
      <c r="CI698"/>
      <c r="CK698"/>
      <c r="CN698"/>
    </row>
    <row r="699" spans="1:92" x14ac:dyDescent="0.3">
      <c r="A699" s="4">
        <v>697</v>
      </c>
      <c r="B699" s="11">
        <v>38</v>
      </c>
      <c r="C699" s="2" t="str">
        <f>_xlfn.XLOOKUP(Table1[[#This Row],[Age]],Table7[Start_Age],Table7[Age_Range],,-1)</f>
        <v>29-39</v>
      </c>
      <c r="D699" t="s">
        <v>130</v>
      </c>
      <c r="E699" s="2" t="s">
        <v>129</v>
      </c>
      <c r="F699" s="2" t="s">
        <v>133</v>
      </c>
      <c r="G699" s="3">
        <v>1</v>
      </c>
      <c r="H699" s="13" t="s">
        <v>152</v>
      </c>
      <c r="I699" s="2" t="str" cm="1">
        <f t="array" ref="I699">_xlfn.IFS(Table1[[#This Row],[Job_Type]] = "unskilled resident", "Resident",
Table1[[#This Row],[Job_Type]] = "unemp/unskilled non res", "Non-resident",
TRUE, "Unknown")</f>
        <v>Unknown</v>
      </c>
      <c r="J699" s="2" t="s">
        <v>148</v>
      </c>
      <c r="K699" s="3">
        <v>4</v>
      </c>
      <c r="L699" s="2" t="s">
        <v>143</v>
      </c>
      <c r="M699" s="13" t="s">
        <v>151</v>
      </c>
      <c r="N699" t="s">
        <v>30</v>
      </c>
      <c r="O699" s="2" t="str">
        <f>_xlfn.XLOOKUP(Table1[[#This Row],[Checking_Acct_Status]],Table3[Checking_Acct_Original],Table3[Category])</f>
        <v>Low Balance</v>
      </c>
      <c r="P699" s="10" t="s">
        <v>47</v>
      </c>
      <c r="Q699" s="13" t="str">
        <f>_xlfn.XLOOKUP(Table1[[#This Row],[Saving_Acct_Status]],Table5[Saving_Acct_Original],Table5[Category])</f>
        <v>No Savings</v>
      </c>
      <c r="R699" t="s">
        <v>41</v>
      </c>
      <c r="S699" s="2" t="str">
        <f>IF(
      OR(Table1[[#This Row],[Job_Type]] = "high qualif/self emp/mgmt", Table1[[#This Row],[Job_Type]] = "skilled"),
      "Skilled", "Unskilled")</f>
        <v>Skilled</v>
      </c>
      <c r="T699" t="str">
        <f>IF(Table1[[#This Row],[Job_Type]] = "unemp/unskilled non res", "Unemployed", "Employed")</f>
        <v>Employed</v>
      </c>
      <c r="U699" t="s">
        <v>38</v>
      </c>
      <c r="V699" s="14" t="str" cm="1">
        <f t="array" ref="V69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699" t="s">
        <v>31</v>
      </c>
      <c r="X699" s="2" t="str">
        <f>_xlfn.XLOOKUP(Table1[[#This Row],[Loan_Credit_History]],Table4[Credit History],Table4[[ Category]])</f>
        <v>Existing Credits Paid</v>
      </c>
      <c r="Y699" s="3">
        <v>4</v>
      </c>
      <c r="Z699" s="3">
        <v>2</v>
      </c>
      <c r="AA699" s="5">
        <v>754</v>
      </c>
      <c r="AB699" t="s">
        <v>151</v>
      </c>
      <c r="AC699" s="2" t="str" cm="1">
        <f t="array" ref="AC699">_xlfn.IFS(Table1[[#This Row],[Others_Parties]] = "No", "None",
Table1[[#This Row],[Others_Parties]] = "co applicant", "Co-applicant",
Table1[[#This Row],[Others_Parties]] = "guarantor", "Guarantor")</f>
        <v>None</v>
      </c>
      <c r="AD699" s="13" t="s">
        <v>145</v>
      </c>
      <c r="AE699" s="2" t="s">
        <v>110</v>
      </c>
      <c r="AF699" s="28" t="str" cm="1">
        <f t="array" ref="AF69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699" s="21">
        <v>12</v>
      </c>
      <c r="AH699" s="2" t="s">
        <v>154</v>
      </c>
      <c r="AI699"/>
      <c r="AZ699"/>
      <c r="BC699"/>
      <c r="BE699"/>
      <c r="BL699"/>
      <c r="BZ699"/>
      <c r="CA699"/>
      <c r="CF699"/>
      <c r="CG699"/>
      <c r="CH699"/>
      <c r="CI699"/>
      <c r="CK699"/>
      <c r="CN699"/>
    </row>
    <row r="700" spans="1:92" x14ac:dyDescent="0.3">
      <c r="A700" s="4">
        <v>698</v>
      </c>
      <c r="B700" s="11">
        <v>26</v>
      </c>
      <c r="C700" s="2" t="str">
        <f>_xlfn.XLOOKUP(Table1[[#This Row],[Age]],Table7[Start_Age],Table7[Age_Range],,-1)</f>
        <v>19-29</v>
      </c>
      <c r="D700" t="s">
        <v>130</v>
      </c>
      <c r="E700" s="2" t="s">
        <v>129</v>
      </c>
      <c r="F700" s="2" t="s">
        <v>133</v>
      </c>
      <c r="G700" s="3">
        <v>1</v>
      </c>
      <c r="H700" s="13" t="s">
        <v>152</v>
      </c>
      <c r="I700" s="2" t="str" cm="1">
        <f t="array" ref="I700">_xlfn.IFS(Table1[[#This Row],[Job_Type]] = "unskilled resident", "Resident",
Table1[[#This Row],[Job_Type]] = "unemp/unskilled non res", "Non-resident",
TRUE, "Unknown")</f>
        <v>Unknown</v>
      </c>
      <c r="J700" s="2" t="s">
        <v>148</v>
      </c>
      <c r="K700" s="3">
        <v>2</v>
      </c>
      <c r="L700" s="2" t="s">
        <v>144</v>
      </c>
      <c r="M700" s="13" t="s">
        <v>151</v>
      </c>
      <c r="N700" t="s">
        <v>35</v>
      </c>
      <c r="O700" s="2" t="str">
        <f>_xlfn.XLOOKUP(Table1[[#This Row],[Checking_Acct_Status]],Table3[Checking_Acct_Original],Table3[Category])</f>
        <v>Negative Balance</v>
      </c>
      <c r="P700" s="10" t="s">
        <v>32</v>
      </c>
      <c r="Q700" s="13" t="str">
        <f>_xlfn.XLOOKUP(Table1[[#This Row],[Saving_Acct_Status]],Table5[Saving_Acct_Original],Table5[Category])</f>
        <v>Low Savings</v>
      </c>
      <c r="R700" t="s">
        <v>41</v>
      </c>
      <c r="S700" s="2" t="str">
        <f>IF(
      OR(Table1[[#This Row],[Job_Type]] = "high qualif/self emp/mgmt", Table1[[#This Row],[Job_Type]] = "skilled"),
      "Skilled", "Unskilled")</f>
        <v>Skilled</v>
      </c>
      <c r="T700" t="str">
        <f>IF(Table1[[#This Row],[Job_Type]] = "unemp/unskilled non res", "Unemployed", "Employed")</f>
        <v>Employed</v>
      </c>
      <c r="U700" t="s">
        <v>49</v>
      </c>
      <c r="V700" s="14" t="str" cm="1">
        <f t="array" ref="V70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00" t="s">
        <v>31</v>
      </c>
      <c r="X700" s="2" t="str">
        <f>_xlfn.XLOOKUP(Table1[[#This Row],[Loan_Credit_History]],Table4[Credit History],Table4[[ Category]])</f>
        <v>Existing Credits Paid</v>
      </c>
      <c r="Y700" s="3">
        <v>4</v>
      </c>
      <c r="Z700" s="3">
        <v>1</v>
      </c>
      <c r="AA700" s="5">
        <v>759</v>
      </c>
      <c r="AB700" t="s">
        <v>151</v>
      </c>
      <c r="AC700" s="2" t="str" cm="1">
        <f t="array" ref="AC700">_xlfn.IFS(Table1[[#This Row],[Others_Parties]] = "No", "None",
Table1[[#This Row],[Others_Parties]] = "co applicant", "Co-applicant",
Table1[[#This Row],[Others_Parties]] = "guarantor", "Guarantor")</f>
        <v>None</v>
      </c>
      <c r="AD700" s="13" t="s">
        <v>145</v>
      </c>
      <c r="AE700" s="2" t="s">
        <v>141</v>
      </c>
      <c r="AF700" s="28" t="str" cm="1">
        <f t="array" ref="AF70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00" s="21">
        <v>12</v>
      </c>
      <c r="AH700" s="2" t="s">
        <v>153</v>
      </c>
      <c r="AI700"/>
      <c r="AZ700"/>
      <c r="BC700"/>
      <c r="BE700"/>
      <c r="BL700"/>
      <c r="BZ700"/>
      <c r="CA700"/>
      <c r="CF700"/>
      <c r="CG700"/>
      <c r="CH700"/>
      <c r="CI700"/>
      <c r="CK700"/>
      <c r="CN700"/>
    </row>
    <row r="701" spans="1:92" x14ac:dyDescent="0.3">
      <c r="A701" s="4">
        <v>699</v>
      </c>
      <c r="B701" s="11">
        <v>26</v>
      </c>
      <c r="C701" s="2" t="str">
        <f>_xlfn.XLOOKUP(Table1[[#This Row],[Age]],Table7[Start_Age],Table7[Age_Range],,-1)</f>
        <v>19-29</v>
      </c>
      <c r="D701" t="s">
        <v>136</v>
      </c>
      <c r="E701" s="2" t="s">
        <v>131</v>
      </c>
      <c r="F701" s="2" t="s">
        <v>137</v>
      </c>
      <c r="G701" s="3">
        <v>1</v>
      </c>
      <c r="H701" s="13" t="s">
        <v>152</v>
      </c>
      <c r="I701" s="2" t="str" cm="1">
        <f t="array" ref="I701">_xlfn.IFS(Table1[[#This Row],[Job_Type]] = "unskilled resident", "Resident",
Table1[[#This Row],[Job_Type]] = "unemp/unskilled non res", "Non-resident",
TRUE, "Unknown")</f>
        <v>Unknown</v>
      </c>
      <c r="J701" s="2" t="s">
        <v>148</v>
      </c>
      <c r="K701" s="3">
        <v>1</v>
      </c>
      <c r="L701" s="2" t="s">
        <v>144</v>
      </c>
      <c r="M701" s="13" t="s">
        <v>152</v>
      </c>
      <c r="N701" t="s">
        <v>17</v>
      </c>
      <c r="O701" s="2" t="str">
        <f>_xlfn.XLOOKUP(Table1[[#This Row],[Checking_Acct_Status]],Table3[Checking_Acct_Original],Table3[Category])</f>
        <v>No Account</v>
      </c>
      <c r="P701" s="10" t="s">
        <v>32</v>
      </c>
      <c r="Q701" s="13" t="str">
        <f>_xlfn.XLOOKUP(Table1[[#This Row],[Saving_Acct_Status]],Table5[Saving_Acct_Original],Table5[Category])</f>
        <v>Low Savings</v>
      </c>
      <c r="R701" t="s">
        <v>41</v>
      </c>
      <c r="S701" s="2" t="str">
        <f>IF(
      OR(Table1[[#This Row],[Job_Type]] = "high qualif/self emp/mgmt", Table1[[#This Row],[Job_Type]] = "skilled"),
      "Skilled", "Unskilled")</f>
        <v>Skilled</v>
      </c>
      <c r="T701" t="str">
        <f>IF(Table1[[#This Row],[Job_Type]] = "unemp/unskilled non res", "Unemployed", "Employed")</f>
        <v>Employed</v>
      </c>
      <c r="U701" t="s">
        <v>21</v>
      </c>
      <c r="V701" s="14" t="str" cm="1">
        <f t="array" ref="V70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01" t="s">
        <v>31</v>
      </c>
      <c r="X701" s="2" t="str">
        <f>_xlfn.XLOOKUP(Table1[[#This Row],[Loan_Credit_History]],Table4[Credit History],Table4[[ Category]])</f>
        <v>Existing Credits Paid</v>
      </c>
      <c r="Y701" s="3">
        <v>4</v>
      </c>
      <c r="Z701" s="3">
        <v>1</v>
      </c>
      <c r="AA701" s="5">
        <v>763</v>
      </c>
      <c r="AB701" t="s">
        <v>151</v>
      </c>
      <c r="AC701" s="2" t="str" cm="1">
        <f t="array" ref="AC701">_xlfn.IFS(Table1[[#This Row],[Others_Parties]] = "No", "None",
Table1[[#This Row],[Others_Parties]] = "co applicant", "Co-applicant",
Table1[[#This Row],[Others_Parties]] = "guarantor", "Guarantor")</f>
        <v>None</v>
      </c>
      <c r="AD701" s="13" t="s">
        <v>145</v>
      </c>
      <c r="AE701" s="2" t="s">
        <v>108</v>
      </c>
      <c r="AF701" s="28" t="str" cm="1">
        <f t="array" ref="AF70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01" s="21">
        <v>12</v>
      </c>
      <c r="AH701" s="2" t="s">
        <v>154</v>
      </c>
      <c r="AI701"/>
      <c r="AZ701"/>
      <c r="BC701"/>
      <c r="BE701"/>
      <c r="BL701"/>
      <c r="BZ701"/>
      <c r="CA701"/>
      <c r="CF701"/>
      <c r="CG701"/>
      <c r="CH701"/>
      <c r="CI701"/>
      <c r="CK701"/>
      <c r="CN701"/>
    </row>
    <row r="702" spans="1:92" x14ac:dyDescent="0.3">
      <c r="A702" s="4">
        <v>700</v>
      </c>
      <c r="B702" s="11">
        <v>66</v>
      </c>
      <c r="C702" s="2" t="str">
        <f>_xlfn.XLOOKUP(Table1[[#This Row],[Age]],Table7[Start_Age],Table7[Age_Range],,-1)</f>
        <v>59-69</v>
      </c>
      <c r="D702" t="s">
        <v>130</v>
      </c>
      <c r="E702" s="2" t="s">
        <v>129</v>
      </c>
      <c r="F702" s="2" t="s">
        <v>133</v>
      </c>
      <c r="G702" s="3">
        <v>1</v>
      </c>
      <c r="H702" s="13" t="s">
        <v>152</v>
      </c>
      <c r="I702" s="2" t="str" cm="1">
        <f t="array" ref="I702">_xlfn.IFS(Table1[[#This Row],[Job_Type]] = "unskilled resident", "Resident",
Table1[[#This Row],[Job_Type]] = "unemp/unskilled non res", "Non-resident",
TRUE, "Unknown")</f>
        <v>Resident</v>
      </c>
      <c r="J702" s="2" t="s">
        <v>148</v>
      </c>
      <c r="K702" s="3">
        <v>3</v>
      </c>
      <c r="L702" s="2" t="s">
        <v>144</v>
      </c>
      <c r="M702" s="13" t="s">
        <v>151</v>
      </c>
      <c r="N702" t="s">
        <v>30</v>
      </c>
      <c r="O702" s="2" t="str">
        <f>_xlfn.XLOOKUP(Table1[[#This Row],[Checking_Acct_Status]],Table3[Checking_Acct_Original],Table3[Category])</f>
        <v>Low Balance</v>
      </c>
      <c r="P702" s="10" t="s">
        <v>37</v>
      </c>
      <c r="Q702" s="13" t="str">
        <f>_xlfn.XLOOKUP(Table1[[#This Row],[Saving_Acct_Status]],Table5[Saving_Acct_Original],Table5[Category])</f>
        <v>High Savings</v>
      </c>
      <c r="R702" t="s">
        <v>27</v>
      </c>
      <c r="S702" s="2" t="str">
        <f>IF(
      OR(Table1[[#This Row],[Job_Type]] = "high qualif/self emp/mgmt", Table1[[#This Row],[Job_Type]] = "skilled"),
      "Skilled", "Unskilled")</f>
        <v>Unskilled</v>
      </c>
      <c r="T702" t="str">
        <f>IF(Table1[[#This Row],[Job_Type]] = "unemp/unskilled non res", "Unemployed", "Employed")</f>
        <v>Employed</v>
      </c>
      <c r="U702" t="s">
        <v>21</v>
      </c>
      <c r="V702" s="14" t="str" cm="1">
        <f t="array" ref="V70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02" t="s">
        <v>31</v>
      </c>
      <c r="X702" s="2" t="str">
        <f>_xlfn.XLOOKUP(Table1[[#This Row],[Loan_Credit_History]],Table4[Credit History],Table4[[ Category]])</f>
        <v>Existing Credits Paid</v>
      </c>
      <c r="Y702" s="3">
        <v>4</v>
      </c>
      <c r="Z702" s="3">
        <v>1</v>
      </c>
      <c r="AA702" s="5">
        <v>766</v>
      </c>
      <c r="AB702" t="s">
        <v>151</v>
      </c>
      <c r="AC702" s="2" t="str" cm="1">
        <f t="array" ref="AC702">_xlfn.IFS(Table1[[#This Row],[Others_Parties]] = "No", "None",
Table1[[#This Row],[Others_Parties]] = "co applicant", "Co-applicant",
Table1[[#This Row],[Others_Parties]] = "guarantor", "Guarantor")</f>
        <v>None</v>
      </c>
      <c r="AD702" s="13" t="s">
        <v>145</v>
      </c>
      <c r="AE702" s="2" t="s">
        <v>111</v>
      </c>
      <c r="AF702" s="28" t="str" cm="1">
        <f t="array" ref="AF70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02" s="21">
        <v>12</v>
      </c>
      <c r="AH702" s="2" t="s">
        <v>153</v>
      </c>
      <c r="AI702"/>
      <c r="AZ702"/>
      <c r="BC702"/>
      <c r="BE702"/>
      <c r="BL702"/>
      <c r="BZ702"/>
      <c r="CA702"/>
      <c r="CF702"/>
      <c r="CG702"/>
      <c r="CH702"/>
      <c r="CI702"/>
      <c r="CK702"/>
      <c r="CN702"/>
    </row>
    <row r="703" spans="1:92" x14ac:dyDescent="0.3">
      <c r="A703" s="4">
        <v>701</v>
      </c>
      <c r="B703" s="11">
        <v>28</v>
      </c>
      <c r="C703" s="2" t="str">
        <f>_xlfn.XLOOKUP(Table1[[#This Row],[Age]],Table7[Start_Age],Table7[Age_Range],,-1)</f>
        <v>19-29</v>
      </c>
      <c r="D703" t="s">
        <v>134</v>
      </c>
      <c r="E703" s="2" t="s">
        <v>129</v>
      </c>
      <c r="F703" s="2" t="s">
        <v>135</v>
      </c>
      <c r="G703" s="3">
        <v>1</v>
      </c>
      <c r="H703" s="13" t="s">
        <v>152</v>
      </c>
      <c r="I703" s="2" t="str" cm="1">
        <f t="array" ref="I703">_xlfn.IFS(Table1[[#This Row],[Job_Type]] = "unskilled resident", "Resident",
Table1[[#This Row],[Job_Type]] = "unemp/unskilled non res", "Non-resident",
TRUE, "Unknown")</f>
        <v>Unknown</v>
      </c>
      <c r="J703" s="2" t="s">
        <v>148</v>
      </c>
      <c r="K703" s="3">
        <v>2</v>
      </c>
      <c r="L703" s="2" t="s">
        <v>144</v>
      </c>
      <c r="M703" s="13" t="s">
        <v>151</v>
      </c>
      <c r="N703" t="s">
        <v>17</v>
      </c>
      <c r="O703" s="2" t="str">
        <f>_xlfn.XLOOKUP(Table1[[#This Row],[Checking_Acct_Status]],Table3[Checking_Acct_Original],Table3[Category])</f>
        <v>No Account</v>
      </c>
      <c r="P703" s="10" t="s">
        <v>32</v>
      </c>
      <c r="Q703" s="13" t="str">
        <f>_xlfn.XLOOKUP(Table1[[#This Row],[Saving_Acct_Status]],Table5[Saving_Acct_Original],Table5[Category])</f>
        <v>Low Savings</v>
      </c>
      <c r="R703" t="s">
        <v>41</v>
      </c>
      <c r="S703" s="2" t="str">
        <f>IF(
      OR(Table1[[#This Row],[Job_Type]] = "high qualif/self emp/mgmt", Table1[[#This Row],[Job_Type]] = "skilled"),
      "Skilled", "Unskilled")</f>
        <v>Skilled</v>
      </c>
      <c r="T703" t="str">
        <f>IF(Table1[[#This Row],[Job_Type]] = "unemp/unskilled non res", "Unemployed", "Employed")</f>
        <v>Employed</v>
      </c>
      <c r="U703" t="s">
        <v>21</v>
      </c>
      <c r="V703" s="14" t="str" cm="1">
        <f t="array" ref="V70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03" t="s">
        <v>31</v>
      </c>
      <c r="X703" s="2" t="str">
        <f>_xlfn.XLOOKUP(Table1[[#This Row],[Loan_Credit_History]],Table4[Credit History],Table4[[ Category]])</f>
        <v>Existing Credits Paid</v>
      </c>
      <c r="Y703" s="3">
        <v>4</v>
      </c>
      <c r="Z703" s="3">
        <v>1</v>
      </c>
      <c r="AA703" s="5">
        <v>776</v>
      </c>
      <c r="AB703" t="s">
        <v>151</v>
      </c>
      <c r="AC703" s="2" t="str" cm="1">
        <f t="array" ref="AC703">_xlfn.IFS(Table1[[#This Row],[Others_Parties]] = "No", "None",
Table1[[#This Row],[Others_Parties]] = "co applicant", "Co-applicant",
Table1[[#This Row],[Others_Parties]] = "guarantor", "Guarantor")</f>
        <v>None</v>
      </c>
      <c r="AD703" s="13" t="s">
        <v>145</v>
      </c>
      <c r="AE703" s="2" t="s">
        <v>111</v>
      </c>
      <c r="AF703" s="28" t="str" cm="1">
        <f t="array" ref="AF70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03" s="21">
        <v>12</v>
      </c>
      <c r="AH703" s="2" t="s">
        <v>154</v>
      </c>
      <c r="AI703"/>
      <c r="AZ703"/>
      <c r="BC703"/>
      <c r="BE703"/>
      <c r="BL703"/>
      <c r="BZ703"/>
      <c r="CA703"/>
      <c r="CF703"/>
      <c r="CG703"/>
      <c r="CH703"/>
      <c r="CI703"/>
      <c r="CK703"/>
      <c r="CN703"/>
    </row>
    <row r="704" spans="1:92" x14ac:dyDescent="0.3">
      <c r="A704" s="4">
        <v>702</v>
      </c>
      <c r="B704" s="11">
        <v>53</v>
      </c>
      <c r="C704" s="2" t="str">
        <f>_xlfn.XLOOKUP(Table1[[#This Row],[Age]],Table7[Start_Age],Table7[Age_Range],,-1)</f>
        <v>49-59</v>
      </c>
      <c r="D704" t="s">
        <v>136</v>
      </c>
      <c r="E704" s="2" t="s">
        <v>131</v>
      </c>
      <c r="F704" s="2" t="s">
        <v>137</v>
      </c>
      <c r="G704" s="3">
        <v>1</v>
      </c>
      <c r="H704" s="13" t="s">
        <v>152</v>
      </c>
      <c r="I704" s="2" t="str" cm="1">
        <f t="array" ref="I704">_xlfn.IFS(Table1[[#This Row],[Job_Type]] = "unskilled resident", "Resident",
Table1[[#This Row],[Job_Type]] = "unemp/unskilled non res", "Non-resident",
TRUE, "Unknown")</f>
        <v>Unknown</v>
      </c>
      <c r="J704" s="2" t="s">
        <v>148</v>
      </c>
      <c r="K704" s="3">
        <v>4</v>
      </c>
      <c r="L704" s="2" t="s">
        <v>143</v>
      </c>
      <c r="M704" s="13" t="s">
        <v>151</v>
      </c>
      <c r="N704" t="s">
        <v>35</v>
      </c>
      <c r="O704" s="2" t="str">
        <f>_xlfn.XLOOKUP(Table1[[#This Row],[Checking_Acct_Status]],Table3[Checking_Acct_Original],Table3[Category])</f>
        <v>Negative Balance</v>
      </c>
      <c r="P704" s="10" t="s">
        <v>32</v>
      </c>
      <c r="Q704" s="13" t="str">
        <f>_xlfn.XLOOKUP(Table1[[#This Row],[Saving_Acct_Status]],Table5[Saving_Acct_Original],Table5[Category])</f>
        <v>Low Savings</v>
      </c>
      <c r="R704" t="s">
        <v>41</v>
      </c>
      <c r="S704" s="2" t="str">
        <f>IF(
      OR(Table1[[#This Row],[Job_Type]] = "high qualif/self emp/mgmt", Table1[[#This Row],[Job_Type]] = "skilled"),
      "Skilled", "Unskilled")</f>
        <v>Skilled</v>
      </c>
      <c r="T704" t="str">
        <f>IF(Table1[[#This Row],[Job_Type]] = "unemp/unskilled non res", "Unemployed", "Employed")</f>
        <v>Employed</v>
      </c>
      <c r="U704" t="s">
        <v>45</v>
      </c>
      <c r="V704" s="14" t="str" cm="1">
        <f t="array" ref="V70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04" t="s">
        <v>31</v>
      </c>
      <c r="X704" s="2" t="str">
        <f>_xlfn.XLOOKUP(Table1[[#This Row],[Loan_Credit_History]],Table4[Credit History],Table4[[ Category]])</f>
        <v>Existing Credits Paid</v>
      </c>
      <c r="Y704" s="3">
        <v>4</v>
      </c>
      <c r="Z704" s="3">
        <v>1</v>
      </c>
      <c r="AA704" s="5">
        <v>795</v>
      </c>
      <c r="AB704" t="s">
        <v>151</v>
      </c>
      <c r="AC704" s="2" t="str" cm="1">
        <f t="array" ref="AC704">_xlfn.IFS(Table1[[#This Row],[Others_Parties]] = "No", "None",
Table1[[#This Row],[Others_Parties]] = "co applicant", "Co-applicant",
Table1[[#This Row],[Others_Parties]] = "guarantor", "Guarantor")</f>
        <v>None</v>
      </c>
      <c r="AD704" s="13" t="s">
        <v>145</v>
      </c>
      <c r="AE704" s="2" t="s">
        <v>100</v>
      </c>
      <c r="AF704" s="28" t="str" cm="1">
        <f t="array" ref="AF70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04" s="21">
        <v>12</v>
      </c>
      <c r="AH704" s="2" t="s">
        <v>153</v>
      </c>
      <c r="AI704"/>
      <c r="AZ704"/>
      <c r="BC704"/>
      <c r="BE704"/>
      <c r="BL704"/>
      <c r="BZ704"/>
      <c r="CA704"/>
      <c r="CF704"/>
      <c r="CG704"/>
      <c r="CH704"/>
      <c r="CI704"/>
      <c r="CK704"/>
      <c r="CN704"/>
    </row>
    <row r="705" spans="1:92" x14ac:dyDescent="0.3">
      <c r="A705" s="4">
        <v>703</v>
      </c>
      <c r="B705" s="11">
        <v>33</v>
      </c>
      <c r="C705" s="2" t="str">
        <f>_xlfn.XLOOKUP(Table1[[#This Row],[Age]],Table7[Start_Age],Table7[Age_Range],,-1)</f>
        <v>29-39</v>
      </c>
      <c r="D705" t="s">
        <v>136</v>
      </c>
      <c r="E705" s="2" t="s">
        <v>131</v>
      </c>
      <c r="F705" s="2" t="s">
        <v>137</v>
      </c>
      <c r="G705" s="3">
        <v>2</v>
      </c>
      <c r="H705" s="13" t="s">
        <v>152</v>
      </c>
      <c r="I705" s="2" t="str" cm="1">
        <f t="array" ref="I705">_xlfn.IFS(Table1[[#This Row],[Job_Type]] = "unskilled resident", "Resident",
Table1[[#This Row],[Job_Type]] = "unemp/unskilled non res", "Non-resident",
TRUE, "Unknown")</f>
        <v>Resident</v>
      </c>
      <c r="J705" s="2" t="s">
        <v>148</v>
      </c>
      <c r="K705" s="3">
        <v>3</v>
      </c>
      <c r="L705" s="2" t="s">
        <v>143</v>
      </c>
      <c r="M705" s="13" t="s">
        <v>151</v>
      </c>
      <c r="N705" t="s">
        <v>17</v>
      </c>
      <c r="O705" s="2" t="str">
        <f>_xlfn.XLOOKUP(Table1[[#This Row],[Checking_Acct_Status]],Table3[Checking_Acct_Original],Table3[Category])</f>
        <v>No Account</v>
      </c>
      <c r="P705" s="10" t="s">
        <v>47</v>
      </c>
      <c r="Q705" s="13" t="str">
        <f>_xlfn.XLOOKUP(Table1[[#This Row],[Saving_Acct_Status]],Table5[Saving_Acct_Original],Table5[Category])</f>
        <v>No Savings</v>
      </c>
      <c r="R705" t="s">
        <v>27</v>
      </c>
      <c r="S705" s="2" t="str">
        <f>IF(
      OR(Table1[[#This Row],[Job_Type]] = "high qualif/self emp/mgmt", Table1[[#This Row],[Job_Type]] = "skilled"),
      "Skilled", "Unskilled")</f>
        <v>Unskilled</v>
      </c>
      <c r="T705" t="str">
        <f>IF(Table1[[#This Row],[Job_Type]] = "unemp/unskilled non res", "Unemployed", "Employed")</f>
        <v>Employed</v>
      </c>
      <c r="U705" t="s">
        <v>38</v>
      </c>
      <c r="V705" s="14" t="str" cm="1">
        <f t="array" ref="V70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05" t="s">
        <v>103</v>
      </c>
      <c r="X705" s="2" t="str">
        <f>_xlfn.XLOOKUP(Table1[[#This Row],[Loan_Credit_History]],Table4[Credit History],Table4[[ Category]])</f>
        <v>Critical Credit History</v>
      </c>
      <c r="Y705" s="3">
        <v>4</v>
      </c>
      <c r="Z705" s="3">
        <v>1</v>
      </c>
      <c r="AA705" s="5">
        <v>797</v>
      </c>
      <c r="AB705" t="s">
        <v>151</v>
      </c>
      <c r="AC705" s="2" t="str" cm="1">
        <f t="array" ref="AC705">_xlfn.IFS(Table1[[#This Row],[Others_Parties]] = "No", "None",
Table1[[#This Row],[Others_Parties]] = "co applicant", "Co-applicant",
Table1[[#This Row],[Others_Parties]] = "guarantor", "Guarantor")</f>
        <v>None</v>
      </c>
      <c r="AD705" s="13" t="s">
        <v>146</v>
      </c>
      <c r="AE705" s="2" t="s">
        <v>111</v>
      </c>
      <c r="AF705" s="28" t="str" cm="1">
        <f t="array" ref="AF70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05" s="21">
        <v>12</v>
      </c>
      <c r="AH705" s="2" t="s">
        <v>153</v>
      </c>
      <c r="AI705"/>
      <c r="AZ705"/>
      <c r="BC705"/>
      <c r="BE705"/>
      <c r="BL705"/>
      <c r="BZ705"/>
      <c r="CA705"/>
      <c r="CF705"/>
      <c r="CG705"/>
      <c r="CH705"/>
      <c r="CI705"/>
      <c r="CK705"/>
      <c r="CN705"/>
    </row>
    <row r="706" spans="1:92" x14ac:dyDescent="0.3">
      <c r="A706" s="4">
        <v>704</v>
      </c>
      <c r="B706" s="11">
        <v>38</v>
      </c>
      <c r="C706" s="2" t="str">
        <f>_xlfn.XLOOKUP(Table1[[#This Row],[Age]],Table7[Start_Age],Table7[Age_Range],,-1)</f>
        <v>29-39</v>
      </c>
      <c r="D706" t="s">
        <v>130</v>
      </c>
      <c r="E706" s="2" t="s">
        <v>129</v>
      </c>
      <c r="F706" s="2" t="s">
        <v>133</v>
      </c>
      <c r="G706" s="3">
        <v>1</v>
      </c>
      <c r="H706" s="13" t="s">
        <v>152</v>
      </c>
      <c r="I706" s="2" t="str" cm="1">
        <f t="array" ref="I706">_xlfn.IFS(Table1[[#This Row],[Job_Type]] = "unskilled resident", "Resident",
Table1[[#This Row],[Job_Type]] = "unemp/unskilled non res", "Non-resident",
TRUE, "Unknown")</f>
        <v>Unknown</v>
      </c>
      <c r="J706" s="2" t="s">
        <v>148</v>
      </c>
      <c r="K706" s="3">
        <v>4</v>
      </c>
      <c r="L706" s="2" t="s">
        <v>140</v>
      </c>
      <c r="M706" s="13" t="s">
        <v>151</v>
      </c>
      <c r="N706" t="s">
        <v>17</v>
      </c>
      <c r="O706" s="2" t="str">
        <f>_xlfn.XLOOKUP(Table1[[#This Row],[Checking_Acct_Status]],Table3[Checking_Acct_Original],Table3[Category])</f>
        <v>No Account</v>
      </c>
      <c r="P706" s="10" t="s">
        <v>32</v>
      </c>
      <c r="Q706" s="13" t="str">
        <f>_xlfn.XLOOKUP(Table1[[#This Row],[Saving_Acct_Status]],Table5[Saving_Acct_Original],Table5[Category])</f>
        <v>Low Savings</v>
      </c>
      <c r="R706" t="s">
        <v>41</v>
      </c>
      <c r="S706" s="2" t="str">
        <f>IF(
      OR(Table1[[#This Row],[Job_Type]] = "high qualif/self emp/mgmt", Table1[[#This Row],[Job_Type]] = "skilled"),
      "Skilled", "Unskilled")</f>
        <v>Skilled</v>
      </c>
      <c r="T706" t="str">
        <f>IF(Table1[[#This Row],[Job_Type]] = "unemp/unskilled non res", "Unemployed", "Employed")</f>
        <v>Employed</v>
      </c>
      <c r="U706" t="s">
        <v>38</v>
      </c>
      <c r="V706" s="14" t="str" cm="1">
        <f t="array" ref="V70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06" t="s">
        <v>31</v>
      </c>
      <c r="X706" s="2" t="str">
        <f>_xlfn.XLOOKUP(Table1[[#This Row],[Loan_Credit_History]],Table4[Credit History],Table4[[ Category]])</f>
        <v>Existing Credits Paid</v>
      </c>
      <c r="Y706" s="3">
        <v>4</v>
      </c>
      <c r="Z706" s="3">
        <v>1</v>
      </c>
      <c r="AA706" s="5">
        <v>804</v>
      </c>
      <c r="AB706" t="s">
        <v>151</v>
      </c>
      <c r="AC706" s="2" t="str" cm="1">
        <f t="array" ref="AC706">_xlfn.IFS(Table1[[#This Row],[Others_Parties]] = "No", "None",
Table1[[#This Row],[Others_Parties]] = "co applicant", "Co-applicant",
Table1[[#This Row],[Others_Parties]] = "guarantor", "Guarantor")</f>
        <v>None</v>
      </c>
      <c r="AD706" s="13" t="s">
        <v>145</v>
      </c>
      <c r="AE706" s="2" t="s">
        <v>111</v>
      </c>
      <c r="AF706" s="28" t="str" cm="1">
        <f t="array" ref="AF70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06" s="21">
        <v>12</v>
      </c>
      <c r="AH706" s="2" t="s">
        <v>154</v>
      </c>
      <c r="AI706"/>
      <c r="AZ706"/>
      <c r="BC706"/>
      <c r="BE706"/>
      <c r="BL706"/>
      <c r="BZ706"/>
      <c r="CA706"/>
      <c r="CF706"/>
      <c r="CG706"/>
      <c r="CH706"/>
      <c r="CI706"/>
      <c r="CK706"/>
      <c r="CN706"/>
    </row>
    <row r="707" spans="1:92" x14ac:dyDescent="0.3">
      <c r="A707" s="4">
        <v>705</v>
      </c>
      <c r="B707" s="11">
        <v>23</v>
      </c>
      <c r="C707" s="2" t="str">
        <f>_xlfn.XLOOKUP(Table1[[#This Row],[Age]],Table7[Start_Age],Table7[Age_Range],,-1)</f>
        <v>19-29</v>
      </c>
      <c r="D707" t="s">
        <v>136</v>
      </c>
      <c r="E707" s="2" t="s">
        <v>131</v>
      </c>
      <c r="F707" s="2" t="s">
        <v>137</v>
      </c>
      <c r="G707" s="3">
        <v>1</v>
      </c>
      <c r="H707" s="13" t="s">
        <v>152</v>
      </c>
      <c r="I707" s="2" t="str" cm="1">
        <f t="array" ref="I707">_xlfn.IFS(Table1[[#This Row],[Job_Type]] = "unskilled resident", "Resident",
Table1[[#This Row],[Job_Type]] = "unemp/unskilled non res", "Non-resident",
TRUE, "Unknown")</f>
        <v>Resident</v>
      </c>
      <c r="J707" s="2" t="s">
        <v>148</v>
      </c>
      <c r="K707" s="3">
        <v>2</v>
      </c>
      <c r="L707" s="2" t="s">
        <v>143</v>
      </c>
      <c r="M707" s="13" t="s">
        <v>151</v>
      </c>
      <c r="N707" t="s">
        <v>30</v>
      </c>
      <c r="O707" s="2" t="str">
        <f>_xlfn.XLOOKUP(Table1[[#This Row],[Checking_Acct_Status]],Table3[Checking_Acct_Original],Table3[Category])</f>
        <v>Low Balance</v>
      </c>
      <c r="P707" s="10" t="s">
        <v>46</v>
      </c>
      <c r="Q707" s="13" t="str">
        <f>_xlfn.XLOOKUP(Table1[[#This Row],[Saving_Acct_Status]],Table5[Saving_Acct_Original],Table5[Category])</f>
        <v>Medium Savings</v>
      </c>
      <c r="R707" t="s">
        <v>27</v>
      </c>
      <c r="S707" s="2" t="str">
        <f>IF(
      OR(Table1[[#This Row],[Job_Type]] = "high qualif/self emp/mgmt", Table1[[#This Row],[Job_Type]] = "skilled"),
      "Skilled", "Unskilled")</f>
        <v>Unskilled</v>
      </c>
      <c r="T707" t="str">
        <f>IF(Table1[[#This Row],[Job_Type]] = "unemp/unskilled non res", "Unemployed", "Employed")</f>
        <v>Employed</v>
      </c>
      <c r="U707" t="s">
        <v>45</v>
      </c>
      <c r="V707" s="14" t="str" cm="1">
        <f t="array" ref="V70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07" t="s">
        <v>31</v>
      </c>
      <c r="X707" s="2" t="str">
        <f>_xlfn.XLOOKUP(Table1[[#This Row],[Loan_Credit_History]],Table4[Credit History],Table4[[ Category]])</f>
        <v>Existing Credits Paid</v>
      </c>
      <c r="Y707" s="3">
        <v>4</v>
      </c>
      <c r="Z707" s="3">
        <v>1</v>
      </c>
      <c r="AA707" s="5">
        <v>836</v>
      </c>
      <c r="AB707" t="s">
        <v>151</v>
      </c>
      <c r="AC707" s="2" t="str" cm="1">
        <f t="array" ref="AC707">_xlfn.IFS(Table1[[#This Row],[Others_Parties]] = "No", "None",
Table1[[#This Row],[Others_Parties]] = "co applicant", "Co-applicant",
Table1[[#This Row],[Others_Parties]] = "guarantor", "Guarantor")</f>
        <v>None</v>
      </c>
      <c r="AD707" s="13" t="s">
        <v>146</v>
      </c>
      <c r="AE707" s="2" t="s">
        <v>141</v>
      </c>
      <c r="AF707" s="28" t="str" cm="1">
        <f t="array" ref="AF70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07" s="21">
        <v>12</v>
      </c>
      <c r="AH707" s="2" t="s">
        <v>153</v>
      </c>
      <c r="AI707"/>
      <c r="AZ707"/>
      <c r="BC707"/>
      <c r="BE707"/>
      <c r="BL707"/>
      <c r="BZ707"/>
      <c r="CA707"/>
      <c r="CF707"/>
      <c r="CG707"/>
      <c r="CH707"/>
      <c r="CI707"/>
      <c r="CK707"/>
      <c r="CN707"/>
    </row>
    <row r="708" spans="1:92" x14ac:dyDescent="0.3">
      <c r="A708" s="4">
        <v>706</v>
      </c>
      <c r="B708" s="11">
        <v>23</v>
      </c>
      <c r="C708" s="2" t="str">
        <f>_xlfn.XLOOKUP(Table1[[#This Row],[Age]],Table7[Start_Age],Table7[Age_Range],,-1)</f>
        <v>19-29</v>
      </c>
      <c r="D708" t="s">
        <v>136</v>
      </c>
      <c r="E708" s="2" t="s">
        <v>131</v>
      </c>
      <c r="F708" s="2" t="s">
        <v>137</v>
      </c>
      <c r="G708" s="3">
        <v>1</v>
      </c>
      <c r="H708" s="13" t="s">
        <v>152</v>
      </c>
      <c r="I708" s="2" t="str" cm="1">
        <f t="array" ref="I708">_xlfn.IFS(Table1[[#This Row],[Job_Type]] = "unskilled resident", "Resident",
Table1[[#This Row],[Job_Type]] = "unemp/unskilled non res", "Non-resident",
TRUE, "Unknown")</f>
        <v>Resident</v>
      </c>
      <c r="J708" s="2" t="s">
        <v>149</v>
      </c>
      <c r="K708" s="3">
        <v>4</v>
      </c>
      <c r="L708" s="2" t="s">
        <v>144</v>
      </c>
      <c r="M708" s="13" t="s">
        <v>151</v>
      </c>
      <c r="N708" t="s">
        <v>30</v>
      </c>
      <c r="O708" s="2" t="str">
        <f>_xlfn.XLOOKUP(Table1[[#This Row],[Checking_Acct_Status]],Table3[Checking_Acct_Original],Table3[Category])</f>
        <v>Low Balance</v>
      </c>
      <c r="P708" s="10" t="s">
        <v>46</v>
      </c>
      <c r="Q708" s="13" t="str">
        <f>_xlfn.XLOOKUP(Table1[[#This Row],[Saving_Acct_Status]],Table5[Saving_Acct_Original],Table5[Category])</f>
        <v>Medium Savings</v>
      </c>
      <c r="R708" t="s">
        <v>27</v>
      </c>
      <c r="S708" s="2" t="str">
        <f>IF(
      OR(Table1[[#This Row],[Job_Type]] = "high qualif/self emp/mgmt", Table1[[#This Row],[Job_Type]] = "skilled"),
      "Skilled", "Unskilled")</f>
        <v>Unskilled</v>
      </c>
      <c r="T708" t="str">
        <f>IF(Table1[[#This Row],[Job_Type]] = "unemp/unskilled non res", "Unemployed", "Employed")</f>
        <v>Employed</v>
      </c>
      <c r="U708" t="s">
        <v>49</v>
      </c>
      <c r="V708" s="14" t="str" cm="1">
        <f t="array" ref="V70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08" t="s">
        <v>31</v>
      </c>
      <c r="X708" s="2" t="str">
        <f>_xlfn.XLOOKUP(Table1[[#This Row],[Loan_Credit_History]],Table4[Credit History],Table4[[ Category]])</f>
        <v>Existing Credits Paid</v>
      </c>
      <c r="Y708" s="3">
        <v>2</v>
      </c>
      <c r="Z708" s="3">
        <v>1</v>
      </c>
      <c r="AA708" s="5">
        <v>841</v>
      </c>
      <c r="AB708" t="s">
        <v>151</v>
      </c>
      <c r="AC708" s="2" t="str" cm="1">
        <f t="array" ref="AC708">_xlfn.IFS(Table1[[#This Row],[Others_Parties]] = "No", "None",
Table1[[#This Row],[Others_Parties]] = "co applicant", "Co-applicant",
Table1[[#This Row],[Others_Parties]] = "guarantor", "Guarantor")</f>
        <v>None</v>
      </c>
      <c r="AD708" s="13" t="s">
        <v>145</v>
      </c>
      <c r="AE708" s="2" t="s">
        <v>105</v>
      </c>
      <c r="AF708" s="28" t="str" cm="1">
        <f t="array" ref="AF70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08" s="21">
        <v>12</v>
      </c>
      <c r="AH708" s="2" t="s">
        <v>154</v>
      </c>
      <c r="AI708"/>
      <c r="AZ708"/>
      <c r="BC708"/>
      <c r="BE708"/>
      <c r="BL708"/>
      <c r="BZ708"/>
      <c r="CA708"/>
      <c r="CF708"/>
      <c r="CG708"/>
      <c r="CH708"/>
      <c r="CI708"/>
      <c r="CK708"/>
      <c r="CN708"/>
    </row>
    <row r="709" spans="1:92" x14ac:dyDescent="0.3">
      <c r="A709" s="4">
        <v>707</v>
      </c>
      <c r="B709" s="11">
        <v>21</v>
      </c>
      <c r="C709" s="2" t="str">
        <f>_xlfn.XLOOKUP(Table1[[#This Row],[Age]],Table7[Start_Age],Table7[Age_Range],,-1)</f>
        <v>19-29</v>
      </c>
      <c r="D709" t="s">
        <v>136</v>
      </c>
      <c r="E709" s="2" t="s">
        <v>131</v>
      </c>
      <c r="F709" s="2" t="s">
        <v>137</v>
      </c>
      <c r="G709" s="3">
        <v>1</v>
      </c>
      <c r="H709" s="13" t="s">
        <v>152</v>
      </c>
      <c r="I709" s="2" t="str" cm="1">
        <f t="array" ref="I709">_xlfn.IFS(Table1[[#This Row],[Job_Type]] = "unskilled resident", "Resident",
Table1[[#This Row],[Job_Type]] = "unemp/unskilled non res", "Non-resident",
TRUE, "Unknown")</f>
        <v>Unknown</v>
      </c>
      <c r="J709" s="2" t="s">
        <v>148</v>
      </c>
      <c r="K709" s="3">
        <v>2</v>
      </c>
      <c r="L709" s="2" t="s">
        <v>140</v>
      </c>
      <c r="M709" s="13" t="s">
        <v>151</v>
      </c>
      <c r="N709" t="s">
        <v>17</v>
      </c>
      <c r="O709" s="2" t="str">
        <f>_xlfn.XLOOKUP(Table1[[#This Row],[Checking_Acct_Status]],Table3[Checking_Acct_Original],Table3[Category])</f>
        <v>No Account</v>
      </c>
      <c r="P709" s="10" t="s">
        <v>47</v>
      </c>
      <c r="Q709" s="13" t="str">
        <f>_xlfn.XLOOKUP(Table1[[#This Row],[Saving_Acct_Status]],Table5[Saving_Acct_Original],Table5[Category])</f>
        <v>No Savings</v>
      </c>
      <c r="R709" t="s">
        <v>41</v>
      </c>
      <c r="S709" s="2" t="str">
        <f>IF(
      OR(Table1[[#This Row],[Job_Type]] = "high qualif/self emp/mgmt", Table1[[#This Row],[Job_Type]] = "skilled"),
      "Skilled", "Unskilled")</f>
        <v>Skilled</v>
      </c>
      <c r="T709" t="str">
        <f>IF(Table1[[#This Row],[Job_Type]] = "unemp/unskilled non res", "Unemployed", "Employed")</f>
        <v>Employed</v>
      </c>
      <c r="U709" t="s">
        <v>21</v>
      </c>
      <c r="V709" s="14" t="str" cm="1">
        <f t="array" ref="V70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09" t="s">
        <v>31</v>
      </c>
      <c r="X709" s="2" t="str">
        <f>_xlfn.XLOOKUP(Table1[[#This Row],[Loan_Credit_History]],Table4[Credit History],Table4[[ Category]])</f>
        <v>Existing Credits Paid</v>
      </c>
      <c r="Y709" s="3">
        <v>4</v>
      </c>
      <c r="Z709" s="3">
        <v>1</v>
      </c>
      <c r="AA709" s="5">
        <v>886</v>
      </c>
      <c r="AB709" t="s">
        <v>151</v>
      </c>
      <c r="AC709" s="2" t="str" cm="1">
        <f t="array" ref="AC709">_xlfn.IFS(Table1[[#This Row],[Others_Parties]] = "No", "None",
Table1[[#This Row],[Others_Parties]] = "co applicant", "Co-applicant",
Table1[[#This Row],[Others_Parties]] = "guarantor", "Guarantor")</f>
        <v>None</v>
      </c>
      <c r="AD709" s="13" t="s">
        <v>145</v>
      </c>
      <c r="AE709" s="2" t="s">
        <v>111</v>
      </c>
      <c r="AF709" s="28" t="str" cm="1">
        <f t="array" ref="AF70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09" s="21">
        <v>12</v>
      </c>
      <c r="AH709" s="2" t="s">
        <v>154</v>
      </c>
      <c r="AI709"/>
      <c r="AZ709"/>
      <c r="BC709"/>
      <c r="BE709"/>
      <c r="BL709"/>
      <c r="BZ709"/>
      <c r="CA709"/>
      <c r="CF709"/>
      <c r="CG709"/>
      <c r="CH709"/>
      <c r="CI709"/>
      <c r="CK709"/>
      <c r="CN709"/>
    </row>
    <row r="710" spans="1:92" x14ac:dyDescent="0.3">
      <c r="A710" s="4">
        <v>708</v>
      </c>
      <c r="B710" s="11">
        <v>41</v>
      </c>
      <c r="C710" s="2" t="str">
        <f>_xlfn.XLOOKUP(Table1[[#This Row],[Age]],Table7[Start_Age],Table7[Age_Range],,-1)</f>
        <v>39-49</v>
      </c>
      <c r="D710" t="s">
        <v>130</v>
      </c>
      <c r="E710" s="2" t="s">
        <v>129</v>
      </c>
      <c r="F710" s="2" t="s">
        <v>133</v>
      </c>
      <c r="G710" s="3">
        <v>2</v>
      </c>
      <c r="H710" s="13" t="s">
        <v>152</v>
      </c>
      <c r="I710" s="2" t="str" cm="1">
        <f t="array" ref="I710">_xlfn.IFS(Table1[[#This Row],[Job_Type]] = "unskilled resident", "Resident",
Table1[[#This Row],[Job_Type]] = "unemp/unskilled non res", "Non-resident",
TRUE, "Unknown")</f>
        <v>Resident</v>
      </c>
      <c r="J710" s="2" t="s">
        <v>148</v>
      </c>
      <c r="K710" s="3">
        <v>4</v>
      </c>
      <c r="L710" s="2" t="s">
        <v>140</v>
      </c>
      <c r="M710" s="13" t="s">
        <v>151</v>
      </c>
      <c r="N710" t="s">
        <v>30</v>
      </c>
      <c r="O710" s="2" t="str">
        <f>_xlfn.XLOOKUP(Table1[[#This Row],[Checking_Acct_Status]],Table3[Checking_Acct_Original],Table3[Category])</f>
        <v>Low Balance</v>
      </c>
      <c r="P710" s="10" t="s">
        <v>32</v>
      </c>
      <c r="Q710" s="13" t="str">
        <f>_xlfn.XLOOKUP(Table1[[#This Row],[Saving_Acct_Status]],Table5[Saving_Acct_Original],Table5[Category])</f>
        <v>Low Savings</v>
      </c>
      <c r="R710" t="s">
        <v>27</v>
      </c>
      <c r="S710" s="2" t="str">
        <f>IF(
      OR(Table1[[#This Row],[Job_Type]] = "high qualif/self emp/mgmt", Table1[[#This Row],[Job_Type]] = "skilled"),
      "Skilled", "Unskilled")</f>
        <v>Unskilled</v>
      </c>
      <c r="T710" t="str">
        <f>IF(Table1[[#This Row],[Job_Type]] = "unemp/unskilled non res", "Unemployed", "Employed")</f>
        <v>Employed</v>
      </c>
      <c r="U710" t="s">
        <v>38</v>
      </c>
      <c r="V710" s="14" t="str" cm="1">
        <f t="array" ref="V71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10" t="s">
        <v>31</v>
      </c>
      <c r="X710" s="2" t="str">
        <f>_xlfn.XLOOKUP(Table1[[#This Row],[Loan_Credit_History]],Table4[Credit History],Table4[[ Category]])</f>
        <v>Existing Credits Paid</v>
      </c>
      <c r="Y710" s="3">
        <v>4</v>
      </c>
      <c r="Z710" s="3">
        <v>1</v>
      </c>
      <c r="AA710" s="5">
        <v>888</v>
      </c>
      <c r="AB710" t="s">
        <v>151</v>
      </c>
      <c r="AC710" s="2" t="str" cm="1">
        <f t="array" ref="AC710">_xlfn.IFS(Table1[[#This Row],[Others_Parties]] = "No", "None",
Table1[[#This Row],[Others_Parties]] = "co applicant", "Co-applicant",
Table1[[#This Row],[Others_Parties]] = "guarantor", "Guarantor")</f>
        <v>None</v>
      </c>
      <c r="AD710" s="13" t="s">
        <v>146</v>
      </c>
      <c r="AE710" s="2" t="s">
        <v>141</v>
      </c>
      <c r="AF710" s="28" t="str" cm="1">
        <f t="array" ref="AF71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10" s="21">
        <v>12</v>
      </c>
      <c r="AH710" s="2" t="s">
        <v>153</v>
      </c>
      <c r="AI710"/>
      <c r="AZ710"/>
      <c r="BC710"/>
      <c r="BE710"/>
      <c r="BL710"/>
      <c r="BZ710"/>
      <c r="CA710"/>
      <c r="CF710"/>
      <c r="CG710"/>
      <c r="CH710"/>
      <c r="CI710"/>
      <c r="CK710"/>
      <c r="CN710"/>
    </row>
    <row r="711" spans="1:92" x14ac:dyDescent="0.3">
      <c r="A711" s="4">
        <v>709</v>
      </c>
      <c r="B711" s="11">
        <v>23</v>
      </c>
      <c r="C711" s="2" t="str">
        <f>_xlfn.XLOOKUP(Table1[[#This Row],[Age]],Table7[Start_Age],Table7[Age_Range],,-1)</f>
        <v>19-29</v>
      </c>
      <c r="D711" t="s">
        <v>134</v>
      </c>
      <c r="E711" s="2" t="s">
        <v>129</v>
      </c>
      <c r="F711" s="2" t="s">
        <v>135</v>
      </c>
      <c r="G711" s="3">
        <v>1</v>
      </c>
      <c r="H711" s="13" t="s">
        <v>152</v>
      </c>
      <c r="I711" s="2" t="str" cm="1">
        <f t="array" ref="I711">_xlfn.IFS(Table1[[#This Row],[Job_Type]] = "unskilled resident", "Resident",
Table1[[#This Row],[Job_Type]] = "unemp/unskilled non res", "Non-resident",
TRUE, "Unknown")</f>
        <v>Unknown</v>
      </c>
      <c r="J711" s="2" t="s">
        <v>148</v>
      </c>
      <c r="K711" s="3">
        <v>2</v>
      </c>
      <c r="L711" s="2" t="s">
        <v>140</v>
      </c>
      <c r="M711" s="13" t="s">
        <v>151</v>
      </c>
      <c r="N711" t="s">
        <v>35</v>
      </c>
      <c r="O711" s="2" t="str">
        <f>_xlfn.XLOOKUP(Table1[[#This Row],[Checking_Acct_Status]],Table3[Checking_Acct_Original],Table3[Category])</f>
        <v>Negative Balance</v>
      </c>
      <c r="P711" s="10" t="s">
        <v>47</v>
      </c>
      <c r="Q711" s="13" t="str">
        <f>_xlfn.XLOOKUP(Table1[[#This Row],[Saving_Acct_Status]],Table5[Saving_Acct_Original],Table5[Category])</f>
        <v>No Savings</v>
      </c>
      <c r="R711" t="s">
        <v>41</v>
      </c>
      <c r="S711" s="2" t="str">
        <f>IF(
      OR(Table1[[#This Row],[Job_Type]] = "high qualif/self emp/mgmt", Table1[[#This Row],[Job_Type]] = "skilled"),
      "Skilled", "Unskilled")</f>
        <v>Skilled</v>
      </c>
      <c r="T711" t="str">
        <f>IF(Table1[[#This Row],[Job_Type]] = "unemp/unskilled non res", "Unemployed", "Employed")</f>
        <v>Employed</v>
      </c>
      <c r="U711" t="s">
        <v>21</v>
      </c>
      <c r="V711" s="14" t="str" cm="1">
        <f t="array" ref="V71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11" t="s">
        <v>31</v>
      </c>
      <c r="X711" s="2" t="str">
        <f>_xlfn.XLOOKUP(Table1[[#This Row],[Loan_Credit_History]],Table4[Credit History],Table4[[ Category]])</f>
        <v>Existing Credits Paid</v>
      </c>
      <c r="Y711" s="3">
        <v>4</v>
      </c>
      <c r="Z711" s="3">
        <v>1</v>
      </c>
      <c r="AA711" s="5">
        <v>900</v>
      </c>
      <c r="AB711" t="s">
        <v>151</v>
      </c>
      <c r="AC711" s="2" t="str" cm="1">
        <f t="array" ref="AC711">_xlfn.IFS(Table1[[#This Row],[Others_Parties]] = "No", "None",
Table1[[#This Row],[Others_Parties]] = "co applicant", "Co-applicant",
Table1[[#This Row],[Others_Parties]] = "guarantor", "Guarantor")</f>
        <v>None</v>
      </c>
      <c r="AD711" s="13" t="s">
        <v>145</v>
      </c>
      <c r="AE711" s="2" t="s">
        <v>141</v>
      </c>
      <c r="AF711" s="28" t="str" cm="1">
        <f t="array" ref="AF71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11" s="21">
        <v>12</v>
      </c>
      <c r="AH711" s="2" t="s">
        <v>153</v>
      </c>
      <c r="AI711"/>
      <c r="AZ711"/>
      <c r="BC711"/>
      <c r="BE711"/>
      <c r="BL711"/>
      <c r="BZ711"/>
      <c r="CA711"/>
      <c r="CF711"/>
      <c r="CG711"/>
      <c r="CH711"/>
      <c r="CI711"/>
      <c r="CK711"/>
      <c r="CN711"/>
    </row>
    <row r="712" spans="1:92" x14ac:dyDescent="0.3">
      <c r="A712" s="4">
        <v>710</v>
      </c>
      <c r="B712" s="11">
        <v>21</v>
      </c>
      <c r="C712" s="2" t="str">
        <f>_xlfn.XLOOKUP(Table1[[#This Row],[Age]],Table7[Start_Age],Table7[Age_Range],,-1)</f>
        <v>19-29</v>
      </c>
      <c r="D712" t="s">
        <v>134</v>
      </c>
      <c r="E712" s="2" t="s">
        <v>129</v>
      </c>
      <c r="F712" s="2" t="s">
        <v>135</v>
      </c>
      <c r="G712" s="3">
        <v>1</v>
      </c>
      <c r="H712" s="13" t="s">
        <v>152</v>
      </c>
      <c r="I712" s="2" t="str" cm="1">
        <f t="array" ref="I712">_xlfn.IFS(Table1[[#This Row],[Job_Type]] = "unskilled resident", "Resident",
Table1[[#This Row],[Job_Type]] = "unemp/unskilled non res", "Non-resident",
TRUE, "Unknown")</f>
        <v>Unknown</v>
      </c>
      <c r="J712" s="2" t="s">
        <v>149</v>
      </c>
      <c r="K712" s="3">
        <v>4</v>
      </c>
      <c r="L712" s="2" t="s">
        <v>143</v>
      </c>
      <c r="M712" s="13" t="s">
        <v>151</v>
      </c>
      <c r="N712" t="s">
        <v>35</v>
      </c>
      <c r="O712" s="2" t="str">
        <f>_xlfn.XLOOKUP(Table1[[#This Row],[Checking_Acct_Status]],Table3[Checking_Acct_Original],Table3[Category])</f>
        <v>Negative Balance</v>
      </c>
      <c r="P712" s="10" t="s">
        <v>32</v>
      </c>
      <c r="Q712" s="13" t="str">
        <f>_xlfn.XLOOKUP(Table1[[#This Row],[Saving_Acct_Status]],Table5[Saving_Acct_Original],Table5[Category])</f>
        <v>Low Savings</v>
      </c>
      <c r="R712" t="s">
        <v>41</v>
      </c>
      <c r="S712" s="2" t="str">
        <f>IF(
      OR(Table1[[#This Row],[Job_Type]] = "high qualif/self emp/mgmt", Table1[[#This Row],[Job_Type]] = "skilled"),
      "Skilled", "Unskilled")</f>
        <v>Skilled</v>
      </c>
      <c r="T712" t="str">
        <f>IF(Table1[[#This Row],[Job_Type]] = "unemp/unskilled non res", "Unemployed", "Employed")</f>
        <v>Employed</v>
      </c>
      <c r="U712" t="s">
        <v>49</v>
      </c>
      <c r="V712" s="14" t="str" cm="1">
        <f t="array" ref="V71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12" t="s">
        <v>31</v>
      </c>
      <c r="X712" s="2" t="str">
        <f>_xlfn.XLOOKUP(Table1[[#This Row],[Loan_Credit_History]],Table4[Credit History],Table4[[ Category]])</f>
        <v>Existing Credits Paid</v>
      </c>
      <c r="Y712" s="3">
        <v>4</v>
      </c>
      <c r="Z712" s="3">
        <v>1</v>
      </c>
      <c r="AA712" s="5">
        <v>902</v>
      </c>
      <c r="AB712" t="s">
        <v>151</v>
      </c>
      <c r="AC712" s="2" t="str" cm="1">
        <f t="array" ref="AC712">_xlfn.IFS(Table1[[#This Row],[Others_Parties]] = "No", "None",
Table1[[#This Row],[Others_Parties]] = "co applicant", "Co-applicant",
Table1[[#This Row],[Others_Parties]] = "guarantor", "Guarantor")</f>
        <v>None</v>
      </c>
      <c r="AD712" s="13" t="s">
        <v>145</v>
      </c>
      <c r="AE712" s="2" t="s">
        <v>110</v>
      </c>
      <c r="AF712" s="28" t="str" cm="1">
        <f t="array" ref="AF71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12" s="21">
        <v>12</v>
      </c>
      <c r="AH712" s="2" t="s">
        <v>153</v>
      </c>
      <c r="AI712"/>
      <c r="AZ712"/>
      <c r="BC712"/>
      <c r="BE712"/>
      <c r="BL712"/>
      <c r="BZ712"/>
      <c r="CA712"/>
      <c r="CF712"/>
      <c r="CG712"/>
      <c r="CH712"/>
      <c r="CI712"/>
      <c r="CK712"/>
      <c r="CN712"/>
    </row>
    <row r="713" spans="1:92" x14ac:dyDescent="0.3">
      <c r="A713" s="4">
        <v>711</v>
      </c>
      <c r="B713" s="11">
        <v>38</v>
      </c>
      <c r="C713" s="2" t="str">
        <f>_xlfn.XLOOKUP(Table1[[#This Row],[Age]],Table7[Start_Age],Table7[Age_Range],,-1)</f>
        <v>29-39</v>
      </c>
      <c r="D713" t="s">
        <v>136</v>
      </c>
      <c r="E713" s="2" t="s">
        <v>131</v>
      </c>
      <c r="F713" s="2" t="s">
        <v>137</v>
      </c>
      <c r="G713" s="3">
        <v>1</v>
      </c>
      <c r="H713" s="13" t="s">
        <v>152</v>
      </c>
      <c r="I713" s="2" t="str" cm="1">
        <f t="array" ref="I713">_xlfn.IFS(Table1[[#This Row],[Job_Type]] = "unskilled resident", "Resident",
Table1[[#This Row],[Job_Type]] = "unemp/unskilled non res", "Non-resident",
TRUE, "Unknown")</f>
        <v>Non-resident</v>
      </c>
      <c r="J713" s="2" t="s">
        <v>148</v>
      </c>
      <c r="K713" s="3">
        <v>2</v>
      </c>
      <c r="L713" s="2" t="s">
        <v>143</v>
      </c>
      <c r="M713" s="13" t="s">
        <v>151</v>
      </c>
      <c r="N713" t="s">
        <v>17</v>
      </c>
      <c r="O713" s="2" t="str">
        <f>_xlfn.XLOOKUP(Table1[[#This Row],[Checking_Acct_Status]],Table3[Checking_Acct_Original],Table3[Category])</f>
        <v>No Account</v>
      </c>
      <c r="P713" s="10" t="s">
        <v>32</v>
      </c>
      <c r="Q713" s="13" t="str">
        <f>_xlfn.XLOOKUP(Table1[[#This Row],[Saving_Acct_Status]],Table5[Saving_Acct_Original],Table5[Category])</f>
        <v>Low Savings</v>
      </c>
      <c r="R713" t="s">
        <v>62</v>
      </c>
      <c r="S713" s="2" t="str">
        <f>IF(
      OR(Table1[[#This Row],[Job_Type]] = "high qualif/self emp/mgmt", Table1[[#This Row],[Job_Type]] = "skilled"),
      "Skilled", "Unskilled")</f>
        <v>Unskilled</v>
      </c>
      <c r="T713" t="str">
        <f>IF(Table1[[#This Row],[Job_Type]] = "unemp/unskilled non res", "Unemployed", "Employed")</f>
        <v>Unemployed</v>
      </c>
      <c r="U713" t="s">
        <v>54</v>
      </c>
      <c r="V713" s="14" t="str" cm="1">
        <f t="array" ref="V713">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713" t="s">
        <v>103</v>
      </c>
      <c r="X713" s="2" t="str">
        <f>_xlfn.XLOOKUP(Table1[[#This Row],[Loan_Credit_History]],Table4[Credit History],Table4[[ Category]])</f>
        <v>Critical Credit History</v>
      </c>
      <c r="Y713" s="3">
        <v>1</v>
      </c>
      <c r="Z713" s="3">
        <v>1</v>
      </c>
      <c r="AA713" s="5">
        <v>926</v>
      </c>
      <c r="AB713" t="s">
        <v>151</v>
      </c>
      <c r="AC713" s="2" t="str" cm="1">
        <f t="array" ref="AC713">_xlfn.IFS(Table1[[#This Row],[Others_Parties]] = "No", "None",
Table1[[#This Row],[Others_Parties]] = "co applicant", "Co-applicant",
Table1[[#This Row],[Others_Parties]] = "guarantor", "Guarantor")</f>
        <v>None</v>
      </c>
      <c r="AD713" s="13" t="s">
        <v>145</v>
      </c>
      <c r="AE713" s="2" t="s">
        <v>141</v>
      </c>
      <c r="AF713" s="28" t="str" cm="1">
        <f t="array" ref="AF71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13" s="21">
        <v>12</v>
      </c>
      <c r="AH713" s="2" t="s">
        <v>154</v>
      </c>
      <c r="AI713"/>
      <c r="AZ713"/>
      <c r="BC713"/>
      <c r="BE713"/>
      <c r="BL713"/>
      <c r="BZ713"/>
      <c r="CA713"/>
      <c r="CF713"/>
      <c r="CG713"/>
      <c r="CH713"/>
      <c r="CI713"/>
      <c r="CK713"/>
      <c r="CN713"/>
    </row>
    <row r="714" spans="1:92" x14ac:dyDescent="0.3">
      <c r="A714" s="4">
        <v>712</v>
      </c>
      <c r="B714" s="11">
        <v>65</v>
      </c>
      <c r="C714" s="2" t="str">
        <f>_xlfn.XLOOKUP(Table1[[#This Row],[Age]],Table7[Start_Age],Table7[Age_Range],,-1)</f>
        <v>59-69</v>
      </c>
      <c r="D714" t="s">
        <v>130</v>
      </c>
      <c r="E714" s="2" t="s">
        <v>129</v>
      </c>
      <c r="F714" s="2" t="s">
        <v>133</v>
      </c>
      <c r="G714" s="3">
        <v>1</v>
      </c>
      <c r="H714" s="13" t="s">
        <v>152</v>
      </c>
      <c r="I714" s="2" t="str" cm="1">
        <f t="array" ref="I714">_xlfn.IFS(Table1[[#This Row],[Job_Type]] = "unskilled resident", "Resident",
Table1[[#This Row],[Job_Type]] = "unemp/unskilled non res", "Non-resident",
TRUE, "Unknown")</f>
        <v>Unknown</v>
      </c>
      <c r="J714" s="2" t="s">
        <v>148</v>
      </c>
      <c r="K714" s="3">
        <v>4</v>
      </c>
      <c r="L714" s="2" t="s">
        <v>144</v>
      </c>
      <c r="M714" s="13" t="s">
        <v>151</v>
      </c>
      <c r="N714" t="s">
        <v>17</v>
      </c>
      <c r="O714" s="2" t="str">
        <f>_xlfn.XLOOKUP(Table1[[#This Row],[Checking_Acct_Status]],Table3[Checking_Acct_Original],Table3[Category])</f>
        <v>No Account</v>
      </c>
      <c r="P714" s="10" t="s">
        <v>47</v>
      </c>
      <c r="Q714" s="13" t="str">
        <f>_xlfn.XLOOKUP(Table1[[#This Row],[Saving_Acct_Status]],Table5[Saving_Acct_Original],Table5[Category])</f>
        <v>No Savings</v>
      </c>
      <c r="R714" t="s">
        <v>41</v>
      </c>
      <c r="S714" s="2" t="str">
        <f>IF(
      OR(Table1[[#This Row],[Job_Type]] = "high qualif/self emp/mgmt", Table1[[#This Row],[Job_Type]] = "skilled"),
      "Skilled", "Unskilled")</f>
        <v>Skilled</v>
      </c>
      <c r="T714" t="str">
        <f>IF(Table1[[#This Row],[Job_Type]] = "unemp/unskilled non res", "Unemployed", "Employed")</f>
        <v>Employed</v>
      </c>
      <c r="U714" t="s">
        <v>38</v>
      </c>
      <c r="V714" s="14" t="str" cm="1">
        <f t="array" ref="V71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14" t="s">
        <v>103</v>
      </c>
      <c r="X714" s="2" t="str">
        <f>_xlfn.XLOOKUP(Table1[[#This Row],[Loan_Credit_History]],Table4[Credit History],Table4[[ Category]])</f>
        <v>Critical Credit History</v>
      </c>
      <c r="Y714" s="3">
        <v>4</v>
      </c>
      <c r="Z714" s="3">
        <v>4</v>
      </c>
      <c r="AA714" s="5">
        <v>930</v>
      </c>
      <c r="AB714" t="s">
        <v>151</v>
      </c>
      <c r="AC714" s="2" t="str" cm="1">
        <f t="array" ref="AC714">_xlfn.IFS(Table1[[#This Row],[Others_Parties]] = "No", "None",
Table1[[#This Row],[Others_Parties]] = "co applicant", "Co-applicant",
Table1[[#This Row],[Others_Parties]] = "guarantor", "Guarantor")</f>
        <v>None</v>
      </c>
      <c r="AD714" s="13" t="s">
        <v>145</v>
      </c>
      <c r="AE714" s="2" t="s">
        <v>111</v>
      </c>
      <c r="AF714" s="28" t="str" cm="1">
        <f t="array" ref="AF71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14" s="21">
        <v>12</v>
      </c>
      <c r="AH714" s="2" t="s">
        <v>154</v>
      </c>
      <c r="AI714"/>
      <c r="AZ714"/>
      <c r="BC714"/>
      <c r="BE714"/>
      <c r="BL714"/>
      <c r="BZ714"/>
      <c r="CA714"/>
      <c r="CF714"/>
      <c r="CG714"/>
      <c r="CH714"/>
      <c r="CI714"/>
      <c r="CK714"/>
      <c r="CN714"/>
    </row>
    <row r="715" spans="1:92" x14ac:dyDescent="0.3">
      <c r="A715" s="4">
        <v>713</v>
      </c>
      <c r="B715" s="11">
        <v>28</v>
      </c>
      <c r="C715" s="2" t="str">
        <f>_xlfn.XLOOKUP(Table1[[#This Row],[Age]],Table7[Start_Age],Table7[Age_Range],,-1)</f>
        <v>19-29</v>
      </c>
      <c r="D715" t="s">
        <v>134</v>
      </c>
      <c r="E715" s="2" t="s">
        <v>129</v>
      </c>
      <c r="F715" s="2" t="s">
        <v>135</v>
      </c>
      <c r="G715" s="3">
        <v>1</v>
      </c>
      <c r="H715" s="13" t="s">
        <v>152</v>
      </c>
      <c r="I715" s="2" t="str" cm="1">
        <f t="array" ref="I715">_xlfn.IFS(Table1[[#This Row],[Job_Type]] = "unskilled resident", "Resident",
Table1[[#This Row],[Job_Type]] = "unemp/unskilled non res", "Non-resident",
TRUE, "Unknown")</f>
        <v>Unknown</v>
      </c>
      <c r="J715" s="2" t="s">
        <v>148</v>
      </c>
      <c r="K715" s="3">
        <v>2</v>
      </c>
      <c r="L715" s="2" t="s">
        <v>144</v>
      </c>
      <c r="M715" s="13" t="s">
        <v>152</v>
      </c>
      <c r="N715" t="s">
        <v>50</v>
      </c>
      <c r="O715" s="2" t="str">
        <f>_xlfn.XLOOKUP(Table1[[#This Row],[Checking_Acct_Status]],Table3[Checking_Acct_Original],Table3[Category])</f>
        <v>High Balance</v>
      </c>
      <c r="P715" s="10" t="s">
        <v>37</v>
      </c>
      <c r="Q715" s="13" t="str">
        <f>_xlfn.XLOOKUP(Table1[[#This Row],[Saving_Acct_Status]],Table5[Saving_Acct_Original],Table5[Category])</f>
        <v>High Savings</v>
      </c>
      <c r="R715" t="s">
        <v>41</v>
      </c>
      <c r="S715" s="2" t="str">
        <f>IF(
      OR(Table1[[#This Row],[Job_Type]] = "high qualif/self emp/mgmt", Table1[[#This Row],[Job_Type]] = "skilled"),
      "Skilled", "Unskilled")</f>
        <v>Skilled</v>
      </c>
      <c r="T715" t="str">
        <f>IF(Table1[[#This Row],[Job_Type]] = "unemp/unskilled non res", "Unemployed", "Employed")</f>
        <v>Employed</v>
      </c>
      <c r="U715" t="s">
        <v>49</v>
      </c>
      <c r="V715" s="14" t="str" cm="1">
        <f t="array" ref="V71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15" t="s">
        <v>103</v>
      </c>
      <c r="X715" s="2" t="str">
        <f>_xlfn.XLOOKUP(Table1[[#This Row],[Loan_Credit_History]],Table4[Credit History],Table4[[ Category]])</f>
        <v>Critical Credit History</v>
      </c>
      <c r="Y715" s="3">
        <v>4</v>
      </c>
      <c r="Z715" s="3">
        <v>3</v>
      </c>
      <c r="AA715" s="5">
        <v>939</v>
      </c>
      <c r="AB715" t="s">
        <v>151</v>
      </c>
      <c r="AC715" s="2" t="str" cm="1">
        <f t="array" ref="AC715">_xlfn.IFS(Table1[[#This Row],[Others_Parties]] = "No", "None",
Table1[[#This Row],[Others_Parties]] = "co applicant", "Co-applicant",
Table1[[#This Row],[Others_Parties]] = "guarantor", "Guarantor")</f>
        <v>None</v>
      </c>
      <c r="AD715" s="13" t="s">
        <v>145</v>
      </c>
      <c r="AE715" s="2" t="s">
        <v>141</v>
      </c>
      <c r="AF715" s="28" t="str" cm="1">
        <f t="array" ref="AF71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15" s="21">
        <v>12</v>
      </c>
      <c r="AH715" s="2" t="s">
        <v>153</v>
      </c>
      <c r="AI715"/>
      <c r="AZ715"/>
      <c r="BC715"/>
      <c r="BE715"/>
      <c r="BL715"/>
      <c r="BZ715"/>
      <c r="CA715"/>
      <c r="CF715"/>
      <c r="CG715"/>
      <c r="CH715"/>
      <c r="CI715"/>
      <c r="CK715"/>
      <c r="CN715"/>
    </row>
    <row r="716" spans="1:92" x14ac:dyDescent="0.3">
      <c r="A716" s="4">
        <v>714</v>
      </c>
      <c r="B716" s="11">
        <v>27</v>
      </c>
      <c r="C716" s="2" t="str">
        <f>_xlfn.XLOOKUP(Table1[[#This Row],[Age]],Table7[Start_Age],Table7[Age_Range],,-1)</f>
        <v>19-29</v>
      </c>
      <c r="D716" t="s">
        <v>136</v>
      </c>
      <c r="E716" s="2" t="s">
        <v>131</v>
      </c>
      <c r="F716" s="2" t="s">
        <v>137</v>
      </c>
      <c r="G716" s="3">
        <v>1</v>
      </c>
      <c r="H716" s="13" t="s">
        <v>152</v>
      </c>
      <c r="I716" s="2" t="str" cm="1">
        <f t="array" ref="I716">_xlfn.IFS(Table1[[#This Row],[Job_Type]] = "unskilled resident", "Resident",
Table1[[#This Row],[Job_Type]] = "unemp/unskilled non res", "Non-resident",
TRUE, "Unknown")</f>
        <v>Unknown</v>
      </c>
      <c r="J716" s="2" t="s">
        <v>149</v>
      </c>
      <c r="K716" s="3">
        <v>4</v>
      </c>
      <c r="L716" s="2" t="s">
        <v>140</v>
      </c>
      <c r="M716" s="13" t="s">
        <v>151</v>
      </c>
      <c r="N716" t="s">
        <v>30</v>
      </c>
      <c r="O716" s="2" t="str">
        <f>_xlfn.XLOOKUP(Table1[[#This Row],[Checking_Acct_Status]],Table3[Checking_Acct_Original],Table3[Category])</f>
        <v>Low Balance</v>
      </c>
      <c r="P716" s="10" t="s">
        <v>46</v>
      </c>
      <c r="Q716" s="13" t="str">
        <f>_xlfn.XLOOKUP(Table1[[#This Row],[Saving_Acct_Status]],Table5[Saving_Acct_Original],Table5[Category])</f>
        <v>Medium Savings</v>
      </c>
      <c r="R716" t="s">
        <v>41</v>
      </c>
      <c r="S716" s="2" t="str">
        <f>IF(
      OR(Table1[[#This Row],[Job_Type]] = "high qualif/self emp/mgmt", Table1[[#This Row],[Job_Type]] = "skilled"),
      "Skilled", "Unskilled")</f>
        <v>Skilled</v>
      </c>
      <c r="T716" t="str">
        <f>IF(Table1[[#This Row],[Job_Type]] = "unemp/unskilled non res", "Unemployed", "Employed")</f>
        <v>Employed</v>
      </c>
      <c r="U716" t="s">
        <v>45</v>
      </c>
      <c r="V716" s="14" t="str" cm="1">
        <f t="array" ref="V71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16" t="s">
        <v>31</v>
      </c>
      <c r="X716" s="2" t="str">
        <f>_xlfn.XLOOKUP(Table1[[#This Row],[Loan_Credit_History]],Table4[Credit History],Table4[[ Category]])</f>
        <v>Existing Credits Paid</v>
      </c>
      <c r="Y716" s="3">
        <v>4</v>
      </c>
      <c r="Z716" s="3">
        <v>4</v>
      </c>
      <c r="AA716" s="5">
        <v>951</v>
      </c>
      <c r="AB716" t="s">
        <v>151</v>
      </c>
      <c r="AC716" s="2" t="str" cm="1">
        <f t="array" ref="AC716">_xlfn.IFS(Table1[[#This Row],[Others_Parties]] = "No", "None",
Table1[[#This Row],[Others_Parties]] = "co applicant", "Co-applicant",
Table1[[#This Row],[Others_Parties]] = "guarantor", "Guarantor")</f>
        <v>None</v>
      </c>
      <c r="AD716" s="13" t="s">
        <v>146</v>
      </c>
      <c r="AE716" s="2" t="s">
        <v>108</v>
      </c>
      <c r="AF716" s="28" t="str" cm="1">
        <f t="array" ref="AF71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16" s="21">
        <v>12</v>
      </c>
      <c r="AH716" s="2" t="s">
        <v>153</v>
      </c>
      <c r="AI716"/>
      <c r="AZ716"/>
      <c r="BC716"/>
      <c r="BE716"/>
      <c r="BL716"/>
      <c r="BZ716"/>
      <c r="CA716"/>
      <c r="CF716"/>
      <c r="CG716"/>
      <c r="CH716"/>
      <c r="CI716"/>
      <c r="CK716"/>
      <c r="CN716"/>
    </row>
    <row r="717" spans="1:92" x14ac:dyDescent="0.3">
      <c r="A717" s="4">
        <v>715</v>
      </c>
      <c r="B717" s="11">
        <v>47</v>
      </c>
      <c r="C717" s="2" t="str">
        <f>_xlfn.XLOOKUP(Table1[[#This Row],[Age]],Table7[Start_Age],Table7[Age_Range],,-1)</f>
        <v>39-49</v>
      </c>
      <c r="D717" t="s">
        <v>130</v>
      </c>
      <c r="E717" s="2" t="s">
        <v>129</v>
      </c>
      <c r="F717" s="2" t="s">
        <v>133</v>
      </c>
      <c r="G717" s="3">
        <v>2</v>
      </c>
      <c r="H717" s="13" t="s">
        <v>152</v>
      </c>
      <c r="I717" s="2" t="str" cm="1">
        <f t="array" ref="I717">_xlfn.IFS(Table1[[#This Row],[Job_Type]] = "unskilled resident", "Resident",
Table1[[#This Row],[Job_Type]] = "unemp/unskilled non res", "Non-resident",
TRUE, "Unknown")</f>
        <v>Resident</v>
      </c>
      <c r="J717" s="2" t="s">
        <v>148</v>
      </c>
      <c r="K717" s="3">
        <v>3</v>
      </c>
      <c r="L717" s="2" t="s">
        <v>144</v>
      </c>
      <c r="M717" s="13" t="s">
        <v>151</v>
      </c>
      <c r="N717" t="s">
        <v>30</v>
      </c>
      <c r="O717" s="2" t="str">
        <f>_xlfn.XLOOKUP(Table1[[#This Row],[Checking_Acct_Status]],Table3[Checking_Acct_Original],Table3[Category])</f>
        <v>Low Balance</v>
      </c>
      <c r="P717" s="10" t="s">
        <v>32</v>
      </c>
      <c r="Q717" s="13" t="str">
        <f>_xlfn.XLOOKUP(Table1[[#This Row],[Saving_Acct_Status]],Table5[Saving_Acct_Original],Table5[Category])</f>
        <v>Low Savings</v>
      </c>
      <c r="R717" t="s">
        <v>27</v>
      </c>
      <c r="S717" s="2" t="str">
        <f>IF(
      OR(Table1[[#This Row],[Job_Type]] = "high qualif/self emp/mgmt", Table1[[#This Row],[Job_Type]] = "skilled"),
      "Skilled", "Unskilled")</f>
        <v>Unskilled</v>
      </c>
      <c r="T717" t="str">
        <f>IF(Table1[[#This Row],[Job_Type]] = "unemp/unskilled non res", "Unemployed", "Employed")</f>
        <v>Employed</v>
      </c>
      <c r="U717" t="s">
        <v>49</v>
      </c>
      <c r="V717" s="14" t="str" cm="1">
        <f t="array" ref="V71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17" t="s">
        <v>103</v>
      </c>
      <c r="X717" s="2" t="str">
        <f>_xlfn.XLOOKUP(Table1[[#This Row],[Loan_Credit_History]],Table4[Credit History],Table4[[ Category]])</f>
        <v>Critical Credit History</v>
      </c>
      <c r="Y717" s="3">
        <v>2</v>
      </c>
      <c r="Z717" s="3">
        <v>2</v>
      </c>
      <c r="AA717" s="5">
        <v>958</v>
      </c>
      <c r="AB717" t="s">
        <v>151</v>
      </c>
      <c r="AC717" s="2" t="str" cm="1">
        <f t="array" ref="AC717">_xlfn.IFS(Table1[[#This Row],[Others_Parties]] = "No", "None",
Table1[[#This Row],[Others_Parties]] = "co applicant", "Co-applicant",
Table1[[#This Row],[Others_Parties]] = "guarantor", "Guarantor")</f>
        <v>None</v>
      </c>
      <c r="AD717" s="13" t="s">
        <v>145</v>
      </c>
      <c r="AE717" s="2" t="s">
        <v>141</v>
      </c>
      <c r="AF717" s="28" t="str" cm="1">
        <f t="array" ref="AF71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17" s="21">
        <v>12</v>
      </c>
      <c r="AH717" s="2" t="s">
        <v>154</v>
      </c>
      <c r="AI717"/>
      <c r="AZ717"/>
      <c r="BC717"/>
      <c r="BE717"/>
      <c r="BL717"/>
      <c r="BZ717"/>
      <c r="CA717"/>
      <c r="CF717"/>
      <c r="CG717"/>
      <c r="CH717"/>
      <c r="CI717"/>
      <c r="CK717"/>
      <c r="CN717"/>
    </row>
    <row r="718" spans="1:92" x14ac:dyDescent="0.3">
      <c r="A718" s="4">
        <v>716</v>
      </c>
      <c r="B718" s="11">
        <v>35</v>
      </c>
      <c r="C718" s="2" t="str">
        <f>_xlfn.XLOOKUP(Table1[[#This Row],[Age]],Table7[Start_Age],Table7[Age_Range],,-1)</f>
        <v>29-39</v>
      </c>
      <c r="D718" t="s">
        <v>130</v>
      </c>
      <c r="E718" s="2" t="s">
        <v>129</v>
      </c>
      <c r="F718" s="2" t="s">
        <v>133</v>
      </c>
      <c r="G718" s="3">
        <v>1</v>
      </c>
      <c r="H718" s="13" t="s">
        <v>152</v>
      </c>
      <c r="I718" s="2" t="str" cm="1">
        <f t="array" ref="I718">_xlfn.IFS(Table1[[#This Row],[Job_Type]] = "unskilled resident", "Resident",
Table1[[#This Row],[Job_Type]] = "unemp/unskilled non res", "Non-resident",
TRUE, "Unknown")</f>
        <v>Unknown</v>
      </c>
      <c r="J718" s="2" t="s">
        <v>148</v>
      </c>
      <c r="K718" s="3">
        <v>4</v>
      </c>
      <c r="L718" s="2" t="s">
        <v>140</v>
      </c>
      <c r="M718" s="13" t="s">
        <v>151</v>
      </c>
      <c r="N718" t="s">
        <v>17</v>
      </c>
      <c r="O718" s="2" t="str">
        <f>_xlfn.XLOOKUP(Table1[[#This Row],[Checking_Acct_Status]],Table3[Checking_Acct_Original],Table3[Category])</f>
        <v>No Account</v>
      </c>
      <c r="P718" s="10" t="s">
        <v>47</v>
      </c>
      <c r="Q718" s="13" t="str">
        <f>_xlfn.XLOOKUP(Table1[[#This Row],[Saving_Acct_Status]],Table5[Saving_Acct_Original],Table5[Category])</f>
        <v>No Savings</v>
      </c>
      <c r="R718" t="s">
        <v>41</v>
      </c>
      <c r="S718" s="2" t="str">
        <f>IF(
      OR(Table1[[#This Row],[Job_Type]] = "high qualif/self emp/mgmt", Table1[[#This Row],[Job_Type]] = "skilled"),
      "Skilled", "Unskilled")</f>
        <v>Skilled</v>
      </c>
      <c r="T718" t="str">
        <f>IF(Table1[[#This Row],[Job_Type]] = "unemp/unskilled non res", "Unemployed", "Employed")</f>
        <v>Employed</v>
      </c>
      <c r="U718" t="s">
        <v>38</v>
      </c>
      <c r="V718" s="14" t="str" cm="1">
        <f t="array" ref="V71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18" t="s">
        <v>103</v>
      </c>
      <c r="X718" s="2" t="str">
        <f>_xlfn.XLOOKUP(Table1[[#This Row],[Loan_Credit_History]],Table4[Credit History],Table4[[ Category]])</f>
        <v>Critical Credit History</v>
      </c>
      <c r="Y718" s="3">
        <v>4</v>
      </c>
      <c r="Z718" s="3">
        <v>2</v>
      </c>
      <c r="AA718" s="5">
        <v>976</v>
      </c>
      <c r="AB718" t="s">
        <v>151</v>
      </c>
      <c r="AC718" s="2" t="str" cm="1">
        <f t="array" ref="AC718">_xlfn.IFS(Table1[[#This Row],[Others_Parties]] = "No", "None",
Table1[[#This Row],[Others_Parties]] = "co applicant", "Co-applicant",
Table1[[#This Row],[Others_Parties]] = "guarantor", "Guarantor")</f>
        <v>None</v>
      </c>
      <c r="AD718" s="13" t="s">
        <v>145</v>
      </c>
      <c r="AE718" s="2" t="s">
        <v>111</v>
      </c>
      <c r="AF718" s="28" t="str" cm="1">
        <f t="array" ref="AF71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18" s="21">
        <v>12</v>
      </c>
      <c r="AH718" s="2" t="s">
        <v>154</v>
      </c>
      <c r="AI718"/>
      <c r="AZ718"/>
      <c r="BC718"/>
      <c r="BE718"/>
      <c r="BL718"/>
      <c r="BZ718"/>
      <c r="CA718"/>
      <c r="CF718"/>
      <c r="CG718"/>
      <c r="CH718"/>
      <c r="CI718"/>
      <c r="CK718"/>
      <c r="CN718"/>
    </row>
    <row r="719" spans="1:92" x14ac:dyDescent="0.3">
      <c r="A719" s="4">
        <v>717</v>
      </c>
      <c r="B719" s="11">
        <v>19</v>
      </c>
      <c r="C719" s="2" t="str">
        <f>_xlfn.XLOOKUP(Table1[[#This Row],[Age]],Table7[Start_Age],Table7[Age_Range],,-1)</f>
        <v>19-29</v>
      </c>
      <c r="D719" t="s">
        <v>136</v>
      </c>
      <c r="E719" s="2" t="s">
        <v>131</v>
      </c>
      <c r="F719" s="2" t="s">
        <v>137</v>
      </c>
      <c r="G719" s="3">
        <v>1</v>
      </c>
      <c r="H719" s="13" t="s">
        <v>152</v>
      </c>
      <c r="I719" s="2" t="str" cm="1">
        <f t="array" ref="I719">_xlfn.IFS(Table1[[#This Row],[Job_Type]] = "unskilled resident", "Resident",
Table1[[#This Row],[Job_Type]] = "unemp/unskilled non res", "Non-resident",
TRUE, "Unknown")</f>
        <v>Resident</v>
      </c>
      <c r="J719" s="2" t="s">
        <v>149</v>
      </c>
      <c r="K719" s="3">
        <v>4</v>
      </c>
      <c r="L719" s="2" t="s">
        <v>144</v>
      </c>
      <c r="M719" s="13" t="s">
        <v>151</v>
      </c>
      <c r="N719" t="s">
        <v>30</v>
      </c>
      <c r="O719" s="2" t="str">
        <f>_xlfn.XLOOKUP(Table1[[#This Row],[Checking_Acct_Status]],Table3[Checking_Acct_Original],Table3[Category])</f>
        <v>Low Balance</v>
      </c>
      <c r="P719" s="10" t="s">
        <v>20</v>
      </c>
      <c r="Q719" s="13" t="str">
        <f>_xlfn.XLOOKUP(Table1[[#This Row],[Saving_Acct_Status]],Table5[Saving_Acct_Original],Table5[Category])</f>
        <v>Very High Savings</v>
      </c>
      <c r="R719" t="s">
        <v>27</v>
      </c>
      <c r="S719" s="2" t="str">
        <f>IF(
      OR(Table1[[#This Row],[Job_Type]] = "high qualif/self emp/mgmt", Table1[[#This Row],[Job_Type]] = "skilled"),
      "Skilled", "Unskilled")</f>
        <v>Unskilled</v>
      </c>
      <c r="T719" t="str">
        <f>IF(Table1[[#This Row],[Job_Type]] = "unemp/unskilled non res", "Unemployed", "Employed")</f>
        <v>Employed</v>
      </c>
      <c r="U719" t="s">
        <v>45</v>
      </c>
      <c r="V719" s="14" t="str" cm="1">
        <f t="array" ref="V71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19" t="s">
        <v>31</v>
      </c>
      <c r="X719" s="2" t="str">
        <f>_xlfn.XLOOKUP(Table1[[#This Row],[Loan_Credit_History]],Table4[Credit History],Table4[[ Category]])</f>
        <v>Existing Credits Paid</v>
      </c>
      <c r="Y719" s="3">
        <v>1</v>
      </c>
      <c r="Z719" s="3">
        <v>1</v>
      </c>
      <c r="AA719" s="5">
        <v>983</v>
      </c>
      <c r="AB719" t="s">
        <v>151</v>
      </c>
      <c r="AC719" s="2" t="str" cm="1">
        <f t="array" ref="AC719">_xlfn.IFS(Table1[[#This Row],[Others_Parties]] = "No", "None",
Table1[[#This Row],[Others_Parties]] = "co applicant", "Co-applicant",
Table1[[#This Row],[Others_Parties]] = "guarantor", "Guarantor")</f>
        <v>None</v>
      </c>
      <c r="AD719" s="13" t="s">
        <v>145</v>
      </c>
      <c r="AE719" s="2" t="s">
        <v>108</v>
      </c>
      <c r="AF719" s="28" t="str" cm="1">
        <f t="array" ref="AF71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19" s="21">
        <v>12</v>
      </c>
      <c r="AH719" s="2" t="s">
        <v>154</v>
      </c>
      <c r="AI719"/>
      <c r="AZ719"/>
      <c r="BC719"/>
      <c r="BE719"/>
      <c r="BL719"/>
      <c r="BZ719"/>
      <c r="CA719"/>
      <c r="CF719"/>
      <c r="CG719"/>
      <c r="CH719"/>
      <c r="CI719"/>
      <c r="CK719"/>
      <c r="CN719"/>
    </row>
    <row r="720" spans="1:92" x14ac:dyDescent="0.3">
      <c r="A720" s="4">
        <v>718</v>
      </c>
      <c r="B720" s="11">
        <v>23</v>
      </c>
      <c r="C720" s="2" t="str">
        <f>_xlfn.XLOOKUP(Table1[[#This Row],[Age]],Table7[Start_Age],Table7[Age_Range],,-1)</f>
        <v>19-29</v>
      </c>
      <c r="D720" t="s">
        <v>136</v>
      </c>
      <c r="E720" s="2" t="s">
        <v>131</v>
      </c>
      <c r="F720" s="2" t="s">
        <v>137</v>
      </c>
      <c r="G720" s="3">
        <v>1</v>
      </c>
      <c r="H720" s="13" t="s">
        <v>152</v>
      </c>
      <c r="I720" s="2" t="str" cm="1">
        <f t="array" ref="I720">_xlfn.IFS(Table1[[#This Row],[Job_Type]] = "unskilled resident", "Resident",
Table1[[#This Row],[Job_Type]] = "unemp/unskilled non res", "Non-resident",
TRUE, "Unknown")</f>
        <v>Unknown</v>
      </c>
      <c r="J720" s="2" t="s">
        <v>148</v>
      </c>
      <c r="K720" s="3">
        <v>4</v>
      </c>
      <c r="L720" s="2" t="s">
        <v>144</v>
      </c>
      <c r="M720" s="13" t="s">
        <v>151</v>
      </c>
      <c r="N720" t="s">
        <v>17</v>
      </c>
      <c r="O720" s="2" t="str">
        <f>_xlfn.XLOOKUP(Table1[[#This Row],[Checking_Acct_Status]],Table3[Checking_Acct_Original],Table3[Category])</f>
        <v>No Account</v>
      </c>
      <c r="P720" s="10" t="s">
        <v>47</v>
      </c>
      <c r="Q720" s="13" t="str">
        <f>_xlfn.XLOOKUP(Table1[[#This Row],[Saving_Acct_Status]],Table5[Saving_Acct_Original],Table5[Category])</f>
        <v>No Savings</v>
      </c>
      <c r="R720" t="s">
        <v>41</v>
      </c>
      <c r="S720" s="2" t="str">
        <f>IF(
      OR(Table1[[#This Row],[Job_Type]] = "high qualif/self emp/mgmt", Table1[[#This Row],[Job_Type]] = "skilled"),
      "Skilled", "Unskilled")</f>
        <v>Skilled</v>
      </c>
      <c r="T720" t="str">
        <f>IF(Table1[[#This Row],[Job_Type]] = "unemp/unskilled non res", "Unemployed", "Employed")</f>
        <v>Employed</v>
      </c>
      <c r="U720" t="s">
        <v>49</v>
      </c>
      <c r="V720" s="14" t="str" cm="1">
        <f t="array" ref="V72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20" t="s">
        <v>103</v>
      </c>
      <c r="X720" s="2" t="str">
        <f>_xlfn.XLOOKUP(Table1[[#This Row],[Loan_Credit_History]],Table4[Credit History],Table4[[ Category]])</f>
        <v>Critical Credit History</v>
      </c>
      <c r="Y720" s="3">
        <v>4</v>
      </c>
      <c r="Z720" s="3">
        <v>2</v>
      </c>
      <c r="AA720" s="5">
        <v>996</v>
      </c>
      <c r="AB720" t="s">
        <v>151</v>
      </c>
      <c r="AC720" s="2" t="str" cm="1">
        <f t="array" ref="AC720">_xlfn.IFS(Table1[[#This Row],[Others_Parties]] = "No", "None",
Table1[[#This Row],[Others_Parties]] = "co applicant", "Co-applicant",
Table1[[#This Row],[Others_Parties]] = "guarantor", "Guarantor")</f>
        <v>None</v>
      </c>
      <c r="AD720" s="13" t="s">
        <v>145</v>
      </c>
      <c r="AE720" s="2" t="s">
        <v>109</v>
      </c>
      <c r="AF720" s="28" t="str" cm="1">
        <f t="array" ref="AF72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20" s="21">
        <v>12</v>
      </c>
      <c r="AH720" s="2" t="s">
        <v>154</v>
      </c>
      <c r="AI720"/>
      <c r="AZ720"/>
      <c r="BC720"/>
      <c r="BE720"/>
      <c r="BL720"/>
      <c r="BZ720"/>
      <c r="CA720"/>
      <c r="CF720"/>
      <c r="CG720"/>
      <c r="CH720"/>
      <c r="CI720"/>
      <c r="CK720"/>
      <c r="CN720"/>
    </row>
    <row r="721" spans="1:92" x14ac:dyDescent="0.3">
      <c r="A721" s="4">
        <v>719</v>
      </c>
      <c r="B721" s="11">
        <v>22</v>
      </c>
      <c r="C721" s="2" t="str">
        <f>_xlfn.XLOOKUP(Table1[[#This Row],[Age]],Table7[Start_Age],Table7[Age_Range],,-1)</f>
        <v>19-29</v>
      </c>
      <c r="D721" t="s">
        <v>134</v>
      </c>
      <c r="E721" s="2" t="s">
        <v>129</v>
      </c>
      <c r="F721" s="2" t="s">
        <v>135</v>
      </c>
      <c r="G721" s="3">
        <v>1</v>
      </c>
      <c r="H721" s="13" t="s">
        <v>152</v>
      </c>
      <c r="I721" s="2" t="str" cm="1">
        <f t="array" ref="I721">_xlfn.IFS(Table1[[#This Row],[Job_Type]] = "unskilled resident", "Resident",
Table1[[#This Row],[Job_Type]] = "unemp/unskilled non res", "Non-resident",
TRUE, "Unknown")</f>
        <v>Unknown</v>
      </c>
      <c r="J721" s="2" t="s">
        <v>148</v>
      </c>
      <c r="K721" s="3">
        <v>1</v>
      </c>
      <c r="L721" s="2" t="s">
        <v>144</v>
      </c>
      <c r="M721" s="13" t="s">
        <v>151</v>
      </c>
      <c r="N721" t="s">
        <v>30</v>
      </c>
      <c r="O721" s="2" t="str">
        <f>_xlfn.XLOOKUP(Table1[[#This Row],[Checking_Acct_Status]],Table3[Checking_Acct_Original],Table3[Category])</f>
        <v>Low Balance</v>
      </c>
      <c r="P721" s="10" t="s">
        <v>20</v>
      </c>
      <c r="Q721" s="13" t="str">
        <f>_xlfn.XLOOKUP(Table1[[#This Row],[Saving_Acct_Status]],Table5[Saving_Acct_Original],Table5[Category])</f>
        <v>Very High Savings</v>
      </c>
      <c r="R721" t="s">
        <v>41</v>
      </c>
      <c r="S721" s="2" t="str">
        <f>IF(
      OR(Table1[[#This Row],[Job_Type]] = "high qualif/self emp/mgmt", Table1[[#This Row],[Job_Type]] = "skilled"),
      "Skilled", "Unskilled")</f>
        <v>Skilled</v>
      </c>
      <c r="T721" t="str">
        <f>IF(Table1[[#This Row],[Job_Type]] = "unemp/unskilled non res", "Unemployed", "Employed")</f>
        <v>Employed</v>
      </c>
      <c r="U721" t="s">
        <v>21</v>
      </c>
      <c r="V721" s="14" t="str" cm="1">
        <f t="array" ref="V72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21" t="s">
        <v>31</v>
      </c>
      <c r="X721" s="2" t="str">
        <f>_xlfn.XLOOKUP(Table1[[#This Row],[Loan_Credit_History]],Table4[Credit History],Table4[[ Category]])</f>
        <v>Existing Credits Paid</v>
      </c>
      <c r="Y721" s="3">
        <v>4</v>
      </c>
      <c r="Z721" s="3">
        <v>1</v>
      </c>
      <c r="AA721" s="5">
        <v>1007</v>
      </c>
      <c r="AB721" t="s">
        <v>151</v>
      </c>
      <c r="AC721" s="2" t="str" cm="1">
        <f t="array" ref="AC721">_xlfn.IFS(Table1[[#This Row],[Others_Parties]] = "No", "None",
Table1[[#This Row],[Others_Parties]] = "co applicant", "Co-applicant",
Table1[[#This Row],[Others_Parties]] = "guarantor", "Guarantor")</f>
        <v>None</v>
      </c>
      <c r="AD721" s="13" t="s">
        <v>145</v>
      </c>
      <c r="AE721" s="2" t="s">
        <v>141</v>
      </c>
      <c r="AF721" s="28" t="str" cm="1">
        <f t="array" ref="AF72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21" s="21">
        <v>12</v>
      </c>
      <c r="AH721" s="2" t="s">
        <v>154</v>
      </c>
      <c r="AI721"/>
      <c r="AZ721"/>
      <c r="BC721"/>
      <c r="BE721"/>
      <c r="BL721"/>
      <c r="BZ721"/>
      <c r="CA721"/>
      <c r="CF721"/>
      <c r="CG721"/>
      <c r="CH721"/>
      <c r="CI721"/>
      <c r="CK721"/>
      <c r="CN721"/>
    </row>
    <row r="722" spans="1:92" x14ac:dyDescent="0.3">
      <c r="A722" s="4">
        <v>720</v>
      </c>
      <c r="B722" s="11">
        <v>39</v>
      </c>
      <c r="C722" s="2" t="str">
        <f>_xlfn.XLOOKUP(Table1[[#This Row],[Age]],Table7[Start_Age],Table7[Age_Range],,-1)</f>
        <v>39-49</v>
      </c>
      <c r="D722" t="s">
        <v>130</v>
      </c>
      <c r="E722" s="2" t="s">
        <v>129</v>
      </c>
      <c r="F722" s="2" t="s">
        <v>133</v>
      </c>
      <c r="G722" s="3">
        <v>1</v>
      </c>
      <c r="H722" s="13" t="s">
        <v>152</v>
      </c>
      <c r="I722" s="2" t="str" cm="1">
        <f t="array" ref="I722">_xlfn.IFS(Table1[[#This Row],[Job_Type]] = "unskilled resident", "Resident",
Table1[[#This Row],[Job_Type]] = "unemp/unskilled non res", "Non-resident",
TRUE, "Unknown")</f>
        <v>Resident</v>
      </c>
      <c r="J722" s="2" t="s">
        <v>148</v>
      </c>
      <c r="K722" s="3">
        <v>4</v>
      </c>
      <c r="L722" s="2" t="s">
        <v>144</v>
      </c>
      <c r="M722" s="13" t="s">
        <v>151</v>
      </c>
      <c r="N722" t="s">
        <v>30</v>
      </c>
      <c r="O722" s="2" t="str">
        <f>_xlfn.XLOOKUP(Table1[[#This Row],[Checking_Acct_Status]],Table3[Checking_Acct_Original],Table3[Category])</f>
        <v>Low Balance</v>
      </c>
      <c r="P722" s="10" t="s">
        <v>46</v>
      </c>
      <c r="Q722" s="13" t="str">
        <f>_xlfn.XLOOKUP(Table1[[#This Row],[Saving_Acct_Status]],Table5[Saving_Acct_Original],Table5[Category])</f>
        <v>Medium Savings</v>
      </c>
      <c r="R722" t="s">
        <v>27</v>
      </c>
      <c r="S722" s="2" t="str">
        <f>IF(
      OR(Table1[[#This Row],[Job_Type]] = "high qualif/self emp/mgmt", Table1[[#This Row],[Job_Type]] = "skilled"),
      "Skilled", "Unskilled")</f>
        <v>Unskilled</v>
      </c>
      <c r="T722" t="str">
        <f>IF(Table1[[#This Row],[Job_Type]] = "unemp/unskilled non res", "Unemployed", "Employed")</f>
        <v>Employed</v>
      </c>
      <c r="U722" t="s">
        <v>49</v>
      </c>
      <c r="V722" s="14" t="str" cm="1">
        <f t="array" ref="V72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22" t="s">
        <v>31</v>
      </c>
      <c r="X722" s="2" t="str">
        <f>_xlfn.XLOOKUP(Table1[[#This Row],[Loan_Credit_History]],Table4[Credit History],Table4[[ Category]])</f>
        <v>Existing Credits Paid</v>
      </c>
      <c r="Y722" s="3">
        <v>3</v>
      </c>
      <c r="Z722" s="3">
        <v>1</v>
      </c>
      <c r="AA722" s="5">
        <v>1037</v>
      </c>
      <c r="AB722" t="s">
        <v>151</v>
      </c>
      <c r="AC722" s="2" t="str" cm="1">
        <f t="array" ref="AC722">_xlfn.IFS(Table1[[#This Row],[Others_Parties]] = "No", "None",
Table1[[#This Row],[Others_Parties]] = "co applicant", "Co-applicant",
Table1[[#This Row],[Others_Parties]] = "guarantor", "Guarantor")</f>
        <v>None</v>
      </c>
      <c r="AD722" s="13" t="s">
        <v>145</v>
      </c>
      <c r="AE722" s="2" t="s">
        <v>105</v>
      </c>
      <c r="AF722" s="28" t="str" cm="1">
        <f t="array" ref="AF72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22" s="21">
        <v>12</v>
      </c>
      <c r="AH722" s="2" t="s">
        <v>154</v>
      </c>
      <c r="AI722"/>
      <c r="AZ722"/>
      <c r="BC722"/>
      <c r="BE722"/>
      <c r="BL722"/>
      <c r="BZ722"/>
      <c r="CA722"/>
      <c r="CF722"/>
      <c r="CG722"/>
      <c r="CH722"/>
      <c r="CI722"/>
      <c r="CK722"/>
      <c r="CN722"/>
    </row>
    <row r="723" spans="1:92" x14ac:dyDescent="0.3">
      <c r="A723" s="4">
        <v>721</v>
      </c>
      <c r="B723" s="11">
        <v>48</v>
      </c>
      <c r="C723" s="2" t="str">
        <f>_xlfn.XLOOKUP(Table1[[#This Row],[Age]],Table7[Start_Age],Table7[Age_Range],,-1)</f>
        <v>39-49</v>
      </c>
      <c r="D723" t="s">
        <v>130</v>
      </c>
      <c r="E723" s="2" t="s">
        <v>129</v>
      </c>
      <c r="F723" s="2" t="s">
        <v>133</v>
      </c>
      <c r="G723" s="3">
        <v>1</v>
      </c>
      <c r="H723" s="13" t="s">
        <v>152</v>
      </c>
      <c r="I723" s="2" t="str" cm="1">
        <f t="array" ref="I723">_xlfn.IFS(Table1[[#This Row],[Job_Type]] = "unskilled resident", "Resident",
Table1[[#This Row],[Job_Type]] = "unemp/unskilled non res", "Non-resident",
TRUE, "Unknown")</f>
        <v>Unknown</v>
      </c>
      <c r="J723" s="2" t="s">
        <v>148</v>
      </c>
      <c r="K723" s="3">
        <v>4</v>
      </c>
      <c r="L723" s="2" t="s">
        <v>140</v>
      </c>
      <c r="M723" s="13" t="s">
        <v>151</v>
      </c>
      <c r="N723" t="s">
        <v>35</v>
      </c>
      <c r="O723" s="2" t="str">
        <f>_xlfn.XLOOKUP(Table1[[#This Row],[Checking_Acct_Status]],Table3[Checking_Acct_Original],Table3[Category])</f>
        <v>Negative Balance</v>
      </c>
      <c r="P723" s="10" t="s">
        <v>32</v>
      </c>
      <c r="Q723" s="13" t="str">
        <f>_xlfn.XLOOKUP(Table1[[#This Row],[Saving_Acct_Status]],Table5[Saving_Acct_Original],Table5[Category])</f>
        <v>Low Savings</v>
      </c>
      <c r="R723" t="s">
        <v>41</v>
      </c>
      <c r="S723" s="2" t="str">
        <f>IF(
      OR(Table1[[#This Row],[Job_Type]] = "high qualif/self emp/mgmt", Table1[[#This Row],[Job_Type]] = "skilled"),
      "Skilled", "Unskilled")</f>
        <v>Skilled</v>
      </c>
      <c r="T723" t="str">
        <f>IF(Table1[[#This Row],[Job_Type]] = "unemp/unskilled non res", "Unemployed", "Employed")</f>
        <v>Employed</v>
      </c>
      <c r="U723" t="s">
        <v>21</v>
      </c>
      <c r="V723" s="14" t="str" cm="1">
        <f t="array" ref="V72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23" t="s">
        <v>52</v>
      </c>
      <c r="X723" s="2" t="str">
        <f>_xlfn.XLOOKUP(Table1[[#This Row],[Loan_Credit_History]],Table4[Credit History],Table4[[ Category]])</f>
        <v>No Credit History</v>
      </c>
      <c r="Y723" s="3">
        <v>4</v>
      </c>
      <c r="Z723" s="3">
        <v>2</v>
      </c>
      <c r="AA723" s="5">
        <v>1082</v>
      </c>
      <c r="AB723" t="s">
        <v>151</v>
      </c>
      <c r="AC723" s="2" t="str" cm="1">
        <f t="array" ref="AC723">_xlfn.IFS(Table1[[#This Row],[Others_Parties]] = "No", "None",
Table1[[#This Row],[Others_Parties]] = "co applicant", "Co-applicant",
Table1[[#This Row],[Others_Parties]] = "guarantor", "Guarantor")</f>
        <v>None</v>
      </c>
      <c r="AD723" s="13" t="s">
        <v>146</v>
      </c>
      <c r="AE723" s="2" t="s">
        <v>141</v>
      </c>
      <c r="AF723" s="28" t="str" cm="1">
        <f t="array" ref="AF72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23" s="21">
        <v>12</v>
      </c>
      <c r="AH723" s="2" t="s">
        <v>153</v>
      </c>
      <c r="AI723"/>
      <c r="AZ723"/>
      <c r="BC723"/>
      <c r="BE723"/>
      <c r="BL723"/>
      <c r="BZ723"/>
      <c r="CA723"/>
      <c r="CF723"/>
      <c r="CG723"/>
      <c r="CH723"/>
      <c r="CI723"/>
      <c r="CK723"/>
      <c r="CN723"/>
    </row>
    <row r="724" spans="1:92" x14ac:dyDescent="0.3">
      <c r="A724" s="4">
        <v>722</v>
      </c>
      <c r="B724" s="11">
        <v>49</v>
      </c>
      <c r="C724" s="2" t="str">
        <f>_xlfn.XLOOKUP(Table1[[#This Row],[Age]],Table7[Start_Age],Table7[Age_Range],,-1)</f>
        <v>49-59</v>
      </c>
      <c r="D724" t="s">
        <v>136</v>
      </c>
      <c r="E724" s="2" t="s">
        <v>131</v>
      </c>
      <c r="F724" s="2" t="s">
        <v>137</v>
      </c>
      <c r="G724" s="3">
        <v>1</v>
      </c>
      <c r="H724" s="13" t="s">
        <v>152</v>
      </c>
      <c r="I724" s="2" t="str" cm="1">
        <f t="array" ref="I724">_xlfn.IFS(Table1[[#This Row],[Job_Type]] = "unskilled resident", "Resident",
Table1[[#This Row],[Job_Type]] = "unemp/unskilled non res", "Non-resident",
TRUE, "Unknown")</f>
        <v>Unknown</v>
      </c>
      <c r="J724" s="2" t="s">
        <v>148</v>
      </c>
      <c r="K724" s="3">
        <v>4</v>
      </c>
      <c r="L724" s="2" t="s">
        <v>144</v>
      </c>
      <c r="M724" s="13" t="s">
        <v>152</v>
      </c>
      <c r="N724" t="s">
        <v>30</v>
      </c>
      <c r="O724" s="2" t="str">
        <f>_xlfn.XLOOKUP(Table1[[#This Row],[Checking_Acct_Status]],Table3[Checking_Acct_Original],Table3[Category])</f>
        <v>Low Balance</v>
      </c>
      <c r="P724" s="10" t="s">
        <v>32</v>
      </c>
      <c r="Q724" s="13" t="str">
        <f>_xlfn.XLOOKUP(Table1[[#This Row],[Saving_Acct_Status]],Table5[Saving_Acct_Original],Table5[Category])</f>
        <v>Low Savings</v>
      </c>
      <c r="R724" t="s">
        <v>41</v>
      </c>
      <c r="S724" s="2" t="str">
        <f>IF(
      OR(Table1[[#This Row],[Job_Type]] = "high qualif/self emp/mgmt", Table1[[#This Row],[Job_Type]] = "skilled"),
      "Skilled", "Unskilled")</f>
        <v>Skilled</v>
      </c>
      <c r="T724" t="str">
        <f>IF(Table1[[#This Row],[Job_Type]] = "unemp/unskilled non res", "Unemployed", "Employed")</f>
        <v>Employed</v>
      </c>
      <c r="U724" t="s">
        <v>21</v>
      </c>
      <c r="V724" s="14" t="str" cm="1">
        <f t="array" ref="V72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24" t="s">
        <v>31</v>
      </c>
      <c r="X724" s="2" t="str">
        <f>_xlfn.XLOOKUP(Table1[[#This Row],[Loan_Credit_History]],Table4[Credit History],Table4[[ Category]])</f>
        <v>Existing Credits Paid</v>
      </c>
      <c r="Y724" s="3">
        <v>4</v>
      </c>
      <c r="Z724" s="3">
        <v>2</v>
      </c>
      <c r="AA724" s="5">
        <v>1092</v>
      </c>
      <c r="AB724" t="s">
        <v>58</v>
      </c>
      <c r="AC724" s="2" t="str" cm="1">
        <f t="array" ref="AC724">_xlfn.IFS(Table1[[#This Row],[Others_Parties]] = "No", "None",
Table1[[#This Row],[Others_Parties]] = "co applicant", "Co-applicant",
Table1[[#This Row],[Others_Parties]] = "guarantor", "Guarantor")</f>
        <v>Guarantor</v>
      </c>
      <c r="AD724" s="13" t="s">
        <v>145</v>
      </c>
      <c r="AE724" s="2" t="s">
        <v>111</v>
      </c>
      <c r="AF724" s="28" t="str" cm="1">
        <f t="array" ref="AF72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24" s="21">
        <v>12</v>
      </c>
      <c r="AH724" s="2" t="s">
        <v>154</v>
      </c>
      <c r="AI724"/>
      <c r="AZ724"/>
      <c r="BC724"/>
      <c r="BE724"/>
      <c r="BL724"/>
      <c r="BZ724"/>
      <c r="CA724"/>
      <c r="CF724"/>
      <c r="CG724"/>
      <c r="CH724"/>
      <c r="CI724"/>
      <c r="CK724"/>
      <c r="CN724"/>
    </row>
    <row r="725" spans="1:92" x14ac:dyDescent="0.3">
      <c r="A725" s="4">
        <v>723</v>
      </c>
      <c r="B725" s="11">
        <v>27</v>
      </c>
      <c r="C725" s="2" t="str">
        <f>_xlfn.XLOOKUP(Table1[[#This Row],[Age]],Table7[Start_Age],Table7[Age_Range],,-1)</f>
        <v>19-29</v>
      </c>
      <c r="D725" t="s">
        <v>134</v>
      </c>
      <c r="E725" s="2" t="s">
        <v>129</v>
      </c>
      <c r="F725" s="2" t="s">
        <v>135</v>
      </c>
      <c r="G725" s="3">
        <v>1</v>
      </c>
      <c r="H725" s="13" t="s">
        <v>152</v>
      </c>
      <c r="I725" s="2" t="str" cm="1">
        <f t="array" ref="I725">_xlfn.IFS(Table1[[#This Row],[Job_Type]] = "unskilled resident", "Resident",
Table1[[#This Row],[Job_Type]] = "unemp/unskilled non res", "Non-resident",
TRUE, "Unknown")</f>
        <v>Unknown</v>
      </c>
      <c r="J725" s="2" t="s">
        <v>148</v>
      </c>
      <c r="K725" s="3">
        <v>2</v>
      </c>
      <c r="L725" s="2" t="s">
        <v>144</v>
      </c>
      <c r="M725" s="13" t="s">
        <v>152</v>
      </c>
      <c r="N725" t="s">
        <v>17</v>
      </c>
      <c r="O725" s="2" t="str">
        <f>_xlfn.XLOOKUP(Table1[[#This Row],[Checking_Acct_Status]],Table3[Checking_Acct_Original],Table3[Category])</f>
        <v>No Account</v>
      </c>
      <c r="P725" s="10" t="s">
        <v>32</v>
      </c>
      <c r="Q725" s="13" t="str">
        <f>_xlfn.XLOOKUP(Table1[[#This Row],[Saving_Acct_Status]],Table5[Saving_Acct_Original],Table5[Category])</f>
        <v>Low Savings</v>
      </c>
      <c r="R725" t="s">
        <v>41</v>
      </c>
      <c r="S725" s="2" t="str">
        <f>IF(
      OR(Table1[[#This Row],[Job_Type]] = "high qualif/self emp/mgmt", Table1[[#This Row],[Job_Type]] = "skilled"),
      "Skilled", "Unskilled")</f>
        <v>Skilled</v>
      </c>
      <c r="T725" t="str">
        <f>IF(Table1[[#This Row],[Job_Type]] = "unemp/unskilled non res", "Unemployed", "Employed")</f>
        <v>Employed</v>
      </c>
      <c r="U725" t="s">
        <v>21</v>
      </c>
      <c r="V725" s="14" t="str" cm="1">
        <f t="array" ref="V72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25" t="s">
        <v>31</v>
      </c>
      <c r="X725" s="2" t="str">
        <f>_xlfn.XLOOKUP(Table1[[#This Row],[Loan_Credit_History]],Table4[Credit History],Table4[[ Category]])</f>
        <v>Existing Credits Paid</v>
      </c>
      <c r="Y725" s="3">
        <v>3</v>
      </c>
      <c r="Z725" s="3">
        <v>2</v>
      </c>
      <c r="AA725" s="5">
        <v>1101</v>
      </c>
      <c r="AB725" t="s">
        <v>151</v>
      </c>
      <c r="AC725" s="2" t="str" cm="1">
        <f t="array" ref="AC725">_xlfn.IFS(Table1[[#This Row],[Others_Parties]] = "No", "None",
Table1[[#This Row],[Others_Parties]] = "co applicant", "Co-applicant",
Table1[[#This Row],[Others_Parties]] = "guarantor", "Guarantor")</f>
        <v>None</v>
      </c>
      <c r="AD725" s="13" t="s">
        <v>145</v>
      </c>
      <c r="AE725" s="2" t="s">
        <v>141</v>
      </c>
      <c r="AF725" s="28" t="str" cm="1">
        <f t="array" ref="AF72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25" s="21">
        <v>12</v>
      </c>
      <c r="AH725" s="2" t="s">
        <v>154</v>
      </c>
      <c r="AI725"/>
      <c r="AZ725"/>
      <c r="BC725"/>
      <c r="BE725"/>
      <c r="BL725"/>
      <c r="BZ725"/>
      <c r="CA725"/>
      <c r="CF725"/>
      <c r="CG725"/>
      <c r="CH725"/>
      <c r="CI725"/>
      <c r="CK725"/>
      <c r="CN725"/>
    </row>
    <row r="726" spans="1:92" x14ac:dyDescent="0.3">
      <c r="A726" s="4">
        <v>724</v>
      </c>
      <c r="B726" s="11">
        <v>20</v>
      </c>
      <c r="C726" s="2" t="str">
        <f>_xlfn.XLOOKUP(Table1[[#This Row],[Age]],Table7[Start_Age],Table7[Age_Range],,-1)</f>
        <v>19-29</v>
      </c>
      <c r="D726" t="s">
        <v>130</v>
      </c>
      <c r="E726" s="2" t="s">
        <v>129</v>
      </c>
      <c r="F726" s="2" t="s">
        <v>133</v>
      </c>
      <c r="G726" s="3">
        <v>2</v>
      </c>
      <c r="H726" s="13" t="s">
        <v>152</v>
      </c>
      <c r="I726" s="2" t="str" cm="1">
        <f t="array" ref="I726">_xlfn.IFS(Table1[[#This Row],[Job_Type]] = "unskilled resident", "Resident",
Table1[[#This Row],[Job_Type]] = "unemp/unskilled non res", "Non-resident",
TRUE, "Unknown")</f>
        <v>Unknown</v>
      </c>
      <c r="J726" s="2" t="s">
        <v>149</v>
      </c>
      <c r="K726" s="3">
        <v>2</v>
      </c>
      <c r="L726" s="2" t="s">
        <v>144</v>
      </c>
      <c r="M726" s="13" t="s">
        <v>152</v>
      </c>
      <c r="N726" t="s">
        <v>35</v>
      </c>
      <c r="O726" s="2" t="str">
        <f>_xlfn.XLOOKUP(Table1[[#This Row],[Checking_Acct_Status]],Table3[Checking_Acct_Original],Table3[Category])</f>
        <v>Negative Balance</v>
      </c>
      <c r="P726" s="10" t="s">
        <v>32</v>
      </c>
      <c r="Q726" s="13" t="str">
        <f>_xlfn.XLOOKUP(Table1[[#This Row],[Saving_Acct_Status]],Table5[Saving_Acct_Original],Table5[Category])</f>
        <v>Low Savings</v>
      </c>
      <c r="R726" t="s">
        <v>63</v>
      </c>
      <c r="S726" s="2" t="str">
        <f>IF(
      OR(Table1[[#This Row],[Job_Type]] = "high qualif/self emp/mgmt", Table1[[#This Row],[Job_Type]] = "skilled"),
      "Skilled", "Unskilled")</f>
        <v>Skilled</v>
      </c>
      <c r="T726" t="str">
        <f>IF(Table1[[#This Row],[Job_Type]] = "unemp/unskilled non res", "Unemployed", "Employed")</f>
        <v>Employed</v>
      </c>
      <c r="U726" t="s">
        <v>21</v>
      </c>
      <c r="V726" s="14" t="str" cm="1">
        <f t="array" ref="V72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26" t="s">
        <v>31</v>
      </c>
      <c r="X726" s="2" t="str">
        <f>_xlfn.XLOOKUP(Table1[[#This Row],[Loan_Credit_History]],Table4[Credit History],Table4[[ Category]])</f>
        <v>Existing Credits Paid</v>
      </c>
      <c r="Y726" s="3">
        <v>2</v>
      </c>
      <c r="Z726" s="3">
        <v>1</v>
      </c>
      <c r="AA726" s="5">
        <v>1107</v>
      </c>
      <c r="AB726" t="s">
        <v>151</v>
      </c>
      <c r="AC726" s="2" t="str" cm="1">
        <f t="array" ref="AC726">_xlfn.IFS(Table1[[#This Row],[Others_Parties]] = "No", "None",
Table1[[#This Row],[Others_Parties]] = "co applicant", "Co-applicant",
Table1[[#This Row],[Others_Parties]] = "guarantor", "Guarantor")</f>
        <v>None</v>
      </c>
      <c r="AD726" s="13" t="s">
        <v>145</v>
      </c>
      <c r="AE726" s="2" t="s">
        <v>111</v>
      </c>
      <c r="AF726" s="28" t="str" cm="1">
        <f t="array" ref="AF72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26" s="21">
        <v>12</v>
      </c>
      <c r="AH726" s="2" t="s">
        <v>154</v>
      </c>
      <c r="AI726"/>
      <c r="AZ726"/>
      <c r="BC726"/>
      <c r="BE726"/>
      <c r="BL726"/>
      <c r="BZ726"/>
      <c r="CA726"/>
      <c r="CF726"/>
      <c r="CG726"/>
      <c r="CH726"/>
      <c r="CI726"/>
      <c r="CK726"/>
      <c r="CN726"/>
    </row>
    <row r="727" spans="1:92" x14ac:dyDescent="0.3">
      <c r="A727" s="4">
        <v>725</v>
      </c>
      <c r="B727" s="11">
        <v>28</v>
      </c>
      <c r="C727" s="2" t="str">
        <f>_xlfn.XLOOKUP(Table1[[#This Row],[Age]],Table7[Start_Age],Table7[Age_Range],,-1)</f>
        <v>19-29</v>
      </c>
      <c r="D727" t="s">
        <v>130</v>
      </c>
      <c r="E727" s="2" t="s">
        <v>129</v>
      </c>
      <c r="F727" s="2" t="s">
        <v>133</v>
      </c>
      <c r="G727" s="3">
        <v>1</v>
      </c>
      <c r="H727" s="13" t="s">
        <v>152</v>
      </c>
      <c r="I727" s="2" t="str" cm="1">
        <f t="array" ref="I727">_xlfn.IFS(Table1[[#This Row],[Job_Type]] = "unskilled resident", "Resident",
Table1[[#This Row],[Job_Type]] = "unemp/unskilled non res", "Non-resident",
TRUE, "Unknown")</f>
        <v>Unknown</v>
      </c>
      <c r="J727" s="2" t="s">
        <v>148</v>
      </c>
      <c r="K727" s="3">
        <v>3</v>
      </c>
      <c r="L727" s="2" t="s">
        <v>144</v>
      </c>
      <c r="M727" s="13" t="s">
        <v>151</v>
      </c>
      <c r="N727" t="s">
        <v>35</v>
      </c>
      <c r="O727" s="2" t="str">
        <f>_xlfn.XLOOKUP(Table1[[#This Row],[Checking_Acct_Status]],Table3[Checking_Acct_Original],Table3[Category])</f>
        <v>Negative Balance</v>
      </c>
      <c r="P727" s="10" t="s">
        <v>32</v>
      </c>
      <c r="Q727" s="13" t="str">
        <f>_xlfn.XLOOKUP(Table1[[#This Row],[Saving_Acct_Status]],Table5[Saving_Acct_Original],Table5[Category])</f>
        <v>Low Savings</v>
      </c>
      <c r="R727" t="s">
        <v>41</v>
      </c>
      <c r="S727" s="2" t="str">
        <f>IF(
      OR(Table1[[#This Row],[Job_Type]] = "high qualif/self emp/mgmt", Table1[[#This Row],[Job_Type]] = "skilled"),
      "Skilled", "Unskilled")</f>
        <v>Skilled</v>
      </c>
      <c r="T727" t="str">
        <f>IF(Table1[[#This Row],[Job_Type]] = "unemp/unskilled non res", "Unemployed", "Employed")</f>
        <v>Employed</v>
      </c>
      <c r="U727" t="s">
        <v>49</v>
      </c>
      <c r="V727" s="14" t="str" cm="1">
        <f t="array" ref="V72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27" t="s">
        <v>52</v>
      </c>
      <c r="X727" s="2" t="str">
        <f>_xlfn.XLOOKUP(Table1[[#This Row],[Loan_Credit_History]],Table4[Credit History],Table4[[ Category]])</f>
        <v>No Credit History</v>
      </c>
      <c r="Y727" s="3">
        <v>4</v>
      </c>
      <c r="Z727" s="3">
        <v>2</v>
      </c>
      <c r="AA727" s="5">
        <v>1108</v>
      </c>
      <c r="AB727" t="s">
        <v>151</v>
      </c>
      <c r="AC727" s="2" t="str" cm="1">
        <f t="array" ref="AC727">_xlfn.IFS(Table1[[#This Row],[Others_Parties]] = "No", "None",
Table1[[#This Row],[Others_Parties]] = "co applicant", "Co-applicant",
Table1[[#This Row],[Others_Parties]] = "guarantor", "Guarantor")</f>
        <v>None</v>
      </c>
      <c r="AD727" s="13" t="s">
        <v>145</v>
      </c>
      <c r="AE727" s="2" t="s">
        <v>109</v>
      </c>
      <c r="AF727" s="28" t="str" cm="1">
        <f t="array" ref="AF72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27" s="21">
        <v>12</v>
      </c>
      <c r="AH727" s="2" t="s">
        <v>153</v>
      </c>
      <c r="AI727"/>
      <c r="AZ727"/>
      <c r="BC727"/>
      <c r="BE727"/>
      <c r="BL727"/>
      <c r="BZ727"/>
      <c r="CA727"/>
      <c r="CF727"/>
      <c r="CG727"/>
      <c r="CH727"/>
      <c r="CI727"/>
      <c r="CK727"/>
      <c r="CN727"/>
    </row>
    <row r="728" spans="1:92" x14ac:dyDescent="0.3">
      <c r="A728" s="4">
        <v>726</v>
      </c>
      <c r="B728" s="11">
        <v>29</v>
      </c>
      <c r="C728" s="2" t="str">
        <f>_xlfn.XLOOKUP(Table1[[#This Row],[Age]],Table7[Start_Age],Table7[Age_Range],,-1)</f>
        <v>29-39</v>
      </c>
      <c r="D728" t="s">
        <v>136</v>
      </c>
      <c r="E728" s="2" t="s">
        <v>131</v>
      </c>
      <c r="F728" s="2" t="s">
        <v>137</v>
      </c>
      <c r="G728" s="3">
        <v>1</v>
      </c>
      <c r="H728" s="13" t="s">
        <v>152</v>
      </c>
      <c r="I728" s="2" t="str" cm="1">
        <f t="array" ref="I728">_xlfn.IFS(Table1[[#This Row],[Job_Type]] = "unskilled resident", "Resident",
Table1[[#This Row],[Job_Type]] = "unemp/unskilled non res", "Non-resident",
TRUE, "Unknown")</f>
        <v>Resident</v>
      </c>
      <c r="J728" s="2" t="s">
        <v>149</v>
      </c>
      <c r="K728" s="3">
        <v>4</v>
      </c>
      <c r="L728" s="2" t="s">
        <v>140</v>
      </c>
      <c r="M728" s="13" t="s">
        <v>151</v>
      </c>
      <c r="N728" t="s">
        <v>17</v>
      </c>
      <c r="O728" s="2" t="str">
        <f>_xlfn.XLOOKUP(Table1[[#This Row],[Checking_Acct_Status]],Table3[Checking_Acct_Original],Table3[Category])</f>
        <v>No Account</v>
      </c>
      <c r="P728" s="10" t="s">
        <v>37</v>
      </c>
      <c r="Q728" s="13" t="str">
        <f>_xlfn.XLOOKUP(Table1[[#This Row],[Saving_Acct_Status]],Table5[Saving_Acct_Original],Table5[Category])</f>
        <v>High Savings</v>
      </c>
      <c r="R728" t="s">
        <v>27</v>
      </c>
      <c r="S728" s="2" t="str">
        <f>IF(
      OR(Table1[[#This Row],[Job_Type]] = "high qualif/self emp/mgmt", Table1[[#This Row],[Job_Type]] = "skilled"),
      "Skilled", "Unskilled")</f>
        <v>Unskilled</v>
      </c>
      <c r="T728" t="str">
        <f>IF(Table1[[#This Row],[Job_Type]] = "unemp/unskilled non res", "Unemployed", "Employed")</f>
        <v>Employed</v>
      </c>
      <c r="U728" t="s">
        <v>21</v>
      </c>
      <c r="V728" s="14" t="str" cm="1">
        <f t="array" ref="V72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28" t="s">
        <v>31</v>
      </c>
      <c r="X728" s="2" t="str">
        <f>_xlfn.XLOOKUP(Table1[[#This Row],[Loan_Credit_History]],Table4[Credit History],Table4[[ Category]])</f>
        <v>Existing Credits Paid</v>
      </c>
      <c r="Y728" s="3">
        <v>4</v>
      </c>
      <c r="Z728" s="3">
        <v>1</v>
      </c>
      <c r="AA728" s="5">
        <v>1123</v>
      </c>
      <c r="AB728" t="s">
        <v>151</v>
      </c>
      <c r="AC728" s="2" t="str" cm="1">
        <f t="array" ref="AC728">_xlfn.IFS(Table1[[#This Row],[Others_Parties]] = "No", "None",
Table1[[#This Row],[Others_Parties]] = "co applicant", "Co-applicant",
Table1[[#This Row],[Others_Parties]] = "guarantor", "Guarantor")</f>
        <v>None</v>
      </c>
      <c r="AD728" s="13" t="s">
        <v>145</v>
      </c>
      <c r="AE728" s="2" t="s">
        <v>108</v>
      </c>
      <c r="AF728" s="28" t="str" cm="1">
        <f t="array" ref="AF72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28" s="21">
        <v>12</v>
      </c>
      <c r="AH728" s="2" t="s">
        <v>153</v>
      </c>
      <c r="AI728"/>
      <c r="AZ728"/>
      <c r="BC728"/>
      <c r="BE728"/>
      <c r="BL728"/>
      <c r="BZ728"/>
      <c r="CA728"/>
      <c r="CF728"/>
      <c r="CG728"/>
      <c r="CH728"/>
      <c r="CI728"/>
      <c r="CK728"/>
      <c r="CN728"/>
    </row>
    <row r="729" spans="1:92" x14ac:dyDescent="0.3">
      <c r="A729" s="4">
        <v>727</v>
      </c>
      <c r="B729" s="11">
        <v>40</v>
      </c>
      <c r="C729" s="2" t="str">
        <f>_xlfn.XLOOKUP(Table1[[#This Row],[Age]],Table7[Start_Age],Table7[Age_Range],,-1)</f>
        <v>39-49</v>
      </c>
      <c r="D729" t="s">
        <v>134</v>
      </c>
      <c r="E729" s="2" t="s">
        <v>129</v>
      </c>
      <c r="F729" s="2" t="s">
        <v>135</v>
      </c>
      <c r="G729" s="3">
        <v>1</v>
      </c>
      <c r="H729" s="13" t="s">
        <v>152</v>
      </c>
      <c r="I729" s="2" t="str" cm="1">
        <f t="array" ref="I729">_xlfn.IFS(Table1[[#This Row],[Job_Type]] = "unskilled resident", "Resident",
Table1[[#This Row],[Job_Type]] = "unemp/unskilled non res", "Non-resident",
TRUE, "Unknown")</f>
        <v>Resident</v>
      </c>
      <c r="J729" s="2" t="s">
        <v>148</v>
      </c>
      <c r="K729" s="3">
        <v>3</v>
      </c>
      <c r="L729" s="2" t="s">
        <v>144</v>
      </c>
      <c r="M729" s="13" t="s">
        <v>151</v>
      </c>
      <c r="N729" t="s">
        <v>30</v>
      </c>
      <c r="O729" s="2" t="str">
        <f>_xlfn.XLOOKUP(Table1[[#This Row],[Checking_Acct_Status]],Table3[Checking_Acct_Original],Table3[Category])</f>
        <v>Low Balance</v>
      </c>
      <c r="P729" s="10" t="s">
        <v>32</v>
      </c>
      <c r="Q729" s="13" t="str">
        <f>_xlfn.XLOOKUP(Table1[[#This Row],[Saving_Acct_Status]],Table5[Saving_Acct_Original],Table5[Category])</f>
        <v>Low Savings</v>
      </c>
      <c r="R729" t="s">
        <v>27</v>
      </c>
      <c r="S729" s="2" t="str">
        <f>IF(
      OR(Table1[[#This Row],[Job_Type]] = "high qualif/self emp/mgmt", Table1[[#This Row],[Job_Type]] = "skilled"),
      "Skilled", "Unskilled")</f>
        <v>Unskilled</v>
      </c>
      <c r="T729" t="str">
        <f>IF(Table1[[#This Row],[Job_Type]] = "unemp/unskilled non res", "Unemployed", "Employed")</f>
        <v>Employed</v>
      </c>
      <c r="U729" t="s">
        <v>38</v>
      </c>
      <c r="V729" s="14" t="str" cm="1">
        <f t="array" ref="V72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29" t="s">
        <v>31</v>
      </c>
      <c r="X729" s="2" t="str">
        <f>_xlfn.XLOOKUP(Table1[[#This Row],[Loan_Credit_History]],Table4[Credit History],Table4[[ Category]])</f>
        <v>Existing Credits Paid</v>
      </c>
      <c r="Y729" s="3">
        <v>3</v>
      </c>
      <c r="Z729" s="3">
        <v>2</v>
      </c>
      <c r="AA729" s="5">
        <v>1155</v>
      </c>
      <c r="AB729" t="s">
        <v>58</v>
      </c>
      <c r="AC729" s="2" t="str" cm="1">
        <f t="array" ref="AC729">_xlfn.IFS(Table1[[#This Row],[Others_Parties]] = "No", "None",
Table1[[#This Row],[Others_Parties]] = "co applicant", "Co-applicant",
Table1[[#This Row],[Others_Parties]] = "guarantor", "Guarantor")</f>
        <v>Guarantor</v>
      </c>
      <c r="AD729" s="13" t="s">
        <v>146</v>
      </c>
      <c r="AE729" s="2" t="s">
        <v>111</v>
      </c>
      <c r="AF729" s="28" t="str" cm="1">
        <f t="array" ref="AF72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29" s="21">
        <v>12</v>
      </c>
      <c r="AH729" s="2" t="s">
        <v>154</v>
      </c>
      <c r="AI729"/>
      <c r="AZ729"/>
      <c r="BC729"/>
      <c r="BE729"/>
      <c r="BL729"/>
      <c r="BZ729"/>
      <c r="CA729"/>
      <c r="CF729"/>
      <c r="CG729"/>
      <c r="CH729"/>
      <c r="CI729"/>
      <c r="CK729"/>
      <c r="CN729"/>
    </row>
    <row r="730" spans="1:92" x14ac:dyDescent="0.3">
      <c r="A730" s="4">
        <v>728</v>
      </c>
      <c r="B730" s="11">
        <v>26</v>
      </c>
      <c r="C730" s="2" t="str">
        <f>_xlfn.XLOOKUP(Table1[[#This Row],[Age]],Table7[Start_Age],Table7[Age_Range],,-1)</f>
        <v>19-29</v>
      </c>
      <c r="D730" t="s">
        <v>138</v>
      </c>
      <c r="E730" s="2" t="s">
        <v>129</v>
      </c>
      <c r="F730" s="2" t="s">
        <v>178</v>
      </c>
      <c r="G730" s="3">
        <v>1</v>
      </c>
      <c r="H730" s="13" t="s">
        <v>152</v>
      </c>
      <c r="I730" s="2" t="str" cm="1">
        <f t="array" ref="I730">_xlfn.IFS(Table1[[#This Row],[Job_Type]] = "unskilled resident", "Resident",
Table1[[#This Row],[Job_Type]] = "unemp/unskilled non res", "Non-resident",
TRUE, "Unknown")</f>
        <v>Unknown</v>
      </c>
      <c r="J730" s="2" t="s">
        <v>148</v>
      </c>
      <c r="K730" s="3">
        <v>1</v>
      </c>
      <c r="L730" s="2" t="s">
        <v>140</v>
      </c>
      <c r="M730" s="13" t="s">
        <v>152</v>
      </c>
      <c r="N730" t="s">
        <v>30</v>
      </c>
      <c r="O730" s="2" t="str">
        <f>_xlfn.XLOOKUP(Table1[[#This Row],[Checking_Acct_Status]],Table3[Checking_Acct_Original],Table3[Category])</f>
        <v>Low Balance</v>
      </c>
      <c r="P730" s="10" t="s">
        <v>37</v>
      </c>
      <c r="Q730" s="13" t="str">
        <f>_xlfn.XLOOKUP(Table1[[#This Row],[Saving_Acct_Status]],Table5[Saving_Acct_Original],Table5[Category])</f>
        <v>High Savings</v>
      </c>
      <c r="R730" t="s">
        <v>41</v>
      </c>
      <c r="S730" s="2" t="str">
        <f>IF(
      OR(Table1[[#This Row],[Job_Type]] = "high qualif/self emp/mgmt", Table1[[#This Row],[Job_Type]] = "skilled"),
      "Skilled", "Unskilled")</f>
        <v>Skilled</v>
      </c>
      <c r="T730" t="str">
        <f>IF(Table1[[#This Row],[Job_Type]] = "unemp/unskilled non res", "Unemployed", "Employed")</f>
        <v>Employed</v>
      </c>
      <c r="U730" t="s">
        <v>21</v>
      </c>
      <c r="V730" s="14" t="str" cm="1">
        <f t="array" ref="V73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30" t="s">
        <v>31</v>
      </c>
      <c r="X730" s="2" t="str">
        <f>_xlfn.XLOOKUP(Table1[[#This Row],[Loan_Credit_History]],Table4[Credit History],Table4[[ Category]])</f>
        <v>Existing Credits Paid</v>
      </c>
      <c r="Y730" s="3">
        <v>3</v>
      </c>
      <c r="Z730" s="3">
        <v>1</v>
      </c>
      <c r="AA730" s="5">
        <v>1158</v>
      </c>
      <c r="AB730" t="s">
        <v>151</v>
      </c>
      <c r="AC730" s="2" t="str" cm="1">
        <f t="array" ref="AC730">_xlfn.IFS(Table1[[#This Row],[Others_Parties]] = "No", "None",
Table1[[#This Row],[Others_Parties]] = "co applicant", "Co-applicant",
Table1[[#This Row],[Others_Parties]] = "guarantor", "Guarantor")</f>
        <v>None</v>
      </c>
      <c r="AD730" s="13" t="s">
        <v>145</v>
      </c>
      <c r="AE730" s="2" t="s">
        <v>111</v>
      </c>
      <c r="AF730" s="28" t="str" cm="1">
        <f t="array" ref="AF73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30" s="21">
        <v>12</v>
      </c>
      <c r="AH730" s="2" t="s">
        <v>154</v>
      </c>
      <c r="AI730"/>
      <c r="AZ730"/>
      <c r="BC730"/>
      <c r="BE730"/>
      <c r="BL730"/>
      <c r="BZ730"/>
      <c r="CA730"/>
      <c r="CF730"/>
      <c r="CG730"/>
      <c r="CH730"/>
      <c r="CI730"/>
      <c r="CK730"/>
      <c r="CN730"/>
    </row>
    <row r="731" spans="1:92" x14ac:dyDescent="0.3">
      <c r="A731" s="4">
        <v>729</v>
      </c>
      <c r="B731" s="11">
        <v>44</v>
      </c>
      <c r="C731" s="2" t="str">
        <f>_xlfn.XLOOKUP(Table1[[#This Row],[Age]],Table7[Start_Age],Table7[Age_Range],,-1)</f>
        <v>39-49</v>
      </c>
      <c r="D731" t="s">
        <v>130</v>
      </c>
      <c r="E731" s="2" t="s">
        <v>129</v>
      </c>
      <c r="F731" s="2" t="s">
        <v>133</v>
      </c>
      <c r="G731" s="3">
        <v>1</v>
      </c>
      <c r="H731" s="13" t="s">
        <v>152</v>
      </c>
      <c r="I731" s="2" t="str" cm="1">
        <f t="array" ref="I731">_xlfn.IFS(Table1[[#This Row],[Job_Type]] = "unskilled resident", "Resident",
Table1[[#This Row],[Job_Type]] = "unemp/unskilled non res", "Non-resident",
TRUE, "Unknown")</f>
        <v>Unknown</v>
      </c>
      <c r="J731" s="2" t="s">
        <v>148</v>
      </c>
      <c r="K731" s="3">
        <v>4</v>
      </c>
      <c r="L731" s="2" t="s">
        <v>144</v>
      </c>
      <c r="M731" s="13" t="s">
        <v>152</v>
      </c>
      <c r="N731" t="s">
        <v>17</v>
      </c>
      <c r="O731" s="2" t="str">
        <f>_xlfn.XLOOKUP(Table1[[#This Row],[Checking_Acct_Status]],Table3[Checking_Acct_Original],Table3[Category])</f>
        <v>No Account</v>
      </c>
      <c r="P731" s="10" t="s">
        <v>37</v>
      </c>
      <c r="Q731" s="13" t="str">
        <f>_xlfn.XLOOKUP(Table1[[#This Row],[Saving_Acct_Status]],Table5[Saving_Acct_Original],Table5[Category])</f>
        <v>High Savings</v>
      </c>
      <c r="R731" t="s">
        <v>41</v>
      </c>
      <c r="S731" s="2" t="str">
        <f>IF(
      OR(Table1[[#This Row],[Job_Type]] = "high qualif/self emp/mgmt", Table1[[#This Row],[Job_Type]] = "skilled"),
      "Skilled", "Unskilled")</f>
        <v>Skilled</v>
      </c>
      <c r="T731" t="str">
        <f>IF(Table1[[#This Row],[Job_Type]] = "unemp/unskilled non res", "Unemployed", "Employed")</f>
        <v>Employed</v>
      </c>
      <c r="U731" t="s">
        <v>21</v>
      </c>
      <c r="V731" s="14" t="str" cm="1">
        <f t="array" ref="V73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31" t="s">
        <v>103</v>
      </c>
      <c r="X731" s="2" t="str">
        <f>_xlfn.XLOOKUP(Table1[[#This Row],[Loan_Credit_History]],Table4[Credit History],Table4[[ Category]])</f>
        <v>Critical Credit History</v>
      </c>
      <c r="Y731" s="3">
        <v>4</v>
      </c>
      <c r="Z731" s="3">
        <v>1</v>
      </c>
      <c r="AA731" s="5">
        <v>1163</v>
      </c>
      <c r="AB731" t="s">
        <v>151</v>
      </c>
      <c r="AC731" s="2" t="str" cm="1">
        <f t="array" ref="AC731">_xlfn.IFS(Table1[[#This Row],[Others_Parties]] = "No", "None",
Table1[[#This Row],[Others_Parties]] = "co applicant", "Co-applicant",
Table1[[#This Row],[Others_Parties]] = "guarantor", "Guarantor")</f>
        <v>None</v>
      </c>
      <c r="AD731" s="13" t="s">
        <v>145</v>
      </c>
      <c r="AE731" s="2" t="s">
        <v>141</v>
      </c>
      <c r="AF731" s="28" t="str" cm="1">
        <f t="array" ref="AF73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31" s="21">
        <v>12</v>
      </c>
      <c r="AH731" s="2" t="s">
        <v>154</v>
      </c>
      <c r="AI731"/>
      <c r="AZ731"/>
      <c r="BC731"/>
      <c r="BE731"/>
      <c r="BL731"/>
      <c r="BZ731"/>
      <c r="CA731"/>
      <c r="CF731"/>
      <c r="CG731"/>
      <c r="CH731"/>
      <c r="CI731"/>
      <c r="CK731"/>
      <c r="CN731"/>
    </row>
    <row r="732" spans="1:92" x14ac:dyDescent="0.3">
      <c r="A732" s="4">
        <v>730</v>
      </c>
      <c r="B732" s="11">
        <v>27</v>
      </c>
      <c r="C732" s="2" t="str">
        <f>_xlfn.XLOOKUP(Table1[[#This Row],[Age]],Table7[Start_Age],Table7[Age_Range],,-1)</f>
        <v>19-29</v>
      </c>
      <c r="D732" t="s">
        <v>134</v>
      </c>
      <c r="E732" s="2" t="s">
        <v>129</v>
      </c>
      <c r="F732" s="2" t="s">
        <v>135</v>
      </c>
      <c r="G732" s="3">
        <v>1</v>
      </c>
      <c r="H732" s="13" t="s">
        <v>152</v>
      </c>
      <c r="I732" s="2" t="str" cm="1">
        <f t="array" ref="I732">_xlfn.IFS(Table1[[#This Row],[Job_Type]] = "unskilled resident", "Resident",
Table1[[#This Row],[Job_Type]] = "unemp/unskilled non res", "Non-resident",
TRUE, "Unknown")</f>
        <v>Resident</v>
      </c>
      <c r="J732" s="2" t="s">
        <v>148</v>
      </c>
      <c r="K732" s="3">
        <v>3</v>
      </c>
      <c r="L732" s="2" t="s">
        <v>144</v>
      </c>
      <c r="M732" s="13" t="s">
        <v>151</v>
      </c>
      <c r="N732" t="s">
        <v>35</v>
      </c>
      <c r="O732" s="2" t="str">
        <f>_xlfn.XLOOKUP(Table1[[#This Row],[Checking_Acct_Status]],Table3[Checking_Acct_Original],Table3[Category])</f>
        <v>Negative Balance</v>
      </c>
      <c r="P732" s="10" t="s">
        <v>32</v>
      </c>
      <c r="Q732" s="13" t="str">
        <f>_xlfn.XLOOKUP(Table1[[#This Row],[Saving_Acct_Status]],Table5[Saving_Acct_Original],Table5[Category])</f>
        <v>Low Savings</v>
      </c>
      <c r="R732" t="s">
        <v>27</v>
      </c>
      <c r="S732" s="2" t="str">
        <f>IF(
      OR(Table1[[#This Row],[Job_Type]] = "high qualif/self emp/mgmt", Table1[[#This Row],[Job_Type]] = "skilled"),
      "Skilled", "Unskilled")</f>
        <v>Unskilled</v>
      </c>
      <c r="T732" t="str">
        <f>IF(Table1[[#This Row],[Job_Type]] = "unemp/unskilled non res", "Unemployed", "Employed")</f>
        <v>Employed</v>
      </c>
      <c r="U732" t="s">
        <v>21</v>
      </c>
      <c r="V732" s="14" t="str" cm="1">
        <f t="array" ref="V73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32" t="s">
        <v>31</v>
      </c>
      <c r="X732" s="2" t="str">
        <f>_xlfn.XLOOKUP(Table1[[#This Row],[Loan_Credit_History]],Table4[Credit History],Table4[[ Category]])</f>
        <v>Existing Credits Paid</v>
      </c>
      <c r="Y732" s="3">
        <v>4</v>
      </c>
      <c r="Z732" s="3">
        <v>1</v>
      </c>
      <c r="AA732" s="5">
        <v>1168</v>
      </c>
      <c r="AB732" t="s">
        <v>151</v>
      </c>
      <c r="AC732" s="2" t="str" cm="1">
        <f t="array" ref="AC732">_xlfn.IFS(Table1[[#This Row],[Others_Parties]] = "No", "None",
Table1[[#This Row],[Others_Parties]] = "co applicant", "Co-applicant",
Table1[[#This Row],[Others_Parties]] = "guarantor", "Guarantor")</f>
        <v>None</v>
      </c>
      <c r="AD732" s="13" t="s">
        <v>145</v>
      </c>
      <c r="AE732" s="2" t="s">
        <v>141</v>
      </c>
      <c r="AF732" s="28" t="str" cm="1">
        <f t="array" ref="AF73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32" s="21">
        <v>12</v>
      </c>
      <c r="AH732" s="2" t="s">
        <v>154</v>
      </c>
      <c r="AI732"/>
      <c r="AZ732"/>
      <c r="BC732"/>
      <c r="BE732"/>
      <c r="BL732"/>
      <c r="BZ732"/>
      <c r="CA732"/>
      <c r="CF732"/>
      <c r="CG732"/>
      <c r="CH732"/>
      <c r="CI732"/>
      <c r="CK732"/>
      <c r="CN732"/>
    </row>
    <row r="733" spans="1:92" x14ac:dyDescent="0.3">
      <c r="A733" s="4">
        <v>731</v>
      </c>
      <c r="B733" s="11">
        <v>27</v>
      </c>
      <c r="C733" s="2" t="str">
        <f>_xlfn.XLOOKUP(Table1[[#This Row],[Age]],Table7[Start_Age],Table7[Age_Range],,-1)</f>
        <v>19-29</v>
      </c>
      <c r="D733" t="s">
        <v>136</v>
      </c>
      <c r="E733" s="2" t="s">
        <v>131</v>
      </c>
      <c r="F733" s="2" t="s">
        <v>137</v>
      </c>
      <c r="G733" s="3">
        <v>1</v>
      </c>
      <c r="H733" s="13" t="s">
        <v>152</v>
      </c>
      <c r="I733" s="2" t="str" cm="1">
        <f t="array" ref="I733">_xlfn.IFS(Table1[[#This Row],[Job_Type]] = "unskilled resident", "Resident",
Table1[[#This Row],[Job_Type]] = "unemp/unskilled non res", "Non-resident",
TRUE, "Unknown")</f>
        <v>Unknown</v>
      </c>
      <c r="J733" s="2" t="s">
        <v>148</v>
      </c>
      <c r="K733" s="3">
        <v>2</v>
      </c>
      <c r="L733" s="2" t="s">
        <v>144</v>
      </c>
      <c r="M733" s="13" t="s">
        <v>151</v>
      </c>
      <c r="N733" t="s">
        <v>17</v>
      </c>
      <c r="O733" s="2" t="str">
        <f>_xlfn.XLOOKUP(Table1[[#This Row],[Checking_Acct_Status]],Table3[Checking_Acct_Original],Table3[Category])</f>
        <v>No Account</v>
      </c>
      <c r="P733" s="10" t="s">
        <v>32</v>
      </c>
      <c r="Q733" s="13" t="str">
        <f>_xlfn.XLOOKUP(Table1[[#This Row],[Saving_Acct_Status]],Table5[Saving_Acct_Original],Table5[Category])</f>
        <v>Low Savings</v>
      </c>
      <c r="R733" t="s">
        <v>41</v>
      </c>
      <c r="S733" s="2" t="str">
        <f>IF(
      OR(Table1[[#This Row],[Job_Type]] = "high qualif/self emp/mgmt", Table1[[#This Row],[Job_Type]] = "skilled"),
      "Skilled", "Unskilled")</f>
        <v>Skilled</v>
      </c>
      <c r="T733" t="str">
        <f>IF(Table1[[#This Row],[Job_Type]] = "unemp/unskilled non res", "Unemployed", "Employed")</f>
        <v>Employed</v>
      </c>
      <c r="U733" t="s">
        <v>21</v>
      </c>
      <c r="V733" s="14" t="str" cm="1">
        <f t="array" ref="V73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33" t="s">
        <v>103</v>
      </c>
      <c r="X733" s="2" t="str">
        <f>_xlfn.XLOOKUP(Table1[[#This Row],[Loan_Credit_History]],Table4[Credit History],Table4[[ Category]])</f>
        <v>Critical Credit History</v>
      </c>
      <c r="Y733" s="3">
        <v>3</v>
      </c>
      <c r="Z733" s="3">
        <v>2</v>
      </c>
      <c r="AA733" s="5">
        <v>1185</v>
      </c>
      <c r="AB733" t="s">
        <v>151</v>
      </c>
      <c r="AC733" s="2" t="str" cm="1">
        <f t="array" ref="AC733">_xlfn.IFS(Table1[[#This Row],[Others_Parties]] = "No", "None",
Table1[[#This Row],[Others_Parties]] = "co applicant", "Co-applicant",
Table1[[#This Row],[Others_Parties]] = "guarantor", "Guarantor")</f>
        <v>None</v>
      </c>
      <c r="AD733" s="13" t="s">
        <v>145</v>
      </c>
      <c r="AE733" s="2" t="s">
        <v>105</v>
      </c>
      <c r="AF733" s="28" t="str" cm="1">
        <f t="array" ref="AF73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33" s="21">
        <v>12</v>
      </c>
      <c r="AH733" s="2" t="s">
        <v>154</v>
      </c>
      <c r="AI733"/>
      <c r="AZ733"/>
      <c r="BC733"/>
      <c r="BE733"/>
      <c r="BL733"/>
      <c r="BZ733"/>
      <c r="CA733"/>
      <c r="CF733"/>
      <c r="CG733"/>
      <c r="CH733"/>
      <c r="CI733"/>
      <c r="CK733"/>
      <c r="CN733"/>
    </row>
    <row r="734" spans="1:92" x14ac:dyDescent="0.3">
      <c r="A734" s="4">
        <v>732</v>
      </c>
      <c r="B734" s="11">
        <v>23</v>
      </c>
      <c r="C734" s="2" t="str">
        <f>_xlfn.XLOOKUP(Table1[[#This Row],[Age]],Table7[Start_Age],Table7[Age_Range],,-1)</f>
        <v>19-29</v>
      </c>
      <c r="D734" t="s">
        <v>136</v>
      </c>
      <c r="E734" s="2" t="s">
        <v>131</v>
      </c>
      <c r="F734" s="2" t="s">
        <v>137</v>
      </c>
      <c r="G734" s="3">
        <v>1</v>
      </c>
      <c r="H734" s="13" t="s">
        <v>152</v>
      </c>
      <c r="I734" s="2" t="str" cm="1">
        <f t="array" ref="I734">_xlfn.IFS(Table1[[#This Row],[Job_Type]] = "unskilled resident", "Resident",
Table1[[#This Row],[Job_Type]] = "unemp/unskilled non res", "Non-resident",
TRUE, "Unknown")</f>
        <v>Unknown</v>
      </c>
      <c r="J734" s="2" t="s">
        <v>149</v>
      </c>
      <c r="K734" s="3">
        <v>4</v>
      </c>
      <c r="L734" s="2" t="s">
        <v>143</v>
      </c>
      <c r="M734" s="13" t="s">
        <v>152</v>
      </c>
      <c r="N734" t="s">
        <v>35</v>
      </c>
      <c r="O734" s="2" t="str">
        <f>_xlfn.XLOOKUP(Table1[[#This Row],[Checking_Acct_Status]],Table3[Checking_Acct_Original],Table3[Category])</f>
        <v>Negative Balance</v>
      </c>
      <c r="P734" s="10" t="s">
        <v>47</v>
      </c>
      <c r="Q734" s="13" t="str">
        <f>_xlfn.XLOOKUP(Table1[[#This Row],[Saving_Acct_Status]],Table5[Saving_Acct_Original],Table5[Category])</f>
        <v>No Savings</v>
      </c>
      <c r="R734" t="s">
        <v>41</v>
      </c>
      <c r="S734" s="2" t="str">
        <f>IF(
      OR(Table1[[#This Row],[Job_Type]] = "high qualif/self emp/mgmt", Table1[[#This Row],[Job_Type]] = "skilled"),
      "Skilled", "Unskilled")</f>
        <v>Skilled</v>
      </c>
      <c r="T734" t="str">
        <f>IF(Table1[[#This Row],[Job_Type]] = "unemp/unskilled non res", "Unemployed", "Employed")</f>
        <v>Employed</v>
      </c>
      <c r="U734" t="s">
        <v>21</v>
      </c>
      <c r="V734" s="14" t="str" cm="1">
        <f t="array" ref="V73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34" t="s">
        <v>31</v>
      </c>
      <c r="X734" s="2" t="str">
        <f>_xlfn.XLOOKUP(Table1[[#This Row],[Loan_Credit_History]],Table4[Credit History],Table4[[ Category]])</f>
        <v>Existing Credits Paid</v>
      </c>
      <c r="Y734" s="3">
        <v>4</v>
      </c>
      <c r="Z734" s="3">
        <v>1</v>
      </c>
      <c r="AA734" s="5">
        <v>1200</v>
      </c>
      <c r="AB734" t="s">
        <v>151</v>
      </c>
      <c r="AC734" s="2" t="str" cm="1">
        <f t="array" ref="AC734">_xlfn.IFS(Table1[[#This Row],[Others_Parties]] = "No", "None",
Table1[[#This Row],[Others_Parties]] = "co applicant", "Co-applicant",
Table1[[#This Row],[Others_Parties]] = "guarantor", "Guarantor")</f>
        <v>None</v>
      </c>
      <c r="AD734" s="13" t="s">
        <v>146</v>
      </c>
      <c r="AE734" s="2" t="s">
        <v>100</v>
      </c>
      <c r="AF734" s="28" t="str" cm="1">
        <f t="array" ref="AF73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34" s="21">
        <v>12</v>
      </c>
      <c r="AH734" s="2" t="s">
        <v>154</v>
      </c>
      <c r="AI734"/>
      <c r="AZ734"/>
      <c r="BC734"/>
      <c r="BE734"/>
      <c r="BL734"/>
      <c r="BZ734"/>
      <c r="CA734"/>
      <c r="CF734"/>
      <c r="CG734"/>
      <c r="CH734"/>
      <c r="CI734"/>
      <c r="CK734"/>
      <c r="CN734"/>
    </row>
    <row r="735" spans="1:92" x14ac:dyDescent="0.3">
      <c r="A735" s="4">
        <v>733</v>
      </c>
      <c r="B735" s="11">
        <v>46</v>
      </c>
      <c r="C735" s="2" t="str">
        <f>_xlfn.XLOOKUP(Table1[[#This Row],[Age]],Table7[Start_Age],Table7[Age_Range],,-1)</f>
        <v>39-49</v>
      </c>
      <c r="D735" t="s">
        <v>138</v>
      </c>
      <c r="E735" s="2" t="s">
        <v>129</v>
      </c>
      <c r="F735" s="2" t="s">
        <v>178</v>
      </c>
      <c r="G735" s="3">
        <v>1</v>
      </c>
      <c r="H735" s="13" t="s">
        <v>152</v>
      </c>
      <c r="I735" s="2" t="str" cm="1">
        <f t="array" ref="I735">_xlfn.IFS(Table1[[#This Row],[Job_Type]] = "unskilled resident", "Resident",
Table1[[#This Row],[Job_Type]] = "unemp/unskilled non res", "Non-resident",
TRUE, "Unknown")</f>
        <v>Unknown</v>
      </c>
      <c r="J735" s="2" t="s">
        <v>149</v>
      </c>
      <c r="K735" s="3">
        <v>1</v>
      </c>
      <c r="L735" s="2" t="s">
        <v>144</v>
      </c>
      <c r="M735" s="13" t="s">
        <v>151</v>
      </c>
      <c r="N735" t="s">
        <v>30</v>
      </c>
      <c r="O735" s="2" t="str">
        <f>_xlfn.XLOOKUP(Table1[[#This Row],[Checking_Acct_Status]],Table3[Checking_Acct_Original],Table3[Category])</f>
        <v>Low Balance</v>
      </c>
      <c r="P735" s="10" t="s">
        <v>32</v>
      </c>
      <c r="Q735" s="13" t="str">
        <f>_xlfn.XLOOKUP(Table1[[#This Row],[Saving_Acct_Status]],Table5[Saving_Acct_Original],Table5[Category])</f>
        <v>Low Savings</v>
      </c>
      <c r="R735" t="s">
        <v>41</v>
      </c>
      <c r="S735" s="2" t="str">
        <f>IF(
      OR(Table1[[#This Row],[Job_Type]] = "high qualif/self emp/mgmt", Table1[[#This Row],[Job_Type]] = "skilled"),
      "Skilled", "Unskilled")</f>
        <v>Skilled</v>
      </c>
      <c r="T735" t="str">
        <f>IF(Table1[[#This Row],[Job_Type]] = "unemp/unskilled non res", "Unemployed", "Employed")</f>
        <v>Employed</v>
      </c>
      <c r="U735" t="s">
        <v>38</v>
      </c>
      <c r="V735" s="14" t="str" cm="1">
        <f t="array" ref="V73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35" t="s">
        <v>31</v>
      </c>
      <c r="X735" s="2" t="str">
        <f>_xlfn.XLOOKUP(Table1[[#This Row],[Loan_Credit_History]],Table4[Credit History],Table4[[ Category]])</f>
        <v>Existing Credits Paid</v>
      </c>
      <c r="Y735" s="3">
        <v>1</v>
      </c>
      <c r="Z735" s="3">
        <v>2</v>
      </c>
      <c r="AA735" s="5">
        <v>1223</v>
      </c>
      <c r="AB735" t="s">
        <v>151</v>
      </c>
      <c r="AC735" s="2" t="str" cm="1">
        <f t="array" ref="AC735">_xlfn.IFS(Table1[[#This Row],[Others_Parties]] = "No", "None",
Table1[[#This Row],[Others_Parties]] = "co applicant", "Co-applicant",
Table1[[#This Row],[Others_Parties]] = "guarantor", "Guarantor")</f>
        <v>None</v>
      </c>
      <c r="AD735" s="13" t="s">
        <v>145</v>
      </c>
      <c r="AE735" s="2" t="s">
        <v>141</v>
      </c>
      <c r="AF735" s="28" t="str" cm="1">
        <f t="array" ref="AF73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35" s="21">
        <v>12</v>
      </c>
      <c r="AH735" s="2" t="s">
        <v>153</v>
      </c>
      <c r="AI735"/>
      <c r="AZ735"/>
      <c r="BC735"/>
      <c r="BE735"/>
      <c r="BL735"/>
      <c r="BZ735"/>
      <c r="CA735"/>
      <c r="CF735"/>
      <c r="CG735"/>
      <c r="CH735"/>
      <c r="CI735"/>
      <c r="CK735"/>
      <c r="CN735"/>
    </row>
    <row r="736" spans="1:92" x14ac:dyDescent="0.3">
      <c r="A736" s="4">
        <v>734</v>
      </c>
      <c r="B736" s="11">
        <v>24</v>
      </c>
      <c r="C736" s="2" t="str">
        <f>_xlfn.XLOOKUP(Table1[[#This Row],[Age]],Table7[Start_Age],Table7[Age_Range],,-1)</f>
        <v>19-29</v>
      </c>
      <c r="D736" t="s">
        <v>136</v>
      </c>
      <c r="E736" s="2" t="s">
        <v>131</v>
      </c>
      <c r="F736" s="2" t="s">
        <v>137</v>
      </c>
      <c r="G736" s="3">
        <v>1</v>
      </c>
      <c r="H736" s="13" t="s">
        <v>152</v>
      </c>
      <c r="I736" s="2" t="str" cm="1">
        <f t="array" ref="I736">_xlfn.IFS(Table1[[#This Row],[Job_Type]] = "unskilled resident", "Resident",
Table1[[#This Row],[Job_Type]] = "unemp/unskilled non res", "Non-resident",
TRUE, "Unknown")</f>
        <v>Resident</v>
      </c>
      <c r="J736" s="2" t="s">
        <v>148</v>
      </c>
      <c r="K736" s="3">
        <v>2</v>
      </c>
      <c r="L736" s="2" t="s">
        <v>144</v>
      </c>
      <c r="M736" s="13" t="s">
        <v>151</v>
      </c>
      <c r="N736" t="s">
        <v>35</v>
      </c>
      <c r="O736" s="2" t="str">
        <f>_xlfn.XLOOKUP(Table1[[#This Row],[Checking_Acct_Status]],Table3[Checking_Acct_Original],Table3[Category])</f>
        <v>Negative Balance</v>
      </c>
      <c r="P736" s="10" t="s">
        <v>32</v>
      </c>
      <c r="Q736" s="13" t="str">
        <f>_xlfn.XLOOKUP(Table1[[#This Row],[Saving_Acct_Status]],Table5[Saving_Acct_Original],Table5[Category])</f>
        <v>Low Savings</v>
      </c>
      <c r="R736" t="s">
        <v>27</v>
      </c>
      <c r="S736" s="2" t="str">
        <f>IF(
      OR(Table1[[#This Row],[Job_Type]] = "high qualif/self emp/mgmt", Table1[[#This Row],[Job_Type]] = "skilled"),
      "Skilled", "Unskilled")</f>
        <v>Unskilled</v>
      </c>
      <c r="T736" t="str">
        <f>IF(Table1[[#This Row],[Job_Type]] = "unemp/unskilled non res", "Unemployed", "Employed")</f>
        <v>Employed</v>
      </c>
      <c r="U736" t="s">
        <v>21</v>
      </c>
      <c r="V736" s="14" t="str" cm="1">
        <f t="array" ref="V73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36" t="s">
        <v>31</v>
      </c>
      <c r="X736" s="2" t="str">
        <f>_xlfn.XLOOKUP(Table1[[#This Row],[Loan_Credit_History]],Table4[Credit History],Table4[[ Category]])</f>
        <v>Existing Credits Paid</v>
      </c>
      <c r="Y736" s="3">
        <v>4</v>
      </c>
      <c r="Z736" s="3">
        <v>1</v>
      </c>
      <c r="AA736" s="5">
        <v>1228</v>
      </c>
      <c r="AB736" t="s">
        <v>151</v>
      </c>
      <c r="AC736" s="2" t="str" cm="1">
        <f t="array" ref="AC736">_xlfn.IFS(Table1[[#This Row],[Others_Parties]] = "No", "None",
Table1[[#This Row],[Others_Parties]] = "co applicant", "Co-applicant",
Table1[[#This Row],[Others_Parties]] = "guarantor", "Guarantor")</f>
        <v>None</v>
      </c>
      <c r="AD736" s="13" t="s">
        <v>145</v>
      </c>
      <c r="AE736" s="2" t="s">
        <v>141</v>
      </c>
      <c r="AF736" s="28" t="str" cm="1">
        <f t="array" ref="AF73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36" s="21">
        <v>12</v>
      </c>
      <c r="AH736" s="2" t="s">
        <v>153</v>
      </c>
      <c r="AI736"/>
      <c r="AZ736"/>
      <c r="BC736"/>
      <c r="BE736"/>
      <c r="BL736"/>
      <c r="BZ736"/>
      <c r="CA736"/>
      <c r="CF736"/>
      <c r="CG736"/>
      <c r="CH736"/>
      <c r="CI736"/>
      <c r="CK736"/>
      <c r="CN736"/>
    </row>
    <row r="737" spans="1:92" x14ac:dyDescent="0.3">
      <c r="A737" s="4">
        <v>735</v>
      </c>
      <c r="B737" s="11">
        <v>38</v>
      </c>
      <c r="C737" s="2" t="str">
        <f>_xlfn.XLOOKUP(Table1[[#This Row],[Age]],Table7[Start_Age],Table7[Age_Range],,-1)</f>
        <v>29-39</v>
      </c>
      <c r="D737" t="s">
        <v>136</v>
      </c>
      <c r="E737" s="2" t="s">
        <v>131</v>
      </c>
      <c r="F737" s="2" t="s">
        <v>137</v>
      </c>
      <c r="G737" s="3">
        <v>1</v>
      </c>
      <c r="H737" s="13" t="s">
        <v>152</v>
      </c>
      <c r="I737" s="2" t="str" cm="1">
        <f t="array" ref="I737">_xlfn.IFS(Table1[[#This Row],[Job_Type]] = "unskilled resident", "Resident",
Table1[[#This Row],[Job_Type]] = "unemp/unskilled non res", "Non-resident",
TRUE, "Unknown")</f>
        <v>Unknown</v>
      </c>
      <c r="J737" s="2" t="s">
        <v>148</v>
      </c>
      <c r="K737" s="3">
        <v>2</v>
      </c>
      <c r="L737" s="2" t="s">
        <v>144</v>
      </c>
      <c r="M737" s="13" t="s">
        <v>152</v>
      </c>
      <c r="N737" t="s">
        <v>17</v>
      </c>
      <c r="O737" s="2" t="str">
        <f>_xlfn.XLOOKUP(Table1[[#This Row],[Checking_Acct_Status]],Table3[Checking_Acct_Original],Table3[Category])</f>
        <v>No Account</v>
      </c>
      <c r="P737" s="10" t="s">
        <v>47</v>
      </c>
      <c r="Q737" s="13" t="str">
        <f>_xlfn.XLOOKUP(Table1[[#This Row],[Saving_Acct_Status]],Table5[Saving_Acct_Original],Table5[Category])</f>
        <v>No Savings</v>
      </c>
      <c r="R737" t="s">
        <v>41</v>
      </c>
      <c r="S737" s="2" t="str">
        <f>IF(
      OR(Table1[[#This Row],[Job_Type]] = "high qualif/self emp/mgmt", Table1[[#This Row],[Job_Type]] = "skilled"),
      "Skilled", "Unskilled")</f>
        <v>Skilled</v>
      </c>
      <c r="T737" t="str">
        <f>IF(Table1[[#This Row],[Job_Type]] = "unemp/unskilled non res", "Unemployed", "Employed")</f>
        <v>Employed</v>
      </c>
      <c r="U737" t="s">
        <v>38</v>
      </c>
      <c r="V737" s="14" t="str" cm="1">
        <f t="array" ref="V73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37" t="s">
        <v>103</v>
      </c>
      <c r="X737" s="2" t="str">
        <f>_xlfn.XLOOKUP(Table1[[#This Row],[Loan_Credit_History]],Table4[Credit History],Table4[[ Category]])</f>
        <v>Critical Credit History</v>
      </c>
      <c r="Y737" s="3">
        <v>4</v>
      </c>
      <c r="Z737" s="3">
        <v>2</v>
      </c>
      <c r="AA737" s="5">
        <v>1240</v>
      </c>
      <c r="AB737" t="s">
        <v>151</v>
      </c>
      <c r="AC737" s="2" t="str" cm="1">
        <f t="array" ref="AC737">_xlfn.IFS(Table1[[#This Row],[Others_Parties]] = "No", "None",
Table1[[#This Row],[Others_Parties]] = "co applicant", "Co-applicant",
Table1[[#This Row],[Others_Parties]] = "guarantor", "Guarantor")</f>
        <v>None</v>
      </c>
      <c r="AD737" s="13" t="s">
        <v>145</v>
      </c>
      <c r="AE737" s="2" t="s">
        <v>111</v>
      </c>
      <c r="AF737" s="28" t="str" cm="1">
        <f t="array" ref="AF73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37" s="21">
        <v>12</v>
      </c>
      <c r="AH737" s="2" t="s">
        <v>154</v>
      </c>
      <c r="AI737"/>
      <c r="AZ737"/>
      <c r="BC737"/>
      <c r="BE737"/>
      <c r="BL737"/>
      <c r="BZ737"/>
      <c r="CA737"/>
      <c r="CF737"/>
      <c r="CG737"/>
      <c r="CH737"/>
      <c r="CI737"/>
      <c r="CK737"/>
      <c r="CN737"/>
    </row>
    <row r="738" spans="1:92" x14ac:dyDescent="0.3">
      <c r="A738" s="4">
        <v>736</v>
      </c>
      <c r="B738" s="11">
        <v>61</v>
      </c>
      <c r="C738" s="2" t="str">
        <f>_xlfn.XLOOKUP(Table1[[#This Row],[Age]],Table7[Start_Age],Table7[Age_Range],,-1)</f>
        <v>59-69</v>
      </c>
      <c r="D738" t="s">
        <v>130</v>
      </c>
      <c r="E738" s="2" t="s">
        <v>129</v>
      </c>
      <c r="F738" s="2" t="s">
        <v>133</v>
      </c>
      <c r="G738" s="3">
        <v>1</v>
      </c>
      <c r="H738" s="13" t="s">
        <v>152</v>
      </c>
      <c r="I738" s="2" t="str" cm="1">
        <f t="array" ref="I738">_xlfn.IFS(Table1[[#This Row],[Job_Type]] = "unskilled resident", "Resident",
Table1[[#This Row],[Job_Type]] = "unemp/unskilled non res", "Non-resident",
TRUE, "Unknown")</f>
        <v>Resident</v>
      </c>
      <c r="J738" s="2" t="s">
        <v>148</v>
      </c>
      <c r="K738" s="3">
        <v>4</v>
      </c>
      <c r="L738" s="2" t="s">
        <v>144</v>
      </c>
      <c r="M738" s="13" t="s">
        <v>151</v>
      </c>
      <c r="N738" t="s">
        <v>17</v>
      </c>
      <c r="O738" s="2" t="str">
        <f>_xlfn.XLOOKUP(Table1[[#This Row],[Checking_Acct_Status]],Table3[Checking_Acct_Original],Table3[Category])</f>
        <v>No Account</v>
      </c>
      <c r="P738" s="10" t="s">
        <v>32</v>
      </c>
      <c r="Q738" s="13" t="str">
        <f>_xlfn.XLOOKUP(Table1[[#This Row],[Saving_Acct_Status]],Table5[Saving_Acct_Original],Table5[Category])</f>
        <v>Low Savings</v>
      </c>
      <c r="R738" t="s">
        <v>27</v>
      </c>
      <c r="S738" s="2" t="str">
        <f>IF(
      OR(Table1[[#This Row],[Job_Type]] = "high qualif/self emp/mgmt", Table1[[#This Row],[Job_Type]] = "skilled"),
      "Skilled", "Unskilled")</f>
        <v>Unskilled</v>
      </c>
      <c r="T738" t="str">
        <f>IF(Table1[[#This Row],[Job_Type]] = "unemp/unskilled non res", "Unemployed", "Employed")</f>
        <v>Employed</v>
      </c>
      <c r="U738" t="s">
        <v>38</v>
      </c>
      <c r="V738" s="14" t="str" cm="1">
        <f t="array" ref="V73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38" t="s">
        <v>103</v>
      </c>
      <c r="X738" s="2" t="str">
        <f>_xlfn.XLOOKUP(Table1[[#This Row],[Loan_Credit_History]],Table4[Credit History],Table4[[ Category]])</f>
        <v>Critical Credit History</v>
      </c>
      <c r="Y738" s="3">
        <v>4</v>
      </c>
      <c r="Z738" s="3">
        <v>2</v>
      </c>
      <c r="AA738" s="5">
        <v>1255</v>
      </c>
      <c r="AB738" t="s">
        <v>151</v>
      </c>
      <c r="AC738" s="2" t="str" cm="1">
        <f t="array" ref="AC738">_xlfn.IFS(Table1[[#This Row],[Others_Parties]] = "No", "None",
Table1[[#This Row],[Others_Parties]] = "co applicant", "Co-applicant",
Table1[[#This Row],[Others_Parties]] = "guarantor", "Guarantor")</f>
        <v>None</v>
      </c>
      <c r="AD738" s="13" t="s">
        <v>145</v>
      </c>
      <c r="AE738" s="2" t="s">
        <v>141</v>
      </c>
      <c r="AF738" s="28" t="str" cm="1">
        <f t="array" ref="AF73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38" s="21">
        <v>12</v>
      </c>
      <c r="AH738" s="2" t="s">
        <v>154</v>
      </c>
      <c r="AI738"/>
      <c r="AZ738"/>
      <c r="BC738"/>
      <c r="BE738"/>
      <c r="BL738"/>
      <c r="BZ738"/>
      <c r="CA738"/>
      <c r="CF738"/>
      <c r="CG738"/>
      <c r="CH738"/>
      <c r="CI738"/>
      <c r="CK738"/>
      <c r="CN738"/>
    </row>
    <row r="739" spans="1:92" x14ac:dyDescent="0.3">
      <c r="A739" s="4">
        <v>737</v>
      </c>
      <c r="B739" s="11">
        <v>22</v>
      </c>
      <c r="C739" s="2" t="str">
        <f>_xlfn.XLOOKUP(Table1[[#This Row],[Age]],Table7[Start_Age],Table7[Age_Range],,-1)</f>
        <v>19-29</v>
      </c>
      <c r="D739" t="s">
        <v>136</v>
      </c>
      <c r="E739" s="2" t="s">
        <v>131</v>
      </c>
      <c r="F739" s="2" t="s">
        <v>137</v>
      </c>
      <c r="G739" s="3">
        <v>1</v>
      </c>
      <c r="H739" s="13" t="s">
        <v>152</v>
      </c>
      <c r="I739" s="2" t="str" cm="1">
        <f t="array" ref="I739">_xlfn.IFS(Table1[[#This Row],[Job_Type]] = "unskilled resident", "Resident",
Table1[[#This Row],[Job_Type]] = "unemp/unskilled non res", "Non-resident",
TRUE, "Unknown")</f>
        <v>Resident</v>
      </c>
      <c r="J739" s="2" t="s">
        <v>149</v>
      </c>
      <c r="K739" s="3">
        <v>4</v>
      </c>
      <c r="L739" s="2" t="s">
        <v>143</v>
      </c>
      <c r="M739" s="13" t="s">
        <v>151</v>
      </c>
      <c r="N739" t="s">
        <v>17</v>
      </c>
      <c r="O739" s="2" t="str">
        <f>_xlfn.XLOOKUP(Table1[[#This Row],[Checking_Acct_Status]],Table3[Checking_Acct_Original],Table3[Category])</f>
        <v>No Account</v>
      </c>
      <c r="P739" s="10" t="s">
        <v>32</v>
      </c>
      <c r="Q739" s="13" t="str">
        <f>_xlfn.XLOOKUP(Table1[[#This Row],[Saving_Acct_Status]],Table5[Saving_Acct_Original],Table5[Category])</f>
        <v>Low Savings</v>
      </c>
      <c r="R739" t="s">
        <v>27</v>
      </c>
      <c r="S739" s="2" t="str">
        <f>IF(
      OR(Table1[[#This Row],[Job_Type]] = "high qualif/self emp/mgmt", Table1[[#This Row],[Job_Type]] = "skilled"),
      "Skilled", "Unskilled")</f>
        <v>Unskilled</v>
      </c>
      <c r="T739" t="str">
        <f>IF(Table1[[#This Row],[Job_Type]] = "unemp/unskilled non res", "Unemployed", "Employed")</f>
        <v>Employed</v>
      </c>
      <c r="U739" t="s">
        <v>45</v>
      </c>
      <c r="V739" s="14" t="str" cm="1">
        <f t="array" ref="V73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39" t="s">
        <v>103</v>
      </c>
      <c r="X739" s="2" t="str">
        <f>_xlfn.XLOOKUP(Table1[[#This Row],[Loan_Credit_History]],Table4[Credit History],Table4[[ Category]])</f>
        <v>Critical Credit History</v>
      </c>
      <c r="Y739" s="3">
        <v>2</v>
      </c>
      <c r="Z739" s="3">
        <v>2</v>
      </c>
      <c r="AA739" s="5">
        <v>1258</v>
      </c>
      <c r="AB739" t="s">
        <v>151</v>
      </c>
      <c r="AC739" s="2" t="str" cm="1">
        <f t="array" ref="AC739">_xlfn.IFS(Table1[[#This Row],[Others_Parties]] = "No", "None",
Table1[[#This Row],[Others_Parties]] = "co applicant", "Co-applicant",
Table1[[#This Row],[Others_Parties]] = "guarantor", "Guarantor")</f>
        <v>None</v>
      </c>
      <c r="AD739" s="13" t="s">
        <v>145</v>
      </c>
      <c r="AE739" s="2" t="s">
        <v>108</v>
      </c>
      <c r="AF739" s="28" t="str" cm="1">
        <f t="array" ref="AF73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39" s="21">
        <v>12</v>
      </c>
      <c r="AH739" s="2" t="s">
        <v>154</v>
      </c>
      <c r="AI739"/>
      <c r="AZ739"/>
      <c r="BC739"/>
      <c r="BE739"/>
      <c r="BL739"/>
      <c r="BZ739"/>
      <c r="CA739"/>
      <c r="CF739"/>
      <c r="CG739"/>
      <c r="CH739"/>
      <c r="CI739"/>
      <c r="CK739"/>
      <c r="CN739"/>
    </row>
    <row r="740" spans="1:92" x14ac:dyDescent="0.3">
      <c r="A740" s="4">
        <v>738</v>
      </c>
      <c r="B740" s="11">
        <v>25</v>
      </c>
      <c r="C740" s="2" t="str">
        <f>_xlfn.XLOOKUP(Table1[[#This Row],[Age]],Table7[Start_Age],Table7[Age_Range],,-1)</f>
        <v>19-29</v>
      </c>
      <c r="D740" t="s">
        <v>130</v>
      </c>
      <c r="E740" s="2" t="s">
        <v>129</v>
      </c>
      <c r="F740" s="2" t="s">
        <v>133</v>
      </c>
      <c r="G740" s="3">
        <v>1</v>
      </c>
      <c r="H740" s="13" t="s">
        <v>152</v>
      </c>
      <c r="I740" s="2" t="str" cm="1">
        <f t="array" ref="I740">_xlfn.IFS(Table1[[#This Row],[Job_Type]] = "unskilled resident", "Resident",
Table1[[#This Row],[Job_Type]] = "unemp/unskilled non res", "Non-resident",
TRUE, "Unknown")</f>
        <v>Unknown</v>
      </c>
      <c r="J740" s="2" t="s">
        <v>148</v>
      </c>
      <c r="K740" s="3">
        <v>2</v>
      </c>
      <c r="L740" s="2" t="s">
        <v>140</v>
      </c>
      <c r="M740" s="13" t="s">
        <v>151</v>
      </c>
      <c r="N740" t="s">
        <v>17</v>
      </c>
      <c r="O740" s="2" t="str">
        <f>_xlfn.XLOOKUP(Table1[[#This Row],[Checking_Acct_Status]],Table3[Checking_Acct_Original],Table3[Category])</f>
        <v>No Account</v>
      </c>
      <c r="P740" s="10" t="s">
        <v>32</v>
      </c>
      <c r="Q740" s="13" t="str">
        <f>_xlfn.XLOOKUP(Table1[[#This Row],[Saving_Acct_Status]],Table5[Saving_Acct_Original],Table5[Category])</f>
        <v>Low Savings</v>
      </c>
      <c r="R740" t="s">
        <v>41</v>
      </c>
      <c r="S740" s="2" t="str">
        <f>IF(
      OR(Table1[[#This Row],[Job_Type]] = "high qualif/self emp/mgmt", Table1[[#This Row],[Job_Type]] = "skilled"),
      "Skilled", "Unskilled")</f>
        <v>Skilled</v>
      </c>
      <c r="T740" t="str">
        <f>IF(Table1[[#This Row],[Job_Type]] = "unemp/unskilled non res", "Unemployed", "Employed")</f>
        <v>Employed</v>
      </c>
      <c r="U740" t="s">
        <v>21</v>
      </c>
      <c r="V740" s="14" t="str" cm="1">
        <f t="array" ref="V74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40" t="s">
        <v>31</v>
      </c>
      <c r="X740" s="2" t="str">
        <f>_xlfn.XLOOKUP(Table1[[#This Row],[Loan_Credit_History]],Table4[Credit History],Table4[[ Category]])</f>
        <v>Existing Credits Paid</v>
      </c>
      <c r="Y740" s="3">
        <v>3</v>
      </c>
      <c r="Z740" s="3">
        <v>1</v>
      </c>
      <c r="AA740" s="5">
        <v>1262</v>
      </c>
      <c r="AB740" t="s">
        <v>151</v>
      </c>
      <c r="AC740" s="2" t="str" cm="1">
        <f t="array" ref="AC740">_xlfn.IFS(Table1[[#This Row],[Others_Parties]] = "No", "None",
Table1[[#This Row],[Others_Parties]] = "co applicant", "Co-applicant",
Table1[[#This Row],[Others_Parties]] = "guarantor", "Guarantor")</f>
        <v>None</v>
      </c>
      <c r="AD740" s="13" t="s">
        <v>145</v>
      </c>
      <c r="AE740" s="2" t="s">
        <v>111</v>
      </c>
      <c r="AF740" s="28" t="str" cm="1">
        <f t="array" ref="AF74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40" s="21">
        <v>12</v>
      </c>
      <c r="AH740" s="2" t="s">
        <v>154</v>
      </c>
      <c r="AI740"/>
      <c r="AZ740"/>
      <c r="BC740"/>
      <c r="BE740"/>
      <c r="BL740"/>
      <c r="BZ740"/>
      <c r="CA740"/>
      <c r="CF740"/>
      <c r="CG740"/>
      <c r="CH740"/>
      <c r="CI740"/>
      <c r="CK740"/>
      <c r="CN740"/>
    </row>
    <row r="741" spans="1:92" x14ac:dyDescent="0.3">
      <c r="A741" s="4">
        <v>739</v>
      </c>
      <c r="B741" s="11">
        <v>49</v>
      </c>
      <c r="C741" s="2" t="str">
        <f>_xlfn.XLOOKUP(Table1[[#This Row],[Age]],Table7[Start_Age],Table7[Age_Range],,-1)</f>
        <v>49-59</v>
      </c>
      <c r="D741" t="s">
        <v>138</v>
      </c>
      <c r="E741" s="2" t="s">
        <v>129</v>
      </c>
      <c r="F741" s="2" t="s">
        <v>178</v>
      </c>
      <c r="G741" s="3">
        <v>1</v>
      </c>
      <c r="H741" s="13" t="s">
        <v>152</v>
      </c>
      <c r="I741" s="2" t="str" cm="1">
        <f t="array" ref="I741">_xlfn.IFS(Table1[[#This Row],[Job_Type]] = "unskilled resident", "Resident",
Table1[[#This Row],[Job_Type]] = "unemp/unskilled non res", "Non-resident",
TRUE, "Unknown")</f>
        <v>Resident</v>
      </c>
      <c r="J741" s="2" t="s">
        <v>148</v>
      </c>
      <c r="K741" s="3">
        <v>4</v>
      </c>
      <c r="L741" s="2" t="s">
        <v>143</v>
      </c>
      <c r="M741" s="13" t="s">
        <v>152</v>
      </c>
      <c r="N741" t="s">
        <v>35</v>
      </c>
      <c r="O741" s="2" t="str">
        <f>_xlfn.XLOOKUP(Table1[[#This Row],[Checking_Acct_Status]],Table3[Checking_Acct_Original],Table3[Category])</f>
        <v>Negative Balance</v>
      </c>
      <c r="P741" s="10" t="s">
        <v>47</v>
      </c>
      <c r="Q741" s="13" t="str">
        <f>_xlfn.XLOOKUP(Table1[[#This Row],[Saving_Acct_Status]],Table5[Saving_Acct_Original],Table5[Category])</f>
        <v>No Savings</v>
      </c>
      <c r="R741" t="s">
        <v>27</v>
      </c>
      <c r="S741" s="2" t="str">
        <f>IF(
      OR(Table1[[#This Row],[Job_Type]] = "high qualif/self emp/mgmt", Table1[[#This Row],[Job_Type]] = "skilled"),
      "Skilled", "Unskilled")</f>
        <v>Unskilled</v>
      </c>
      <c r="T741" t="str">
        <f>IF(Table1[[#This Row],[Job_Type]] = "unemp/unskilled non res", "Unemployed", "Employed")</f>
        <v>Employed</v>
      </c>
      <c r="U741" t="s">
        <v>38</v>
      </c>
      <c r="V741" s="14" t="str" cm="1">
        <f t="array" ref="V74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41" t="s">
        <v>31</v>
      </c>
      <c r="X741" s="2" t="str">
        <f>_xlfn.XLOOKUP(Table1[[#This Row],[Loan_Credit_History]],Table4[Credit History],Table4[[ Category]])</f>
        <v>Existing Credits Paid</v>
      </c>
      <c r="Y741" s="3">
        <v>2</v>
      </c>
      <c r="Z741" s="3">
        <v>1</v>
      </c>
      <c r="AA741" s="5">
        <v>1262</v>
      </c>
      <c r="AB741" t="s">
        <v>151</v>
      </c>
      <c r="AC741" s="2" t="str" cm="1">
        <f t="array" ref="AC741">_xlfn.IFS(Table1[[#This Row],[Others_Parties]] = "No", "None",
Table1[[#This Row],[Others_Parties]] = "co applicant", "Co-applicant",
Table1[[#This Row],[Others_Parties]] = "guarantor", "Guarantor")</f>
        <v>None</v>
      </c>
      <c r="AD741" s="13" t="s">
        <v>145</v>
      </c>
      <c r="AE741" s="2" t="s">
        <v>108</v>
      </c>
      <c r="AF741" s="28" t="str" cm="1">
        <f t="array" ref="AF74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41" s="21">
        <v>12</v>
      </c>
      <c r="AH741" s="2" t="s">
        <v>154</v>
      </c>
      <c r="AI741"/>
      <c r="AZ741"/>
      <c r="BC741"/>
      <c r="BE741"/>
      <c r="BL741"/>
      <c r="BZ741"/>
      <c r="CA741"/>
      <c r="CF741"/>
      <c r="CG741"/>
      <c r="CH741"/>
      <c r="CI741"/>
      <c r="CK741"/>
      <c r="CN741"/>
    </row>
    <row r="742" spans="1:92" x14ac:dyDescent="0.3">
      <c r="A742" s="4">
        <v>740</v>
      </c>
      <c r="B742" s="11">
        <v>57</v>
      </c>
      <c r="C742" s="2" t="str">
        <f>_xlfn.XLOOKUP(Table1[[#This Row],[Age]],Table7[Start_Age],Table7[Age_Range],,-1)</f>
        <v>49-59</v>
      </c>
      <c r="D742" t="s">
        <v>130</v>
      </c>
      <c r="E742" s="2" t="s">
        <v>129</v>
      </c>
      <c r="F742" s="2" t="s">
        <v>133</v>
      </c>
      <c r="G742" s="3">
        <v>1</v>
      </c>
      <c r="H742" s="13" t="s">
        <v>152</v>
      </c>
      <c r="I742" s="2" t="str" cm="1">
        <f t="array" ref="I742">_xlfn.IFS(Table1[[#This Row],[Job_Type]] = "unskilled resident", "Resident",
Table1[[#This Row],[Job_Type]] = "unemp/unskilled non res", "Non-resident",
TRUE, "Unknown")</f>
        <v>Resident</v>
      </c>
      <c r="J742" s="2" t="s">
        <v>149</v>
      </c>
      <c r="K742" s="3">
        <v>4</v>
      </c>
      <c r="L742" s="2" t="s">
        <v>142</v>
      </c>
      <c r="M742" s="13" t="s">
        <v>151</v>
      </c>
      <c r="N742" t="s">
        <v>17</v>
      </c>
      <c r="O742" s="2" t="str">
        <f>_xlfn.XLOOKUP(Table1[[#This Row],[Checking_Acct_Status]],Table3[Checking_Acct_Original],Table3[Category])</f>
        <v>No Account</v>
      </c>
      <c r="P742" s="10" t="s">
        <v>47</v>
      </c>
      <c r="Q742" s="13" t="str">
        <f>_xlfn.XLOOKUP(Table1[[#This Row],[Saving_Acct_Status]],Table5[Saving_Acct_Original],Table5[Category])</f>
        <v>No Savings</v>
      </c>
      <c r="R742" t="s">
        <v>27</v>
      </c>
      <c r="S742" s="2" t="str">
        <f>IF(
      OR(Table1[[#This Row],[Job_Type]] = "high qualif/self emp/mgmt", Table1[[#This Row],[Job_Type]] = "skilled"),
      "Skilled", "Unskilled")</f>
        <v>Unskilled</v>
      </c>
      <c r="T742" t="str">
        <f>IF(Table1[[#This Row],[Job_Type]] = "unemp/unskilled non res", "Unemployed", "Employed")</f>
        <v>Employed</v>
      </c>
      <c r="U742" t="s">
        <v>38</v>
      </c>
      <c r="V742" s="14" t="str" cm="1">
        <f t="array" ref="V74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42" t="s">
        <v>103</v>
      </c>
      <c r="X742" s="2" t="str">
        <f>_xlfn.XLOOKUP(Table1[[#This Row],[Loan_Credit_History]],Table4[Credit History],Table4[[ Category]])</f>
        <v>Critical Credit History</v>
      </c>
      <c r="Y742" s="3">
        <v>4</v>
      </c>
      <c r="Z742" s="3">
        <v>1</v>
      </c>
      <c r="AA742" s="5">
        <v>1264</v>
      </c>
      <c r="AB742" t="s">
        <v>151</v>
      </c>
      <c r="AC742" s="2" t="str" cm="1">
        <f t="array" ref="AC742">_xlfn.IFS(Table1[[#This Row],[Others_Parties]] = "No", "None",
Table1[[#This Row],[Others_Parties]] = "co applicant", "Co-applicant",
Table1[[#This Row],[Others_Parties]] = "guarantor", "Guarantor")</f>
        <v>None</v>
      </c>
      <c r="AD742" s="13" t="s">
        <v>145</v>
      </c>
      <c r="AE742" s="2" t="s">
        <v>105</v>
      </c>
      <c r="AF742" s="28" t="str" cm="1">
        <f t="array" ref="AF74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42" s="21">
        <v>12</v>
      </c>
      <c r="AH742" s="2" t="s">
        <v>154</v>
      </c>
      <c r="AI742"/>
      <c r="AZ742"/>
      <c r="BC742"/>
      <c r="BE742"/>
      <c r="BL742"/>
      <c r="BZ742"/>
      <c r="CA742"/>
      <c r="CF742"/>
      <c r="CG742"/>
      <c r="CH742"/>
      <c r="CI742"/>
      <c r="CK742"/>
      <c r="CN742"/>
    </row>
    <row r="743" spans="1:92" x14ac:dyDescent="0.3">
      <c r="A743" s="4">
        <v>741</v>
      </c>
      <c r="B743" s="11">
        <v>37</v>
      </c>
      <c r="C743" s="2" t="str">
        <f>_xlfn.XLOOKUP(Table1[[#This Row],[Age]],Table7[Start_Age],Table7[Age_Range],,-1)</f>
        <v>29-39</v>
      </c>
      <c r="D743" t="s">
        <v>136</v>
      </c>
      <c r="E743" s="2" t="s">
        <v>131</v>
      </c>
      <c r="F743" s="2" t="s">
        <v>137</v>
      </c>
      <c r="G743" s="3">
        <v>1</v>
      </c>
      <c r="H743" s="13" t="s">
        <v>152</v>
      </c>
      <c r="I743" s="2" t="str" cm="1">
        <f t="array" ref="I743">_xlfn.IFS(Table1[[#This Row],[Job_Type]] = "unskilled resident", "Resident",
Table1[[#This Row],[Job_Type]] = "unemp/unskilled non res", "Non-resident",
TRUE, "Unknown")</f>
        <v>Resident</v>
      </c>
      <c r="J743" s="2" t="s">
        <v>148</v>
      </c>
      <c r="K743" s="3">
        <v>1</v>
      </c>
      <c r="L743" s="2" t="s">
        <v>144</v>
      </c>
      <c r="M743" s="13" t="s">
        <v>151</v>
      </c>
      <c r="N743" t="s">
        <v>35</v>
      </c>
      <c r="O743" s="2" t="str">
        <f>_xlfn.XLOOKUP(Table1[[#This Row],[Checking_Acct_Status]],Table3[Checking_Acct_Original],Table3[Category])</f>
        <v>Negative Balance</v>
      </c>
      <c r="P743" s="10" t="s">
        <v>32</v>
      </c>
      <c r="Q743" s="13" t="str">
        <f>_xlfn.XLOOKUP(Table1[[#This Row],[Saving_Acct_Status]],Table5[Saving_Acct_Original],Table5[Category])</f>
        <v>Low Savings</v>
      </c>
      <c r="R743" t="s">
        <v>27</v>
      </c>
      <c r="S743" s="2" t="str">
        <f>IF(
      OR(Table1[[#This Row],[Job_Type]] = "high qualif/self emp/mgmt", Table1[[#This Row],[Job_Type]] = "skilled"),
      "Skilled", "Unskilled")</f>
        <v>Unskilled</v>
      </c>
      <c r="T743" t="str">
        <f>IF(Table1[[#This Row],[Job_Type]] = "unemp/unskilled non res", "Unemployed", "Employed")</f>
        <v>Employed</v>
      </c>
      <c r="U743" t="s">
        <v>45</v>
      </c>
      <c r="V743" s="14" t="str" cm="1">
        <f t="array" ref="V74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43" t="s">
        <v>31</v>
      </c>
      <c r="X743" s="2" t="str">
        <f>_xlfn.XLOOKUP(Table1[[#This Row],[Loan_Credit_History]],Table4[Credit History],Table4[[ Category]])</f>
        <v>Existing Credits Paid</v>
      </c>
      <c r="Y743" s="3">
        <v>3</v>
      </c>
      <c r="Z743" s="3">
        <v>1</v>
      </c>
      <c r="AA743" s="5">
        <v>1274</v>
      </c>
      <c r="AB743" t="s">
        <v>151</v>
      </c>
      <c r="AC743" s="2" t="str" cm="1">
        <f t="array" ref="AC743">_xlfn.IFS(Table1[[#This Row],[Others_Parties]] = "No", "None",
Table1[[#This Row],[Others_Parties]] = "co applicant", "Co-applicant",
Table1[[#This Row],[Others_Parties]] = "guarantor", "Guarantor")</f>
        <v>None</v>
      </c>
      <c r="AD743" s="13" t="s">
        <v>145</v>
      </c>
      <c r="AE743" s="2" t="s">
        <v>141</v>
      </c>
      <c r="AF743" s="28" t="str" cm="1">
        <f t="array" ref="AF74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43" s="21">
        <v>12</v>
      </c>
      <c r="AH743" s="2" t="s">
        <v>153</v>
      </c>
      <c r="AI743"/>
      <c r="AZ743"/>
      <c r="BC743"/>
      <c r="BE743"/>
      <c r="BL743"/>
      <c r="BZ743"/>
      <c r="CA743"/>
      <c r="CF743"/>
      <c r="CG743"/>
      <c r="CH743"/>
      <c r="CI743"/>
      <c r="CK743"/>
      <c r="CN743"/>
    </row>
    <row r="744" spans="1:92" x14ac:dyDescent="0.3">
      <c r="A744" s="4">
        <v>742</v>
      </c>
      <c r="B744" s="11">
        <v>20</v>
      </c>
      <c r="C744" s="2" t="str">
        <f>_xlfn.XLOOKUP(Table1[[#This Row],[Age]],Table7[Start_Age],Table7[Age_Range],,-1)</f>
        <v>19-29</v>
      </c>
      <c r="D744" t="s">
        <v>136</v>
      </c>
      <c r="E744" s="2" t="s">
        <v>131</v>
      </c>
      <c r="F744" s="2" t="s">
        <v>137</v>
      </c>
      <c r="G744" s="3">
        <v>1</v>
      </c>
      <c r="H744" s="13" t="s">
        <v>152</v>
      </c>
      <c r="I744" s="2" t="str" cm="1">
        <f t="array" ref="I744">_xlfn.IFS(Table1[[#This Row],[Job_Type]] = "unskilled resident", "Resident",
Table1[[#This Row],[Job_Type]] = "unemp/unskilled non res", "Non-resident",
TRUE, "Unknown")</f>
        <v>Unknown</v>
      </c>
      <c r="J744" s="2" t="s">
        <v>149</v>
      </c>
      <c r="K744" s="3">
        <v>4</v>
      </c>
      <c r="L744" s="2" t="s">
        <v>140</v>
      </c>
      <c r="M744" s="13" t="s">
        <v>151</v>
      </c>
      <c r="N744" t="s">
        <v>35</v>
      </c>
      <c r="O744" s="2" t="str">
        <f>_xlfn.XLOOKUP(Table1[[#This Row],[Checking_Acct_Status]],Table3[Checking_Acct_Original],Table3[Category])</f>
        <v>Negative Balance</v>
      </c>
      <c r="P744" s="10" t="s">
        <v>32</v>
      </c>
      <c r="Q744" s="13" t="str">
        <f>_xlfn.XLOOKUP(Table1[[#This Row],[Saving_Acct_Status]],Table5[Saving_Acct_Original],Table5[Category])</f>
        <v>Low Savings</v>
      </c>
      <c r="R744" t="s">
        <v>41</v>
      </c>
      <c r="S744" s="2" t="str">
        <f>IF(
      OR(Table1[[#This Row],[Job_Type]] = "high qualif/self emp/mgmt", Table1[[#This Row],[Job_Type]] = "skilled"),
      "Skilled", "Unskilled")</f>
        <v>Skilled</v>
      </c>
      <c r="T744" t="str">
        <f>IF(Table1[[#This Row],[Job_Type]] = "unemp/unskilled non res", "Unemployed", "Employed")</f>
        <v>Employed</v>
      </c>
      <c r="U744" t="s">
        <v>21</v>
      </c>
      <c r="V744" s="14" t="str" cm="1">
        <f t="array" ref="V74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44" t="s">
        <v>31</v>
      </c>
      <c r="X744" s="2" t="str">
        <f>_xlfn.XLOOKUP(Table1[[#This Row],[Loan_Credit_History]],Table4[Credit History],Table4[[ Category]])</f>
        <v>Existing Credits Paid</v>
      </c>
      <c r="Y744" s="3">
        <v>2</v>
      </c>
      <c r="Z744" s="3">
        <v>1</v>
      </c>
      <c r="AA744" s="5">
        <v>1282</v>
      </c>
      <c r="AB744" t="s">
        <v>151</v>
      </c>
      <c r="AC744" s="2" t="str" cm="1">
        <f t="array" ref="AC744">_xlfn.IFS(Table1[[#This Row],[Others_Parties]] = "No", "None",
Table1[[#This Row],[Others_Parties]] = "co applicant", "Co-applicant",
Table1[[#This Row],[Others_Parties]] = "guarantor", "Guarantor")</f>
        <v>None</v>
      </c>
      <c r="AD744" s="13" t="s">
        <v>145</v>
      </c>
      <c r="AE744" s="2" t="s">
        <v>108</v>
      </c>
      <c r="AF744" s="28" t="str" cm="1">
        <f t="array" ref="AF74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44" s="21">
        <v>12</v>
      </c>
      <c r="AH744" s="2" t="s">
        <v>153</v>
      </c>
      <c r="AI744"/>
      <c r="AZ744"/>
      <c r="BC744"/>
      <c r="BE744"/>
      <c r="BL744"/>
      <c r="BZ744"/>
      <c r="CA744"/>
      <c r="CF744"/>
      <c r="CG744"/>
      <c r="CH744"/>
      <c r="CI744"/>
      <c r="CK744"/>
      <c r="CN744"/>
    </row>
    <row r="745" spans="1:92" x14ac:dyDescent="0.3">
      <c r="A745" s="4">
        <v>743</v>
      </c>
      <c r="B745" s="11">
        <v>21</v>
      </c>
      <c r="C745" s="2" t="str">
        <f>_xlfn.XLOOKUP(Table1[[#This Row],[Age]],Table7[Start_Age],Table7[Age_Range],,-1)</f>
        <v>19-29</v>
      </c>
      <c r="D745" t="s">
        <v>130</v>
      </c>
      <c r="E745" s="2" t="s">
        <v>129</v>
      </c>
      <c r="F745" s="2" t="s">
        <v>133</v>
      </c>
      <c r="G745" s="3">
        <v>1</v>
      </c>
      <c r="H745" s="13" t="s">
        <v>152</v>
      </c>
      <c r="I745" s="2" t="str" cm="1">
        <f t="array" ref="I745">_xlfn.IFS(Table1[[#This Row],[Job_Type]] = "unskilled resident", "Resident",
Table1[[#This Row],[Job_Type]] = "unemp/unskilled non res", "Non-resident",
TRUE, "Unknown")</f>
        <v>Resident</v>
      </c>
      <c r="J745" s="2" t="s">
        <v>148</v>
      </c>
      <c r="K745" s="3">
        <v>1</v>
      </c>
      <c r="L745" s="2" t="s">
        <v>143</v>
      </c>
      <c r="M745" s="13" t="s">
        <v>151</v>
      </c>
      <c r="N745" t="s">
        <v>35</v>
      </c>
      <c r="O745" s="2" t="str">
        <f>_xlfn.XLOOKUP(Table1[[#This Row],[Checking_Acct_Status]],Table3[Checking_Acct_Original],Table3[Category])</f>
        <v>Negative Balance</v>
      </c>
      <c r="P745" s="10" t="s">
        <v>32</v>
      </c>
      <c r="Q745" s="13" t="str">
        <f>_xlfn.XLOOKUP(Table1[[#This Row],[Saving_Acct_Status]],Table5[Saving_Acct_Original],Table5[Category])</f>
        <v>Low Savings</v>
      </c>
      <c r="R745" t="s">
        <v>27</v>
      </c>
      <c r="S745" s="2" t="str">
        <f>IF(
      OR(Table1[[#This Row],[Job_Type]] = "high qualif/self emp/mgmt", Table1[[#This Row],[Job_Type]] = "skilled"),
      "Skilled", "Unskilled")</f>
        <v>Unskilled</v>
      </c>
      <c r="T745" t="str">
        <f>IF(Table1[[#This Row],[Job_Type]] = "unemp/unskilled non res", "Unemployed", "Employed")</f>
        <v>Employed</v>
      </c>
      <c r="U745" t="s">
        <v>21</v>
      </c>
      <c r="V745" s="14" t="str" cm="1">
        <f t="array" ref="V74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45" t="s">
        <v>31</v>
      </c>
      <c r="X745" s="2" t="str">
        <f>_xlfn.XLOOKUP(Table1[[#This Row],[Loan_Credit_History]],Table4[Credit History],Table4[[ Category]])</f>
        <v>Existing Credits Paid</v>
      </c>
      <c r="Y745" s="3">
        <v>4</v>
      </c>
      <c r="Z745" s="3">
        <v>1</v>
      </c>
      <c r="AA745" s="5">
        <v>1289</v>
      </c>
      <c r="AB745" t="s">
        <v>58</v>
      </c>
      <c r="AC745" s="2" t="str" cm="1">
        <f t="array" ref="AC745">_xlfn.IFS(Table1[[#This Row],[Others_Parties]] = "No", "None",
Table1[[#This Row],[Others_Parties]] = "co applicant", "Co-applicant",
Table1[[#This Row],[Others_Parties]] = "guarantor", "Guarantor")</f>
        <v>Guarantor</v>
      </c>
      <c r="AD745" s="13" t="s">
        <v>145</v>
      </c>
      <c r="AE745" s="2" t="s">
        <v>108</v>
      </c>
      <c r="AF745" s="28" t="str" cm="1">
        <f t="array" ref="AF74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45" s="21">
        <v>12</v>
      </c>
      <c r="AH745" s="2" t="s">
        <v>154</v>
      </c>
      <c r="AI745"/>
      <c r="AZ745"/>
      <c r="BC745"/>
      <c r="BE745"/>
      <c r="BL745"/>
      <c r="BZ745"/>
      <c r="CA745"/>
      <c r="CF745"/>
      <c r="CG745"/>
      <c r="CH745"/>
      <c r="CI745"/>
      <c r="CK745"/>
      <c r="CN745"/>
    </row>
    <row r="746" spans="1:92" x14ac:dyDescent="0.3">
      <c r="A746" s="4">
        <v>744</v>
      </c>
      <c r="B746" s="11">
        <v>35</v>
      </c>
      <c r="C746" s="2" t="str">
        <f>_xlfn.XLOOKUP(Table1[[#This Row],[Age]],Table7[Start_Age],Table7[Age_Range],,-1)</f>
        <v>29-39</v>
      </c>
      <c r="D746" t="s">
        <v>136</v>
      </c>
      <c r="E746" s="2" t="s">
        <v>131</v>
      </c>
      <c r="F746" s="2" t="s">
        <v>137</v>
      </c>
      <c r="G746" s="3">
        <v>1</v>
      </c>
      <c r="H746" s="13" t="s">
        <v>152</v>
      </c>
      <c r="I746" s="2" t="str" cm="1">
        <f t="array" ref="I746">_xlfn.IFS(Table1[[#This Row],[Job_Type]] = "unskilled resident", "Resident",
Table1[[#This Row],[Job_Type]] = "unemp/unskilled non res", "Non-resident",
TRUE, "Unknown")</f>
        <v>Unknown</v>
      </c>
      <c r="J746" s="2" t="s">
        <v>148</v>
      </c>
      <c r="K746" s="3">
        <v>2</v>
      </c>
      <c r="L746" s="2" t="s">
        <v>143</v>
      </c>
      <c r="M746" s="13" t="s">
        <v>151</v>
      </c>
      <c r="N746" t="s">
        <v>17</v>
      </c>
      <c r="O746" s="2" t="str">
        <f>_xlfn.XLOOKUP(Table1[[#This Row],[Checking_Acct_Status]],Table3[Checking_Acct_Original],Table3[Category])</f>
        <v>No Account</v>
      </c>
      <c r="P746" s="10" t="s">
        <v>32</v>
      </c>
      <c r="Q746" s="13" t="str">
        <f>_xlfn.XLOOKUP(Table1[[#This Row],[Saving_Acct_Status]],Table5[Saving_Acct_Original],Table5[Category])</f>
        <v>Low Savings</v>
      </c>
      <c r="R746" t="s">
        <v>41</v>
      </c>
      <c r="S746" s="2" t="str">
        <f>IF(
      OR(Table1[[#This Row],[Job_Type]] = "high qualif/self emp/mgmt", Table1[[#This Row],[Job_Type]] = "skilled"),
      "Skilled", "Unskilled")</f>
        <v>Skilled</v>
      </c>
      <c r="T746" t="str">
        <f>IF(Table1[[#This Row],[Job_Type]] = "unemp/unskilled non res", "Unemployed", "Employed")</f>
        <v>Employed</v>
      </c>
      <c r="U746" t="s">
        <v>21</v>
      </c>
      <c r="V746" s="14" t="str" cm="1">
        <f t="array" ref="V74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46" t="s">
        <v>103</v>
      </c>
      <c r="X746" s="2" t="str">
        <f>_xlfn.XLOOKUP(Table1[[#This Row],[Loan_Credit_History]],Table4[Credit History],Table4[[ Category]])</f>
        <v>Critical Credit History</v>
      </c>
      <c r="Y746" s="3">
        <v>4</v>
      </c>
      <c r="Z746" s="3">
        <v>2</v>
      </c>
      <c r="AA746" s="5">
        <v>1291</v>
      </c>
      <c r="AB746" t="s">
        <v>151</v>
      </c>
      <c r="AC746" s="2" t="str" cm="1">
        <f t="array" ref="AC746">_xlfn.IFS(Table1[[#This Row],[Others_Parties]] = "No", "None",
Table1[[#This Row],[Others_Parties]] = "co applicant", "Co-applicant",
Table1[[#This Row],[Others_Parties]] = "guarantor", "Guarantor")</f>
        <v>None</v>
      </c>
      <c r="AD746" s="13" t="s">
        <v>145</v>
      </c>
      <c r="AE746" s="2" t="s">
        <v>111</v>
      </c>
      <c r="AF746" s="28" t="str" cm="1">
        <f t="array" ref="AF74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46" s="21">
        <v>12</v>
      </c>
      <c r="AH746" s="2" t="s">
        <v>154</v>
      </c>
      <c r="AI746"/>
      <c r="AZ746"/>
      <c r="BC746"/>
      <c r="BE746"/>
      <c r="BL746"/>
      <c r="BZ746"/>
      <c r="CA746"/>
      <c r="CF746"/>
      <c r="CG746"/>
      <c r="CH746"/>
      <c r="CI746"/>
      <c r="CK746"/>
      <c r="CN746"/>
    </row>
    <row r="747" spans="1:92" x14ac:dyDescent="0.3">
      <c r="A747" s="4">
        <v>745</v>
      </c>
      <c r="B747" s="11">
        <v>25</v>
      </c>
      <c r="C747" s="2" t="str">
        <f>_xlfn.XLOOKUP(Table1[[#This Row],[Age]],Table7[Start_Age],Table7[Age_Range],,-1)</f>
        <v>19-29</v>
      </c>
      <c r="D747" t="s">
        <v>136</v>
      </c>
      <c r="E747" s="2" t="s">
        <v>131</v>
      </c>
      <c r="F747" s="2" t="s">
        <v>137</v>
      </c>
      <c r="G747" s="3">
        <v>1</v>
      </c>
      <c r="H747" s="13" t="s">
        <v>152</v>
      </c>
      <c r="I747" s="2" t="str" cm="1">
        <f t="array" ref="I747">_xlfn.IFS(Table1[[#This Row],[Job_Type]] = "unskilled resident", "Resident",
Table1[[#This Row],[Job_Type]] = "unemp/unskilled non res", "Non-resident",
TRUE, "Unknown")</f>
        <v>Unknown</v>
      </c>
      <c r="J747" s="2" t="s">
        <v>149</v>
      </c>
      <c r="K747" s="3">
        <v>1</v>
      </c>
      <c r="L747" s="2" t="s">
        <v>140</v>
      </c>
      <c r="M747" s="13" t="s">
        <v>151</v>
      </c>
      <c r="N747" t="s">
        <v>30</v>
      </c>
      <c r="O747" s="2" t="str">
        <f>_xlfn.XLOOKUP(Table1[[#This Row],[Checking_Acct_Status]],Table3[Checking_Acct_Original],Table3[Category])</f>
        <v>Low Balance</v>
      </c>
      <c r="P747" s="10" t="s">
        <v>32</v>
      </c>
      <c r="Q747" s="13" t="str">
        <f>_xlfn.XLOOKUP(Table1[[#This Row],[Saving_Acct_Status]],Table5[Saving_Acct_Original],Table5[Category])</f>
        <v>Low Savings</v>
      </c>
      <c r="R747" t="s">
        <v>41</v>
      </c>
      <c r="S747" s="2" t="str">
        <f>IF(
      OR(Table1[[#This Row],[Job_Type]] = "high qualif/self emp/mgmt", Table1[[#This Row],[Job_Type]] = "skilled"),
      "Skilled", "Unskilled")</f>
        <v>Skilled</v>
      </c>
      <c r="T747" t="str">
        <f>IF(Table1[[#This Row],[Job_Type]] = "unemp/unskilled non res", "Unemployed", "Employed")</f>
        <v>Employed</v>
      </c>
      <c r="U747" t="s">
        <v>45</v>
      </c>
      <c r="V747" s="14" t="str" cm="1">
        <f t="array" ref="V74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47" t="s">
        <v>31</v>
      </c>
      <c r="X747" s="2" t="str">
        <f>_xlfn.XLOOKUP(Table1[[#This Row],[Loan_Credit_History]],Table4[Credit History],Table4[[ Category]])</f>
        <v>Existing Credits Paid</v>
      </c>
      <c r="Y747" s="3">
        <v>3</v>
      </c>
      <c r="Z747" s="3">
        <v>1</v>
      </c>
      <c r="AA747" s="5">
        <v>1295</v>
      </c>
      <c r="AB747" t="s">
        <v>151</v>
      </c>
      <c r="AC747" s="2" t="str" cm="1">
        <f t="array" ref="AC747">_xlfn.IFS(Table1[[#This Row],[Others_Parties]] = "No", "None",
Table1[[#This Row],[Others_Parties]] = "co applicant", "Co-applicant",
Table1[[#This Row],[Others_Parties]] = "guarantor", "Guarantor")</f>
        <v>None</v>
      </c>
      <c r="AD747" s="13" t="s">
        <v>145</v>
      </c>
      <c r="AE747" s="2" t="s">
        <v>141</v>
      </c>
      <c r="AF747" s="28" t="str" cm="1">
        <f t="array" ref="AF74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47" s="21">
        <v>12</v>
      </c>
      <c r="AH747" s="2" t="s">
        <v>153</v>
      </c>
      <c r="AI747"/>
      <c r="AZ747"/>
      <c r="BC747"/>
      <c r="BE747"/>
      <c r="BL747"/>
      <c r="BZ747"/>
      <c r="CA747"/>
      <c r="CF747"/>
      <c r="CG747"/>
      <c r="CH747"/>
      <c r="CI747"/>
      <c r="CK747"/>
      <c r="CN747"/>
    </row>
    <row r="748" spans="1:92" x14ac:dyDescent="0.3">
      <c r="A748" s="4">
        <v>746</v>
      </c>
      <c r="B748" s="11">
        <v>23</v>
      </c>
      <c r="C748" s="2" t="str">
        <f>_xlfn.XLOOKUP(Table1[[#This Row],[Age]],Table7[Start_Age],Table7[Age_Range],,-1)</f>
        <v>19-29</v>
      </c>
      <c r="D748" t="s">
        <v>134</v>
      </c>
      <c r="E748" s="2" t="s">
        <v>129</v>
      </c>
      <c r="F748" s="2" t="s">
        <v>135</v>
      </c>
      <c r="G748" s="3">
        <v>1</v>
      </c>
      <c r="H748" s="13" t="s">
        <v>152</v>
      </c>
      <c r="I748" s="2" t="str" cm="1">
        <f t="array" ref="I748">_xlfn.IFS(Table1[[#This Row],[Job_Type]] = "unskilled resident", "Resident",
Table1[[#This Row],[Job_Type]] = "unemp/unskilled non res", "Non-resident",
TRUE, "Unknown")</f>
        <v>Unknown</v>
      </c>
      <c r="J748" s="2" t="s">
        <v>149</v>
      </c>
      <c r="K748" s="3">
        <v>4</v>
      </c>
      <c r="L748" s="2" t="s">
        <v>144</v>
      </c>
      <c r="M748" s="13" t="s">
        <v>151</v>
      </c>
      <c r="N748" t="s">
        <v>50</v>
      </c>
      <c r="O748" s="2" t="str">
        <f>_xlfn.XLOOKUP(Table1[[#This Row],[Checking_Acct_Status]],Table3[Checking_Acct_Original],Table3[Category])</f>
        <v>High Balance</v>
      </c>
      <c r="P748" s="10" t="s">
        <v>32</v>
      </c>
      <c r="Q748" s="13" t="str">
        <f>_xlfn.XLOOKUP(Table1[[#This Row],[Saving_Acct_Status]],Table5[Saving_Acct_Original],Table5[Category])</f>
        <v>Low Savings</v>
      </c>
      <c r="R748" t="s">
        <v>41</v>
      </c>
      <c r="S748" s="2" t="str">
        <f>IF(
      OR(Table1[[#This Row],[Job_Type]] = "high qualif/self emp/mgmt", Table1[[#This Row],[Job_Type]] = "skilled"),
      "Skilled", "Unskilled")</f>
        <v>Skilled</v>
      </c>
      <c r="T748" t="str">
        <f>IF(Table1[[#This Row],[Job_Type]] = "unemp/unskilled non res", "Unemployed", "Employed")</f>
        <v>Employed</v>
      </c>
      <c r="U748" t="s">
        <v>21</v>
      </c>
      <c r="V748" s="14" t="str" cm="1">
        <f t="array" ref="V74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48" t="s">
        <v>31</v>
      </c>
      <c r="X748" s="2" t="str">
        <f>_xlfn.XLOOKUP(Table1[[#This Row],[Loan_Credit_History]],Table4[Credit History],Table4[[ Category]])</f>
        <v>Existing Credits Paid</v>
      </c>
      <c r="Y748" s="3">
        <v>3</v>
      </c>
      <c r="Z748" s="3">
        <v>1</v>
      </c>
      <c r="AA748" s="5">
        <v>1297</v>
      </c>
      <c r="AB748" t="s">
        <v>151</v>
      </c>
      <c r="AC748" s="2" t="str" cm="1">
        <f t="array" ref="AC748">_xlfn.IFS(Table1[[#This Row],[Others_Parties]] = "No", "None",
Table1[[#This Row],[Others_Parties]] = "co applicant", "Co-applicant",
Table1[[#This Row],[Others_Parties]] = "guarantor", "Guarantor")</f>
        <v>None</v>
      </c>
      <c r="AD748" s="13" t="s">
        <v>145</v>
      </c>
      <c r="AE748" s="2" t="s">
        <v>111</v>
      </c>
      <c r="AF748" s="28" t="str" cm="1">
        <f t="array" ref="AF74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48" s="21">
        <v>12</v>
      </c>
      <c r="AH748" s="2" t="s">
        <v>154</v>
      </c>
      <c r="AI748"/>
      <c r="AZ748"/>
      <c r="BC748"/>
      <c r="BE748"/>
      <c r="BL748"/>
      <c r="BZ748"/>
      <c r="CA748"/>
      <c r="CF748"/>
      <c r="CG748"/>
      <c r="CH748"/>
      <c r="CI748"/>
      <c r="CK748"/>
      <c r="CN748"/>
    </row>
    <row r="749" spans="1:92" x14ac:dyDescent="0.3">
      <c r="A749" s="4">
        <v>747</v>
      </c>
      <c r="B749" s="11">
        <v>54</v>
      </c>
      <c r="C749" s="2" t="str">
        <f>_xlfn.XLOOKUP(Table1[[#This Row],[Age]],Table7[Start_Age],Table7[Age_Range],,-1)</f>
        <v>49-59</v>
      </c>
      <c r="D749" t="s">
        <v>130</v>
      </c>
      <c r="E749" s="2" t="s">
        <v>129</v>
      </c>
      <c r="F749" s="2" t="s">
        <v>133</v>
      </c>
      <c r="G749" s="3">
        <v>1</v>
      </c>
      <c r="H749" s="13" t="s">
        <v>152</v>
      </c>
      <c r="I749" s="2" t="str" cm="1">
        <f t="array" ref="I749">_xlfn.IFS(Table1[[#This Row],[Job_Type]] = "unskilled resident", "Resident",
Table1[[#This Row],[Job_Type]] = "unemp/unskilled non res", "Non-resident",
TRUE, "Unknown")</f>
        <v>Unknown</v>
      </c>
      <c r="J749" s="2" t="s">
        <v>148</v>
      </c>
      <c r="K749" s="3">
        <v>4</v>
      </c>
      <c r="L749" s="2" t="s">
        <v>144</v>
      </c>
      <c r="M749" s="13" t="s">
        <v>152</v>
      </c>
      <c r="N749" t="s">
        <v>30</v>
      </c>
      <c r="O749" s="2" t="str">
        <f>_xlfn.XLOOKUP(Table1[[#This Row],[Checking_Acct_Status]],Table3[Checking_Acct_Original],Table3[Category])</f>
        <v>Low Balance</v>
      </c>
      <c r="P749" s="10" t="s">
        <v>20</v>
      </c>
      <c r="Q749" s="13" t="str">
        <f>_xlfn.XLOOKUP(Table1[[#This Row],[Saving_Acct_Status]],Table5[Saving_Acct_Original],Table5[Category])</f>
        <v>Very High Savings</v>
      </c>
      <c r="R749" t="s">
        <v>41</v>
      </c>
      <c r="S749" s="2" t="str">
        <f>IF(
      OR(Table1[[#This Row],[Job_Type]] = "high qualif/self emp/mgmt", Table1[[#This Row],[Job_Type]] = "skilled"),
      "Skilled", "Unskilled")</f>
        <v>Skilled</v>
      </c>
      <c r="T749" t="str">
        <f>IF(Table1[[#This Row],[Job_Type]] = "unemp/unskilled non res", "Unemployed", "Employed")</f>
        <v>Employed</v>
      </c>
      <c r="U749" t="s">
        <v>38</v>
      </c>
      <c r="V749" s="14" t="str" cm="1">
        <f t="array" ref="V74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49" t="s">
        <v>31</v>
      </c>
      <c r="X749" s="2" t="str">
        <f>_xlfn.XLOOKUP(Table1[[#This Row],[Loan_Credit_History]],Table4[Credit History],Table4[[ Category]])</f>
        <v>Existing Credits Paid</v>
      </c>
      <c r="Y749" s="3">
        <v>4</v>
      </c>
      <c r="Z749" s="3">
        <v>1</v>
      </c>
      <c r="AA749" s="5">
        <v>1318</v>
      </c>
      <c r="AB749" t="s">
        <v>151</v>
      </c>
      <c r="AC749" s="2" t="str" cm="1">
        <f t="array" ref="AC749">_xlfn.IFS(Table1[[#This Row],[Others_Parties]] = "No", "None",
Table1[[#This Row],[Others_Parties]] = "co applicant", "Co-applicant",
Table1[[#This Row],[Others_Parties]] = "guarantor", "Guarantor")</f>
        <v>None</v>
      </c>
      <c r="AD749" s="13" t="s">
        <v>145</v>
      </c>
      <c r="AE749" s="2" t="s">
        <v>141</v>
      </c>
      <c r="AF749" s="28" t="str" cm="1">
        <f t="array" ref="AF74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49" s="21">
        <v>12</v>
      </c>
      <c r="AH749" s="2" t="s">
        <v>154</v>
      </c>
      <c r="AI749"/>
      <c r="AZ749"/>
      <c r="BC749"/>
      <c r="BE749"/>
      <c r="BL749"/>
      <c r="BZ749"/>
      <c r="CA749"/>
      <c r="CF749"/>
      <c r="CG749"/>
      <c r="CH749"/>
      <c r="CI749"/>
      <c r="CK749"/>
      <c r="CN749"/>
    </row>
    <row r="750" spans="1:92" x14ac:dyDescent="0.3">
      <c r="A750" s="4">
        <v>748</v>
      </c>
      <c r="B750" s="11">
        <v>26</v>
      </c>
      <c r="C750" s="2" t="str">
        <f>_xlfn.XLOOKUP(Table1[[#This Row],[Age]],Table7[Start_Age],Table7[Age_Range],,-1)</f>
        <v>19-29</v>
      </c>
      <c r="D750" t="s">
        <v>130</v>
      </c>
      <c r="E750" s="2" t="s">
        <v>129</v>
      </c>
      <c r="F750" s="2" t="s">
        <v>133</v>
      </c>
      <c r="G750" s="3">
        <v>1</v>
      </c>
      <c r="H750" s="13" t="s">
        <v>152</v>
      </c>
      <c r="I750" s="2" t="str" cm="1">
        <f t="array" ref="I750">_xlfn.IFS(Table1[[#This Row],[Job_Type]] = "unskilled resident", "Resident",
Table1[[#This Row],[Job_Type]] = "unemp/unskilled non res", "Non-resident",
TRUE, "Unknown")</f>
        <v>Unknown</v>
      </c>
      <c r="J750" s="2" t="s">
        <v>148</v>
      </c>
      <c r="K750" s="3">
        <v>1</v>
      </c>
      <c r="L750" s="2" t="s">
        <v>144</v>
      </c>
      <c r="M750" s="13" t="s">
        <v>151</v>
      </c>
      <c r="N750" t="s">
        <v>50</v>
      </c>
      <c r="O750" s="2" t="str">
        <f>_xlfn.XLOOKUP(Table1[[#This Row],[Checking_Acct_Status]],Table3[Checking_Acct_Original],Table3[Category])</f>
        <v>High Balance</v>
      </c>
      <c r="P750" s="10" t="s">
        <v>32</v>
      </c>
      <c r="Q750" s="13" t="str">
        <f>_xlfn.XLOOKUP(Table1[[#This Row],[Saving_Acct_Status]],Table5[Saving_Acct_Original],Table5[Category])</f>
        <v>Low Savings</v>
      </c>
      <c r="R750" t="s">
        <v>41</v>
      </c>
      <c r="S750" s="2" t="str">
        <f>IF(
      OR(Table1[[#This Row],[Job_Type]] = "high qualif/self emp/mgmt", Table1[[#This Row],[Job_Type]] = "skilled"),
      "Skilled", "Unskilled")</f>
        <v>Skilled</v>
      </c>
      <c r="T750" t="str">
        <f>IF(Table1[[#This Row],[Job_Type]] = "unemp/unskilled non res", "Unemployed", "Employed")</f>
        <v>Employed</v>
      </c>
      <c r="U750" t="s">
        <v>45</v>
      </c>
      <c r="V750" s="14" t="str" cm="1">
        <f t="array" ref="V75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50" t="s">
        <v>31</v>
      </c>
      <c r="X750" s="2" t="str">
        <f>_xlfn.XLOOKUP(Table1[[#This Row],[Loan_Credit_History]],Table4[Credit History],Table4[[ Category]])</f>
        <v>Existing Credits Paid</v>
      </c>
      <c r="Y750" s="3">
        <v>4</v>
      </c>
      <c r="Z750" s="3">
        <v>1</v>
      </c>
      <c r="AA750" s="5">
        <v>1330</v>
      </c>
      <c r="AB750" t="s">
        <v>151</v>
      </c>
      <c r="AC750" s="2" t="str" cm="1">
        <f t="array" ref="AC750">_xlfn.IFS(Table1[[#This Row],[Others_Parties]] = "No", "None",
Table1[[#This Row],[Others_Parties]] = "co applicant", "Co-applicant",
Table1[[#This Row],[Others_Parties]] = "guarantor", "Guarantor")</f>
        <v>None</v>
      </c>
      <c r="AD750" s="13" t="s">
        <v>145</v>
      </c>
      <c r="AE750" s="2" t="s">
        <v>141</v>
      </c>
      <c r="AF750" s="28" t="str" cm="1">
        <f t="array" ref="AF75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50" s="21">
        <v>12</v>
      </c>
      <c r="AH750" s="2" t="s">
        <v>154</v>
      </c>
      <c r="AI750"/>
      <c r="AZ750"/>
      <c r="BC750"/>
      <c r="BE750"/>
      <c r="BL750"/>
      <c r="BZ750"/>
      <c r="CA750"/>
      <c r="CF750"/>
      <c r="CG750"/>
      <c r="CH750"/>
      <c r="CI750"/>
      <c r="CK750"/>
      <c r="CN750"/>
    </row>
    <row r="751" spans="1:92" x14ac:dyDescent="0.3">
      <c r="A751" s="4">
        <v>749</v>
      </c>
      <c r="B751" s="11">
        <v>22</v>
      </c>
      <c r="C751" s="2" t="str">
        <f>_xlfn.XLOOKUP(Table1[[#This Row],[Age]],Table7[Start_Age],Table7[Age_Range],,-1)</f>
        <v>19-29</v>
      </c>
      <c r="D751" t="s">
        <v>130</v>
      </c>
      <c r="E751" s="2" t="s">
        <v>129</v>
      </c>
      <c r="F751" s="2" t="s">
        <v>133</v>
      </c>
      <c r="G751" s="3">
        <v>1</v>
      </c>
      <c r="H751" s="13" t="s">
        <v>152</v>
      </c>
      <c r="I751" s="2" t="str" cm="1">
        <f t="array" ref="I751">_xlfn.IFS(Table1[[#This Row],[Job_Type]] = "unskilled resident", "Resident",
Table1[[#This Row],[Job_Type]] = "unemp/unskilled non res", "Non-resident",
TRUE, "Unknown")</f>
        <v>Unknown</v>
      </c>
      <c r="J751" s="2" t="s">
        <v>148</v>
      </c>
      <c r="K751" s="3">
        <v>1</v>
      </c>
      <c r="L751" s="2" t="s">
        <v>140</v>
      </c>
      <c r="M751" s="13" t="s">
        <v>151</v>
      </c>
      <c r="N751" t="s">
        <v>30</v>
      </c>
      <c r="O751" s="2" t="str">
        <f>_xlfn.XLOOKUP(Table1[[#This Row],[Checking_Acct_Status]],Table3[Checking_Acct_Original],Table3[Category])</f>
        <v>Low Balance</v>
      </c>
      <c r="P751" s="10" t="s">
        <v>32</v>
      </c>
      <c r="Q751" s="13" t="str">
        <f>_xlfn.XLOOKUP(Table1[[#This Row],[Saving_Acct_Status]],Table5[Saving_Acct_Original],Table5[Category])</f>
        <v>Low Savings</v>
      </c>
      <c r="R751" t="s">
        <v>41</v>
      </c>
      <c r="S751" s="2" t="str">
        <f>IF(
      OR(Table1[[#This Row],[Job_Type]] = "high qualif/self emp/mgmt", Table1[[#This Row],[Job_Type]] = "skilled"),
      "Skilled", "Unskilled")</f>
        <v>Skilled</v>
      </c>
      <c r="T751" t="str">
        <f>IF(Table1[[#This Row],[Job_Type]] = "unemp/unskilled non res", "Unemployed", "Employed")</f>
        <v>Employed</v>
      </c>
      <c r="U751" t="s">
        <v>45</v>
      </c>
      <c r="V751" s="14" t="str" cm="1">
        <f t="array" ref="V75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51" t="s">
        <v>31</v>
      </c>
      <c r="X751" s="2" t="str">
        <f>_xlfn.XLOOKUP(Table1[[#This Row],[Loan_Credit_History]],Table4[Credit History],Table4[[ Category]])</f>
        <v>Existing Credits Paid</v>
      </c>
      <c r="Y751" s="3">
        <v>2</v>
      </c>
      <c r="Z751" s="3">
        <v>1</v>
      </c>
      <c r="AA751" s="5">
        <v>1331</v>
      </c>
      <c r="AB751" t="s">
        <v>151</v>
      </c>
      <c r="AC751" s="2" t="str" cm="1">
        <f t="array" ref="AC751">_xlfn.IFS(Table1[[#This Row],[Others_Parties]] = "No", "None",
Table1[[#This Row],[Others_Parties]] = "co applicant", "Co-applicant",
Table1[[#This Row],[Others_Parties]] = "guarantor", "Guarantor")</f>
        <v>None</v>
      </c>
      <c r="AD751" s="13" t="s">
        <v>147</v>
      </c>
      <c r="AE751" s="2" t="s">
        <v>111</v>
      </c>
      <c r="AF751" s="28" t="str" cm="1">
        <f t="array" ref="AF75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51" s="21">
        <v>12</v>
      </c>
      <c r="AH751" s="2" t="s">
        <v>153</v>
      </c>
      <c r="AI751"/>
      <c r="AZ751"/>
      <c r="BC751"/>
      <c r="BE751"/>
      <c r="BL751"/>
      <c r="BZ751"/>
      <c r="CA751"/>
      <c r="CF751"/>
      <c r="CG751"/>
      <c r="CH751"/>
      <c r="CI751"/>
      <c r="CK751"/>
      <c r="CN751"/>
    </row>
    <row r="752" spans="1:92" x14ac:dyDescent="0.3">
      <c r="A752" s="4">
        <v>750</v>
      </c>
      <c r="B752" s="11">
        <v>43</v>
      </c>
      <c r="C752" s="2" t="str">
        <f>_xlfn.XLOOKUP(Table1[[#This Row],[Age]],Table7[Start_Age],Table7[Age_Range],,-1)</f>
        <v>39-49</v>
      </c>
      <c r="D752" t="s">
        <v>130</v>
      </c>
      <c r="E752" s="2" t="s">
        <v>129</v>
      </c>
      <c r="F752" s="2" t="s">
        <v>133</v>
      </c>
      <c r="G752" s="3">
        <v>2</v>
      </c>
      <c r="H752" s="13" t="s">
        <v>152</v>
      </c>
      <c r="I752" s="2" t="str" cm="1">
        <f t="array" ref="I752">_xlfn.IFS(Table1[[#This Row],[Job_Type]] = "unskilled resident", "Resident",
Table1[[#This Row],[Job_Type]] = "unemp/unskilled non res", "Non-resident",
TRUE, "Unknown")</f>
        <v>Resident</v>
      </c>
      <c r="J752" s="2" t="s">
        <v>148</v>
      </c>
      <c r="K752" s="3">
        <v>2</v>
      </c>
      <c r="L752" s="2" t="s">
        <v>144</v>
      </c>
      <c r="M752" s="13" t="s">
        <v>151</v>
      </c>
      <c r="N752" t="s">
        <v>35</v>
      </c>
      <c r="O752" s="2" t="str">
        <f>_xlfn.XLOOKUP(Table1[[#This Row],[Checking_Acct_Status]],Table3[Checking_Acct_Original],Table3[Category])</f>
        <v>Negative Balance</v>
      </c>
      <c r="P752" s="10" t="s">
        <v>32</v>
      </c>
      <c r="Q752" s="13" t="str">
        <f>_xlfn.XLOOKUP(Table1[[#This Row],[Saving_Acct_Status]],Table5[Saving_Acct_Original],Table5[Category])</f>
        <v>Low Savings</v>
      </c>
      <c r="R752" t="s">
        <v>27</v>
      </c>
      <c r="S752" s="2" t="str">
        <f>IF(
      OR(Table1[[#This Row],[Job_Type]] = "high qualif/self emp/mgmt", Table1[[#This Row],[Job_Type]] = "skilled"),
      "Skilled", "Unskilled")</f>
        <v>Unskilled</v>
      </c>
      <c r="T752" t="str">
        <f>IF(Table1[[#This Row],[Job_Type]] = "unemp/unskilled non res", "Unemployed", "Employed")</f>
        <v>Employed</v>
      </c>
      <c r="U752" t="s">
        <v>21</v>
      </c>
      <c r="V752" s="14" t="str" cm="1">
        <f t="array" ref="V75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52" t="s">
        <v>59</v>
      </c>
      <c r="X752" s="2" t="str">
        <f>_xlfn.XLOOKUP(Table1[[#This Row],[Loan_Credit_History]],Table4[Credit History],Table4[[ Category]])</f>
        <v>Previously Delayed</v>
      </c>
      <c r="Y752" s="3">
        <v>4</v>
      </c>
      <c r="Z752" s="3">
        <v>2</v>
      </c>
      <c r="AA752" s="5">
        <v>1344</v>
      </c>
      <c r="AB752" t="s">
        <v>151</v>
      </c>
      <c r="AC752" s="2" t="str" cm="1">
        <f t="array" ref="AC752">_xlfn.IFS(Table1[[#This Row],[Others_Parties]] = "No", "None",
Table1[[#This Row],[Others_Parties]] = "co applicant", "Co-applicant",
Table1[[#This Row],[Others_Parties]] = "guarantor", "Guarantor")</f>
        <v>None</v>
      </c>
      <c r="AD752" s="13" t="s">
        <v>145</v>
      </c>
      <c r="AE752" s="2" t="s">
        <v>141</v>
      </c>
      <c r="AF752" s="28" t="str" cm="1">
        <f t="array" ref="AF75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52" s="21">
        <v>12</v>
      </c>
      <c r="AH752" s="2" t="s">
        <v>154</v>
      </c>
      <c r="AI752"/>
      <c r="AZ752"/>
      <c r="BC752"/>
      <c r="BE752"/>
      <c r="BL752"/>
      <c r="BZ752"/>
      <c r="CA752"/>
      <c r="CF752"/>
      <c r="CG752"/>
      <c r="CH752"/>
      <c r="CI752"/>
      <c r="CK752"/>
      <c r="CN752"/>
    </row>
    <row r="753" spans="1:92" x14ac:dyDescent="0.3">
      <c r="A753" s="4">
        <v>751</v>
      </c>
      <c r="B753" s="11">
        <v>36</v>
      </c>
      <c r="C753" s="2" t="str">
        <f>_xlfn.XLOOKUP(Table1[[#This Row],[Age]],Table7[Start_Age],Table7[Age_Range],,-1)</f>
        <v>29-39</v>
      </c>
      <c r="D753" t="s">
        <v>138</v>
      </c>
      <c r="E753" s="2" t="s">
        <v>129</v>
      </c>
      <c r="F753" s="2" t="s">
        <v>178</v>
      </c>
      <c r="G753" s="3">
        <v>1</v>
      </c>
      <c r="H753" s="13" t="s">
        <v>152</v>
      </c>
      <c r="I753" s="2" t="str" cm="1">
        <f t="array" ref="I753">_xlfn.IFS(Table1[[#This Row],[Job_Type]] = "unskilled resident", "Resident",
Table1[[#This Row],[Job_Type]] = "unemp/unskilled non res", "Non-resident",
TRUE, "Unknown")</f>
        <v>Unknown</v>
      </c>
      <c r="J753" s="2" t="s">
        <v>148</v>
      </c>
      <c r="K753" s="3">
        <v>3</v>
      </c>
      <c r="L753" s="2" t="s">
        <v>140</v>
      </c>
      <c r="M753" s="13" t="s">
        <v>151</v>
      </c>
      <c r="N753" t="s">
        <v>35</v>
      </c>
      <c r="O753" s="2" t="str">
        <f>_xlfn.XLOOKUP(Table1[[#This Row],[Checking_Acct_Status]],Table3[Checking_Acct_Original],Table3[Category])</f>
        <v>Negative Balance</v>
      </c>
      <c r="P753" s="10" t="s">
        <v>32</v>
      </c>
      <c r="Q753" s="13" t="str">
        <f>_xlfn.XLOOKUP(Table1[[#This Row],[Saving_Acct_Status]],Table5[Saving_Acct_Original],Table5[Category])</f>
        <v>Low Savings</v>
      </c>
      <c r="R753" t="s">
        <v>41</v>
      </c>
      <c r="S753" s="2" t="str">
        <f>IF(
      OR(Table1[[#This Row],[Job_Type]] = "high qualif/self emp/mgmt", Table1[[#This Row],[Job_Type]] = "skilled"),
      "Skilled", "Unskilled")</f>
        <v>Skilled</v>
      </c>
      <c r="T753" t="str">
        <f>IF(Table1[[#This Row],[Job_Type]] = "unemp/unskilled non res", "Unemployed", "Employed")</f>
        <v>Employed</v>
      </c>
      <c r="U753" t="s">
        <v>49</v>
      </c>
      <c r="V753" s="14" t="str" cm="1">
        <f t="array" ref="V75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53" t="s">
        <v>31</v>
      </c>
      <c r="X753" s="2" t="str">
        <f>_xlfn.XLOOKUP(Table1[[#This Row],[Loan_Credit_History]],Table4[Credit History],Table4[[ Category]])</f>
        <v>Existing Credits Paid</v>
      </c>
      <c r="Y753" s="3">
        <v>2</v>
      </c>
      <c r="Z753" s="3">
        <v>1</v>
      </c>
      <c r="AA753" s="5">
        <v>1372</v>
      </c>
      <c r="AB753" t="s">
        <v>151</v>
      </c>
      <c r="AC753" s="2" t="str" cm="1">
        <f t="array" ref="AC753">_xlfn.IFS(Table1[[#This Row],[Others_Parties]] = "No", "None",
Table1[[#This Row],[Others_Parties]] = "co applicant", "Co-applicant",
Table1[[#This Row],[Others_Parties]] = "guarantor", "Guarantor")</f>
        <v>None</v>
      </c>
      <c r="AD753" s="13" t="s">
        <v>145</v>
      </c>
      <c r="AE753" s="2" t="s">
        <v>141</v>
      </c>
      <c r="AF753" s="28" t="str" cm="1">
        <f t="array" ref="AF75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53" s="21">
        <v>12</v>
      </c>
      <c r="AH753" s="2" t="s">
        <v>153</v>
      </c>
      <c r="AI753"/>
      <c r="AZ753"/>
      <c r="BC753"/>
      <c r="BE753"/>
      <c r="BL753"/>
      <c r="BZ753"/>
      <c r="CA753"/>
      <c r="CF753"/>
      <c r="CG753"/>
      <c r="CH753"/>
      <c r="CI753"/>
      <c r="CK753"/>
      <c r="CN753"/>
    </row>
    <row r="754" spans="1:92" x14ac:dyDescent="0.3">
      <c r="A754" s="4">
        <v>752</v>
      </c>
      <c r="B754" s="11">
        <v>26</v>
      </c>
      <c r="C754" s="2" t="str">
        <f>_xlfn.XLOOKUP(Table1[[#This Row],[Age]],Table7[Start_Age],Table7[Age_Range],,-1)</f>
        <v>19-29</v>
      </c>
      <c r="D754" t="s">
        <v>136</v>
      </c>
      <c r="E754" s="2" t="s">
        <v>131</v>
      </c>
      <c r="F754" s="2" t="s">
        <v>137</v>
      </c>
      <c r="G754" s="3">
        <v>1</v>
      </c>
      <c r="H754" s="13" t="s">
        <v>152</v>
      </c>
      <c r="I754" s="2" t="str" cm="1">
        <f t="array" ref="I754">_xlfn.IFS(Table1[[#This Row],[Job_Type]] = "unskilled resident", "Resident",
Table1[[#This Row],[Job_Type]] = "unemp/unskilled non res", "Non-resident",
TRUE, "Unknown")</f>
        <v>Unknown</v>
      </c>
      <c r="J754" s="2" t="s">
        <v>148</v>
      </c>
      <c r="K754" s="3">
        <v>2</v>
      </c>
      <c r="L754" s="2" t="s">
        <v>143</v>
      </c>
      <c r="M754" s="13" t="s">
        <v>151</v>
      </c>
      <c r="N754" t="s">
        <v>17</v>
      </c>
      <c r="O754" s="2" t="str">
        <f>_xlfn.XLOOKUP(Table1[[#This Row],[Checking_Acct_Status]],Table3[Checking_Acct_Original],Table3[Category])</f>
        <v>No Account</v>
      </c>
      <c r="P754" s="10" t="s">
        <v>37</v>
      </c>
      <c r="Q754" s="13" t="str">
        <f>_xlfn.XLOOKUP(Table1[[#This Row],[Saving_Acct_Status]],Table5[Saving_Acct_Original],Table5[Category])</f>
        <v>High Savings</v>
      </c>
      <c r="R754" t="s">
        <v>41</v>
      </c>
      <c r="S754" s="2" t="str">
        <f>IF(
      OR(Table1[[#This Row],[Job_Type]] = "high qualif/self emp/mgmt", Table1[[#This Row],[Job_Type]] = "skilled"),
      "Skilled", "Unskilled")</f>
        <v>Skilled</v>
      </c>
      <c r="T754" t="str">
        <f>IF(Table1[[#This Row],[Job_Type]] = "unemp/unskilled non res", "Unemployed", "Employed")</f>
        <v>Employed</v>
      </c>
      <c r="U754" t="s">
        <v>21</v>
      </c>
      <c r="V754" s="14" t="str" cm="1">
        <f t="array" ref="V75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54" t="s">
        <v>31</v>
      </c>
      <c r="X754" s="2" t="str">
        <f>_xlfn.XLOOKUP(Table1[[#This Row],[Loan_Credit_History]],Table4[Credit History],Table4[[ Category]])</f>
        <v>Existing Credits Paid</v>
      </c>
      <c r="Y754" s="3">
        <v>2</v>
      </c>
      <c r="Z754" s="3">
        <v>1</v>
      </c>
      <c r="AA754" s="5">
        <v>1386</v>
      </c>
      <c r="AB754" t="s">
        <v>151</v>
      </c>
      <c r="AC754" s="2" t="str" cm="1">
        <f t="array" ref="AC754">_xlfn.IFS(Table1[[#This Row],[Others_Parties]] = "No", "None",
Table1[[#This Row],[Others_Parties]] = "co applicant", "Co-applicant",
Table1[[#This Row],[Others_Parties]] = "guarantor", "Guarantor")</f>
        <v>None</v>
      </c>
      <c r="AD754" s="13" t="s">
        <v>145</v>
      </c>
      <c r="AE754" s="2" t="s">
        <v>141</v>
      </c>
      <c r="AF754" s="28" t="str" cm="1">
        <f t="array" ref="AF75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54" s="21">
        <v>12</v>
      </c>
      <c r="AH754" s="2" t="s">
        <v>153</v>
      </c>
      <c r="AI754"/>
      <c r="AZ754"/>
      <c r="BC754"/>
      <c r="BE754"/>
      <c r="BL754"/>
      <c r="BZ754"/>
      <c r="CA754"/>
      <c r="CF754"/>
      <c r="CG754"/>
      <c r="CH754"/>
      <c r="CI754"/>
      <c r="CK754"/>
      <c r="CN754"/>
    </row>
    <row r="755" spans="1:92" x14ac:dyDescent="0.3">
      <c r="A755" s="4">
        <v>753</v>
      </c>
      <c r="B755" s="11">
        <v>47</v>
      </c>
      <c r="C755" s="2" t="str">
        <f>_xlfn.XLOOKUP(Table1[[#This Row],[Age]],Table7[Start_Age],Table7[Age_Range],,-1)</f>
        <v>39-49</v>
      </c>
      <c r="D755" t="s">
        <v>130</v>
      </c>
      <c r="E755" s="2" t="s">
        <v>129</v>
      </c>
      <c r="F755" s="2" t="s">
        <v>133</v>
      </c>
      <c r="G755" s="3">
        <v>2</v>
      </c>
      <c r="H755" s="13" t="s">
        <v>152</v>
      </c>
      <c r="I755" s="2" t="str" cm="1">
        <f t="array" ref="I755">_xlfn.IFS(Table1[[#This Row],[Job_Type]] = "unskilled resident", "Resident",
Table1[[#This Row],[Job_Type]] = "unemp/unskilled non res", "Non-resident",
TRUE, "Unknown")</f>
        <v>Unknown</v>
      </c>
      <c r="J755" s="2" t="s">
        <v>148</v>
      </c>
      <c r="K755" s="3">
        <v>4</v>
      </c>
      <c r="L755" s="2" t="s">
        <v>143</v>
      </c>
      <c r="M755" s="13" t="s">
        <v>152</v>
      </c>
      <c r="N755" t="s">
        <v>17</v>
      </c>
      <c r="O755" s="2" t="str">
        <f>_xlfn.XLOOKUP(Table1[[#This Row],[Checking_Acct_Status]],Table3[Checking_Acct_Original],Table3[Category])</f>
        <v>No Account</v>
      </c>
      <c r="P755" s="10" t="s">
        <v>32</v>
      </c>
      <c r="Q755" s="13" t="str">
        <f>_xlfn.XLOOKUP(Table1[[#This Row],[Saving_Acct_Status]],Table5[Saving_Acct_Original],Table5[Category])</f>
        <v>Low Savings</v>
      </c>
      <c r="R755" t="s">
        <v>41</v>
      </c>
      <c r="S755" s="2" t="str">
        <f>IF(
      OR(Table1[[#This Row],[Job_Type]] = "high qualif/self emp/mgmt", Table1[[#This Row],[Job_Type]] = "skilled"),
      "Skilled", "Unskilled")</f>
        <v>Skilled</v>
      </c>
      <c r="T755" t="str">
        <f>IF(Table1[[#This Row],[Job_Type]] = "unemp/unskilled non res", "Unemployed", "Employed")</f>
        <v>Employed</v>
      </c>
      <c r="U755" t="s">
        <v>38</v>
      </c>
      <c r="V755" s="14" t="str" cm="1">
        <f t="array" ref="V75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55" t="s">
        <v>31</v>
      </c>
      <c r="X755" s="2" t="str">
        <f>_xlfn.XLOOKUP(Table1[[#This Row],[Loan_Credit_History]],Table4[Credit History],Table4[[ Category]])</f>
        <v>Existing Credits Paid</v>
      </c>
      <c r="Y755" s="3">
        <v>4</v>
      </c>
      <c r="Z755" s="3">
        <v>3</v>
      </c>
      <c r="AA755" s="5">
        <v>1393</v>
      </c>
      <c r="AB755" t="s">
        <v>151</v>
      </c>
      <c r="AC755" s="2" t="str" cm="1">
        <f t="array" ref="AC755">_xlfn.IFS(Table1[[#This Row],[Others_Parties]] = "No", "None",
Table1[[#This Row],[Others_Parties]] = "co applicant", "Co-applicant",
Table1[[#This Row],[Others_Parties]] = "guarantor", "Guarantor")</f>
        <v>None</v>
      </c>
      <c r="AD755" s="13" t="s">
        <v>146</v>
      </c>
      <c r="AE755" s="2" t="s">
        <v>100</v>
      </c>
      <c r="AF755" s="28" t="str" cm="1">
        <f t="array" ref="AF75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55" s="21">
        <v>12</v>
      </c>
      <c r="AH755" s="2" t="s">
        <v>154</v>
      </c>
      <c r="AI755"/>
      <c r="AZ755"/>
      <c r="BC755"/>
      <c r="BE755"/>
      <c r="BL755"/>
      <c r="BZ755"/>
      <c r="CA755"/>
      <c r="CF755"/>
      <c r="CG755"/>
      <c r="CH755"/>
      <c r="CI755"/>
      <c r="CK755"/>
      <c r="CN755"/>
    </row>
    <row r="756" spans="1:92" x14ac:dyDescent="0.3">
      <c r="A756" s="4">
        <v>754</v>
      </c>
      <c r="B756" s="11">
        <v>37</v>
      </c>
      <c r="C756" s="2" t="str">
        <f>_xlfn.XLOOKUP(Table1[[#This Row],[Age]],Table7[Start_Age],Table7[Age_Range],,-1)</f>
        <v>29-39</v>
      </c>
      <c r="D756" t="s">
        <v>136</v>
      </c>
      <c r="E756" s="2" t="s">
        <v>131</v>
      </c>
      <c r="F756" s="2" t="s">
        <v>137</v>
      </c>
      <c r="G756" s="3">
        <v>1</v>
      </c>
      <c r="H756" s="13" t="s">
        <v>152</v>
      </c>
      <c r="I756" s="2" t="str" cm="1">
        <f t="array" ref="I756">_xlfn.IFS(Table1[[#This Row],[Job_Type]] = "unskilled resident", "Resident",
Table1[[#This Row],[Job_Type]] = "unemp/unskilled non res", "Non-resident",
TRUE, "Unknown")</f>
        <v>Unknown</v>
      </c>
      <c r="J756" s="2" t="s">
        <v>149</v>
      </c>
      <c r="K756" s="3">
        <v>4</v>
      </c>
      <c r="L756" s="2" t="s">
        <v>140</v>
      </c>
      <c r="M756" s="13" t="s">
        <v>152</v>
      </c>
      <c r="N756" t="s">
        <v>17</v>
      </c>
      <c r="O756" s="2" t="str">
        <f>_xlfn.XLOOKUP(Table1[[#This Row],[Checking_Acct_Status]],Table3[Checking_Acct_Original],Table3[Category])</f>
        <v>No Account</v>
      </c>
      <c r="P756" s="10" t="s">
        <v>37</v>
      </c>
      <c r="Q756" s="13" t="str">
        <f>_xlfn.XLOOKUP(Table1[[#This Row],[Saving_Acct_Status]],Table5[Saving_Acct_Original],Table5[Category])</f>
        <v>High Savings</v>
      </c>
      <c r="R756" t="s">
        <v>41</v>
      </c>
      <c r="S756" s="2" t="str">
        <f>IF(
      OR(Table1[[#This Row],[Job_Type]] = "high qualif/self emp/mgmt", Table1[[#This Row],[Job_Type]] = "skilled"),
      "Skilled", "Unskilled")</f>
        <v>Skilled</v>
      </c>
      <c r="T756" t="str">
        <f>IF(Table1[[#This Row],[Job_Type]] = "unemp/unskilled non res", "Unemployed", "Employed")</f>
        <v>Employed</v>
      </c>
      <c r="U756" t="s">
        <v>49</v>
      </c>
      <c r="V756" s="14" t="str" cm="1">
        <f t="array" ref="V75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56" t="s">
        <v>103</v>
      </c>
      <c r="X756" s="2" t="str">
        <f>_xlfn.XLOOKUP(Table1[[#This Row],[Loan_Credit_History]],Table4[Credit History],Table4[[ Category]])</f>
        <v>Critical Credit History</v>
      </c>
      <c r="Y756" s="3">
        <v>3</v>
      </c>
      <c r="Z756" s="3">
        <v>1</v>
      </c>
      <c r="AA756" s="5">
        <v>1402</v>
      </c>
      <c r="AB756" t="s">
        <v>151</v>
      </c>
      <c r="AC756" s="2" t="str" cm="1">
        <f t="array" ref="AC756">_xlfn.IFS(Table1[[#This Row],[Others_Parties]] = "No", "None",
Table1[[#This Row],[Others_Parties]] = "co applicant", "Co-applicant",
Table1[[#This Row],[Others_Parties]] = "guarantor", "Guarantor")</f>
        <v>None</v>
      </c>
      <c r="AD756" s="13" t="s">
        <v>145</v>
      </c>
      <c r="AE756" s="2" t="s">
        <v>108</v>
      </c>
      <c r="AF756" s="28" t="str" cm="1">
        <f t="array" ref="AF75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56" s="21">
        <v>12</v>
      </c>
      <c r="AH756" s="2" t="s">
        <v>154</v>
      </c>
      <c r="AI756"/>
      <c r="AZ756"/>
      <c r="BC756"/>
      <c r="BE756"/>
      <c r="BL756"/>
      <c r="BZ756"/>
      <c r="CA756"/>
      <c r="CF756"/>
      <c r="CG756"/>
      <c r="CH756"/>
      <c r="CI756"/>
      <c r="CK756"/>
      <c r="CN756"/>
    </row>
    <row r="757" spans="1:92" x14ac:dyDescent="0.3">
      <c r="A757" s="4">
        <v>755</v>
      </c>
      <c r="B757" s="11">
        <v>54</v>
      </c>
      <c r="C757" s="2" t="str">
        <f>_xlfn.XLOOKUP(Table1[[#This Row],[Age]],Table7[Start_Age],Table7[Age_Range],,-1)</f>
        <v>49-59</v>
      </c>
      <c r="D757" t="s">
        <v>130</v>
      </c>
      <c r="E757" s="2" t="s">
        <v>129</v>
      </c>
      <c r="F757" s="2" t="s">
        <v>133</v>
      </c>
      <c r="G757" s="3">
        <v>1</v>
      </c>
      <c r="H757" s="13" t="s">
        <v>152</v>
      </c>
      <c r="I757" s="2" t="str" cm="1">
        <f t="array" ref="I757">_xlfn.IFS(Table1[[#This Row],[Job_Type]] = "unskilled resident", "Resident",
Table1[[#This Row],[Job_Type]] = "unemp/unskilled non res", "Non-resident",
TRUE, "Unknown")</f>
        <v>Unknown</v>
      </c>
      <c r="J757" s="2" t="s">
        <v>148</v>
      </c>
      <c r="K757" s="3">
        <v>3</v>
      </c>
      <c r="L757" s="2" t="s">
        <v>144</v>
      </c>
      <c r="M757" s="13" t="s">
        <v>151</v>
      </c>
      <c r="N757" t="s">
        <v>35</v>
      </c>
      <c r="O757" s="2" t="str">
        <f>_xlfn.XLOOKUP(Table1[[#This Row],[Checking_Acct_Status]],Table3[Checking_Acct_Original],Table3[Category])</f>
        <v>Negative Balance</v>
      </c>
      <c r="P757" s="10" t="s">
        <v>32</v>
      </c>
      <c r="Q757" s="13" t="str">
        <f>_xlfn.XLOOKUP(Table1[[#This Row],[Saving_Acct_Status]],Table5[Saving_Acct_Original],Table5[Category])</f>
        <v>Low Savings</v>
      </c>
      <c r="R757" t="s">
        <v>41</v>
      </c>
      <c r="S757" s="2" t="str">
        <f>IF(
      OR(Table1[[#This Row],[Job_Type]] = "high qualif/self emp/mgmt", Table1[[#This Row],[Job_Type]] = "skilled"),
      "Skilled", "Unskilled")</f>
        <v>Skilled</v>
      </c>
      <c r="T757" t="str">
        <f>IF(Table1[[#This Row],[Job_Type]] = "unemp/unskilled non res", "Unemployed", "Employed")</f>
        <v>Employed</v>
      </c>
      <c r="U757" t="s">
        <v>38</v>
      </c>
      <c r="V757" s="14" t="str" cm="1">
        <f t="array" ref="V75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57" t="s">
        <v>103</v>
      </c>
      <c r="X757" s="2" t="str">
        <f>_xlfn.XLOOKUP(Table1[[#This Row],[Loan_Credit_History]],Table4[Credit History],Table4[[ Category]])</f>
        <v>Critical Credit History</v>
      </c>
      <c r="Y757" s="3">
        <v>4</v>
      </c>
      <c r="Z757" s="3">
        <v>1</v>
      </c>
      <c r="AA757" s="5">
        <v>1409</v>
      </c>
      <c r="AB757" t="s">
        <v>151</v>
      </c>
      <c r="AC757" s="2" t="str" cm="1">
        <f t="array" ref="AC757">_xlfn.IFS(Table1[[#This Row],[Others_Parties]] = "No", "None",
Table1[[#This Row],[Others_Parties]] = "co applicant", "Co-applicant",
Table1[[#This Row],[Others_Parties]] = "guarantor", "Guarantor")</f>
        <v>None</v>
      </c>
      <c r="AD757" s="13" t="s">
        <v>145</v>
      </c>
      <c r="AE757" s="2" t="s">
        <v>107</v>
      </c>
      <c r="AF757" s="28" t="str" cm="1">
        <f t="array" ref="AF75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57" s="21">
        <v>12</v>
      </c>
      <c r="AH757" s="2" t="s">
        <v>154</v>
      </c>
      <c r="AI757"/>
      <c r="AZ757"/>
      <c r="BC757"/>
      <c r="BE757"/>
      <c r="BL757"/>
      <c r="BZ757"/>
      <c r="CA757"/>
      <c r="CF757"/>
      <c r="CG757"/>
      <c r="CH757"/>
      <c r="CI757"/>
      <c r="CK757"/>
      <c r="CN757"/>
    </row>
    <row r="758" spans="1:92" x14ac:dyDescent="0.3">
      <c r="A758" s="4">
        <v>756</v>
      </c>
      <c r="B758" s="11">
        <v>31</v>
      </c>
      <c r="C758" s="2" t="str">
        <f>_xlfn.XLOOKUP(Table1[[#This Row],[Age]],Table7[Start_Age],Table7[Age_Range],,-1)</f>
        <v>29-39</v>
      </c>
      <c r="D758" t="s">
        <v>130</v>
      </c>
      <c r="E758" s="2" t="s">
        <v>129</v>
      </c>
      <c r="F758" s="2" t="s">
        <v>133</v>
      </c>
      <c r="G758" s="3">
        <v>1</v>
      </c>
      <c r="H758" s="13" t="s">
        <v>152</v>
      </c>
      <c r="I758" s="2" t="str" cm="1">
        <f t="array" ref="I758">_xlfn.IFS(Table1[[#This Row],[Job_Type]] = "unskilled resident", "Resident",
Table1[[#This Row],[Job_Type]] = "unemp/unskilled non res", "Non-resident",
TRUE, "Unknown")</f>
        <v>Resident</v>
      </c>
      <c r="J758" s="2" t="s">
        <v>148</v>
      </c>
      <c r="K758" s="3">
        <v>2</v>
      </c>
      <c r="L758" s="2" t="s">
        <v>144</v>
      </c>
      <c r="M758" s="13" t="s">
        <v>152</v>
      </c>
      <c r="N758" t="s">
        <v>30</v>
      </c>
      <c r="O758" s="2" t="str">
        <f>_xlfn.XLOOKUP(Table1[[#This Row],[Checking_Acct_Status]],Table3[Checking_Acct_Original],Table3[Category])</f>
        <v>Low Balance</v>
      </c>
      <c r="P758" s="10" t="s">
        <v>32</v>
      </c>
      <c r="Q758" s="13" t="str">
        <f>_xlfn.XLOOKUP(Table1[[#This Row],[Saving_Acct_Status]],Table5[Saving_Acct_Original],Table5[Category])</f>
        <v>Low Savings</v>
      </c>
      <c r="R758" t="s">
        <v>27</v>
      </c>
      <c r="S758" s="2" t="str">
        <f>IF(
      OR(Table1[[#This Row],[Job_Type]] = "high qualif/self emp/mgmt", Table1[[#This Row],[Job_Type]] = "skilled"),
      "Skilled", "Unskilled")</f>
        <v>Unskilled</v>
      </c>
      <c r="T758" t="str">
        <f>IF(Table1[[#This Row],[Job_Type]] = "unemp/unskilled non res", "Unemployed", "Employed")</f>
        <v>Employed</v>
      </c>
      <c r="U758" t="s">
        <v>21</v>
      </c>
      <c r="V758" s="14" t="str" cm="1">
        <f t="array" ref="V75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58" t="s">
        <v>52</v>
      </c>
      <c r="X758" s="2" t="str">
        <f>_xlfn.XLOOKUP(Table1[[#This Row],[Loan_Credit_History]],Table4[Credit History],Table4[[ Category]])</f>
        <v>No Credit History</v>
      </c>
      <c r="Y758" s="3">
        <v>2</v>
      </c>
      <c r="Z758" s="3">
        <v>1</v>
      </c>
      <c r="AA758" s="5">
        <v>1410</v>
      </c>
      <c r="AB758" t="s">
        <v>151</v>
      </c>
      <c r="AC758" s="2" t="str" cm="1">
        <f t="array" ref="AC758">_xlfn.IFS(Table1[[#This Row],[Others_Parties]] = "No", "None",
Table1[[#This Row],[Others_Parties]] = "co applicant", "Co-applicant",
Table1[[#This Row],[Others_Parties]] = "guarantor", "Guarantor")</f>
        <v>None</v>
      </c>
      <c r="AD758" s="13" t="s">
        <v>145</v>
      </c>
      <c r="AE758" s="2" t="s">
        <v>110</v>
      </c>
      <c r="AF758" s="28" t="str" cm="1">
        <f t="array" ref="AF75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58" s="21">
        <v>12</v>
      </c>
      <c r="AH758" s="2" t="s">
        <v>154</v>
      </c>
      <c r="AI758"/>
      <c r="AZ758"/>
      <c r="BC758"/>
      <c r="BE758"/>
      <c r="BL758"/>
      <c r="BZ758"/>
      <c r="CA758"/>
      <c r="CF758"/>
      <c r="CG758"/>
      <c r="CH758"/>
      <c r="CI758"/>
      <c r="CK758"/>
      <c r="CN758"/>
    </row>
    <row r="759" spans="1:92" x14ac:dyDescent="0.3">
      <c r="A759" s="4">
        <v>757</v>
      </c>
      <c r="B759" s="11">
        <v>29</v>
      </c>
      <c r="C759" s="2" t="str">
        <f>_xlfn.XLOOKUP(Table1[[#This Row],[Age]],Table7[Start_Age],Table7[Age_Range],,-1)</f>
        <v>29-39</v>
      </c>
      <c r="D759" t="s">
        <v>136</v>
      </c>
      <c r="E759" s="2" t="s">
        <v>131</v>
      </c>
      <c r="F759" s="2" t="s">
        <v>137</v>
      </c>
      <c r="G759" s="3">
        <v>1</v>
      </c>
      <c r="H759" s="13" t="s">
        <v>152</v>
      </c>
      <c r="I759" s="2" t="str" cm="1">
        <f t="array" ref="I759">_xlfn.IFS(Table1[[#This Row],[Job_Type]] = "unskilled resident", "Resident",
Table1[[#This Row],[Job_Type]] = "unemp/unskilled non res", "Non-resident",
TRUE, "Unknown")</f>
        <v>Unknown</v>
      </c>
      <c r="J759" s="2" t="s">
        <v>148</v>
      </c>
      <c r="K759" s="3">
        <v>2</v>
      </c>
      <c r="L759" s="2" t="s">
        <v>144</v>
      </c>
      <c r="M759" s="13" t="s">
        <v>152</v>
      </c>
      <c r="N759" t="s">
        <v>17</v>
      </c>
      <c r="O759" s="2" t="str">
        <f>_xlfn.XLOOKUP(Table1[[#This Row],[Checking_Acct_Status]],Table3[Checking_Acct_Original],Table3[Category])</f>
        <v>No Account</v>
      </c>
      <c r="P759" s="10" t="s">
        <v>32</v>
      </c>
      <c r="Q759" s="13" t="str">
        <f>_xlfn.XLOOKUP(Table1[[#This Row],[Saving_Acct_Status]],Table5[Saving_Acct_Original],Table5[Category])</f>
        <v>Low Savings</v>
      </c>
      <c r="R759" t="s">
        <v>63</v>
      </c>
      <c r="S759" s="2" t="str">
        <f>IF(
      OR(Table1[[#This Row],[Job_Type]] = "high qualif/self emp/mgmt", Table1[[#This Row],[Job_Type]] = "skilled"),
      "Skilled", "Unskilled")</f>
        <v>Skilled</v>
      </c>
      <c r="T759" t="str">
        <f>IF(Table1[[#This Row],[Job_Type]] = "unemp/unskilled non res", "Unemployed", "Employed")</f>
        <v>Employed</v>
      </c>
      <c r="U759" t="s">
        <v>21</v>
      </c>
      <c r="V759" s="14" t="str" cm="1">
        <f t="array" ref="V75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59" t="s">
        <v>103</v>
      </c>
      <c r="X759" s="2" t="str">
        <f>_xlfn.XLOOKUP(Table1[[#This Row],[Loan_Credit_History]],Table4[Credit History],Table4[[ Category]])</f>
        <v>Critical Credit History</v>
      </c>
      <c r="Y759" s="3">
        <v>4</v>
      </c>
      <c r="Z759" s="3">
        <v>2</v>
      </c>
      <c r="AA759" s="5">
        <v>1412</v>
      </c>
      <c r="AB759" t="s">
        <v>58</v>
      </c>
      <c r="AC759" s="2" t="str" cm="1">
        <f t="array" ref="AC759">_xlfn.IFS(Table1[[#This Row],[Others_Parties]] = "No", "None",
Table1[[#This Row],[Others_Parties]] = "co applicant", "Co-applicant",
Table1[[#This Row],[Others_Parties]] = "guarantor", "Guarantor")</f>
        <v>Guarantor</v>
      </c>
      <c r="AD759" s="13" t="s">
        <v>145</v>
      </c>
      <c r="AE759" s="2" t="s">
        <v>105</v>
      </c>
      <c r="AF759" s="28" t="str" cm="1">
        <f t="array" ref="AF75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59" s="21">
        <v>12</v>
      </c>
      <c r="AH759" s="2" t="s">
        <v>154</v>
      </c>
      <c r="AI759"/>
      <c r="AZ759"/>
      <c r="BC759"/>
      <c r="BE759"/>
      <c r="BL759"/>
      <c r="BZ759"/>
      <c r="CA759"/>
      <c r="CF759"/>
      <c r="CG759"/>
      <c r="CH759"/>
      <c r="CI759"/>
      <c r="CK759"/>
      <c r="CN759"/>
    </row>
    <row r="760" spans="1:92" x14ac:dyDescent="0.3">
      <c r="A760" s="4">
        <v>758</v>
      </c>
      <c r="B760" s="11">
        <v>26</v>
      </c>
      <c r="C760" s="2" t="str">
        <f>_xlfn.XLOOKUP(Table1[[#This Row],[Age]],Table7[Start_Age],Table7[Age_Range],,-1)</f>
        <v>19-29</v>
      </c>
      <c r="D760" t="s">
        <v>130</v>
      </c>
      <c r="E760" s="2" t="s">
        <v>129</v>
      </c>
      <c r="F760" s="2" t="s">
        <v>133</v>
      </c>
      <c r="G760" s="3">
        <v>1</v>
      </c>
      <c r="H760" s="13" t="s">
        <v>152</v>
      </c>
      <c r="I760" s="2" t="str" cm="1">
        <f t="array" ref="I760">_xlfn.IFS(Table1[[#This Row],[Job_Type]] = "unskilled resident", "Resident",
Table1[[#This Row],[Job_Type]] = "unemp/unskilled non res", "Non-resident",
TRUE, "Unknown")</f>
        <v>Unknown</v>
      </c>
      <c r="J760" s="2" t="s">
        <v>148</v>
      </c>
      <c r="K760" s="3">
        <v>3</v>
      </c>
      <c r="L760" s="2" t="s">
        <v>143</v>
      </c>
      <c r="M760" s="13" t="s">
        <v>151</v>
      </c>
      <c r="N760" t="s">
        <v>30</v>
      </c>
      <c r="O760" s="2" t="str">
        <f>_xlfn.XLOOKUP(Table1[[#This Row],[Checking_Acct_Status]],Table3[Checking_Acct_Original],Table3[Category])</f>
        <v>Low Balance</v>
      </c>
      <c r="P760" s="10" t="s">
        <v>32</v>
      </c>
      <c r="Q760" s="13" t="str">
        <f>_xlfn.XLOOKUP(Table1[[#This Row],[Saving_Acct_Status]],Table5[Saving_Acct_Original],Table5[Category])</f>
        <v>Low Savings</v>
      </c>
      <c r="R760" t="s">
        <v>41</v>
      </c>
      <c r="S760" s="2" t="str">
        <f>IF(
      OR(Table1[[#This Row],[Job_Type]] = "high qualif/self emp/mgmt", Table1[[#This Row],[Job_Type]] = "skilled"),
      "Skilled", "Unskilled")</f>
        <v>Skilled</v>
      </c>
      <c r="T760" t="str">
        <f>IF(Table1[[#This Row],[Job_Type]] = "unemp/unskilled non res", "Unemployed", "Employed")</f>
        <v>Employed</v>
      </c>
      <c r="U760" t="s">
        <v>49</v>
      </c>
      <c r="V760" s="14" t="str" cm="1">
        <f t="array" ref="V76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60" t="s">
        <v>103</v>
      </c>
      <c r="X760" s="2" t="str">
        <f>_xlfn.XLOOKUP(Table1[[#This Row],[Loan_Credit_History]],Table4[Credit History],Table4[[ Category]])</f>
        <v>Critical Credit History</v>
      </c>
      <c r="Y760" s="3">
        <v>4</v>
      </c>
      <c r="Z760" s="3">
        <v>1</v>
      </c>
      <c r="AA760" s="5">
        <v>1424</v>
      </c>
      <c r="AB760" t="s">
        <v>151</v>
      </c>
      <c r="AC760" s="2" t="str" cm="1">
        <f t="array" ref="AC760">_xlfn.IFS(Table1[[#This Row],[Others_Parties]] = "No", "None",
Table1[[#This Row],[Others_Parties]] = "co applicant", "Co-applicant",
Table1[[#This Row],[Others_Parties]] = "guarantor", "Guarantor")</f>
        <v>None</v>
      </c>
      <c r="AD760" s="13" t="s">
        <v>145</v>
      </c>
      <c r="AE760" s="2" t="s">
        <v>106</v>
      </c>
      <c r="AF760" s="28" t="str" cm="1">
        <f t="array" ref="AF76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60" s="21">
        <v>12</v>
      </c>
      <c r="AH760" s="2" t="s">
        <v>154</v>
      </c>
      <c r="AI760"/>
      <c r="AZ760"/>
      <c r="BC760"/>
      <c r="BE760"/>
      <c r="BL760"/>
      <c r="BZ760"/>
      <c r="CA760"/>
      <c r="CF760"/>
      <c r="CG760"/>
      <c r="CH760"/>
      <c r="CI760"/>
      <c r="CK760"/>
      <c r="CN760"/>
    </row>
    <row r="761" spans="1:92" x14ac:dyDescent="0.3">
      <c r="A761" s="4">
        <v>759</v>
      </c>
      <c r="B761" s="11">
        <v>55</v>
      </c>
      <c r="C761" s="2" t="str">
        <f>_xlfn.XLOOKUP(Table1[[#This Row],[Age]],Table7[Start_Age],Table7[Age_Range],,-1)</f>
        <v>49-59</v>
      </c>
      <c r="D761" t="s">
        <v>136</v>
      </c>
      <c r="E761" s="2" t="s">
        <v>131</v>
      </c>
      <c r="F761" s="2" t="s">
        <v>137</v>
      </c>
      <c r="G761" s="3">
        <v>1</v>
      </c>
      <c r="H761" s="13" t="s">
        <v>152</v>
      </c>
      <c r="I761" s="2" t="str" cm="1">
        <f t="array" ref="I761">_xlfn.IFS(Table1[[#This Row],[Job_Type]] = "unskilled resident", "Resident",
Table1[[#This Row],[Job_Type]] = "unemp/unskilled non res", "Non-resident",
TRUE, "Unknown")</f>
        <v>Unknown</v>
      </c>
      <c r="J761" s="2" t="s">
        <v>148</v>
      </c>
      <c r="K761" s="3">
        <v>4</v>
      </c>
      <c r="L761" s="2" t="s">
        <v>144</v>
      </c>
      <c r="M761" s="13" t="s">
        <v>152</v>
      </c>
      <c r="N761" t="s">
        <v>50</v>
      </c>
      <c r="O761" s="2" t="str">
        <f>_xlfn.XLOOKUP(Table1[[#This Row],[Checking_Acct_Status]],Table3[Checking_Acct_Original],Table3[Category])</f>
        <v>High Balance</v>
      </c>
      <c r="P761" s="10" t="s">
        <v>47</v>
      </c>
      <c r="Q761" s="13" t="str">
        <f>_xlfn.XLOOKUP(Table1[[#This Row],[Saving_Acct_Status]],Table5[Saving_Acct_Original],Table5[Category])</f>
        <v>No Savings</v>
      </c>
      <c r="R761" t="s">
        <v>63</v>
      </c>
      <c r="S761" s="2" t="str">
        <f>IF(
      OR(Table1[[#This Row],[Job_Type]] = "high qualif/self emp/mgmt", Table1[[#This Row],[Job_Type]] = "skilled"),
      "Skilled", "Unskilled")</f>
        <v>Skilled</v>
      </c>
      <c r="T761" t="str">
        <f>IF(Table1[[#This Row],[Job_Type]] = "unemp/unskilled non res", "Unemployed", "Employed")</f>
        <v>Employed</v>
      </c>
      <c r="U761" t="s">
        <v>38</v>
      </c>
      <c r="V761" s="14" t="str" cm="1">
        <f t="array" ref="V76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61" t="s">
        <v>31</v>
      </c>
      <c r="X761" s="2" t="str">
        <f>_xlfn.XLOOKUP(Table1[[#This Row],[Loan_Credit_History]],Table4[Credit History],Table4[[ Category]])</f>
        <v>Existing Credits Paid</v>
      </c>
      <c r="Y761" s="3">
        <v>3</v>
      </c>
      <c r="Z761" s="3">
        <v>1</v>
      </c>
      <c r="AA761" s="5">
        <v>1424</v>
      </c>
      <c r="AB761" t="s">
        <v>151</v>
      </c>
      <c r="AC761" s="2" t="str" cm="1">
        <f t="array" ref="AC761">_xlfn.IFS(Table1[[#This Row],[Others_Parties]] = "No", "None",
Table1[[#This Row],[Others_Parties]] = "co applicant", "Co-applicant",
Table1[[#This Row],[Others_Parties]] = "guarantor", "Guarantor")</f>
        <v>None</v>
      </c>
      <c r="AD761" s="13" t="s">
        <v>145</v>
      </c>
      <c r="AE761" s="2" t="s">
        <v>108</v>
      </c>
      <c r="AF761" s="28" t="str" cm="1">
        <f t="array" ref="AF76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61" s="21">
        <v>12</v>
      </c>
      <c r="AH761" s="2" t="s">
        <v>154</v>
      </c>
      <c r="AI761"/>
      <c r="AZ761"/>
      <c r="BC761"/>
      <c r="BE761"/>
      <c r="BL761"/>
      <c r="BZ761"/>
      <c r="CA761"/>
      <c r="CF761"/>
      <c r="CG761"/>
      <c r="CH761"/>
      <c r="CI761"/>
      <c r="CK761"/>
      <c r="CN761"/>
    </row>
    <row r="762" spans="1:92" x14ac:dyDescent="0.3">
      <c r="A762" s="4">
        <v>760</v>
      </c>
      <c r="B762" s="11">
        <v>33</v>
      </c>
      <c r="C762" s="2" t="str">
        <f>_xlfn.XLOOKUP(Table1[[#This Row],[Age]],Table7[Start_Age],Table7[Age_Range],,-1)</f>
        <v>29-39</v>
      </c>
      <c r="D762" t="s">
        <v>136</v>
      </c>
      <c r="E762" s="2" t="s">
        <v>131</v>
      </c>
      <c r="F762" s="2" t="s">
        <v>137</v>
      </c>
      <c r="G762" s="3">
        <v>1</v>
      </c>
      <c r="H762" s="13" t="s">
        <v>152</v>
      </c>
      <c r="I762" s="2" t="str" cm="1">
        <f t="array" ref="I762">_xlfn.IFS(Table1[[#This Row],[Job_Type]] = "unskilled resident", "Resident",
Table1[[#This Row],[Job_Type]] = "unemp/unskilled non res", "Non-resident",
TRUE, "Unknown")</f>
        <v>Unknown</v>
      </c>
      <c r="J762" s="2" t="s">
        <v>148</v>
      </c>
      <c r="K762" s="3">
        <v>1</v>
      </c>
      <c r="L762" s="2" t="s">
        <v>143</v>
      </c>
      <c r="M762" s="13" t="s">
        <v>152</v>
      </c>
      <c r="N762" t="s">
        <v>50</v>
      </c>
      <c r="O762" s="2" t="str">
        <f>_xlfn.XLOOKUP(Table1[[#This Row],[Checking_Acct_Status]],Table3[Checking_Acct_Original],Table3[Category])</f>
        <v>High Balance</v>
      </c>
      <c r="P762" s="10" t="s">
        <v>32</v>
      </c>
      <c r="Q762" s="13" t="str">
        <f>_xlfn.XLOOKUP(Table1[[#This Row],[Saving_Acct_Status]],Table5[Saving_Acct_Original],Table5[Category])</f>
        <v>Low Savings</v>
      </c>
      <c r="R762" t="s">
        <v>63</v>
      </c>
      <c r="S762" s="2" t="str">
        <f>IF(
      OR(Table1[[#This Row],[Job_Type]] = "high qualif/self emp/mgmt", Table1[[#This Row],[Job_Type]] = "skilled"),
      "Skilled", "Unskilled")</f>
        <v>Skilled</v>
      </c>
      <c r="T762" t="str">
        <f>IF(Table1[[#This Row],[Job_Type]] = "unemp/unskilled non res", "Unemployed", "Employed")</f>
        <v>Employed</v>
      </c>
      <c r="U762" t="s">
        <v>45</v>
      </c>
      <c r="V762" s="14" t="str" cm="1">
        <f t="array" ref="V76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62" t="s">
        <v>31</v>
      </c>
      <c r="X762" s="2" t="str">
        <f>_xlfn.XLOOKUP(Table1[[#This Row],[Loan_Credit_History]],Table4[Credit History],Table4[[ Category]])</f>
        <v>Existing Credits Paid</v>
      </c>
      <c r="Y762" s="3">
        <v>4</v>
      </c>
      <c r="Z762" s="3">
        <v>1</v>
      </c>
      <c r="AA762" s="5">
        <v>1474</v>
      </c>
      <c r="AB762" t="s">
        <v>151</v>
      </c>
      <c r="AC762" s="2" t="str" cm="1">
        <f t="array" ref="AC762">_xlfn.IFS(Table1[[#This Row],[Others_Parties]] = "No", "None",
Table1[[#This Row],[Others_Parties]] = "co applicant", "Co-applicant",
Table1[[#This Row],[Others_Parties]] = "guarantor", "Guarantor")</f>
        <v>None</v>
      </c>
      <c r="AD762" s="13" t="s">
        <v>146</v>
      </c>
      <c r="AE762" s="2" t="s">
        <v>108</v>
      </c>
      <c r="AF762" s="28" t="str" cm="1">
        <f t="array" ref="AF76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62" s="21">
        <v>12</v>
      </c>
      <c r="AH762" s="2" t="s">
        <v>154</v>
      </c>
      <c r="AI762"/>
      <c r="AZ762"/>
      <c r="BC762"/>
      <c r="BE762"/>
      <c r="BL762"/>
      <c r="BZ762"/>
      <c r="CA762"/>
      <c r="CF762"/>
      <c r="CG762"/>
      <c r="CH762"/>
      <c r="CI762"/>
      <c r="CK762"/>
      <c r="CN762"/>
    </row>
    <row r="763" spans="1:92" x14ac:dyDescent="0.3">
      <c r="A763" s="4">
        <v>761</v>
      </c>
      <c r="B763" s="11">
        <v>66</v>
      </c>
      <c r="C763" s="2" t="str">
        <f>_xlfn.XLOOKUP(Table1[[#This Row],[Age]],Table7[Start_Age],Table7[Age_Range],,-1)</f>
        <v>59-69</v>
      </c>
      <c r="D763" t="s">
        <v>130</v>
      </c>
      <c r="E763" s="2" t="s">
        <v>129</v>
      </c>
      <c r="F763" s="2" t="s">
        <v>133</v>
      </c>
      <c r="G763" s="3">
        <v>1</v>
      </c>
      <c r="H763" s="13" t="s">
        <v>152</v>
      </c>
      <c r="I763" s="2" t="str" cm="1">
        <f t="array" ref="I763">_xlfn.IFS(Table1[[#This Row],[Job_Type]] = "unskilled resident", "Resident",
Table1[[#This Row],[Job_Type]] = "unemp/unskilled non res", "Non-resident",
TRUE, "Unknown")</f>
        <v>Non-resident</v>
      </c>
      <c r="J763" s="2" t="s">
        <v>150</v>
      </c>
      <c r="K763" s="3">
        <v>4</v>
      </c>
      <c r="L763" s="2" t="s">
        <v>142</v>
      </c>
      <c r="M763" s="13" t="s">
        <v>151</v>
      </c>
      <c r="N763" t="s">
        <v>50</v>
      </c>
      <c r="O763" s="2" t="str">
        <f>_xlfn.XLOOKUP(Table1[[#This Row],[Checking_Acct_Status]],Table3[Checking_Acct_Original],Table3[Category])</f>
        <v>High Balance</v>
      </c>
      <c r="P763" s="10" t="s">
        <v>37</v>
      </c>
      <c r="Q763" s="13" t="str">
        <f>_xlfn.XLOOKUP(Table1[[#This Row],[Saving_Acct_Status]],Table5[Saving_Acct_Original],Table5[Category])</f>
        <v>High Savings</v>
      </c>
      <c r="R763" t="s">
        <v>62</v>
      </c>
      <c r="S763" s="2" t="str">
        <f>IF(
      OR(Table1[[#This Row],[Job_Type]] = "high qualif/self emp/mgmt", Table1[[#This Row],[Job_Type]] = "skilled"),
      "Skilled", "Unskilled")</f>
        <v>Unskilled</v>
      </c>
      <c r="T763" t="str">
        <f>IF(Table1[[#This Row],[Job_Type]] = "unemp/unskilled non res", "Unemployed", "Employed")</f>
        <v>Unemployed</v>
      </c>
      <c r="U763" t="s">
        <v>54</v>
      </c>
      <c r="V763" s="14" t="str" cm="1">
        <f t="array" ref="V763">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763" t="s">
        <v>103</v>
      </c>
      <c r="X763" s="2" t="str">
        <f>_xlfn.XLOOKUP(Table1[[#This Row],[Loan_Credit_History]],Table4[Credit History],Table4[[ Category]])</f>
        <v>Critical Credit History</v>
      </c>
      <c r="Y763" s="3">
        <v>2</v>
      </c>
      <c r="Z763" s="3">
        <v>3</v>
      </c>
      <c r="AA763" s="5">
        <v>1480</v>
      </c>
      <c r="AB763" t="s">
        <v>151</v>
      </c>
      <c r="AC763" s="2" t="str" cm="1">
        <f t="array" ref="AC763">_xlfn.IFS(Table1[[#This Row],[Others_Parties]] = "No", "None",
Table1[[#This Row],[Others_Parties]] = "co applicant", "Co-applicant",
Table1[[#This Row],[Others_Parties]] = "guarantor", "Guarantor")</f>
        <v>None</v>
      </c>
      <c r="AD763" s="13" t="s">
        <v>146</v>
      </c>
      <c r="AE763" s="2" t="s">
        <v>141</v>
      </c>
      <c r="AF763" s="28" t="str" cm="1">
        <f t="array" ref="AF76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63" s="21">
        <v>12</v>
      </c>
      <c r="AH763" s="2" t="s">
        <v>154</v>
      </c>
      <c r="AI763"/>
      <c r="AZ763"/>
      <c r="BC763"/>
      <c r="BE763"/>
      <c r="BL763"/>
      <c r="BZ763"/>
      <c r="CA763"/>
      <c r="CF763"/>
      <c r="CG763"/>
      <c r="CH763"/>
      <c r="CI763"/>
      <c r="CK763"/>
      <c r="CN763"/>
    </row>
    <row r="764" spans="1:92" x14ac:dyDescent="0.3">
      <c r="A764" s="4">
        <v>762</v>
      </c>
      <c r="B764" s="11">
        <v>25</v>
      </c>
      <c r="C764" s="2" t="str">
        <f>_xlfn.XLOOKUP(Table1[[#This Row],[Age]],Table7[Start_Age],Table7[Age_Range],,-1)</f>
        <v>19-29</v>
      </c>
      <c r="D764" t="s">
        <v>134</v>
      </c>
      <c r="E764" s="2" t="s">
        <v>129</v>
      </c>
      <c r="F764" s="2" t="s">
        <v>135</v>
      </c>
      <c r="G764" s="3">
        <v>1</v>
      </c>
      <c r="H764" s="13" t="s">
        <v>152</v>
      </c>
      <c r="I764" s="2" t="str" cm="1">
        <f t="array" ref="I764">_xlfn.IFS(Table1[[#This Row],[Job_Type]] = "unskilled resident", "Resident",
Table1[[#This Row],[Job_Type]] = "unemp/unskilled non res", "Non-resident",
TRUE, "Unknown")</f>
        <v>Unknown</v>
      </c>
      <c r="J764" s="2" t="s">
        <v>148</v>
      </c>
      <c r="K764" s="3">
        <v>1</v>
      </c>
      <c r="L764" s="2" t="s">
        <v>144</v>
      </c>
      <c r="M764" s="13" t="s">
        <v>152</v>
      </c>
      <c r="N764" t="s">
        <v>30</v>
      </c>
      <c r="O764" s="2" t="str">
        <f>_xlfn.XLOOKUP(Table1[[#This Row],[Checking_Acct_Status]],Table3[Checking_Acct_Original],Table3[Category])</f>
        <v>Low Balance</v>
      </c>
      <c r="P764" s="10" t="s">
        <v>47</v>
      </c>
      <c r="Q764" s="13" t="str">
        <f>_xlfn.XLOOKUP(Table1[[#This Row],[Saving_Acct_Status]],Table5[Saving_Acct_Original],Table5[Category])</f>
        <v>No Savings</v>
      </c>
      <c r="R764" t="s">
        <v>41</v>
      </c>
      <c r="S764" s="2" t="str">
        <f>IF(
      OR(Table1[[#This Row],[Job_Type]] = "high qualif/self emp/mgmt", Table1[[#This Row],[Job_Type]] = "skilled"),
      "Skilled", "Unskilled")</f>
        <v>Skilled</v>
      </c>
      <c r="T764" t="str">
        <f>IF(Table1[[#This Row],[Job_Type]] = "unemp/unskilled non res", "Unemployed", "Employed")</f>
        <v>Employed</v>
      </c>
      <c r="U764" t="s">
        <v>21</v>
      </c>
      <c r="V764" s="14" t="str" cm="1">
        <f t="array" ref="V76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64" t="s">
        <v>31</v>
      </c>
      <c r="X764" s="2" t="str">
        <f>_xlfn.XLOOKUP(Table1[[#This Row],[Loan_Credit_History]],Table4[Credit History],Table4[[ Category]])</f>
        <v>Existing Credits Paid</v>
      </c>
      <c r="Y764" s="3">
        <v>2</v>
      </c>
      <c r="Z764" s="3">
        <v>1</v>
      </c>
      <c r="AA764" s="5">
        <v>1484</v>
      </c>
      <c r="AB764" t="s">
        <v>151</v>
      </c>
      <c r="AC764" s="2" t="str" cm="1">
        <f t="array" ref="AC764">_xlfn.IFS(Table1[[#This Row],[Others_Parties]] = "No", "None",
Table1[[#This Row],[Others_Parties]] = "co applicant", "Co-applicant",
Table1[[#This Row],[Others_Parties]] = "guarantor", "Guarantor")</f>
        <v>None</v>
      </c>
      <c r="AD764" s="13" t="s">
        <v>145</v>
      </c>
      <c r="AE764" s="2" t="s">
        <v>111</v>
      </c>
      <c r="AF764" s="28" t="str" cm="1">
        <f t="array" ref="AF76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64" s="21">
        <v>12</v>
      </c>
      <c r="AH764" s="2" t="s">
        <v>153</v>
      </c>
      <c r="AI764"/>
      <c r="AZ764"/>
      <c r="BC764"/>
      <c r="BE764"/>
      <c r="BL764"/>
      <c r="BZ764"/>
      <c r="CA764"/>
      <c r="CF764"/>
      <c r="CG764"/>
      <c r="CH764"/>
      <c r="CI764"/>
      <c r="CK764"/>
      <c r="CN764"/>
    </row>
    <row r="765" spans="1:92" x14ac:dyDescent="0.3">
      <c r="A765" s="4">
        <v>763</v>
      </c>
      <c r="B765" s="11">
        <v>34</v>
      </c>
      <c r="C765" s="2" t="str">
        <f>_xlfn.XLOOKUP(Table1[[#This Row],[Age]],Table7[Start_Age],Table7[Age_Range],,-1)</f>
        <v>29-39</v>
      </c>
      <c r="D765" t="s">
        <v>136</v>
      </c>
      <c r="E765" s="2" t="s">
        <v>131</v>
      </c>
      <c r="F765" s="2" t="s">
        <v>137</v>
      </c>
      <c r="G765" s="3">
        <v>2</v>
      </c>
      <c r="H765" s="13" t="s">
        <v>152</v>
      </c>
      <c r="I765" s="2" t="str" cm="1">
        <f t="array" ref="I765">_xlfn.IFS(Table1[[#This Row],[Job_Type]] = "unskilled resident", "Resident",
Table1[[#This Row],[Job_Type]] = "unemp/unskilled non res", "Non-resident",
TRUE, "Unknown")</f>
        <v>Unknown</v>
      </c>
      <c r="J765" s="2" t="s">
        <v>148</v>
      </c>
      <c r="K765" s="3">
        <v>3</v>
      </c>
      <c r="L765" s="2" t="s">
        <v>140</v>
      </c>
      <c r="M765" s="13" t="s">
        <v>151</v>
      </c>
      <c r="N765" t="s">
        <v>17</v>
      </c>
      <c r="O765" s="2" t="str">
        <f>_xlfn.XLOOKUP(Table1[[#This Row],[Checking_Acct_Status]],Table3[Checking_Acct_Original],Table3[Category])</f>
        <v>No Account</v>
      </c>
      <c r="P765" s="10" t="s">
        <v>32</v>
      </c>
      <c r="Q765" s="13" t="str">
        <f>_xlfn.XLOOKUP(Table1[[#This Row],[Saving_Acct_Status]],Table5[Saving_Acct_Original],Table5[Category])</f>
        <v>Low Savings</v>
      </c>
      <c r="R765" t="s">
        <v>41</v>
      </c>
      <c r="S765" s="2" t="str">
        <f>IF(
      OR(Table1[[#This Row],[Job_Type]] = "high qualif/self emp/mgmt", Table1[[#This Row],[Job_Type]] = "skilled"),
      "Skilled", "Unskilled")</f>
        <v>Skilled</v>
      </c>
      <c r="T765" t="str">
        <f>IF(Table1[[#This Row],[Job_Type]] = "unemp/unskilled non res", "Unemployed", "Employed")</f>
        <v>Employed</v>
      </c>
      <c r="U765" t="s">
        <v>45</v>
      </c>
      <c r="V765" s="14" t="str" cm="1">
        <f t="array" ref="V76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65" t="s">
        <v>31</v>
      </c>
      <c r="X765" s="2" t="str">
        <f>_xlfn.XLOOKUP(Table1[[#This Row],[Loan_Credit_History]],Table4[Credit History],Table4[[ Category]])</f>
        <v>Existing Credits Paid</v>
      </c>
      <c r="Y765" s="3">
        <v>4</v>
      </c>
      <c r="Z765" s="3">
        <v>1</v>
      </c>
      <c r="AA765" s="5">
        <v>1493</v>
      </c>
      <c r="AB765" t="s">
        <v>151</v>
      </c>
      <c r="AC765" s="2" t="str" cm="1">
        <f t="array" ref="AC765">_xlfn.IFS(Table1[[#This Row],[Others_Parties]] = "No", "None",
Table1[[#This Row],[Others_Parties]] = "co applicant", "Co-applicant",
Table1[[#This Row],[Others_Parties]] = "guarantor", "Guarantor")</f>
        <v>None</v>
      </c>
      <c r="AD765" s="13" t="s">
        <v>145</v>
      </c>
      <c r="AE765" s="2" t="s">
        <v>111</v>
      </c>
      <c r="AF765" s="28" t="str" cm="1">
        <f t="array" ref="AF76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65" s="21">
        <v>12</v>
      </c>
      <c r="AH765" s="2" t="s">
        <v>154</v>
      </c>
      <c r="AI765"/>
      <c r="AZ765"/>
      <c r="BC765"/>
      <c r="BE765"/>
      <c r="BL765"/>
      <c r="BZ765"/>
      <c r="CA765"/>
      <c r="CF765"/>
      <c r="CG765"/>
      <c r="CH765"/>
      <c r="CI765"/>
      <c r="CK765"/>
      <c r="CN765"/>
    </row>
    <row r="766" spans="1:92" x14ac:dyDescent="0.3">
      <c r="A766" s="4">
        <v>764</v>
      </c>
      <c r="B766" s="11">
        <v>38</v>
      </c>
      <c r="C766" s="2" t="str">
        <f>_xlfn.XLOOKUP(Table1[[#This Row],[Age]],Table7[Start_Age],Table7[Age_Range],,-1)</f>
        <v>29-39</v>
      </c>
      <c r="D766" t="s">
        <v>130</v>
      </c>
      <c r="E766" s="2" t="s">
        <v>129</v>
      </c>
      <c r="F766" s="2" t="s">
        <v>133</v>
      </c>
      <c r="G766" s="3">
        <v>2</v>
      </c>
      <c r="H766" s="13" t="s">
        <v>152</v>
      </c>
      <c r="I766" s="2" t="str" cm="1">
        <f t="array" ref="I766">_xlfn.IFS(Table1[[#This Row],[Job_Type]] = "unskilled resident", "Resident",
Table1[[#This Row],[Job_Type]] = "unemp/unskilled non res", "Non-resident",
TRUE, "Unknown")</f>
        <v>Resident</v>
      </c>
      <c r="J766" s="2" t="s">
        <v>148</v>
      </c>
      <c r="K766" s="3">
        <v>1</v>
      </c>
      <c r="L766" s="2" t="s">
        <v>144</v>
      </c>
      <c r="M766" s="13" t="s">
        <v>151</v>
      </c>
      <c r="N766" t="s">
        <v>17</v>
      </c>
      <c r="O766" s="2" t="str">
        <f>_xlfn.XLOOKUP(Table1[[#This Row],[Checking_Acct_Status]],Table3[Checking_Acct_Original],Table3[Category])</f>
        <v>No Account</v>
      </c>
      <c r="P766" s="10" t="s">
        <v>32</v>
      </c>
      <c r="Q766" s="13" t="str">
        <f>_xlfn.XLOOKUP(Table1[[#This Row],[Saving_Acct_Status]],Table5[Saving_Acct_Original],Table5[Category])</f>
        <v>Low Savings</v>
      </c>
      <c r="R766" t="s">
        <v>27</v>
      </c>
      <c r="S766" s="2" t="str">
        <f>IF(
      OR(Table1[[#This Row],[Job_Type]] = "high qualif/self emp/mgmt", Table1[[#This Row],[Job_Type]] = "skilled"),
      "Skilled", "Unskilled")</f>
        <v>Unskilled</v>
      </c>
      <c r="T766" t="str">
        <f>IF(Table1[[#This Row],[Job_Type]] = "unemp/unskilled non res", "Unemployed", "Employed")</f>
        <v>Employed</v>
      </c>
      <c r="U766" t="s">
        <v>38</v>
      </c>
      <c r="V766" s="14" t="str" cm="1">
        <f t="array" ref="V76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66" t="s">
        <v>103</v>
      </c>
      <c r="X766" s="2" t="str">
        <f>_xlfn.XLOOKUP(Table1[[#This Row],[Loan_Credit_History]],Table4[Credit History],Table4[[ Category]])</f>
        <v>Critical Credit History</v>
      </c>
      <c r="Y766" s="3">
        <v>4</v>
      </c>
      <c r="Z766" s="3">
        <v>2</v>
      </c>
      <c r="AA766" s="5">
        <v>1495</v>
      </c>
      <c r="AB766" t="s">
        <v>151</v>
      </c>
      <c r="AC766" s="2" t="str" cm="1">
        <f t="array" ref="AC766">_xlfn.IFS(Table1[[#This Row],[Others_Parties]] = "No", "None",
Table1[[#This Row],[Others_Parties]] = "co applicant", "Co-applicant",
Table1[[#This Row],[Others_Parties]] = "guarantor", "Guarantor")</f>
        <v>None</v>
      </c>
      <c r="AD766" s="13" t="s">
        <v>145</v>
      </c>
      <c r="AE766" s="2" t="s">
        <v>141</v>
      </c>
      <c r="AF766" s="28" t="str" cm="1">
        <f t="array" ref="AF76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66" s="21">
        <v>12</v>
      </c>
      <c r="AH766" s="2" t="s">
        <v>154</v>
      </c>
      <c r="AI766"/>
      <c r="AZ766"/>
      <c r="BC766"/>
      <c r="BE766"/>
      <c r="BL766"/>
      <c r="BZ766"/>
      <c r="CA766"/>
      <c r="CF766"/>
      <c r="CG766"/>
      <c r="CH766"/>
      <c r="CI766"/>
      <c r="CK766"/>
      <c r="CN766"/>
    </row>
    <row r="767" spans="1:92" x14ac:dyDescent="0.3">
      <c r="A767" s="4">
        <v>765</v>
      </c>
      <c r="B767" s="11">
        <v>23</v>
      </c>
      <c r="C767" s="2" t="str">
        <f>_xlfn.XLOOKUP(Table1[[#This Row],[Age]],Table7[Start_Age],Table7[Age_Range],,-1)</f>
        <v>19-29</v>
      </c>
      <c r="D767" t="s">
        <v>136</v>
      </c>
      <c r="E767" s="2" t="s">
        <v>131</v>
      </c>
      <c r="F767" s="2" t="s">
        <v>137</v>
      </c>
      <c r="G767" s="3">
        <v>1</v>
      </c>
      <c r="H767" s="13" t="s">
        <v>152</v>
      </c>
      <c r="I767" s="2" t="str" cm="1">
        <f t="array" ref="I767">_xlfn.IFS(Table1[[#This Row],[Job_Type]] = "unskilled resident", "Resident",
Table1[[#This Row],[Job_Type]] = "unemp/unskilled non res", "Non-resident",
TRUE, "Unknown")</f>
        <v>Unknown</v>
      </c>
      <c r="J767" s="2" t="s">
        <v>148</v>
      </c>
      <c r="K767" s="3">
        <v>1</v>
      </c>
      <c r="L767" s="2" t="s">
        <v>140</v>
      </c>
      <c r="M767" s="13" t="s">
        <v>151</v>
      </c>
      <c r="N767" t="s">
        <v>35</v>
      </c>
      <c r="O767" s="2" t="str">
        <f>_xlfn.XLOOKUP(Table1[[#This Row],[Checking_Acct_Status]],Table3[Checking_Acct_Original],Table3[Category])</f>
        <v>Negative Balance</v>
      </c>
      <c r="P767" s="10" t="s">
        <v>32</v>
      </c>
      <c r="Q767" s="13" t="str">
        <f>_xlfn.XLOOKUP(Table1[[#This Row],[Saving_Acct_Status]],Table5[Saving_Acct_Original],Table5[Category])</f>
        <v>Low Savings</v>
      </c>
      <c r="R767" t="s">
        <v>41</v>
      </c>
      <c r="S767" s="2" t="str">
        <f>IF(
      OR(Table1[[#This Row],[Job_Type]] = "high qualif/self emp/mgmt", Table1[[#This Row],[Job_Type]] = "skilled"),
      "Skilled", "Unskilled")</f>
        <v>Skilled</v>
      </c>
      <c r="T767" t="str">
        <f>IF(Table1[[#This Row],[Job_Type]] = "unemp/unskilled non res", "Unemployed", "Employed")</f>
        <v>Employed</v>
      </c>
      <c r="U767" t="s">
        <v>21</v>
      </c>
      <c r="V767" s="14" t="str" cm="1">
        <f t="array" ref="V76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67" t="s">
        <v>31</v>
      </c>
      <c r="X767" s="2" t="str">
        <f>_xlfn.XLOOKUP(Table1[[#This Row],[Loan_Credit_History]],Table4[Credit History],Table4[[ Category]])</f>
        <v>Existing Credits Paid</v>
      </c>
      <c r="Y767" s="3">
        <v>4</v>
      </c>
      <c r="Z767" s="3">
        <v>1</v>
      </c>
      <c r="AA767" s="5">
        <v>1498</v>
      </c>
      <c r="AB767" t="s">
        <v>151</v>
      </c>
      <c r="AC767" s="2" t="str" cm="1">
        <f t="array" ref="AC767">_xlfn.IFS(Table1[[#This Row],[Others_Parties]] = "No", "None",
Table1[[#This Row],[Others_Parties]] = "co applicant", "Co-applicant",
Table1[[#This Row],[Others_Parties]] = "guarantor", "Guarantor")</f>
        <v>None</v>
      </c>
      <c r="AD767" s="13" t="s">
        <v>146</v>
      </c>
      <c r="AE767" s="2" t="s">
        <v>111</v>
      </c>
      <c r="AF767" s="28" t="str" cm="1">
        <f t="array" ref="AF76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67" s="21">
        <v>12</v>
      </c>
      <c r="AH767" s="2" t="s">
        <v>154</v>
      </c>
      <c r="AI767"/>
      <c r="AZ767"/>
      <c r="BC767"/>
      <c r="BE767"/>
      <c r="BL767"/>
      <c r="BZ767"/>
      <c r="CA767"/>
      <c r="CF767"/>
      <c r="CG767"/>
      <c r="CH767"/>
      <c r="CI767"/>
      <c r="CK767"/>
      <c r="CN767"/>
    </row>
    <row r="768" spans="1:92" x14ac:dyDescent="0.3">
      <c r="A768" s="4">
        <v>766</v>
      </c>
      <c r="B768" s="11">
        <v>41</v>
      </c>
      <c r="C768" s="2" t="str">
        <f>_xlfn.XLOOKUP(Table1[[#This Row],[Age]],Table7[Start_Age],Table7[Age_Range],,-1)</f>
        <v>39-49</v>
      </c>
      <c r="D768" t="s">
        <v>134</v>
      </c>
      <c r="E768" s="2" t="s">
        <v>129</v>
      </c>
      <c r="F768" s="2" t="s">
        <v>135</v>
      </c>
      <c r="G768" s="3">
        <v>1</v>
      </c>
      <c r="H768" s="13" t="s">
        <v>152</v>
      </c>
      <c r="I768" s="2" t="str" cm="1">
        <f t="array" ref="I768">_xlfn.IFS(Table1[[#This Row],[Job_Type]] = "unskilled resident", "Resident",
Table1[[#This Row],[Job_Type]] = "unemp/unskilled non res", "Non-resident",
TRUE, "Unknown")</f>
        <v>Unknown</v>
      </c>
      <c r="J768" s="2" t="s">
        <v>149</v>
      </c>
      <c r="K768" s="3">
        <v>4</v>
      </c>
      <c r="L768" s="2" t="s">
        <v>144</v>
      </c>
      <c r="M768" s="13" t="s">
        <v>151</v>
      </c>
      <c r="N768" t="s">
        <v>17</v>
      </c>
      <c r="O768" s="2" t="str">
        <f>_xlfn.XLOOKUP(Table1[[#This Row],[Checking_Acct_Status]],Table3[Checking_Acct_Original],Table3[Category])</f>
        <v>No Account</v>
      </c>
      <c r="P768" s="10" t="s">
        <v>32</v>
      </c>
      <c r="Q768" s="13" t="str">
        <f>_xlfn.XLOOKUP(Table1[[#This Row],[Saving_Acct_Status]],Table5[Saving_Acct_Original],Table5[Category])</f>
        <v>Low Savings</v>
      </c>
      <c r="R768" t="s">
        <v>41</v>
      </c>
      <c r="S768" s="2" t="str">
        <f>IF(
      OR(Table1[[#This Row],[Job_Type]] = "high qualif/self emp/mgmt", Table1[[#This Row],[Job_Type]] = "skilled"),
      "Skilled", "Unskilled")</f>
        <v>Skilled</v>
      </c>
      <c r="T768" t="str">
        <f>IF(Table1[[#This Row],[Job_Type]] = "unemp/unskilled non res", "Unemployed", "Employed")</f>
        <v>Employed</v>
      </c>
      <c r="U768" t="s">
        <v>21</v>
      </c>
      <c r="V768" s="14" t="str" cm="1">
        <f t="array" ref="V76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68" t="s">
        <v>59</v>
      </c>
      <c r="X768" s="2" t="str">
        <f>_xlfn.XLOOKUP(Table1[[#This Row],[Loan_Credit_History]],Table4[Credit History],Table4[[ Category]])</f>
        <v>Previously Delayed</v>
      </c>
      <c r="Y768" s="3">
        <v>4</v>
      </c>
      <c r="Z768" s="3">
        <v>1</v>
      </c>
      <c r="AA768" s="5">
        <v>1503</v>
      </c>
      <c r="AB768" t="s">
        <v>151</v>
      </c>
      <c r="AC768" s="2" t="str" cm="1">
        <f t="array" ref="AC768">_xlfn.IFS(Table1[[#This Row],[Others_Parties]] = "No", "None",
Table1[[#This Row],[Others_Parties]] = "co applicant", "Co-applicant",
Table1[[#This Row],[Others_Parties]] = "guarantor", "Guarantor")</f>
        <v>None</v>
      </c>
      <c r="AD768" s="13" t="s">
        <v>145</v>
      </c>
      <c r="AE768" s="2" t="s">
        <v>107</v>
      </c>
      <c r="AF768" s="28" t="str" cm="1">
        <f t="array" ref="AF76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68" s="21">
        <v>12</v>
      </c>
      <c r="AH768" s="2" t="s">
        <v>154</v>
      </c>
      <c r="AI768"/>
      <c r="AZ768"/>
      <c r="BC768"/>
      <c r="BE768"/>
      <c r="BL768"/>
      <c r="BZ768"/>
      <c r="CA768"/>
      <c r="CF768"/>
      <c r="CG768"/>
      <c r="CH768"/>
      <c r="CI768"/>
      <c r="CK768"/>
      <c r="CN768"/>
    </row>
    <row r="769" spans="1:92" x14ac:dyDescent="0.3">
      <c r="A769" s="4">
        <v>767</v>
      </c>
      <c r="B769" s="11">
        <v>66</v>
      </c>
      <c r="C769" s="2" t="str">
        <f>_xlfn.XLOOKUP(Table1[[#This Row],[Age]],Table7[Start_Age],Table7[Age_Range],,-1)</f>
        <v>59-69</v>
      </c>
      <c r="D769" t="s">
        <v>130</v>
      </c>
      <c r="E769" s="2" t="s">
        <v>129</v>
      </c>
      <c r="F769" s="2" t="s">
        <v>133</v>
      </c>
      <c r="G769" s="3">
        <v>1</v>
      </c>
      <c r="H769" s="13" t="s">
        <v>152</v>
      </c>
      <c r="I769" s="2" t="str" cm="1">
        <f t="array" ref="I769">_xlfn.IFS(Table1[[#This Row],[Job_Type]] = "unskilled resident", "Resident",
Table1[[#This Row],[Job_Type]] = "unemp/unskilled non res", "Non-resident",
TRUE, "Unknown")</f>
        <v>Unknown</v>
      </c>
      <c r="J769" s="2" t="s">
        <v>150</v>
      </c>
      <c r="K769" s="3">
        <v>4</v>
      </c>
      <c r="L769" s="2" t="s">
        <v>142</v>
      </c>
      <c r="M769" s="13" t="s">
        <v>151</v>
      </c>
      <c r="N769" t="s">
        <v>35</v>
      </c>
      <c r="O769" s="2" t="str">
        <f>_xlfn.XLOOKUP(Table1[[#This Row],[Checking_Acct_Status]],Table3[Checking_Acct_Original],Table3[Category])</f>
        <v>Negative Balance</v>
      </c>
      <c r="P769" s="10" t="s">
        <v>32</v>
      </c>
      <c r="Q769" s="13" t="str">
        <f>_xlfn.XLOOKUP(Table1[[#This Row],[Saving_Acct_Status]],Table5[Saving_Acct_Original],Table5[Category])</f>
        <v>Low Savings</v>
      </c>
      <c r="R769" t="s">
        <v>63</v>
      </c>
      <c r="S769" s="2" t="str">
        <f>IF(
      OR(Table1[[#This Row],[Job_Type]] = "high qualif/self emp/mgmt", Table1[[#This Row],[Job_Type]] = "skilled"),
      "Skilled", "Unskilled")</f>
        <v>Skilled</v>
      </c>
      <c r="T769" t="str">
        <f>IF(Table1[[#This Row],[Job_Type]] = "unemp/unskilled non res", "Unemployed", "Employed")</f>
        <v>Employed</v>
      </c>
      <c r="U769" t="s">
        <v>38</v>
      </c>
      <c r="V769" s="14" t="str" cm="1">
        <f t="array" ref="V76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69" t="s">
        <v>103</v>
      </c>
      <c r="X769" s="2" t="str">
        <f>_xlfn.XLOOKUP(Table1[[#This Row],[Loan_Credit_History]],Table4[Credit History],Table4[[ Category]])</f>
        <v>Critical Credit History</v>
      </c>
      <c r="Y769" s="3">
        <v>4</v>
      </c>
      <c r="Z769" s="3">
        <v>2</v>
      </c>
      <c r="AA769" s="5">
        <v>1526</v>
      </c>
      <c r="AB769" t="s">
        <v>151</v>
      </c>
      <c r="AC769" s="2" t="str" cm="1">
        <f t="array" ref="AC769">_xlfn.IFS(Table1[[#This Row],[Others_Parties]] = "No", "None",
Table1[[#This Row],[Others_Parties]] = "co applicant", "Co-applicant",
Table1[[#This Row],[Others_Parties]] = "guarantor", "Guarantor")</f>
        <v>None</v>
      </c>
      <c r="AD769" s="13" t="s">
        <v>145</v>
      </c>
      <c r="AE769" s="2" t="s">
        <v>107</v>
      </c>
      <c r="AF769" s="28" t="str" cm="1">
        <f t="array" ref="AF76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69" s="21">
        <v>12</v>
      </c>
      <c r="AH769" s="2" t="s">
        <v>154</v>
      </c>
      <c r="AI769"/>
      <c r="AZ769"/>
      <c r="BC769"/>
      <c r="BE769"/>
      <c r="BL769"/>
      <c r="BZ769"/>
      <c r="CA769"/>
      <c r="CF769"/>
      <c r="CG769"/>
      <c r="CH769"/>
      <c r="CI769"/>
      <c r="CK769"/>
      <c r="CN769"/>
    </row>
    <row r="770" spans="1:92" x14ac:dyDescent="0.3">
      <c r="A770" s="4">
        <v>768</v>
      </c>
      <c r="B770" s="11">
        <v>23</v>
      </c>
      <c r="C770" s="2" t="str">
        <f>_xlfn.XLOOKUP(Table1[[#This Row],[Age]],Table7[Start_Age],Table7[Age_Range],,-1)</f>
        <v>19-29</v>
      </c>
      <c r="D770" t="s">
        <v>134</v>
      </c>
      <c r="E770" s="2" t="s">
        <v>129</v>
      </c>
      <c r="F770" s="2" t="s">
        <v>135</v>
      </c>
      <c r="G770" s="3">
        <v>1</v>
      </c>
      <c r="H770" s="13" t="s">
        <v>152</v>
      </c>
      <c r="I770" s="2" t="str" cm="1">
        <f t="array" ref="I770">_xlfn.IFS(Table1[[#This Row],[Job_Type]] = "unskilled resident", "Resident",
Table1[[#This Row],[Job_Type]] = "unemp/unskilled non res", "Non-resident",
TRUE, "Unknown")</f>
        <v>Unknown</v>
      </c>
      <c r="J770" s="2" t="s">
        <v>149</v>
      </c>
      <c r="K770" s="3">
        <v>1</v>
      </c>
      <c r="L770" s="2" t="s">
        <v>144</v>
      </c>
      <c r="M770" s="13" t="s">
        <v>151</v>
      </c>
      <c r="N770" t="s">
        <v>30</v>
      </c>
      <c r="O770" s="2" t="str">
        <f>_xlfn.XLOOKUP(Table1[[#This Row],[Checking_Acct_Status]],Table3[Checking_Acct_Original],Table3[Category])</f>
        <v>Low Balance</v>
      </c>
      <c r="P770" s="10" t="s">
        <v>32</v>
      </c>
      <c r="Q770" s="13" t="str">
        <f>_xlfn.XLOOKUP(Table1[[#This Row],[Saving_Acct_Status]],Table5[Saving_Acct_Original],Table5[Category])</f>
        <v>Low Savings</v>
      </c>
      <c r="R770" t="s">
        <v>41</v>
      </c>
      <c r="S770" s="2" t="str">
        <f>IF(
      OR(Table1[[#This Row],[Job_Type]] = "high qualif/self emp/mgmt", Table1[[#This Row],[Job_Type]] = "skilled"),
      "Skilled", "Unskilled")</f>
        <v>Skilled</v>
      </c>
      <c r="T770" t="str">
        <f>IF(Table1[[#This Row],[Job_Type]] = "unemp/unskilled non res", "Unemployed", "Employed")</f>
        <v>Employed</v>
      </c>
      <c r="U770" t="s">
        <v>45</v>
      </c>
      <c r="V770" s="14" t="str" cm="1">
        <f t="array" ref="V77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70" t="s">
        <v>31</v>
      </c>
      <c r="X770" s="2" t="str">
        <f>_xlfn.XLOOKUP(Table1[[#This Row],[Loan_Credit_History]],Table4[Credit History],Table4[[ Category]])</f>
        <v>Existing Credits Paid</v>
      </c>
      <c r="Y770" s="3">
        <v>1</v>
      </c>
      <c r="Z770" s="3">
        <v>1</v>
      </c>
      <c r="AA770" s="5">
        <v>1534</v>
      </c>
      <c r="AB770" t="s">
        <v>151</v>
      </c>
      <c r="AC770" s="2" t="str" cm="1">
        <f t="array" ref="AC770">_xlfn.IFS(Table1[[#This Row],[Others_Parties]] = "No", "None",
Table1[[#This Row],[Others_Parties]] = "co applicant", "Co-applicant",
Table1[[#This Row],[Others_Parties]] = "guarantor", "Guarantor")</f>
        <v>None</v>
      </c>
      <c r="AD770" s="13" t="s">
        <v>145</v>
      </c>
      <c r="AE770" s="2" t="s">
        <v>111</v>
      </c>
      <c r="AF770" s="28" t="str" cm="1">
        <f t="array" ref="AF77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70" s="21">
        <v>12</v>
      </c>
      <c r="AH770" s="2" t="s">
        <v>153</v>
      </c>
      <c r="AI770"/>
      <c r="AZ770"/>
      <c r="BC770"/>
      <c r="BE770"/>
      <c r="BL770"/>
      <c r="BZ770"/>
      <c r="CA770"/>
      <c r="CF770"/>
      <c r="CG770"/>
      <c r="CH770"/>
      <c r="CI770"/>
      <c r="CK770"/>
      <c r="CN770"/>
    </row>
    <row r="771" spans="1:92" x14ac:dyDescent="0.3">
      <c r="A771" s="4">
        <v>769</v>
      </c>
      <c r="B771" s="11">
        <v>36</v>
      </c>
      <c r="C771" s="2" t="str">
        <f>_xlfn.XLOOKUP(Table1[[#This Row],[Age]],Table7[Start_Age],Table7[Age_Range],,-1)</f>
        <v>29-39</v>
      </c>
      <c r="D771" t="s">
        <v>130</v>
      </c>
      <c r="E771" s="2" t="s">
        <v>129</v>
      </c>
      <c r="F771" s="2" t="s">
        <v>133</v>
      </c>
      <c r="G771" s="3">
        <v>1</v>
      </c>
      <c r="H771" s="13" t="s">
        <v>152</v>
      </c>
      <c r="I771" s="2" t="str" cm="1">
        <f t="array" ref="I771">_xlfn.IFS(Table1[[#This Row],[Job_Type]] = "unskilled resident", "Resident",
Table1[[#This Row],[Job_Type]] = "unemp/unskilled non res", "Non-resident",
TRUE, "Unknown")</f>
        <v>Unknown</v>
      </c>
      <c r="J771" s="2" t="s">
        <v>148</v>
      </c>
      <c r="K771" s="3">
        <v>4</v>
      </c>
      <c r="L771" s="2" t="s">
        <v>140</v>
      </c>
      <c r="M771" s="13" t="s">
        <v>152</v>
      </c>
      <c r="N771" t="s">
        <v>17</v>
      </c>
      <c r="O771" s="2" t="str">
        <f>_xlfn.XLOOKUP(Table1[[#This Row],[Checking_Acct_Status]],Table3[Checking_Acct_Original],Table3[Category])</f>
        <v>No Account</v>
      </c>
      <c r="P771" s="10" t="s">
        <v>32</v>
      </c>
      <c r="Q771" s="13" t="str">
        <f>_xlfn.XLOOKUP(Table1[[#This Row],[Saving_Acct_Status]],Table5[Saving_Acct_Original],Table5[Category])</f>
        <v>Low Savings</v>
      </c>
      <c r="R771" t="s">
        <v>41</v>
      </c>
      <c r="S771" s="2" t="str">
        <f>IF(
      OR(Table1[[#This Row],[Job_Type]] = "high qualif/self emp/mgmt", Table1[[#This Row],[Job_Type]] = "skilled"),
      "Skilled", "Unskilled")</f>
        <v>Skilled</v>
      </c>
      <c r="T771" t="str">
        <f>IF(Table1[[#This Row],[Job_Type]] = "unemp/unskilled non res", "Unemployed", "Employed")</f>
        <v>Employed</v>
      </c>
      <c r="U771" t="s">
        <v>49</v>
      </c>
      <c r="V771" s="14" t="str" cm="1">
        <f t="array" ref="V77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71" t="s">
        <v>31</v>
      </c>
      <c r="X771" s="2" t="str">
        <f>_xlfn.XLOOKUP(Table1[[#This Row],[Loan_Credit_History]],Table4[Credit History],Table4[[ Category]])</f>
        <v>Existing Credits Paid</v>
      </c>
      <c r="Y771" s="3">
        <v>2</v>
      </c>
      <c r="Z771" s="3">
        <v>1</v>
      </c>
      <c r="AA771" s="5">
        <v>1542</v>
      </c>
      <c r="AB771" t="s">
        <v>151</v>
      </c>
      <c r="AC771" s="2" t="str" cm="1">
        <f t="array" ref="AC771">_xlfn.IFS(Table1[[#This Row],[Others_Parties]] = "No", "None",
Table1[[#This Row],[Others_Parties]] = "co applicant", "Co-applicant",
Table1[[#This Row],[Others_Parties]] = "guarantor", "Guarantor")</f>
        <v>None</v>
      </c>
      <c r="AD771" s="13" t="s">
        <v>145</v>
      </c>
      <c r="AE771" s="2" t="s">
        <v>105</v>
      </c>
      <c r="AF771" s="28" t="str" cm="1">
        <f t="array" ref="AF77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71" s="21">
        <v>12</v>
      </c>
      <c r="AH771" s="2" t="s">
        <v>154</v>
      </c>
      <c r="AI771"/>
      <c r="AZ771"/>
      <c r="BC771"/>
      <c r="BE771"/>
      <c r="BL771"/>
      <c r="BZ771"/>
      <c r="CA771"/>
      <c r="CF771"/>
      <c r="CG771"/>
      <c r="CH771"/>
      <c r="CI771"/>
      <c r="CK771"/>
      <c r="CN771"/>
    </row>
    <row r="772" spans="1:92" x14ac:dyDescent="0.3">
      <c r="A772" s="4">
        <v>770</v>
      </c>
      <c r="B772" s="11">
        <v>55</v>
      </c>
      <c r="C772" s="2" t="str">
        <f>_xlfn.XLOOKUP(Table1[[#This Row],[Age]],Table7[Start_Age],Table7[Age_Range],,-1)</f>
        <v>49-59</v>
      </c>
      <c r="D772" t="s">
        <v>130</v>
      </c>
      <c r="E772" s="2" t="s">
        <v>129</v>
      </c>
      <c r="F772" s="2" t="s">
        <v>133</v>
      </c>
      <c r="G772" s="3">
        <v>2</v>
      </c>
      <c r="H772" s="13" t="s">
        <v>152</v>
      </c>
      <c r="I772" s="2" t="str" cm="1">
        <f t="array" ref="I772">_xlfn.IFS(Table1[[#This Row],[Job_Type]] = "unskilled resident", "Resident",
Table1[[#This Row],[Job_Type]] = "unemp/unskilled non res", "Non-resident",
TRUE, "Unknown")</f>
        <v>Unknown</v>
      </c>
      <c r="J772" s="2" t="s">
        <v>150</v>
      </c>
      <c r="K772" s="3">
        <v>4</v>
      </c>
      <c r="L772" s="2" t="s">
        <v>142</v>
      </c>
      <c r="M772" s="13" t="s">
        <v>151</v>
      </c>
      <c r="N772" t="s">
        <v>17</v>
      </c>
      <c r="O772" s="2" t="str">
        <f>_xlfn.XLOOKUP(Table1[[#This Row],[Checking_Acct_Status]],Table3[Checking_Acct_Original],Table3[Category])</f>
        <v>No Account</v>
      </c>
      <c r="P772" s="10" t="s">
        <v>20</v>
      </c>
      <c r="Q772" s="13" t="str">
        <f>_xlfn.XLOOKUP(Table1[[#This Row],[Saving_Acct_Status]],Table5[Saving_Acct_Original],Table5[Category])</f>
        <v>Very High Savings</v>
      </c>
      <c r="R772" t="s">
        <v>41</v>
      </c>
      <c r="S772" s="2" t="str">
        <f>IF(
      OR(Table1[[#This Row],[Job_Type]] = "high qualif/self emp/mgmt", Table1[[#This Row],[Job_Type]] = "skilled"),
      "Skilled", "Unskilled")</f>
        <v>Skilled</v>
      </c>
      <c r="T772" t="str">
        <f>IF(Table1[[#This Row],[Job_Type]] = "unemp/unskilled non res", "Unemployed", "Employed")</f>
        <v>Employed</v>
      </c>
      <c r="U772" t="s">
        <v>38</v>
      </c>
      <c r="V772" s="14" t="str" cm="1">
        <f t="array" ref="V77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72" t="s">
        <v>59</v>
      </c>
      <c r="X772" s="2" t="str">
        <f>_xlfn.XLOOKUP(Table1[[#This Row],[Loan_Credit_History]],Table4[Credit History],Table4[[ Category]])</f>
        <v>Previously Delayed</v>
      </c>
      <c r="Y772" s="3">
        <v>4</v>
      </c>
      <c r="Z772" s="3">
        <v>2</v>
      </c>
      <c r="AA772" s="5">
        <v>1555</v>
      </c>
      <c r="AB772" t="s">
        <v>151</v>
      </c>
      <c r="AC772" s="2" t="str" cm="1">
        <f t="array" ref="AC772">_xlfn.IFS(Table1[[#This Row],[Others_Parties]] = "No", "None",
Table1[[#This Row],[Others_Parties]] = "co applicant", "Co-applicant",
Table1[[#This Row],[Others_Parties]] = "guarantor", "Guarantor")</f>
        <v>None</v>
      </c>
      <c r="AD772" s="13" t="s">
        <v>145</v>
      </c>
      <c r="AE772" s="2" t="s">
        <v>109</v>
      </c>
      <c r="AF772" s="28" t="str" cm="1">
        <f t="array" ref="AF77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72" s="21">
        <v>12</v>
      </c>
      <c r="AH772" s="2" t="s">
        <v>153</v>
      </c>
      <c r="AI772"/>
      <c r="AZ772"/>
      <c r="BC772"/>
      <c r="BE772"/>
      <c r="BL772"/>
      <c r="BZ772"/>
      <c r="CA772"/>
      <c r="CF772"/>
      <c r="CG772"/>
      <c r="CH772"/>
      <c r="CI772"/>
      <c r="CK772"/>
      <c r="CN772"/>
    </row>
    <row r="773" spans="1:92" x14ac:dyDescent="0.3">
      <c r="A773" s="4">
        <v>771</v>
      </c>
      <c r="B773" s="11">
        <v>22</v>
      </c>
      <c r="C773" s="2" t="str">
        <f>_xlfn.XLOOKUP(Table1[[#This Row],[Age]],Table7[Start_Age],Table7[Age_Range],,-1)</f>
        <v>19-29</v>
      </c>
      <c r="D773" t="s">
        <v>136</v>
      </c>
      <c r="E773" s="2" t="s">
        <v>131</v>
      </c>
      <c r="F773" s="2" t="s">
        <v>137</v>
      </c>
      <c r="G773" s="3">
        <v>1</v>
      </c>
      <c r="H773" s="13" t="s">
        <v>152</v>
      </c>
      <c r="I773" s="2" t="str" cm="1">
        <f t="array" ref="I773">_xlfn.IFS(Table1[[#This Row],[Job_Type]] = "unskilled resident", "Resident",
Table1[[#This Row],[Job_Type]] = "unemp/unskilled non res", "Non-resident",
TRUE, "Unknown")</f>
        <v>Unknown</v>
      </c>
      <c r="J773" s="2" t="s">
        <v>148</v>
      </c>
      <c r="K773" s="3">
        <v>1</v>
      </c>
      <c r="L773" s="2" t="s">
        <v>140</v>
      </c>
      <c r="M773" s="13" t="s">
        <v>152</v>
      </c>
      <c r="N773" t="s">
        <v>30</v>
      </c>
      <c r="O773" s="2" t="str">
        <f>_xlfn.XLOOKUP(Table1[[#This Row],[Checking_Acct_Status]],Table3[Checking_Acct_Original],Table3[Category])</f>
        <v>Low Balance</v>
      </c>
      <c r="P773" s="10" t="s">
        <v>32</v>
      </c>
      <c r="Q773" s="13" t="str">
        <f>_xlfn.XLOOKUP(Table1[[#This Row],[Saving_Acct_Status]],Table5[Saving_Acct_Original],Table5[Category])</f>
        <v>Low Savings</v>
      </c>
      <c r="R773" t="s">
        <v>41</v>
      </c>
      <c r="S773" s="2" t="str">
        <f>IF(
      OR(Table1[[#This Row],[Job_Type]] = "high qualif/self emp/mgmt", Table1[[#This Row],[Job_Type]] = "skilled"),
      "Skilled", "Unskilled")</f>
        <v>Skilled</v>
      </c>
      <c r="T773" t="str">
        <f>IF(Table1[[#This Row],[Job_Type]] = "unemp/unskilled non res", "Unemployed", "Employed")</f>
        <v>Employed</v>
      </c>
      <c r="U773" t="s">
        <v>21</v>
      </c>
      <c r="V773" s="14" t="str" cm="1">
        <f t="array" ref="V77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73" t="s">
        <v>31</v>
      </c>
      <c r="X773" s="2" t="str">
        <f>_xlfn.XLOOKUP(Table1[[#This Row],[Loan_Credit_History]],Table4[Credit History],Table4[[ Category]])</f>
        <v>Existing Credits Paid</v>
      </c>
      <c r="Y773" s="3">
        <v>1</v>
      </c>
      <c r="Z773" s="3">
        <v>1</v>
      </c>
      <c r="AA773" s="5">
        <v>1567</v>
      </c>
      <c r="AB773" t="s">
        <v>151</v>
      </c>
      <c r="AC773" s="2" t="str" cm="1">
        <f t="array" ref="AC773">_xlfn.IFS(Table1[[#This Row],[Others_Parties]] = "No", "None",
Table1[[#This Row],[Others_Parties]] = "co applicant", "Co-applicant",
Table1[[#This Row],[Others_Parties]] = "guarantor", "Guarantor")</f>
        <v>None</v>
      </c>
      <c r="AD773" s="13" t="s">
        <v>145</v>
      </c>
      <c r="AE773" s="2" t="s">
        <v>111</v>
      </c>
      <c r="AF773" s="28" t="str" cm="1">
        <f t="array" ref="AF77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73" s="21">
        <v>12</v>
      </c>
      <c r="AH773" s="2" t="s">
        <v>154</v>
      </c>
      <c r="AI773"/>
      <c r="AZ773"/>
      <c r="BC773"/>
      <c r="BE773"/>
      <c r="BL773"/>
      <c r="BZ773"/>
      <c r="CA773"/>
      <c r="CF773"/>
      <c r="CG773"/>
      <c r="CH773"/>
      <c r="CI773"/>
      <c r="CK773"/>
      <c r="CN773"/>
    </row>
    <row r="774" spans="1:92" x14ac:dyDescent="0.3">
      <c r="A774" s="4">
        <v>772</v>
      </c>
      <c r="B774" s="11">
        <v>50</v>
      </c>
      <c r="C774" s="2" t="str">
        <f>_xlfn.XLOOKUP(Table1[[#This Row],[Age]],Table7[Start_Age],Table7[Age_Range],,-1)</f>
        <v>49-59</v>
      </c>
      <c r="D774" t="s">
        <v>130</v>
      </c>
      <c r="E774" s="2" t="s">
        <v>129</v>
      </c>
      <c r="F774" s="2" t="s">
        <v>133</v>
      </c>
      <c r="G774" s="3">
        <v>1</v>
      </c>
      <c r="H774" s="13" t="s">
        <v>152</v>
      </c>
      <c r="I774" s="2" t="str" cm="1">
        <f t="array" ref="I774">_xlfn.IFS(Table1[[#This Row],[Job_Type]] = "unskilled resident", "Resident",
Table1[[#This Row],[Job_Type]] = "unemp/unskilled non res", "Non-resident",
TRUE, "Unknown")</f>
        <v>Unknown</v>
      </c>
      <c r="J774" s="2" t="s">
        <v>148</v>
      </c>
      <c r="K774" s="3">
        <v>2</v>
      </c>
      <c r="L774" s="2" t="s">
        <v>144</v>
      </c>
      <c r="M774" s="13" t="s">
        <v>151</v>
      </c>
      <c r="N774" t="s">
        <v>17</v>
      </c>
      <c r="O774" s="2" t="str">
        <f>_xlfn.XLOOKUP(Table1[[#This Row],[Checking_Acct_Status]],Table3[Checking_Acct_Original],Table3[Category])</f>
        <v>No Account</v>
      </c>
      <c r="P774" s="10" t="s">
        <v>32</v>
      </c>
      <c r="Q774" s="13" t="str">
        <f>_xlfn.XLOOKUP(Table1[[#This Row],[Saving_Acct_Status]],Table5[Saving_Acct_Original],Table5[Category])</f>
        <v>Low Savings</v>
      </c>
      <c r="R774" t="s">
        <v>41</v>
      </c>
      <c r="S774" s="2" t="str">
        <f>IF(
      OR(Table1[[#This Row],[Job_Type]] = "high qualif/self emp/mgmt", Table1[[#This Row],[Job_Type]] = "skilled"),
      "Skilled", "Unskilled")</f>
        <v>Skilled</v>
      </c>
      <c r="T774" t="str">
        <f>IF(Table1[[#This Row],[Job_Type]] = "unemp/unskilled non res", "Unemployed", "Employed")</f>
        <v>Employed</v>
      </c>
      <c r="U774" t="s">
        <v>21</v>
      </c>
      <c r="V774" s="14" t="str" cm="1">
        <f t="array" ref="V77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74" t="s">
        <v>31</v>
      </c>
      <c r="X774" s="2" t="str">
        <f>_xlfn.XLOOKUP(Table1[[#This Row],[Loan_Credit_History]],Table4[Credit History],Table4[[ Category]])</f>
        <v>Existing Credits Paid</v>
      </c>
      <c r="Y774" s="3">
        <v>4</v>
      </c>
      <c r="Z774" s="3">
        <v>1</v>
      </c>
      <c r="AA774" s="5">
        <v>1574</v>
      </c>
      <c r="AB774" t="s">
        <v>151</v>
      </c>
      <c r="AC774" s="2" t="str" cm="1">
        <f t="array" ref="AC774">_xlfn.IFS(Table1[[#This Row],[Others_Parties]] = "No", "None",
Table1[[#This Row],[Others_Parties]] = "co applicant", "Co-applicant",
Table1[[#This Row],[Others_Parties]] = "guarantor", "Guarantor")</f>
        <v>None</v>
      </c>
      <c r="AD774" s="13" t="s">
        <v>145</v>
      </c>
      <c r="AE774" s="2" t="s">
        <v>108</v>
      </c>
      <c r="AF774" s="28" t="str" cm="1">
        <f t="array" ref="AF77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74" s="21">
        <v>12</v>
      </c>
      <c r="AH774" s="2" t="s">
        <v>154</v>
      </c>
      <c r="AI774"/>
      <c r="AZ774"/>
      <c r="BC774"/>
      <c r="BE774"/>
      <c r="BL774"/>
      <c r="BZ774"/>
      <c r="CA774"/>
      <c r="CF774"/>
      <c r="CG774"/>
      <c r="CH774"/>
      <c r="CI774"/>
      <c r="CK774"/>
      <c r="CN774"/>
    </row>
    <row r="775" spans="1:92" x14ac:dyDescent="0.3">
      <c r="A775" s="4">
        <v>773</v>
      </c>
      <c r="B775" s="11">
        <v>30</v>
      </c>
      <c r="C775" s="2" t="str">
        <f>_xlfn.XLOOKUP(Table1[[#This Row],[Age]],Table7[Start_Age],Table7[Age_Range],,-1)</f>
        <v>29-39</v>
      </c>
      <c r="D775" t="s">
        <v>136</v>
      </c>
      <c r="E775" s="2" t="s">
        <v>131</v>
      </c>
      <c r="F775" s="2" t="s">
        <v>137</v>
      </c>
      <c r="G775" s="3">
        <v>1</v>
      </c>
      <c r="H775" s="13" t="s">
        <v>152</v>
      </c>
      <c r="I775" s="2" t="str" cm="1">
        <f t="array" ref="I775">_xlfn.IFS(Table1[[#This Row],[Job_Type]] = "unskilled resident", "Resident",
Table1[[#This Row],[Job_Type]] = "unemp/unskilled non res", "Non-resident",
TRUE, "Unknown")</f>
        <v>Unknown</v>
      </c>
      <c r="J775" s="2" t="s">
        <v>148</v>
      </c>
      <c r="K775" s="3">
        <v>3</v>
      </c>
      <c r="L775" s="2" t="s">
        <v>143</v>
      </c>
      <c r="M775" s="13" t="s">
        <v>151</v>
      </c>
      <c r="N775" t="s">
        <v>35</v>
      </c>
      <c r="O775" s="2" t="str">
        <f>_xlfn.XLOOKUP(Table1[[#This Row],[Checking_Acct_Status]],Table3[Checking_Acct_Original],Table3[Category])</f>
        <v>Negative Balance</v>
      </c>
      <c r="P775" s="10" t="s">
        <v>32</v>
      </c>
      <c r="Q775" s="13" t="str">
        <f>_xlfn.XLOOKUP(Table1[[#This Row],[Saving_Acct_Status]],Table5[Saving_Acct_Original],Table5[Category])</f>
        <v>Low Savings</v>
      </c>
      <c r="R775" t="s">
        <v>41</v>
      </c>
      <c r="S775" s="2" t="str">
        <f>IF(
      OR(Table1[[#This Row],[Job_Type]] = "high qualif/self emp/mgmt", Table1[[#This Row],[Job_Type]] = "skilled"),
      "Skilled", "Unskilled")</f>
        <v>Skilled</v>
      </c>
      <c r="T775" t="str">
        <f>IF(Table1[[#This Row],[Job_Type]] = "unemp/unskilled non res", "Unemployed", "Employed")</f>
        <v>Employed</v>
      </c>
      <c r="U775" t="s">
        <v>21</v>
      </c>
      <c r="V775" s="14" t="str" cm="1">
        <f t="array" ref="V77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75" t="s">
        <v>31</v>
      </c>
      <c r="X775" s="2" t="str">
        <f>_xlfn.XLOOKUP(Table1[[#This Row],[Loan_Credit_History]],Table4[Credit History],Table4[[ Category]])</f>
        <v>Existing Credits Paid</v>
      </c>
      <c r="Y775" s="3">
        <v>2</v>
      </c>
      <c r="Z775" s="3">
        <v>1</v>
      </c>
      <c r="AA775" s="5">
        <v>1620</v>
      </c>
      <c r="AB775" t="s">
        <v>55</v>
      </c>
      <c r="AC775" s="2" t="str" cm="1">
        <f t="array" ref="AC775">_xlfn.IFS(Table1[[#This Row],[Others_Parties]] = "No", "None",
Table1[[#This Row],[Others_Parties]] = "co applicant", "Co-applicant",
Table1[[#This Row],[Others_Parties]] = "guarantor", "Guarantor")</f>
        <v>Co-applicant</v>
      </c>
      <c r="AD775" s="13" t="s">
        <v>145</v>
      </c>
      <c r="AE775" s="2" t="s">
        <v>108</v>
      </c>
      <c r="AF775" s="28" t="str" cm="1">
        <f t="array" ref="AF77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75" s="21">
        <v>12</v>
      </c>
      <c r="AH775" s="2" t="s">
        <v>154</v>
      </c>
      <c r="AI775"/>
      <c r="AZ775"/>
      <c r="BC775"/>
      <c r="BE775"/>
      <c r="BL775"/>
      <c r="BZ775"/>
      <c r="CA775"/>
      <c r="CF775"/>
      <c r="CG775"/>
      <c r="CH775"/>
      <c r="CI775"/>
      <c r="CK775"/>
      <c r="CN775"/>
    </row>
    <row r="776" spans="1:92" x14ac:dyDescent="0.3">
      <c r="A776" s="4">
        <v>774</v>
      </c>
      <c r="B776" s="11">
        <v>63</v>
      </c>
      <c r="C776" s="2" t="str">
        <f>_xlfn.XLOOKUP(Table1[[#This Row],[Age]],Table7[Start_Age],Table7[Age_Range],,-1)</f>
        <v>59-69</v>
      </c>
      <c r="D776" t="s">
        <v>130</v>
      </c>
      <c r="E776" s="2" t="s">
        <v>129</v>
      </c>
      <c r="F776" s="2" t="s">
        <v>133</v>
      </c>
      <c r="G776" s="3">
        <v>1</v>
      </c>
      <c r="H776" s="13" t="s">
        <v>152</v>
      </c>
      <c r="I776" s="2" t="str" cm="1">
        <f t="array" ref="I776">_xlfn.IFS(Table1[[#This Row],[Job_Type]] = "unskilled resident", "Resident",
Table1[[#This Row],[Job_Type]] = "unemp/unskilled non res", "Non-resident",
TRUE, "Unknown")</f>
        <v>Resident</v>
      </c>
      <c r="J776" s="2" t="s">
        <v>148</v>
      </c>
      <c r="K776" s="3">
        <v>4</v>
      </c>
      <c r="L776" s="2" t="s">
        <v>144</v>
      </c>
      <c r="M776" s="13" t="s">
        <v>152</v>
      </c>
      <c r="N776" t="s">
        <v>17</v>
      </c>
      <c r="O776" s="2" t="str">
        <f>_xlfn.XLOOKUP(Table1[[#This Row],[Checking_Acct_Status]],Table3[Checking_Acct_Original],Table3[Category])</f>
        <v>No Account</v>
      </c>
      <c r="P776" s="10" t="s">
        <v>32</v>
      </c>
      <c r="Q776" s="13" t="str">
        <f>_xlfn.XLOOKUP(Table1[[#This Row],[Saving_Acct_Status]],Table5[Saving_Acct_Original],Table5[Category])</f>
        <v>Low Savings</v>
      </c>
      <c r="R776" t="s">
        <v>27</v>
      </c>
      <c r="S776" s="2" t="str">
        <f>IF(
      OR(Table1[[#This Row],[Job_Type]] = "high qualif/self emp/mgmt", Table1[[#This Row],[Job_Type]] = "skilled"),
      "Skilled", "Unskilled")</f>
        <v>Unskilled</v>
      </c>
      <c r="T776" t="str">
        <f>IF(Table1[[#This Row],[Job_Type]] = "unemp/unskilled non res", "Unemployed", "Employed")</f>
        <v>Employed</v>
      </c>
      <c r="U776" t="s">
        <v>38</v>
      </c>
      <c r="V776" s="14" t="str" cm="1">
        <f t="array" ref="V77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76" t="s">
        <v>103</v>
      </c>
      <c r="X776" s="2" t="str">
        <f>_xlfn.XLOOKUP(Table1[[#This Row],[Loan_Credit_History]],Table4[Credit History],Table4[[ Category]])</f>
        <v>Critical Credit History</v>
      </c>
      <c r="Y776" s="3">
        <v>2</v>
      </c>
      <c r="Z776" s="3">
        <v>2</v>
      </c>
      <c r="AA776" s="5">
        <v>1655</v>
      </c>
      <c r="AB776" t="s">
        <v>151</v>
      </c>
      <c r="AC776" s="2" t="str" cm="1">
        <f t="array" ref="AC776">_xlfn.IFS(Table1[[#This Row],[Others_Parties]] = "No", "None",
Table1[[#This Row],[Others_Parties]] = "co applicant", "Co-applicant",
Table1[[#This Row],[Others_Parties]] = "guarantor", "Guarantor")</f>
        <v>None</v>
      </c>
      <c r="AD776" s="13" t="s">
        <v>145</v>
      </c>
      <c r="AE776" s="2" t="s">
        <v>111</v>
      </c>
      <c r="AF776" s="28" t="str" cm="1">
        <f t="array" ref="AF77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76" s="21">
        <v>12</v>
      </c>
      <c r="AH776" s="2" t="s">
        <v>154</v>
      </c>
      <c r="AI776"/>
      <c r="AZ776"/>
      <c r="BC776"/>
      <c r="BE776"/>
      <c r="BL776"/>
      <c r="BZ776"/>
      <c r="CA776"/>
      <c r="CF776"/>
      <c r="CG776"/>
      <c r="CH776"/>
      <c r="CI776"/>
      <c r="CK776"/>
      <c r="CN776"/>
    </row>
    <row r="777" spans="1:92" x14ac:dyDescent="0.3">
      <c r="A777" s="4">
        <v>775</v>
      </c>
      <c r="B777" s="11">
        <v>27</v>
      </c>
      <c r="C777" s="2" t="str">
        <f>_xlfn.XLOOKUP(Table1[[#This Row],[Age]],Table7[Start_Age],Table7[Age_Range],,-1)</f>
        <v>19-29</v>
      </c>
      <c r="D777" t="s">
        <v>130</v>
      </c>
      <c r="E777" s="2" t="s">
        <v>129</v>
      </c>
      <c r="F777" s="2" t="s">
        <v>133</v>
      </c>
      <c r="G777" s="3">
        <v>1</v>
      </c>
      <c r="H777" s="13" t="s">
        <v>152</v>
      </c>
      <c r="I777" s="2" t="str" cm="1">
        <f t="array" ref="I777">_xlfn.IFS(Table1[[#This Row],[Job_Type]] = "unskilled resident", "Resident",
Table1[[#This Row],[Job_Type]] = "unemp/unskilled non res", "Non-resident",
TRUE, "Unknown")</f>
        <v>Unknown</v>
      </c>
      <c r="J777" s="2" t="s">
        <v>148</v>
      </c>
      <c r="K777" s="3">
        <v>2</v>
      </c>
      <c r="L777" s="2" t="s">
        <v>144</v>
      </c>
      <c r="M777" s="13" t="s">
        <v>151</v>
      </c>
      <c r="N777" t="s">
        <v>35</v>
      </c>
      <c r="O777" s="2" t="str">
        <f>_xlfn.XLOOKUP(Table1[[#This Row],[Checking_Acct_Status]],Table3[Checking_Acct_Original],Table3[Category])</f>
        <v>Negative Balance</v>
      </c>
      <c r="P777" s="10" t="s">
        <v>32</v>
      </c>
      <c r="Q777" s="13" t="str">
        <f>_xlfn.XLOOKUP(Table1[[#This Row],[Saving_Acct_Status]],Table5[Saving_Acct_Original],Table5[Category])</f>
        <v>Low Savings</v>
      </c>
      <c r="R777" t="s">
        <v>41</v>
      </c>
      <c r="S777" s="2" t="str">
        <f>IF(
      OR(Table1[[#This Row],[Job_Type]] = "high qualif/self emp/mgmt", Table1[[#This Row],[Job_Type]] = "skilled"),
      "Skilled", "Unskilled")</f>
        <v>Skilled</v>
      </c>
      <c r="T777" t="str">
        <f>IF(Table1[[#This Row],[Job_Type]] = "unemp/unskilled non res", "Unemployed", "Employed")</f>
        <v>Employed</v>
      </c>
      <c r="U777" t="s">
        <v>21</v>
      </c>
      <c r="V777" s="14" t="str" cm="1">
        <f t="array" ref="V77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77" t="s">
        <v>31</v>
      </c>
      <c r="X777" s="2" t="str">
        <f>_xlfn.XLOOKUP(Table1[[#This Row],[Loan_Credit_History]],Table4[Credit History],Table4[[ Category]])</f>
        <v>Existing Credits Paid</v>
      </c>
      <c r="Y777" s="3">
        <v>2</v>
      </c>
      <c r="Z777" s="3">
        <v>1</v>
      </c>
      <c r="AA777" s="5">
        <v>1657</v>
      </c>
      <c r="AB777" t="s">
        <v>151</v>
      </c>
      <c r="AC777" s="2" t="str" cm="1">
        <f t="array" ref="AC777">_xlfn.IFS(Table1[[#This Row],[Others_Parties]] = "No", "None",
Table1[[#This Row],[Others_Parties]] = "co applicant", "Co-applicant",
Table1[[#This Row],[Others_Parties]] = "guarantor", "Guarantor")</f>
        <v>None</v>
      </c>
      <c r="AD777" s="13" t="s">
        <v>145</v>
      </c>
      <c r="AE777" s="2" t="s">
        <v>108</v>
      </c>
      <c r="AF777" s="28" t="str" cm="1">
        <f t="array" ref="AF77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77" s="21">
        <v>12</v>
      </c>
      <c r="AH777" s="2" t="s">
        <v>154</v>
      </c>
      <c r="AI777"/>
      <c r="AZ777"/>
      <c r="BC777"/>
      <c r="BE777"/>
      <c r="BL777"/>
      <c r="BZ777"/>
      <c r="CA777"/>
      <c r="CF777"/>
      <c r="CG777"/>
      <c r="CH777"/>
      <c r="CI777"/>
      <c r="CK777"/>
      <c r="CN777"/>
    </row>
    <row r="778" spans="1:92" x14ac:dyDescent="0.3">
      <c r="A778" s="4">
        <v>776</v>
      </c>
      <c r="B778" s="11">
        <v>35</v>
      </c>
      <c r="C778" s="2" t="str">
        <f>_xlfn.XLOOKUP(Table1[[#This Row],[Age]],Table7[Start_Age],Table7[Age_Range],,-1)</f>
        <v>29-39</v>
      </c>
      <c r="D778" t="s">
        <v>134</v>
      </c>
      <c r="E778" s="2" t="s">
        <v>129</v>
      </c>
      <c r="F778" s="2" t="s">
        <v>135</v>
      </c>
      <c r="G778" s="3">
        <v>1</v>
      </c>
      <c r="H778" s="13" t="s">
        <v>152</v>
      </c>
      <c r="I778" s="2" t="str" cm="1">
        <f t="array" ref="I778">_xlfn.IFS(Table1[[#This Row],[Job_Type]] = "unskilled resident", "Resident",
Table1[[#This Row],[Job_Type]] = "unemp/unskilled non res", "Non-resident",
TRUE, "Unknown")</f>
        <v>Unknown</v>
      </c>
      <c r="J778" s="2" t="s">
        <v>148</v>
      </c>
      <c r="K778" s="3">
        <v>1</v>
      </c>
      <c r="L778" s="2" t="s">
        <v>144</v>
      </c>
      <c r="M778" s="13" t="s">
        <v>151</v>
      </c>
      <c r="N778" t="s">
        <v>35</v>
      </c>
      <c r="O778" s="2" t="str">
        <f>_xlfn.XLOOKUP(Table1[[#This Row],[Checking_Acct_Status]],Table3[Checking_Acct_Original],Table3[Category])</f>
        <v>Negative Balance</v>
      </c>
      <c r="P778" s="10" t="s">
        <v>37</v>
      </c>
      <c r="Q778" s="13" t="str">
        <f>_xlfn.XLOOKUP(Table1[[#This Row],[Saving_Acct_Status]],Table5[Saving_Acct_Original],Table5[Category])</f>
        <v>High Savings</v>
      </c>
      <c r="R778" t="s">
        <v>41</v>
      </c>
      <c r="S778" s="2" t="str">
        <f>IF(
      OR(Table1[[#This Row],[Job_Type]] = "high qualif/self emp/mgmt", Table1[[#This Row],[Job_Type]] = "skilled"),
      "Skilled", "Unskilled")</f>
        <v>Skilled</v>
      </c>
      <c r="T778" t="str">
        <f>IF(Table1[[#This Row],[Job_Type]] = "unemp/unskilled non res", "Unemployed", "Employed")</f>
        <v>Employed</v>
      </c>
      <c r="U778" t="s">
        <v>38</v>
      </c>
      <c r="V778" s="14" t="str" cm="1">
        <f t="array" ref="V77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78" t="s">
        <v>31</v>
      </c>
      <c r="X778" s="2" t="str">
        <f>_xlfn.XLOOKUP(Table1[[#This Row],[Loan_Credit_History]],Table4[Credit History],Table4[[ Category]])</f>
        <v>Existing Credits Paid</v>
      </c>
      <c r="Y778" s="3">
        <v>3</v>
      </c>
      <c r="Z778" s="3">
        <v>1</v>
      </c>
      <c r="AA778" s="5">
        <v>1680</v>
      </c>
      <c r="AB778" t="s">
        <v>151</v>
      </c>
      <c r="AC778" s="2" t="str" cm="1">
        <f t="array" ref="AC778">_xlfn.IFS(Table1[[#This Row],[Others_Parties]] = "No", "None",
Table1[[#This Row],[Others_Parties]] = "co applicant", "Co-applicant",
Table1[[#This Row],[Others_Parties]] = "guarantor", "Guarantor")</f>
        <v>None</v>
      </c>
      <c r="AD778" s="13" t="s">
        <v>145</v>
      </c>
      <c r="AE778" s="2" t="s">
        <v>111</v>
      </c>
      <c r="AF778" s="28" t="str" cm="1">
        <f t="array" ref="AF77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78" s="21">
        <v>12</v>
      </c>
      <c r="AH778" s="2" t="s">
        <v>154</v>
      </c>
      <c r="AI778"/>
      <c r="AZ778"/>
      <c r="BC778"/>
      <c r="BE778"/>
      <c r="BL778"/>
      <c r="BZ778"/>
      <c r="CA778"/>
      <c r="CF778"/>
      <c r="CG778"/>
      <c r="CH778"/>
      <c r="CI778"/>
      <c r="CK778"/>
      <c r="CN778"/>
    </row>
    <row r="779" spans="1:92" x14ac:dyDescent="0.3">
      <c r="A779" s="4">
        <v>777</v>
      </c>
      <c r="B779" s="11">
        <v>31</v>
      </c>
      <c r="C779" s="2" t="str">
        <f>_xlfn.XLOOKUP(Table1[[#This Row],[Age]],Table7[Start_Age],Table7[Age_Range],,-1)</f>
        <v>29-39</v>
      </c>
      <c r="D779" t="s">
        <v>136</v>
      </c>
      <c r="E779" s="2" t="s">
        <v>131</v>
      </c>
      <c r="F779" s="2" t="s">
        <v>137</v>
      </c>
      <c r="G779" s="3">
        <v>1</v>
      </c>
      <c r="H779" s="13" t="s">
        <v>152</v>
      </c>
      <c r="I779" s="2" t="str" cm="1">
        <f t="array" ref="I779">_xlfn.IFS(Table1[[#This Row],[Job_Type]] = "unskilled resident", "Resident",
Table1[[#This Row],[Job_Type]] = "unemp/unskilled non res", "Non-resident",
TRUE, "Unknown")</f>
        <v>Resident</v>
      </c>
      <c r="J779" s="2" t="s">
        <v>148</v>
      </c>
      <c r="K779" s="3">
        <v>4</v>
      </c>
      <c r="L779" s="2" t="s">
        <v>144</v>
      </c>
      <c r="M779" s="13" t="s">
        <v>151</v>
      </c>
      <c r="N779" t="s">
        <v>17</v>
      </c>
      <c r="O779" s="2" t="str">
        <f>_xlfn.XLOOKUP(Table1[[#This Row],[Checking_Acct_Status]],Table3[Checking_Acct_Original],Table3[Category])</f>
        <v>No Account</v>
      </c>
      <c r="P779" s="10" t="s">
        <v>32</v>
      </c>
      <c r="Q779" s="13" t="str">
        <f>_xlfn.XLOOKUP(Table1[[#This Row],[Saving_Acct_Status]],Table5[Saving_Acct_Original],Table5[Category])</f>
        <v>Low Savings</v>
      </c>
      <c r="R779" t="s">
        <v>27</v>
      </c>
      <c r="S779" s="2" t="str">
        <f>IF(
      OR(Table1[[#This Row],[Job_Type]] = "high qualif/self emp/mgmt", Table1[[#This Row],[Job_Type]] = "skilled"),
      "Skilled", "Unskilled")</f>
        <v>Unskilled</v>
      </c>
      <c r="T779" t="str">
        <f>IF(Table1[[#This Row],[Job_Type]] = "unemp/unskilled non res", "Unemployed", "Employed")</f>
        <v>Employed</v>
      </c>
      <c r="U779" t="s">
        <v>49</v>
      </c>
      <c r="V779" s="14" t="str" cm="1">
        <f t="array" ref="V77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79" t="s">
        <v>31</v>
      </c>
      <c r="X779" s="2" t="str">
        <f>_xlfn.XLOOKUP(Table1[[#This Row],[Loan_Credit_History]],Table4[Credit History],Table4[[ Category]])</f>
        <v>Existing Credits Paid</v>
      </c>
      <c r="Y779" s="3">
        <v>3</v>
      </c>
      <c r="Z779" s="3">
        <v>1</v>
      </c>
      <c r="AA779" s="5">
        <v>1736</v>
      </c>
      <c r="AB779" t="s">
        <v>151</v>
      </c>
      <c r="AC779" s="2" t="str" cm="1">
        <f t="array" ref="AC779">_xlfn.IFS(Table1[[#This Row],[Others_Parties]] = "No", "None",
Table1[[#This Row],[Others_Parties]] = "co applicant", "Co-applicant",
Table1[[#This Row],[Others_Parties]] = "guarantor", "Guarantor")</f>
        <v>None</v>
      </c>
      <c r="AD779" s="13" t="s">
        <v>145</v>
      </c>
      <c r="AE779" s="2" t="s">
        <v>108</v>
      </c>
      <c r="AF779" s="28" t="str" cm="1">
        <f t="array" ref="AF77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79" s="21">
        <v>12</v>
      </c>
      <c r="AH779" s="2" t="s">
        <v>154</v>
      </c>
      <c r="AI779"/>
      <c r="AZ779"/>
      <c r="BC779"/>
      <c r="BE779"/>
      <c r="BL779"/>
      <c r="BZ779"/>
      <c r="CA779"/>
      <c r="CF779"/>
      <c r="CG779"/>
      <c r="CH779"/>
      <c r="CI779"/>
      <c r="CK779"/>
      <c r="CN779"/>
    </row>
    <row r="780" spans="1:92" x14ac:dyDescent="0.3">
      <c r="A780" s="4">
        <v>778</v>
      </c>
      <c r="B780" s="11">
        <v>24</v>
      </c>
      <c r="C780" s="2" t="str">
        <f>_xlfn.XLOOKUP(Table1[[#This Row],[Age]],Table7[Start_Age],Table7[Age_Range],,-1)</f>
        <v>19-29</v>
      </c>
      <c r="D780" t="s">
        <v>130</v>
      </c>
      <c r="E780" s="2" t="s">
        <v>129</v>
      </c>
      <c r="F780" s="2" t="s">
        <v>133</v>
      </c>
      <c r="G780" s="3">
        <v>1</v>
      </c>
      <c r="H780" s="13" t="s">
        <v>152</v>
      </c>
      <c r="I780" s="2" t="str" cm="1">
        <f t="array" ref="I780">_xlfn.IFS(Table1[[#This Row],[Job_Type]] = "unskilled resident", "Resident",
Table1[[#This Row],[Job_Type]] = "unemp/unskilled non res", "Non-resident",
TRUE, "Unknown")</f>
        <v>Resident</v>
      </c>
      <c r="J780" s="2" t="s">
        <v>149</v>
      </c>
      <c r="K780" s="3">
        <v>2</v>
      </c>
      <c r="L780" s="2" t="s">
        <v>144</v>
      </c>
      <c r="M780" s="13" t="s">
        <v>151</v>
      </c>
      <c r="N780" t="s">
        <v>17</v>
      </c>
      <c r="O780" s="2" t="str">
        <f>_xlfn.XLOOKUP(Table1[[#This Row],[Checking_Acct_Status]],Table3[Checking_Acct_Original],Table3[Category])</f>
        <v>No Account</v>
      </c>
      <c r="P780" s="10" t="s">
        <v>32</v>
      </c>
      <c r="Q780" s="13" t="str">
        <f>_xlfn.XLOOKUP(Table1[[#This Row],[Saving_Acct_Status]],Table5[Saving_Acct_Original],Table5[Category])</f>
        <v>Low Savings</v>
      </c>
      <c r="R780" t="s">
        <v>27</v>
      </c>
      <c r="S780" s="2" t="str">
        <f>IF(
      OR(Table1[[#This Row],[Job_Type]] = "high qualif/self emp/mgmt", Table1[[#This Row],[Job_Type]] = "skilled"),
      "Skilled", "Unskilled")</f>
        <v>Unskilled</v>
      </c>
      <c r="T780" t="str">
        <f>IF(Table1[[#This Row],[Job_Type]] = "unemp/unskilled non res", "Unemployed", "Employed")</f>
        <v>Employed</v>
      </c>
      <c r="U780" t="s">
        <v>21</v>
      </c>
      <c r="V780" s="14" t="str" cm="1">
        <f t="array" ref="V78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80" t="s">
        <v>31</v>
      </c>
      <c r="X780" s="2" t="str">
        <f>_xlfn.XLOOKUP(Table1[[#This Row],[Loan_Credit_History]],Table4[Credit History],Table4[[ Category]])</f>
        <v>Existing Credits Paid</v>
      </c>
      <c r="Y780" s="3">
        <v>3</v>
      </c>
      <c r="Z780" s="3">
        <v>1</v>
      </c>
      <c r="AA780" s="5">
        <v>1768</v>
      </c>
      <c r="AB780" t="s">
        <v>151</v>
      </c>
      <c r="AC780" s="2" t="str" cm="1">
        <f t="array" ref="AC780">_xlfn.IFS(Table1[[#This Row],[Others_Parties]] = "No", "None",
Table1[[#This Row],[Others_Parties]] = "co applicant", "Co-applicant",
Table1[[#This Row],[Others_Parties]] = "guarantor", "Guarantor")</f>
        <v>None</v>
      </c>
      <c r="AD780" s="13" t="s">
        <v>145</v>
      </c>
      <c r="AE780" s="2" t="s">
        <v>108</v>
      </c>
      <c r="AF780" s="28" t="str" cm="1">
        <f t="array" ref="AF78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80" s="21">
        <v>12</v>
      </c>
      <c r="AH780" s="2" t="s">
        <v>154</v>
      </c>
      <c r="AI780"/>
      <c r="AZ780"/>
      <c r="BC780"/>
      <c r="BE780"/>
      <c r="BL780"/>
      <c r="BZ780"/>
      <c r="CA780"/>
      <c r="CF780"/>
      <c r="CG780"/>
      <c r="CH780"/>
      <c r="CI780"/>
      <c r="CK780"/>
      <c r="CN780"/>
    </row>
    <row r="781" spans="1:92" x14ac:dyDescent="0.3">
      <c r="A781" s="4">
        <v>779</v>
      </c>
      <c r="B781" s="11">
        <v>44</v>
      </c>
      <c r="C781" s="2" t="str">
        <f>_xlfn.XLOOKUP(Table1[[#This Row],[Age]],Table7[Start_Age],Table7[Age_Range],,-1)</f>
        <v>39-49</v>
      </c>
      <c r="D781" t="s">
        <v>130</v>
      </c>
      <c r="E781" s="2" t="s">
        <v>129</v>
      </c>
      <c r="F781" s="2" t="s">
        <v>133</v>
      </c>
      <c r="G781" s="3">
        <v>1</v>
      </c>
      <c r="H781" s="13" t="s">
        <v>152</v>
      </c>
      <c r="I781" s="2" t="str" cm="1">
        <f t="array" ref="I781">_xlfn.IFS(Table1[[#This Row],[Job_Type]] = "unskilled resident", "Resident",
Table1[[#This Row],[Job_Type]] = "unemp/unskilled non res", "Non-resident",
TRUE, "Unknown")</f>
        <v>Unknown</v>
      </c>
      <c r="J781" s="2" t="s">
        <v>148</v>
      </c>
      <c r="K781" s="3">
        <v>4</v>
      </c>
      <c r="L781" s="2" t="s">
        <v>143</v>
      </c>
      <c r="M781" s="13" t="s">
        <v>151</v>
      </c>
      <c r="N781" t="s">
        <v>30</v>
      </c>
      <c r="O781" s="2" t="str">
        <f>_xlfn.XLOOKUP(Table1[[#This Row],[Checking_Acct_Status]],Table3[Checking_Acct_Original],Table3[Category])</f>
        <v>Low Balance</v>
      </c>
      <c r="P781" s="10" t="s">
        <v>46</v>
      </c>
      <c r="Q781" s="13" t="str">
        <f>_xlfn.XLOOKUP(Table1[[#This Row],[Saving_Acct_Status]],Table5[Saving_Acct_Original],Table5[Category])</f>
        <v>Medium Savings</v>
      </c>
      <c r="R781" t="s">
        <v>41</v>
      </c>
      <c r="S781" s="2" t="str">
        <f>IF(
      OR(Table1[[#This Row],[Job_Type]] = "high qualif/self emp/mgmt", Table1[[#This Row],[Job_Type]] = "skilled"),
      "Skilled", "Unskilled")</f>
        <v>Skilled</v>
      </c>
      <c r="T781" t="str">
        <f>IF(Table1[[#This Row],[Job_Type]] = "unemp/unskilled non res", "Unemployed", "Employed")</f>
        <v>Employed</v>
      </c>
      <c r="U781" t="s">
        <v>45</v>
      </c>
      <c r="V781" s="14" t="str" cm="1">
        <f t="array" ref="V78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81" t="s">
        <v>103</v>
      </c>
      <c r="X781" s="2" t="str">
        <f>_xlfn.XLOOKUP(Table1[[#This Row],[Loan_Credit_History]],Table4[Credit History],Table4[[ Category]])</f>
        <v>Critical Credit History</v>
      </c>
      <c r="Y781" s="3">
        <v>3</v>
      </c>
      <c r="Z781" s="3">
        <v>1</v>
      </c>
      <c r="AA781" s="5">
        <v>1804</v>
      </c>
      <c r="AB781" t="s">
        <v>151</v>
      </c>
      <c r="AC781" s="2" t="str" cm="1">
        <f t="array" ref="AC781">_xlfn.IFS(Table1[[#This Row],[Others_Parties]] = "No", "None",
Table1[[#This Row],[Others_Parties]] = "co applicant", "Co-applicant",
Table1[[#This Row],[Others_Parties]] = "guarantor", "Guarantor")</f>
        <v>None</v>
      </c>
      <c r="AD781" s="13" t="s">
        <v>145</v>
      </c>
      <c r="AE781" s="2" t="s">
        <v>107</v>
      </c>
      <c r="AF781" s="28" t="str" cm="1">
        <f t="array" ref="AF78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81" s="21">
        <v>12</v>
      </c>
      <c r="AH781" s="2" t="s">
        <v>154</v>
      </c>
      <c r="AI781"/>
      <c r="AZ781"/>
      <c r="BC781"/>
      <c r="BE781"/>
      <c r="BL781"/>
      <c r="BZ781"/>
      <c r="CA781"/>
      <c r="CF781"/>
      <c r="CG781"/>
      <c r="CH781"/>
      <c r="CI781"/>
      <c r="CK781"/>
      <c r="CN781"/>
    </row>
    <row r="782" spans="1:92" x14ac:dyDescent="0.3">
      <c r="A782" s="4">
        <v>780</v>
      </c>
      <c r="B782" s="11">
        <v>22</v>
      </c>
      <c r="C782" s="2" t="str">
        <f>_xlfn.XLOOKUP(Table1[[#This Row],[Age]],Table7[Start_Age],Table7[Age_Range],,-1)</f>
        <v>19-29</v>
      </c>
      <c r="D782" t="s">
        <v>136</v>
      </c>
      <c r="E782" s="2" t="s">
        <v>131</v>
      </c>
      <c r="F782" s="2" t="s">
        <v>137</v>
      </c>
      <c r="G782" s="3">
        <v>1</v>
      </c>
      <c r="H782" s="13" t="s">
        <v>152</v>
      </c>
      <c r="I782" s="2" t="str" cm="1">
        <f t="array" ref="I782">_xlfn.IFS(Table1[[#This Row],[Job_Type]] = "unskilled resident", "Resident",
Table1[[#This Row],[Job_Type]] = "unemp/unskilled non res", "Non-resident",
TRUE, "Unknown")</f>
        <v>Unknown</v>
      </c>
      <c r="J782" s="2" t="s">
        <v>149</v>
      </c>
      <c r="K782" s="3">
        <v>1</v>
      </c>
      <c r="L782" s="2" t="s">
        <v>140</v>
      </c>
      <c r="M782" s="13" t="s">
        <v>151</v>
      </c>
      <c r="N782" t="s">
        <v>35</v>
      </c>
      <c r="O782" s="2" t="str">
        <f>_xlfn.XLOOKUP(Table1[[#This Row],[Checking_Acct_Status]],Table3[Checking_Acct_Original],Table3[Category])</f>
        <v>Negative Balance</v>
      </c>
      <c r="P782" s="10" t="s">
        <v>32</v>
      </c>
      <c r="Q782" s="13" t="str">
        <f>_xlfn.XLOOKUP(Table1[[#This Row],[Saving_Acct_Status]],Table5[Saving_Acct_Original],Table5[Category])</f>
        <v>Low Savings</v>
      </c>
      <c r="R782" t="s">
        <v>41</v>
      </c>
      <c r="S782" s="2" t="str">
        <f>IF(
      OR(Table1[[#This Row],[Job_Type]] = "high qualif/self emp/mgmt", Table1[[#This Row],[Job_Type]] = "skilled"),
      "Skilled", "Unskilled")</f>
        <v>Skilled</v>
      </c>
      <c r="T782" t="str">
        <f>IF(Table1[[#This Row],[Job_Type]] = "unemp/unskilled non res", "Unemployed", "Employed")</f>
        <v>Employed</v>
      </c>
      <c r="U782" t="s">
        <v>45</v>
      </c>
      <c r="V782" s="14" t="str" cm="1">
        <f t="array" ref="V78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82" t="s">
        <v>31</v>
      </c>
      <c r="X782" s="2" t="str">
        <f>_xlfn.XLOOKUP(Table1[[#This Row],[Loan_Credit_History]],Table4[Credit History],Table4[[ Category]])</f>
        <v>Existing Credits Paid</v>
      </c>
      <c r="Y782" s="3">
        <v>4</v>
      </c>
      <c r="Z782" s="3">
        <v>1</v>
      </c>
      <c r="AA782" s="5">
        <v>1858</v>
      </c>
      <c r="AB782" t="s">
        <v>151</v>
      </c>
      <c r="AC782" s="2" t="str" cm="1">
        <f t="array" ref="AC782">_xlfn.IFS(Table1[[#This Row],[Others_Parties]] = "No", "None",
Table1[[#This Row],[Others_Parties]] = "co applicant", "Co-applicant",
Table1[[#This Row],[Others_Parties]] = "guarantor", "Guarantor")</f>
        <v>None</v>
      </c>
      <c r="AD782" s="13" t="s">
        <v>145</v>
      </c>
      <c r="AE782" s="2" t="s">
        <v>108</v>
      </c>
      <c r="AF782" s="28" t="str" cm="1">
        <f t="array" ref="AF78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82" s="21">
        <v>12</v>
      </c>
      <c r="AH782" s="2" t="s">
        <v>154</v>
      </c>
      <c r="AI782"/>
      <c r="AZ782"/>
      <c r="BC782"/>
      <c r="BE782"/>
      <c r="BL782"/>
      <c r="BZ782"/>
      <c r="CA782"/>
      <c r="CF782"/>
      <c r="CG782"/>
      <c r="CH782"/>
      <c r="CI782"/>
      <c r="CK782"/>
      <c r="CN782"/>
    </row>
    <row r="783" spans="1:92" x14ac:dyDescent="0.3">
      <c r="A783" s="4">
        <v>781</v>
      </c>
      <c r="B783" s="11">
        <v>34</v>
      </c>
      <c r="C783" s="2" t="str">
        <f>_xlfn.XLOOKUP(Table1[[#This Row],[Age]],Table7[Start_Age],Table7[Age_Range],,-1)</f>
        <v>29-39</v>
      </c>
      <c r="D783" t="s">
        <v>130</v>
      </c>
      <c r="E783" s="2" t="s">
        <v>129</v>
      </c>
      <c r="F783" s="2" t="s">
        <v>133</v>
      </c>
      <c r="G783" s="3">
        <v>1</v>
      </c>
      <c r="H783" s="13" t="s">
        <v>152</v>
      </c>
      <c r="I783" s="2" t="str" cm="1">
        <f t="array" ref="I783">_xlfn.IFS(Table1[[#This Row],[Job_Type]] = "unskilled resident", "Resident",
Table1[[#This Row],[Job_Type]] = "unemp/unskilled non res", "Non-resident",
TRUE, "Unknown")</f>
        <v>Unknown</v>
      </c>
      <c r="J783" s="2" t="s">
        <v>148</v>
      </c>
      <c r="K783" s="3">
        <v>2</v>
      </c>
      <c r="L783" s="2" t="s">
        <v>140</v>
      </c>
      <c r="M783" s="13" t="s">
        <v>152</v>
      </c>
      <c r="N783" t="s">
        <v>30</v>
      </c>
      <c r="O783" s="2" t="str">
        <f>_xlfn.XLOOKUP(Table1[[#This Row],[Checking_Acct_Status]],Table3[Checking_Acct_Original],Table3[Category])</f>
        <v>Low Balance</v>
      </c>
      <c r="P783" s="10" t="s">
        <v>32</v>
      </c>
      <c r="Q783" s="13" t="str">
        <f>_xlfn.XLOOKUP(Table1[[#This Row],[Saving_Acct_Status]],Table5[Saving_Acct_Original],Table5[Category])</f>
        <v>Low Savings</v>
      </c>
      <c r="R783" t="s">
        <v>63</v>
      </c>
      <c r="S783" s="2" t="str">
        <f>IF(
      OR(Table1[[#This Row],[Job_Type]] = "high qualif/self emp/mgmt", Table1[[#This Row],[Job_Type]] = "skilled"),
      "Skilled", "Unskilled")</f>
        <v>Skilled</v>
      </c>
      <c r="T783" t="str">
        <f>IF(Table1[[#This Row],[Job_Type]] = "unemp/unskilled non res", "Unemployed", "Employed")</f>
        <v>Employed</v>
      </c>
      <c r="U783" t="s">
        <v>54</v>
      </c>
      <c r="V783" s="14" t="str" cm="1">
        <f t="array" ref="V783">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783" t="s">
        <v>103</v>
      </c>
      <c r="X783" s="2" t="str">
        <f>_xlfn.XLOOKUP(Table1[[#This Row],[Loan_Credit_History]],Table4[Credit History],Table4[[ Category]])</f>
        <v>Critical Credit History</v>
      </c>
      <c r="Y783" s="3">
        <v>4</v>
      </c>
      <c r="Z783" s="3">
        <v>2</v>
      </c>
      <c r="AA783" s="5">
        <v>1860</v>
      </c>
      <c r="AB783" t="s">
        <v>151</v>
      </c>
      <c r="AC783" s="2" t="str" cm="1">
        <f t="array" ref="AC783">_xlfn.IFS(Table1[[#This Row],[Others_Parties]] = "No", "None",
Table1[[#This Row],[Others_Parties]] = "co applicant", "Co-applicant",
Table1[[#This Row],[Others_Parties]] = "guarantor", "Guarantor")</f>
        <v>None</v>
      </c>
      <c r="AD783" s="13" t="s">
        <v>145</v>
      </c>
      <c r="AE783" s="2" t="s">
        <v>107</v>
      </c>
      <c r="AF783" s="28" t="str" cm="1">
        <f t="array" ref="AF78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83" s="21">
        <v>12</v>
      </c>
      <c r="AH783" s="2" t="s">
        <v>154</v>
      </c>
      <c r="AI783"/>
      <c r="AZ783"/>
      <c r="BC783"/>
      <c r="BE783"/>
      <c r="BL783"/>
      <c r="BZ783"/>
      <c r="CA783"/>
      <c r="CF783"/>
      <c r="CG783"/>
      <c r="CH783"/>
      <c r="CI783"/>
      <c r="CK783"/>
      <c r="CN783"/>
    </row>
    <row r="784" spans="1:92" x14ac:dyDescent="0.3">
      <c r="A784" s="4">
        <v>782</v>
      </c>
      <c r="B784" s="11">
        <v>44</v>
      </c>
      <c r="C784" s="2" t="str">
        <f>_xlfn.XLOOKUP(Table1[[#This Row],[Age]],Table7[Start_Age],Table7[Age_Range],,-1)</f>
        <v>39-49</v>
      </c>
      <c r="D784" t="s">
        <v>136</v>
      </c>
      <c r="E784" s="2" t="s">
        <v>131</v>
      </c>
      <c r="F784" s="2" t="s">
        <v>137</v>
      </c>
      <c r="G784" s="3">
        <v>1</v>
      </c>
      <c r="H784" s="13" t="s">
        <v>152</v>
      </c>
      <c r="I784" s="2" t="str" cm="1">
        <f t="array" ref="I784">_xlfn.IFS(Table1[[#This Row],[Job_Type]] = "unskilled resident", "Resident",
Table1[[#This Row],[Job_Type]] = "unemp/unskilled non res", "Non-resident",
TRUE, "Unknown")</f>
        <v>Resident</v>
      </c>
      <c r="J784" s="2" t="s">
        <v>149</v>
      </c>
      <c r="K784" s="3">
        <v>2</v>
      </c>
      <c r="L784" s="2" t="s">
        <v>140</v>
      </c>
      <c r="M784" s="13" t="s">
        <v>152</v>
      </c>
      <c r="N784" t="s">
        <v>50</v>
      </c>
      <c r="O784" s="2" t="str">
        <f>_xlfn.XLOOKUP(Table1[[#This Row],[Checking_Acct_Status]],Table3[Checking_Acct_Original],Table3[Category])</f>
        <v>High Balance</v>
      </c>
      <c r="P784" s="10" t="s">
        <v>32</v>
      </c>
      <c r="Q784" s="13" t="str">
        <f>_xlfn.XLOOKUP(Table1[[#This Row],[Saving_Acct_Status]],Table5[Saving_Acct_Original],Table5[Category])</f>
        <v>Low Savings</v>
      </c>
      <c r="R784" t="s">
        <v>27</v>
      </c>
      <c r="S784" s="2" t="str">
        <f>IF(
      OR(Table1[[#This Row],[Job_Type]] = "high qualif/self emp/mgmt", Table1[[#This Row],[Job_Type]] = "skilled"),
      "Skilled", "Unskilled")</f>
        <v>Unskilled</v>
      </c>
      <c r="T784" t="str">
        <f>IF(Table1[[#This Row],[Job_Type]] = "unemp/unskilled non res", "Unemployed", "Employed")</f>
        <v>Employed</v>
      </c>
      <c r="U784" t="s">
        <v>21</v>
      </c>
      <c r="V784" s="14" t="str" cm="1">
        <f t="array" ref="V78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84" t="s">
        <v>31</v>
      </c>
      <c r="X784" s="2" t="str">
        <f>_xlfn.XLOOKUP(Table1[[#This Row],[Loan_Credit_History]],Table4[Credit History],Table4[[ Category]])</f>
        <v>Existing Credits Paid</v>
      </c>
      <c r="Y784" s="3">
        <v>2</v>
      </c>
      <c r="Z784" s="3">
        <v>1</v>
      </c>
      <c r="AA784" s="5">
        <v>1881</v>
      </c>
      <c r="AB784" t="s">
        <v>151</v>
      </c>
      <c r="AC784" s="2" t="str" cm="1">
        <f t="array" ref="AC784">_xlfn.IFS(Table1[[#This Row],[Others_Parties]] = "No", "None",
Table1[[#This Row],[Others_Parties]] = "co applicant", "Co-applicant",
Table1[[#This Row],[Others_Parties]] = "guarantor", "Guarantor")</f>
        <v>None</v>
      </c>
      <c r="AD784" s="13" t="s">
        <v>145</v>
      </c>
      <c r="AE784" s="2" t="s">
        <v>111</v>
      </c>
      <c r="AF784" s="28" t="str" cm="1">
        <f t="array" ref="AF78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84" s="21">
        <v>12</v>
      </c>
      <c r="AH784" s="2" t="s">
        <v>154</v>
      </c>
      <c r="AI784"/>
      <c r="AZ784"/>
      <c r="BC784"/>
      <c r="BE784"/>
      <c r="BL784"/>
      <c r="BZ784"/>
      <c r="CA784"/>
      <c r="CF784"/>
      <c r="CG784"/>
      <c r="CH784"/>
      <c r="CI784"/>
      <c r="CK784"/>
      <c r="CN784"/>
    </row>
    <row r="785" spans="1:92" x14ac:dyDescent="0.3">
      <c r="A785" s="4">
        <v>783</v>
      </c>
      <c r="B785" s="11">
        <v>39</v>
      </c>
      <c r="C785" s="2" t="str">
        <f>_xlfn.XLOOKUP(Table1[[#This Row],[Age]],Table7[Start_Age],Table7[Age_Range],,-1)</f>
        <v>39-49</v>
      </c>
      <c r="D785" t="s">
        <v>130</v>
      </c>
      <c r="E785" s="2" t="s">
        <v>129</v>
      </c>
      <c r="F785" s="2" t="s">
        <v>133</v>
      </c>
      <c r="G785" s="3">
        <v>1</v>
      </c>
      <c r="H785" s="13" t="s">
        <v>152</v>
      </c>
      <c r="I785" s="2" t="str" cm="1">
        <f t="array" ref="I785">_xlfn.IFS(Table1[[#This Row],[Job_Type]] = "unskilled resident", "Resident",
Table1[[#This Row],[Job_Type]] = "unemp/unskilled non res", "Non-resident",
TRUE, "Unknown")</f>
        <v>Unknown</v>
      </c>
      <c r="J785" s="2" t="s">
        <v>148</v>
      </c>
      <c r="K785" s="3">
        <v>4</v>
      </c>
      <c r="L785" s="2" t="s">
        <v>140</v>
      </c>
      <c r="M785" s="13" t="s">
        <v>152</v>
      </c>
      <c r="N785" t="s">
        <v>17</v>
      </c>
      <c r="O785" s="2" t="str">
        <f>_xlfn.XLOOKUP(Table1[[#This Row],[Checking_Acct_Status]],Table3[Checking_Acct_Original],Table3[Category])</f>
        <v>No Account</v>
      </c>
      <c r="P785" s="10" t="s">
        <v>32</v>
      </c>
      <c r="Q785" s="13" t="str">
        <f>_xlfn.XLOOKUP(Table1[[#This Row],[Saving_Acct_Status]],Table5[Saving_Acct_Original],Table5[Category])</f>
        <v>Low Savings</v>
      </c>
      <c r="R785" t="s">
        <v>63</v>
      </c>
      <c r="S785" s="2" t="str">
        <f>IF(
      OR(Table1[[#This Row],[Job_Type]] = "high qualif/self emp/mgmt", Table1[[#This Row],[Job_Type]] = "skilled"),
      "Skilled", "Unskilled")</f>
        <v>Skilled</v>
      </c>
      <c r="T785" t="str">
        <f>IF(Table1[[#This Row],[Job_Type]] = "unemp/unskilled non res", "Unemployed", "Employed")</f>
        <v>Employed</v>
      </c>
      <c r="U785" t="s">
        <v>38</v>
      </c>
      <c r="V785" s="14" t="str" cm="1">
        <f t="array" ref="V78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85" t="s">
        <v>31</v>
      </c>
      <c r="X785" s="2" t="str">
        <f>_xlfn.XLOOKUP(Table1[[#This Row],[Loan_Credit_History]],Table4[Credit History],Table4[[ Category]])</f>
        <v>Existing Credits Paid</v>
      </c>
      <c r="Y785" s="3">
        <v>4</v>
      </c>
      <c r="Z785" s="3">
        <v>1</v>
      </c>
      <c r="AA785" s="5">
        <v>1884</v>
      </c>
      <c r="AB785" t="s">
        <v>151</v>
      </c>
      <c r="AC785" s="2" t="str" cm="1">
        <f t="array" ref="AC785">_xlfn.IFS(Table1[[#This Row],[Others_Parties]] = "No", "None",
Table1[[#This Row],[Others_Parties]] = "co applicant", "Co-applicant",
Table1[[#This Row],[Others_Parties]] = "guarantor", "Guarantor")</f>
        <v>None</v>
      </c>
      <c r="AD785" s="13" t="s">
        <v>145</v>
      </c>
      <c r="AE785" s="2" t="s">
        <v>141</v>
      </c>
      <c r="AF785" s="28" t="str" cm="1">
        <f t="array" ref="AF78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85" s="21">
        <v>12</v>
      </c>
      <c r="AH785" s="2" t="s">
        <v>154</v>
      </c>
      <c r="AI785"/>
      <c r="AZ785"/>
      <c r="BC785"/>
      <c r="BE785"/>
      <c r="BL785"/>
      <c r="BZ785"/>
      <c r="CA785"/>
      <c r="CF785"/>
      <c r="CG785"/>
      <c r="CH785"/>
      <c r="CI785"/>
      <c r="CK785"/>
      <c r="CN785"/>
    </row>
    <row r="786" spans="1:92" x14ac:dyDescent="0.3">
      <c r="A786" s="4">
        <v>784</v>
      </c>
      <c r="B786" s="11">
        <v>29</v>
      </c>
      <c r="C786" s="2" t="str">
        <f>_xlfn.XLOOKUP(Table1[[#This Row],[Age]],Table7[Start_Age],Table7[Age_Range],,-1)</f>
        <v>29-39</v>
      </c>
      <c r="D786" t="s">
        <v>136</v>
      </c>
      <c r="E786" s="2" t="s">
        <v>131</v>
      </c>
      <c r="F786" s="2" t="s">
        <v>137</v>
      </c>
      <c r="G786" s="3">
        <v>1</v>
      </c>
      <c r="H786" s="13" t="s">
        <v>152</v>
      </c>
      <c r="I786" s="2" t="str" cm="1">
        <f t="array" ref="I786">_xlfn.IFS(Table1[[#This Row],[Job_Type]] = "unskilled resident", "Resident",
Table1[[#This Row],[Job_Type]] = "unemp/unskilled non res", "Non-resident",
TRUE, "Unknown")</f>
        <v>Unknown</v>
      </c>
      <c r="J786" s="2" t="s">
        <v>148</v>
      </c>
      <c r="K786" s="3">
        <v>4</v>
      </c>
      <c r="L786" s="2" t="s">
        <v>143</v>
      </c>
      <c r="M786" s="13" t="s">
        <v>152</v>
      </c>
      <c r="N786" t="s">
        <v>35</v>
      </c>
      <c r="O786" s="2" t="str">
        <f>_xlfn.XLOOKUP(Table1[[#This Row],[Checking_Acct_Status]],Table3[Checking_Acct_Original],Table3[Category])</f>
        <v>Negative Balance</v>
      </c>
      <c r="P786" s="10" t="s">
        <v>32</v>
      </c>
      <c r="Q786" s="13" t="str">
        <f>_xlfn.XLOOKUP(Table1[[#This Row],[Saving_Acct_Status]],Table5[Saving_Acct_Original],Table5[Category])</f>
        <v>Low Savings</v>
      </c>
      <c r="R786" t="s">
        <v>41</v>
      </c>
      <c r="S786" s="2" t="str">
        <f>IF(
      OR(Table1[[#This Row],[Job_Type]] = "high qualif/self emp/mgmt", Table1[[#This Row],[Job_Type]] = "skilled"),
      "Skilled", "Unskilled")</f>
        <v>Skilled</v>
      </c>
      <c r="T786" t="str">
        <f>IF(Table1[[#This Row],[Job_Type]] = "unemp/unskilled non res", "Unemployed", "Employed")</f>
        <v>Employed</v>
      </c>
      <c r="U786" t="s">
        <v>21</v>
      </c>
      <c r="V786" s="14" t="str" cm="1">
        <f t="array" ref="V78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86" t="s">
        <v>31</v>
      </c>
      <c r="X786" s="2" t="str">
        <f>_xlfn.XLOOKUP(Table1[[#This Row],[Loan_Credit_History]],Table4[Credit History],Table4[[ Category]])</f>
        <v>Existing Credits Paid</v>
      </c>
      <c r="Y786" s="3">
        <v>4</v>
      </c>
      <c r="Z786" s="3">
        <v>1</v>
      </c>
      <c r="AA786" s="5">
        <v>1893</v>
      </c>
      <c r="AB786" t="s">
        <v>58</v>
      </c>
      <c r="AC786" s="2" t="str" cm="1">
        <f t="array" ref="AC786">_xlfn.IFS(Table1[[#This Row],[Others_Parties]] = "No", "None",
Table1[[#This Row],[Others_Parties]] = "co applicant", "Co-applicant",
Table1[[#This Row],[Others_Parties]] = "guarantor", "Guarantor")</f>
        <v>Guarantor</v>
      </c>
      <c r="AD786" s="13" t="s">
        <v>145</v>
      </c>
      <c r="AE786" s="2" t="s">
        <v>141</v>
      </c>
      <c r="AF786" s="28" t="str" cm="1">
        <f t="array" ref="AF78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86" s="21">
        <v>12</v>
      </c>
      <c r="AH786" s="2" t="s">
        <v>154</v>
      </c>
      <c r="AI786"/>
      <c r="AZ786"/>
      <c r="BC786"/>
      <c r="BE786"/>
      <c r="BL786"/>
      <c r="BZ786"/>
      <c r="CA786"/>
      <c r="CF786"/>
      <c r="CG786"/>
      <c r="CH786"/>
      <c r="CI786"/>
      <c r="CK786"/>
      <c r="CN786"/>
    </row>
    <row r="787" spans="1:92" x14ac:dyDescent="0.3">
      <c r="A787" s="4">
        <v>785</v>
      </c>
      <c r="B787" s="11">
        <v>37</v>
      </c>
      <c r="C787" s="2" t="str">
        <f>_xlfn.XLOOKUP(Table1[[#This Row],[Age]],Table7[Start_Age],Table7[Age_Range],,-1)</f>
        <v>29-39</v>
      </c>
      <c r="D787" t="s">
        <v>130</v>
      </c>
      <c r="E787" s="2" t="s">
        <v>129</v>
      </c>
      <c r="F787" s="2" t="s">
        <v>133</v>
      </c>
      <c r="G787" s="3">
        <v>1</v>
      </c>
      <c r="H787" s="13" t="s">
        <v>152</v>
      </c>
      <c r="I787" s="2" t="str" cm="1">
        <f t="array" ref="I787">_xlfn.IFS(Table1[[#This Row],[Job_Type]] = "unskilled resident", "Resident",
Table1[[#This Row],[Job_Type]] = "unemp/unskilled non res", "Non-resident",
TRUE, "Unknown")</f>
        <v>Resident</v>
      </c>
      <c r="J787" s="2" t="s">
        <v>148</v>
      </c>
      <c r="K787" s="3">
        <v>2</v>
      </c>
      <c r="L787" s="2" t="s">
        <v>143</v>
      </c>
      <c r="M787" s="13" t="s">
        <v>151</v>
      </c>
      <c r="N787" t="s">
        <v>30</v>
      </c>
      <c r="O787" s="2" t="str">
        <f>_xlfn.XLOOKUP(Table1[[#This Row],[Checking_Acct_Status]],Table3[Checking_Acct_Original],Table3[Category])</f>
        <v>Low Balance</v>
      </c>
      <c r="P787" s="10" t="s">
        <v>32</v>
      </c>
      <c r="Q787" s="13" t="str">
        <f>_xlfn.XLOOKUP(Table1[[#This Row],[Saving_Acct_Status]],Table5[Saving_Acct_Original],Table5[Category])</f>
        <v>Low Savings</v>
      </c>
      <c r="R787" t="s">
        <v>27</v>
      </c>
      <c r="S787" s="2" t="str">
        <f>IF(
      OR(Table1[[#This Row],[Job_Type]] = "high qualif/self emp/mgmt", Table1[[#This Row],[Job_Type]] = "skilled"),
      "Skilled", "Unskilled")</f>
        <v>Unskilled</v>
      </c>
      <c r="T787" t="str">
        <f>IF(Table1[[#This Row],[Job_Type]] = "unemp/unskilled non res", "Unemployed", "Employed")</f>
        <v>Employed</v>
      </c>
      <c r="U787" t="s">
        <v>21</v>
      </c>
      <c r="V787" s="14" t="str" cm="1">
        <f t="array" ref="V78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87" t="s">
        <v>31</v>
      </c>
      <c r="X787" s="2" t="str">
        <f>_xlfn.XLOOKUP(Table1[[#This Row],[Loan_Credit_History]],Table4[Credit History],Table4[[ Category]])</f>
        <v>Existing Credits Paid</v>
      </c>
      <c r="Y787" s="3">
        <v>4</v>
      </c>
      <c r="Z787" s="3">
        <v>1</v>
      </c>
      <c r="AA787" s="5">
        <v>1922</v>
      </c>
      <c r="AB787" t="s">
        <v>151</v>
      </c>
      <c r="AC787" s="2" t="str" cm="1">
        <f t="array" ref="AC787">_xlfn.IFS(Table1[[#This Row],[Others_Parties]] = "No", "None",
Table1[[#This Row],[Others_Parties]] = "co applicant", "Co-applicant",
Table1[[#This Row],[Others_Parties]] = "guarantor", "Guarantor")</f>
        <v>None</v>
      </c>
      <c r="AD787" s="13" t="s">
        <v>145</v>
      </c>
      <c r="AE787" s="2" t="s">
        <v>108</v>
      </c>
      <c r="AF787" s="28" t="str" cm="1">
        <f t="array" ref="AF78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87" s="21">
        <v>12</v>
      </c>
      <c r="AH787" s="2" t="s">
        <v>153</v>
      </c>
      <c r="AI787"/>
      <c r="AZ787"/>
      <c r="BC787"/>
      <c r="BE787"/>
      <c r="BL787"/>
      <c r="BZ787"/>
      <c r="CA787"/>
      <c r="CF787"/>
      <c r="CG787"/>
      <c r="CH787"/>
      <c r="CI787"/>
      <c r="CK787"/>
      <c r="CN787"/>
    </row>
    <row r="788" spans="1:92" x14ac:dyDescent="0.3">
      <c r="A788" s="4">
        <v>786</v>
      </c>
      <c r="B788" s="11">
        <v>26</v>
      </c>
      <c r="C788" s="2" t="str">
        <f>_xlfn.XLOOKUP(Table1[[#This Row],[Age]],Table7[Start_Age],Table7[Age_Range],,-1)</f>
        <v>19-29</v>
      </c>
      <c r="D788" t="s">
        <v>130</v>
      </c>
      <c r="E788" s="2" t="s">
        <v>129</v>
      </c>
      <c r="F788" s="2" t="s">
        <v>133</v>
      </c>
      <c r="G788" s="3">
        <v>1</v>
      </c>
      <c r="H788" s="13" t="s">
        <v>152</v>
      </c>
      <c r="I788" s="2" t="str" cm="1">
        <f t="array" ref="I788">_xlfn.IFS(Table1[[#This Row],[Job_Type]] = "unskilled resident", "Resident",
Table1[[#This Row],[Job_Type]] = "unemp/unskilled non res", "Non-resident",
TRUE, "Unknown")</f>
        <v>Unknown</v>
      </c>
      <c r="J788" s="2" t="s">
        <v>148</v>
      </c>
      <c r="K788" s="3">
        <v>2</v>
      </c>
      <c r="L788" s="2" t="s">
        <v>142</v>
      </c>
      <c r="M788" s="13" t="s">
        <v>151</v>
      </c>
      <c r="N788" t="s">
        <v>17</v>
      </c>
      <c r="O788" s="2" t="str">
        <f>_xlfn.XLOOKUP(Table1[[#This Row],[Checking_Acct_Status]],Table3[Checking_Acct_Original],Table3[Category])</f>
        <v>No Account</v>
      </c>
      <c r="P788" s="10" t="s">
        <v>32</v>
      </c>
      <c r="Q788" s="13" t="str">
        <f>_xlfn.XLOOKUP(Table1[[#This Row],[Saving_Acct_Status]],Table5[Saving_Acct_Original],Table5[Category])</f>
        <v>Low Savings</v>
      </c>
      <c r="R788" t="s">
        <v>41</v>
      </c>
      <c r="S788" s="2" t="str">
        <f>IF(
      OR(Table1[[#This Row],[Job_Type]] = "high qualif/self emp/mgmt", Table1[[#This Row],[Job_Type]] = "skilled"),
      "Skilled", "Unskilled")</f>
        <v>Skilled</v>
      </c>
      <c r="T788" t="str">
        <f>IF(Table1[[#This Row],[Job_Type]] = "unemp/unskilled non res", "Unemployed", "Employed")</f>
        <v>Employed</v>
      </c>
      <c r="U788" t="s">
        <v>38</v>
      </c>
      <c r="V788" s="14" t="str" cm="1">
        <f t="array" ref="V78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88" t="s">
        <v>103</v>
      </c>
      <c r="X788" s="2" t="str">
        <f>_xlfn.XLOOKUP(Table1[[#This Row],[Loan_Credit_History]],Table4[Credit History],Table4[[ Category]])</f>
        <v>Critical Credit History</v>
      </c>
      <c r="Y788" s="3">
        <v>2</v>
      </c>
      <c r="Z788" s="3">
        <v>2</v>
      </c>
      <c r="AA788" s="5">
        <v>1934</v>
      </c>
      <c r="AB788" t="s">
        <v>151</v>
      </c>
      <c r="AC788" s="2" t="str" cm="1">
        <f t="array" ref="AC788">_xlfn.IFS(Table1[[#This Row],[Others_Parties]] = "No", "None",
Table1[[#This Row],[Others_Parties]] = "co applicant", "Co-applicant",
Table1[[#This Row],[Others_Parties]] = "guarantor", "Guarantor")</f>
        <v>None</v>
      </c>
      <c r="AD788" s="13" t="s">
        <v>145</v>
      </c>
      <c r="AE788" s="2" t="s">
        <v>111</v>
      </c>
      <c r="AF788" s="28" t="str" cm="1">
        <f t="array" ref="AF78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88" s="21">
        <v>12</v>
      </c>
      <c r="AH788" s="2" t="s">
        <v>154</v>
      </c>
      <c r="AI788"/>
      <c r="AZ788"/>
      <c r="BC788"/>
      <c r="BE788"/>
      <c r="BL788"/>
      <c r="BZ788"/>
      <c r="CA788"/>
      <c r="CF788"/>
      <c r="CG788"/>
      <c r="CH788"/>
      <c r="CI788"/>
      <c r="CK788"/>
      <c r="CN788"/>
    </row>
    <row r="789" spans="1:92" x14ac:dyDescent="0.3">
      <c r="A789" s="4">
        <v>787</v>
      </c>
      <c r="B789" s="11">
        <v>43</v>
      </c>
      <c r="C789" s="2" t="str">
        <f>_xlfn.XLOOKUP(Table1[[#This Row],[Age]],Table7[Start_Age],Table7[Age_Range],,-1)</f>
        <v>39-49</v>
      </c>
      <c r="D789" t="s">
        <v>130</v>
      </c>
      <c r="E789" s="2" t="s">
        <v>129</v>
      </c>
      <c r="F789" s="2" t="s">
        <v>133</v>
      </c>
      <c r="G789" s="3">
        <v>1</v>
      </c>
      <c r="H789" s="13" t="s">
        <v>152</v>
      </c>
      <c r="I789" s="2" t="str" cm="1">
        <f t="array" ref="I789">_xlfn.IFS(Table1[[#This Row],[Job_Type]] = "unskilled resident", "Resident",
Table1[[#This Row],[Job_Type]] = "unemp/unskilled non res", "Non-resident",
TRUE, "Unknown")</f>
        <v>Unknown</v>
      </c>
      <c r="J789" s="2" t="s">
        <v>148</v>
      </c>
      <c r="K789" s="3">
        <v>4</v>
      </c>
      <c r="L789" s="2" t="s">
        <v>144</v>
      </c>
      <c r="M789" s="13" t="s">
        <v>152</v>
      </c>
      <c r="N789" t="s">
        <v>17</v>
      </c>
      <c r="O789" s="2" t="str">
        <f>_xlfn.XLOOKUP(Table1[[#This Row],[Checking_Acct_Status]],Table3[Checking_Acct_Original],Table3[Category])</f>
        <v>No Account</v>
      </c>
      <c r="P789" s="10" t="s">
        <v>32</v>
      </c>
      <c r="Q789" s="13" t="str">
        <f>_xlfn.XLOOKUP(Table1[[#This Row],[Saving_Acct_Status]],Table5[Saving_Acct_Original],Table5[Category])</f>
        <v>Low Savings</v>
      </c>
      <c r="R789" t="s">
        <v>41</v>
      </c>
      <c r="S789" s="2" t="str">
        <f>IF(
      OR(Table1[[#This Row],[Job_Type]] = "high qualif/self emp/mgmt", Table1[[#This Row],[Job_Type]] = "skilled"),
      "Skilled", "Unskilled")</f>
        <v>Skilled</v>
      </c>
      <c r="T789" t="str">
        <f>IF(Table1[[#This Row],[Job_Type]] = "unemp/unskilled non res", "Unemployed", "Employed")</f>
        <v>Employed</v>
      </c>
      <c r="U789" t="s">
        <v>38</v>
      </c>
      <c r="V789" s="14" t="str" cm="1">
        <f t="array" ref="V78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89" t="s">
        <v>103</v>
      </c>
      <c r="X789" s="2" t="str">
        <f>_xlfn.XLOOKUP(Table1[[#This Row],[Loan_Credit_History]],Table4[Credit History],Table4[[ Category]])</f>
        <v>Critical Credit History</v>
      </c>
      <c r="Y789" s="3">
        <v>4</v>
      </c>
      <c r="Z789" s="3">
        <v>3</v>
      </c>
      <c r="AA789" s="5">
        <v>1935</v>
      </c>
      <c r="AB789" t="s">
        <v>151</v>
      </c>
      <c r="AC789" s="2" t="str" cm="1">
        <f t="array" ref="AC789">_xlfn.IFS(Table1[[#This Row],[Others_Parties]] = "No", "None",
Table1[[#This Row],[Others_Parties]] = "co applicant", "Co-applicant",
Table1[[#This Row],[Others_Parties]] = "guarantor", "Guarantor")</f>
        <v>None</v>
      </c>
      <c r="AD789" s="13" t="s">
        <v>145</v>
      </c>
      <c r="AE789" s="2" t="s">
        <v>108</v>
      </c>
      <c r="AF789" s="28" t="str" cm="1">
        <f t="array" ref="AF78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89" s="21">
        <v>12</v>
      </c>
      <c r="AH789" s="2" t="s">
        <v>154</v>
      </c>
      <c r="AI789"/>
      <c r="AZ789"/>
      <c r="BC789"/>
      <c r="BE789"/>
      <c r="BL789"/>
      <c r="BZ789"/>
      <c r="CA789"/>
      <c r="CF789"/>
      <c r="CG789"/>
      <c r="CH789"/>
      <c r="CI789"/>
      <c r="CK789"/>
      <c r="CN789"/>
    </row>
    <row r="790" spans="1:92" x14ac:dyDescent="0.3">
      <c r="A790" s="4">
        <v>788</v>
      </c>
      <c r="B790" s="11">
        <v>31</v>
      </c>
      <c r="C790" s="2" t="str">
        <f>_xlfn.XLOOKUP(Table1[[#This Row],[Age]],Table7[Start_Age],Table7[Age_Range],,-1)</f>
        <v>29-39</v>
      </c>
      <c r="D790" t="s">
        <v>130</v>
      </c>
      <c r="E790" s="2" t="s">
        <v>129</v>
      </c>
      <c r="F790" s="2" t="s">
        <v>133</v>
      </c>
      <c r="G790" s="3">
        <v>2</v>
      </c>
      <c r="H790" s="13" t="s">
        <v>152</v>
      </c>
      <c r="I790" s="2" t="str" cm="1">
        <f t="array" ref="I790">_xlfn.IFS(Table1[[#This Row],[Job_Type]] = "unskilled resident", "Resident",
Table1[[#This Row],[Job_Type]] = "unemp/unskilled non res", "Non-resident",
TRUE, "Unknown")</f>
        <v>Unknown</v>
      </c>
      <c r="J790" s="2" t="s">
        <v>149</v>
      </c>
      <c r="K790" s="3">
        <v>2</v>
      </c>
      <c r="L790" s="2" t="s">
        <v>140</v>
      </c>
      <c r="M790" s="13" t="s">
        <v>152</v>
      </c>
      <c r="N790" t="s">
        <v>17</v>
      </c>
      <c r="O790" s="2" t="str">
        <f>_xlfn.XLOOKUP(Table1[[#This Row],[Checking_Acct_Status]],Table3[Checking_Acct_Original],Table3[Category])</f>
        <v>No Account</v>
      </c>
      <c r="P790" s="10" t="s">
        <v>32</v>
      </c>
      <c r="Q790" s="13" t="str">
        <f>_xlfn.XLOOKUP(Table1[[#This Row],[Saving_Acct_Status]],Table5[Saving_Acct_Original],Table5[Category])</f>
        <v>Low Savings</v>
      </c>
      <c r="R790" t="s">
        <v>63</v>
      </c>
      <c r="S790" s="2" t="str">
        <f>IF(
      OR(Table1[[#This Row],[Job_Type]] = "high qualif/self emp/mgmt", Table1[[#This Row],[Job_Type]] = "skilled"),
      "Skilled", "Unskilled")</f>
        <v>Skilled</v>
      </c>
      <c r="T790" t="str">
        <f>IF(Table1[[#This Row],[Job_Type]] = "unemp/unskilled non res", "Unemployed", "Employed")</f>
        <v>Employed</v>
      </c>
      <c r="U790" t="s">
        <v>49</v>
      </c>
      <c r="V790" s="14" t="str" cm="1">
        <f t="array" ref="V79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90" t="s">
        <v>31</v>
      </c>
      <c r="X790" s="2" t="str">
        <f>_xlfn.XLOOKUP(Table1[[#This Row],[Loan_Credit_History]],Table4[Credit History],Table4[[ Category]])</f>
        <v>Existing Credits Paid</v>
      </c>
      <c r="Y790" s="3">
        <v>4</v>
      </c>
      <c r="Z790" s="3">
        <v>2</v>
      </c>
      <c r="AA790" s="5">
        <v>1963</v>
      </c>
      <c r="AB790" t="s">
        <v>151</v>
      </c>
      <c r="AC790" s="2" t="str" cm="1">
        <f t="array" ref="AC790">_xlfn.IFS(Table1[[#This Row],[Others_Parties]] = "No", "None",
Table1[[#This Row],[Others_Parties]] = "co applicant", "Co-applicant",
Table1[[#This Row],[Others_Parties]] = "guarantor", "Guarantor")</f>
        <v>None</v>
      </c>
      <c r="AD790" s="13" t="s">
        <v>145</v>
      </c>
      <c r="AE790" s="2" t="s">
        <v>111</v>
      </c>
      <c r="AF790" s="28" t="str" cm="1">
        <f t="array" ref="AF79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90" s="21">
        <v>12</v>
      </c>
      <c r="AH790" s="2" t="s">
        <v>154</v>
      </c>
      <c r="AI790"/>
      <c r="AZ790"/>
      <c r="BC790"/>
      <c r="BE790"/>
      <c r="BL790"/>
      <c r="BZ790"/>
      <c r="CA790"/>
      <c r="CF790"/>
      <c r="CG790"/>
      <c r="CH790"/>
      <c r="CI790"/>
      <c r="CK790"/>
      <c r="CN790"/>
    </row>
    <row r="791" spans="1:92" x14ac:dyDescent="0.3">
      <c r="A791" s="4">
        <v>789</v>
      </c>
      <c r="B791" s="11">
        <v>27</v>
      </c>
      <c r="C791" s="2" t="str">
        <f>_xlfn.XLOOKUP(Table1[[#This Row],[Age]],Table7[Start_Age],Table7[Age_Range],,-1)</f>
        <v>19-29</v>
      </c>
      <c r="D791" t="s">
        <v>130</v>
      </c>
      <c r="E791" s="2" t="s">
        <v>129</v>
      </c>
      <c r="F791" s="2" t="s">
        <v>133</v>
      </c>
      <c r="G791" s="3">
        <v>1</v>
      </c>
      <c r="H791" s="13" t="s">
        <v>152</v>
      </c>
      <c r="I791" s="2" t="str" cm="1">
        <f t="array" ref="I791">_xlfn.IFS(Table1[[#This Row],[Job_Type]] = "unskilled resident", "Resident",
Table1[[#This Row],[Job_Type]] = "unemp/unskilled non res", "Non-resident",
TRUE, "Unknown")</f>
        <v>Unknown</v>
      </c>
      <c r="J791" s="2" t="s">
        <v>148</v>
      </c>
      <c r="K791" s="3">
        <v>1</v>
      </c>
      <c r="L791" s="2" t="s">
        <v>140</v>
      </c>
      <c r="M791" s="13" t="s">
        <v>151</v>
      </c>
      <c r="N791" t="s">
        <v>30</v>
      </c>
      <c r="O791" s="2" t="str">
        <f>_xlfn.XLOOKUP(Table1[[#This Row],[Checking_Acct_Status]],Table3[Checking_Acct_Original],Table3[Category])</f>
        <v>Low Balance</v>
      </c>
      <c r="P791" s="10" t="s">
        <v>46</v>
      </c>
      <c r="Q791" s="13" t="str">
        <f>_xlfn.XLOOKUP(Table1[[#This Row],[Saving_Acct_Status]],Table5[Saving_Acct_Original],Table5[Category])</f>
        <v>Medium Savings</v>
      </c>
      <c r="R791" t="s">
        <v>41</v>
      </c>
      <c r="S791" s="2" t="str">
        <f>IF(
      OR(Table1[[#This Row],[Job_Type]] = "high qualif/self emp/mgmt", Table1[[#This Row],[Job_Type]] = "skilled"),
      "Skilled", "Unskilled")</f>
        <v>Skilled</v>
      </c>
      <c r="T791" t="str">
        <f>IF(Table1[[#This Row],[Job_Type]] = "unemp/unskilled non res", "Unemployed", "Employed")</f>
        <v>Employed</v>
      </c>
      <c r="U791" t="s">
        <v>45</v>
      </c>
      <c r="V791" s="14" t="str" cm="1">
        <f t="array" ref="V79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791" t="s">
        <v>103</v>
      </c>
      <c r="X791" s="2" t="str">
        <f>_xlfn.XLOOKUP(Table1[[#This Row],[Loan_Credit_History]],Table4[Credit History],Table4[[ Category]])</f>
        <v>Critical Credit History</v>
      </c>
      <c r="Y791" s="3">
        <v>4</v>
      </c>
      <c r="Z791" s="3">
        <v>1</v>
      </c>
      <c r="AA791" s="5">
        <v>1995</v>
      </c>
      <c r="AB791" t="s">
        <v>151</v>
      </c>
      <c r="AC791" s="2" t="str" cm="1">
        <f t="array" ref="AC791">_xlfn.IFS(Table1[[#This Row],[Others_Parties]] = "No", "None",
Table1[[#This Row],[Others_Parties]] = "co applicant", "Co-applicant",
Table1[[#This Row],[Others_Parties]] = "guarantor", "Guarantor")</f>
        <v>None</v>
      </c>
      <c r="AD791" s="13" t="s">
        <v>145</v>
      </c>
      <c r="AE791" s="2" t="s">
        <v>141</v>
      </c>
      <c r="AF791" s="28" t="str" cm="1">
        <f t="array" ref="AF79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91" s="21">
        <v>12</v>
      </c>
      <c r="AH791" s="2" t="s">
        <v>154</v>
      </c>
      <c r="AI791"/>
      <c r="AZ791"/>
      <c r="BC791"/>
      <c r="BE791"/>
      <c r="BL791"/>
      <c r="BZ791"/>
      <c r="CA791"/>
      <c r="CF791"/>
      <c r="CG791"/>
      <c r="CH791"/>
      <c r="CI791"/>
      <c r="CK791"/>
      <c r="CN791"/>
    </row>
    <row r="792" spans="1:92" x14ac:dyDescent="0.3">
      <c r="A792" s="4">
        <v>790</v>
      </c>
      <c r="B792" s="11">
        <v>30</v>
      </c>
      <c r="C792" s="2" t="str">
        <f>_xlfn.XLOOKUP(Table1[[#This Row],[Age]],Table7[Start_Age],Table7[Age_Range],,-1)</f>
        <v>29-39</v>
      </c>
      <c r="D792" t="s">
        <v>130</v>
      </c>
      <c r="E792" s="2" t="s">
        <v>129</v>
      </c>
      <c r="F792" s="2" t="s">
        <v>133</v>
      </c>
      <c r="G792" s="3">
        <v>2</v>
      </c>
      <c r="H792" s="13" t="s">
        <v>152</v>
      </c>
      <c r="I792" s="2" t="str" cm="1">
        <f t="array" ref="I792">_xlfn.IFS(Table1[[#This Row],[Job_Type]] = "unskilled resident", "Resident",
Table1[[#This Row],[Job_Type]] = "unemp/unskilled non res", "Non-resident",
TRUE, "Unknown")</f>
        <v>Unknown</v>
      </c>
      <c r="J792" s="2" t="s">
        <v>149</v>
      </c>
      <c r="K792" s="3">
        <v>4</v>
      </c>
      <c r="L792" s="2" t="s">
        <v>143</v>
      </c>
      <c r="M792" s="13" t="s">
        <v>152</v>
      </c>
      <c r="N792" t="s">
        <v>30</v>
      </c>
      <c r="O792" s="2" t="str">
        <f>_xlfn.XLOOKUP(Table1[[#This Row],[Checking_Acct_Status]],Table3[Checking_Acct_Original],Table3[Category])</f>
        <v>Low Balance</v>
      </c>
      <c r="P792" s="10" t="s">
        <v>32</v>
      </c>
      <c r="Q792" s="13" t="str">
        <f>_xlfn.XLOOKUP(Table1[[#This Row],[Saving_Acct_Status]],Table5[Saving_Acct_Original],Table5[Category])</f>
        <v>Low Savings</v>
      </c>
      <c r="R792" t="s">
        <v>41</v>
      </c>
      <c r="S792" s="2" t="str">
        <f>IF(
      OR(Table1[[#This Row],[Job_Type]] = "high qualif/self emp/mgmt", Table1[[#This Row],[Job_Type]] = "skilled"),
      "Skilled", "Unskilled")</f>
        <v>Skilled</v>
      </c>
      <c r="T792" t="str">
        <f>IF(Table1[[#This Row],[Job_Type]] = "unemp/unskilled non res", "Unemployed", "Employed")</f>
        <v>Employed</v>
      </c>
      <c r="U792" t="s">
        <v>49</v>
      </c>
      <c r="V792" s="14" t="str" cm="1">
        <f t="array" ref="V79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92" t="s">
        <v>31</v>
      </c>
      <c r="X792" s="2" t="str">
        <f>_xlfn.XLOOKUP(Table1[[#This Row],[Loan_Credit_History]],Table4[Credit History],Table4[[ Category]])</f>
        <v>Existing Credits Paid</v>
      </c>
      <c r="Y792" s="3">
        <v>3</v>
      </c>
      <c r="Z792" s="3">
        <v>1</v>
      </c>
      <c r="AA792" s="5">
        <v>2002</v>
      </c>
      <c r="AB792" t="s">
        <v>151</v>
      </c>
      <c r="AC792" s="2" t="str" cm="1">
        <f t="array" ref="AC792">_xlfn.IFS(Table1[[#This Row],[Others_Parties]] = "No", "None",
Table1[[#This Row],[Others_Parties]] = "co applicant", "Co-applicant",
Table1[[#This Row],[Others_Parties]] = "guarantor", "Guarantor")</f>
        <v>None</v>
      </c>
      <c r="AD792" s="13" t="s">
        <v>145</v>
      </c>
      <c r="AE792" s="2" t="s">
        <v>141</v>
      </c>
      <c r="AF792" s="28" t="str" cm="1">
        <f t="array" ref="AF79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92" s="21">
        <v>12</v>
      </c>
      <c r="AH792" s="2" t="s">
        <v>154</v>
      </c>
      <c r="AI792"/>
      <c r="AZ792"/>
      <c r="BC792"/>
      <c r="BE792"/>
      <c r="BL792"/>
      <c r="BZ792"/>
      <c r="CA792"/>
      <c r="CF792"/>
      <c r="CG792"/>
      <c r="CH792"/>
      <c r="CI792"/>
      <c r="CK792"/>
      <c r="CN792"/>
    </row>
    <row r="793" spans="1:92" x14ac:dyDescent="0.3">
      <c r="A793" s="4">
        <v>791</v>
      </c>
      <c r="B793" s="11">
        <v>61</v>
      </c>
      <c r="C793" s="2" t="str">
        <f>_xlfn.XLOOKUP(Table1[[#This Row],[Age]],Table7[Start_Age],Table7[Age_Range],,-1)</f>
        <v>59-69</v>
      </c>
      <c r="D793" t="s">
        <v>136</v>
      </c>
      <c r="E793" s="2" t="s">
        <v>131</v>
      </c>
      <c r="F793" s="2" t="s">
        <v>137</v>
      </c>
      <c r="G793" s="3">
        <v>1</v>
      </c>
      <c r="H793" s="13" t="s">
        <v>152</v>
      </c>
      <c r="I793" s="2" t="str" cm="1">
        <f t="array" ref="I793">_xlfn.IFS(Table1[[#This Row],[Job_Type]] = "unskilled resident", "Resident",
Table1[[#This Row],[Job_Type]] = "unemp/unskilled non res", "Non-resident",
TRUE, "Unknown")</f>
        <v>Unknown</v>
      </c>
      <c r="J793" s="2" t="s">
        <v>148</v>
      </c>
      <c r="K793" s="3">
        <v>2</v>
      </c>
      <c r="L793" s="2" t="s">
        <v>140</v>
      </c>
      <c r="M793" s="13" t="s">
        <v>151</v>
      </c>
      <c r="N793" t="s">
        <v>17</v>
      </c>
      <c r="O793" s="2" t="str">
        <f>_xlfn.XLOOKUP(Table1[[#This Row],[Checking_Acct_Status]],Table3[Checking_Acct_Original],Table3[Category])</f>
        <v>No Account</v>
      </c>
      <c r="P793" s="10" t="s">
        <v>47</v>
      </c>
      <c r="Q793" s="13" t="str">
        <f>_xlfn.XLOOKUP(Table1[[#This Row],[Saving_Acct_Status]],Table5[Saving_Acct_Original],Table5[Category])</f>
        <v>No Savings</v>
      </c>
      <c r="R793" t="s">
        <v>41</v>
      </c>
      <c r="S793" s="2" t="str">
        <f>IF(
      OR(Table1[[#This Row],[Job_Type]] = "high qualif/self emp/mgmt", Table1[[#This Row],[Job_Type]] = "skilled"),
      "Skilled", "Unskilled")</f>
        <v>Skilled</v>
      </c>
      <c r="T793" t="str">
        <f>IF(Table1[[#This Row],[Job_Type]] = "unemp/unskilled non res", "Unemployed", "Employed")</f>
        <v>Employed</v>
      </c>
      <c r="U793" t="s">
        <v>49</v>
      </c>
      <c r="V793" s="14" t="str" cm="1">
        <f t="array" ref="V79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93" t="s">
        <v>103</v>
      </c>
      <c r="X793" s="2" t="str">
        <f>_xlfn.XLOOKUP(Table1[[#This Row],[Loan_Credit_History]],Table4[Credit History],Table4[[ Category]])</f>
        <v>Critical Credit History</v>
      </c>
      <c r="Y793" s="3">
        <v>4</v>
      </c>
      <c r="Z793" s="3">
        <v>1</v>
      </c>
      <c r="AA793" s="5">
        <v>2012</v>
      </c>
      <c r="AB793" t="s">
        <v>151</v>
      </c>
      <c r="AC793" s="2" t="str" cm="1">
        <f t="array" ref="AC793">_xlfn.IFS(Table1[[#This Row],[Others_Parties]] = "No", "None",
Table1[[#This Row],[Others_Parties]] = "co applicant", "Co-applicant",
Table1[[#This Row],[Others_Parties]] = "guarantor", "Guarantor")</f>
        <v>None</v>
      </c>
      <c r="AD793" s="13" t="s">
        <v>145</v>
      </c>
      <c r="AE793" s="2" t="s">
        <v>100</v>
      </c>
      <c r="AF793" s="28" t="str" cm="1">
        <f t="array" ref="AF79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93" s="21">
        <v>12</v>
      </c>
      <c r="AH793" s="2" t="s">
        <v>154</v>
      </c>
      <c r="AI793"/>
      <c r="AZ793"/>
      <c r="BC793"/>
      <c r="BE793"/>
      <c r="BL793"/>
      <c r="BZ793"/>
      <c r="CA793"/>
      <c r="CF793"/>
      <c r="CG793"/>
      <c r="CH793"/>
      <c r="CI793"/>
      <c r="CK793"/>
      <c r="CN793"/>
    </row>
    <row r="794" spans="1:92" x14ac:dyDescent="0.3">
      <c r="A794" s="4">
        <v>792</v>
      </c>
      <c r="B794" s="11">
        <v>30</v>
      </c>
      <c r="C794" s="2" t="str">
        <f>_xlfn.XLOOKUP(Table1[[#This Row],[Age]],Table7[Start_Age],Table7[Age_Range],,-1)</f>
        <v>29-39</v>
      </c>
      <c r="D794" t="s">
        <v>130</v>
      </c>
      <c r="E794" s="2" t="s">
        <v>129</v>
      </c>
      <c r="F794" s="2" t="s">
        <v>133</v>
      </c>
      <c r="G794" s="3">
        <v>1</v>
      </c>
      <c r="H794" s="13" t="s">
        <v>152</v>
      </c>
      <c r="I794" s="2" t="str" cm="1">
        <f t="array" ref="I794">_xlfn.IFS(Table1[[#This Row],[Job_Type]] = "unskilled resident", "Resident",
Table1[[#This Row],[Job_Type]] = "unemp/unskilled non res", "Non-resident",
TRUE, "Unknown")</f>
        <v>Unknown</v>
      </c>
      <c r="J794" s="2" t="s">
        <v>148</v>
      </c>
      <c r="K794" s="3">
        <v>2</v>
      </c>
      <c r="L794" s="2" t="s">
        <v>140</v>
      </c>
      <c r="M794" s="13" t="s">
        <v>151</v>
      </c>
      <c r="N794" t="s">
        <v>30</v>
      </c>
      <c r="O794" s="2" t="str">
        <f>_xlfn.XLOOKUP(Table1[[#This Row],[Checking_Acct_Status]],Table3[Checking_Acct_Original],Table3[Category])</f>
        <v>Low Balance</v>
      </c>
      <c r="P794" s="10" t="s">
        <v>47</v>
      </c>
      <c r="Q794" s="13" t="str">
        <f>_xlfn.XLOOKUP(Table1[[#This Row],[Saving_Acct_Status]],Table5[Saving_Acct_Original],Table5[Category])</f>
        <v>No Savings</v>
      </c>
      <c r="R794" t="s">
        <v>41</v>
      </c>
      <c r="S794" s="2" t="str">
        <f>IF(
      OR(Table1[[#This Row],[Job_Type]] = "high qualif/self emp/mgmt", Table1[[#This Row],[Job_Type]] = "skilled"),
      "Skilled", "Unskilled")</f>
        <v>Skilled</v>
      </c>
      <c r="T794" t="str">
        <f>IF(Table1[[#This Row],[Job_Type]] = "unemp/unskilled non res", "Unemployed", "Employed")</f>
        <v>Employed</v>
      </c>
      <c r="U794" t="s">
        <v>21</v>
      </c>
      <c r="V794" s="14" t="str" cm="1">
        <f t="array" ref="V79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94" t="s">
        <v>31</v>
      </c>
      <c r="X794" s="2" t="str">
        <f>_xlfn.XLOOKUP(Table1[[#This Row],[Loan_Credit_History]],Table4[Credit History],Table4[[ Category]])</f>
        <v>Existing Credits Paid</v>
      </c>
      <c r="Y794" s="3">
        <v>4</v>
      </c>
      <c r="Z794" s="3">
        <v>1</v>
      </c>
      <c r="AA794" s="5">
        <v>2028</v>
      </c>
      <c r="AB794" t="s">
        <v>151</v>
      </c>
      <c r="AC794" s="2" t="str" cm="1">
        <f t="array" ref="AC794">_xlfn.IFS(Table1[[#This Row],[Others_Parties]] = "No", "None",
Table1[[#This Row],[Others_Parties]] = "co applicant", "Co-applicant",
Table1[[#This Row],[Others_Parties]] = "guarantor", "Guarantor")</f>
        <v>None</v>
      </c>
      <c r="AD794" s="13" t="s">
        <v>145</v>
      </c>
      <c r="AE794" s="2" t="s">
        <v>107</v>
      </c>
      <c r="AF794" s="28" t="str" cm="1">
        <f t="array" ref="AF79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94" s="21">
        <v>12</v>
      </c>
      <c r="AH794" s="2" t="s">
        <v>154</v>
      </c>
      <c r="AI794"/>
      <c r="AZ794"/>
      <c r="BC794"/>
      <c r="BE794"/>
      <c r="BL794"/>
      <c r="BZ794"/>
      <c r="CA794"/>
      <c r="CF794"/>
      <c r="CG794"/>
      <c r="CH794"/>
      <c r="CI794"/>
      <c r="CK794"/>
      <c r="CN794"/>
    </row>
    <row r="795" spans="1:92" x14ac:dyDescent="0.3">
      <c r="A795" s="4">
        <v>793</v>
      </c>
      <c r="B795" s="11">
        <v>28</v>
      </c>
      <c r="C795" s="2" t="str">
        <f>_xlfn.XLOOKUP(Table1[[#This Row],[Age]],Table7[Start_Age],Table7[Age_Range],,-1)</f>
        <v>19-29</v>
      </c>
      <c r="D795" t="s">
        <v>136</v>
      </c>
      <c r="E795" s="2" t="s">
        <v>131</v>
      </c>
      <c r="F795" s="2" t="s">
        <v>137</v>
      </c>
      <c r="G795" s="3">
        <v>1</v>
      </c>
      <c r="H795" s="13" t="s">
        <v>152</v>
      </c>
      <c r="I795" s="2" t="str" cm="1">
        <f t="array" ref="I795">_xlfn.IFS(Table1[[#This Row],[Job_Type]] = "unskilled resident", "Resident",
Table1[[#This Row],[Job_Type]] = "unemp/unskilled non res", "Non-resident",
TRUE, "Unknown")</f>
        <v>Unknown</v>
      </c>
      <c r="J795" s="2" t="s">
        <v>148</v>
      </c>
      <c r="K795" s="3">
        <v>2</v>
      </c>
      <c r="L795" s="2" t="s">
        <v>144</v>
      </c>
      <c r="M795" s="13" t="s">
        <v>151</v>
      </c>
      <c r="N795" t="s">
        <v>17</v>
      </c>
      <c r="O795" s="2" t="str">
        <f>_xlfn.XLOOKUP(Table1[[#This Row],[Checking_Acct_Status]],Table3[Checking_Acct_Original],Table3[Category])</f>
        <v>No Account</v>
      </c>
      <c r="P795" s="10" t="s">
        <v>46</v>
      </c>
      <c r="Q795" s="13" t="str">
        <f>_xlfn.XLOOKUP(Table1[[#This Row],[Saving_Acct_Status]],Table5[Saving_Acct_Original],Table5[Category])</f>
        <v>Medium Savings</v>
      </c>
      <c r="R795" t="s">
        <v>41</v>
      </c>
      <c r="S795" s="2" t="str">
        <f>IF(
      OR(Table1[[#This Row],[Job_Type]] = "high qualif/self emp/mgmt", Table1[[#This Row],[Job_Type]] = "skilled"),
      "Skilled", "Unskilled")</f>
        <v>Skilled</v>
      </c>
      <c r="T795" t="str">
        <f>IF(Table1[[#This Row],[Job_Type]] = "unemp/unskilled non res", "Unemployed", "Employed")</f>
        <v>Employed</v>
      </c>
      <c r="U795" t="s">
        <v>21</v>
      </c>
      <c r="V795" s="14" t="str" cm="1">
        <f t="array" ref="V79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95" t="s">
        <v>31</v>
      </c>
      <c r="X795" s="2" t="str">
        <f>_xlfn.XLOOKUP(Table1[[#This Row],[Loan_Credit_History]],Table4[Credit History],Table4[[ Category]])</f>
        <v>Existing Credits Paid</v>
      </c>
      <c r="Y795" s="3">
        <v>4</v>
      </c>
      <c r="Z795" s="3">
        <v>1</v>
      </c>
      <c r="AA795" s="5">
        <v>2073</v>
      </c>
      <c r="AB795" t="s">
        <v>55</v>
      </c>
      <c r="AC795" s="2" t="str" cm="1">
        <f t="array" ref="AC795">_xlfn.IFS(Table1[[#This Row],[Others_Parties]] = "No", "None",
Table1[[#This Row],[Others_Parties]] = "co applicant", "Co-applicant",
Table1[[#This Row],[Others_Parties]] = "guarantor", "Guarantor")</f>
        <v>Co-applicant</v>
      </c>
      <c r="AD795" s="13" t="s">
        <v>145</v>
      </c>
      <c r="AE795" s="2" t="s">
        <v>111</v>
      </c>
      <c r="AF795" s="28" t="str" cm="1">
        <f t="array" ref="AF79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95" s="21">
        <v>12</v>
      </c>
      <c r="AH795" s="2" t="s">
        <v>154</v>
      </c>
      <c r="AI795"/>
      <c r="AZ795"/>
      <c r="BC795"/>
      <c r="BE795"/>
      <c r="BL795"/>
      <c r="BZ795"/>
      <c r="CA795"/>
      <c r="CF795"/>
      <c r="CG795"/>
      <c r="CH795"/>
      <c r="CI795"/>
      <c r="CK795"/>
      <c r="CN795"/>
    </row>
    <row r="796" spans="1:92" x14ac:dyDescent="0.3">
      <c r="A796" s="4">
        <v>794</v>
      </c>
      <c r="B796" s="11">
        <v>49</v>
      </c>
      <c r="C796" s="2" t="str">
        <f>_xlfn.XLOOKUP(Table1[[#This Row],[Age]],Table7[Start_Age],Table7[Age_Range],,-1)</f>
        <v>49-59</v>
      </c>
      <c r="D796" t="s">
        <v>130</v>
      </c>
      <c r="E796" s="2" t="s">
        <v>129</v>
      </c>
      <c r="F796" s="2" t="s">
        <v>133</v>
      </c>
      <c r="G796" s="3">
        <v>2</v>
      </c>
      <c r="H796" s="13" t="s">
        <v>152</v>
      </c>
      <c r="I796" s="2" t="str" cm="1">
        <f t="array" ref="I796">_xlfn.IFS(Table1[[#This Row],[Job_Type]] = "unskilled resident", "Resident",
Table1[[#This Row],[Job_Type]] = "unemp/unskilled non res", "Non-resident",
TRUE, "Unknown")</f>
        <v>Resident</v>
      </c>
      <c r="J796" s="2" t="s">
        <v>148</v>
      </c>
      <c r="K796" s="3">
        <v>3</v>
      </c>
      <c r="L796" s="2" t="s">
        <v>144</v>
      </c>
      <c r="M796" s="13" t="s">
        <v>151</v>
      </c>
      <c r="N796" t="s">
        <v>17</v>
      </c>
      <c r="O796" s="2" t="str">
        <f>_xlfn.XLOOKUP(Table1[[#This Row],[Checking_Acct_Status]],Table3[Checking_Acct_Original],Table3[Category])</f>
        <v>No Account</v>
      </c>
      <c r="P796" s="10" t="s">
        <v>32</v>
      </c>
      <c r="Q796" s="13" t="str">
        <f>_xlfn.XLOOKUP(Table1[[#This Row],[Saving_Acct_Status]],Table5[Saving_Acct_Original],Table5[Category])</f>
        <v>Low Savings</v>
      </c>
      <c r="R796" t="s">
        <v>27</v>
      </c>
      <c r="S796" s="2" t="str">
        <f>IF(
      OR(Table1[[#This Row],[Job_Type]] = "high qualif/self emp/mgmt", Table1[[#This Row],[Job_Type]] = "skilled"),
      "Skilled", "Unskilled")</f>
        <v>Unskilled</v>
      </c>
      <c r="T796" t="str">
        <f>IF(Table1[[#This Row],[Job_Type]] = "unemp/unskilled non res", "Unemployed", "Employed")</f>
        <v>Employed</v>
      </c>
      <c r="U796" t="s">
        <v>49</v>
      </c>
      <c r="V796" s="14" t="str" cm="1">
        <f t="array" ref="V79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96" t="s">
        <v>103</v>
      </c>
      <c r="X796" s="2" t="str">
        <f>_xlfn.XLOOKUP(Table1[[#This Row],[Loan_Credit_History]],Table4[Credit History],Table4[[ Category]])</f>
        <v>Critical Credit History</v>
      </c>
      <c r="Y796" s="3">
        <v>2</v>
      </c>
      <c r="Z796" s="3">
        <v>1</v>
      </c>
      <c r="AA796" s="5">
        <v>2096</v>
      </c>
      <c r="AB796" t="s">
        <v>151</v>
      </c>
      <c r="AC796" s="2" t="str" cm="1">
        <f t="array" ref="AC796">_xlfn.IFS(Table1[[#This Row],[Others_Parties]] = "No", "None",
Table1[[#This Row],[Others_Parties]] = "co applicant", "Co-applicant",
Table1[[#This Row],[Others_Parties]] = "guarantor", "Guarantor")</f>
        <v>None</v>
      </c>
      <c r="AD796" s="13" t="s">
        <v>145</v>
      </c>
      <c r="AE796" s="2" t="s">
        <v>100</v>
      </c>
      <c r="AF796" s="28" t="str" cm="1">
        <f t="array" ref="AF79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96" s="21">
        <v>12</v>
      </c>
      <c r="AH796" s="2" t="s">
        <v>154</v>
      </c>
      <c r="AI796"/>
      <c r="AZ796"/>
      <c r="BC796"/>
      <c r="BE796"/>
      <c r="BL796"/>
      <c r="BZ796"/>
      <c r="CA796"/>
      <c r="CF796"/>
      <c r="CG796"/>
      <c r="CH796"/>
      <c r="CI796"/>
      <c r="CK796"/>
      <c r="CN796"/>
    </row>
    <row r="797" spans="1:92" x14ac:dyDescent="0.3">
      <c r="A797" s="4">
        <v>795</v>
      </c>
      <c r="B797" s="11">
        <v>30</v>
      </c>
      <c r="C797" s="2" t="str">
        <f>_xlfn.XLOOKUP(Table1[[#This Row],[Age]],Table7[Start_Age],Table7[Age_Range],,-1)</f>
        <v>29-39</v>
      </c>
      <c r="D797" t="s">
        <v>130</v>
      </c>
      <c r="E797" s="2" t="s">
        <v>129</v>
      </c>
      <c r="F797" s="2" t="s">
        <v>133</v>
      </c>
      <c r="G797" s="3">
        <v>1</v>
      </c>
      <c r="H797" s="13" t="s">
        <v>152</v>
      </c>
      <c r="I797" s="2" t="str" cm="1">
        <f t="array" ref="I797">_xlfn.IFS(Table1[[#This Row],[Job_Type]] = "unskilled resident", "Resident",
Table1[[#This Row],[Job_Type]] = "unemp/unskilled non res", "Non-resident",
TRUE, "Unknown")</f>
        <v>Unknown</v>
      </c>
      <c r="J797" s="2" t="s">
        <v>148</v>
      </c>
      <c r="K797" s="3">
        <v>2</v>
      </c>
      <c r="L797" s="2" t="s">
        <v>143</v>
      </c>
      <c r="M797" s="13" t="s">
        <v>151</v>
      </c>
      <c r="N797" t="s">
        <v>35</v>
      </c>
      <c r="O797" s="2" t="str">
        <f>_xlfn.XLOOKUP(Table1[[#This Row],[Checking_Acct_Status]],Table3[Checking_Acct_Original],Table3[Category])</f>
        <v>Negative Balance</v>
      </c>
      <c r="P797" s="10" t="s">
        <v>32</v>
      </c>
      <c r="Q797" s="13" t="str">
        <f>_xlfn.XLOOKUP(Table1[[#This Row],[Saving_Acct_Status]],Table5[Saving_Acct_Original],Table5[Category])</f>
        <v>Low Savings</v>
      </c>
      <c r="R797" t="s">
        <v>41</v>
      </c>
      <c r="S797" s="2" t="str">
        <f>IF(
      OR(Table1[[#This Row],[Job_Type]] = "high qualif/self emp/mgmt", Table1[[#This Row],[Job_Type]] = "skilled"),
      "Skilled", "Unskilled")</f>
        <v>Skilled</v>
      </c>
      <c r="T797" t="str">
        <f>IF(Table1[[#This Row],[Job_Type]] = "unemp/unskilled non res", "Unemployed", "Employed")</f>
        <v>Employed</v>
      </c>
      <c r="U797" t="s">
        <v>21</v>
      </c>
      <c r="V797" s="14" t="str" cm="1">
        <f t="array" ref="V79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797" t="s">
        <v>103</v>
      </c>
      <c r="X797" s="2" t="str">
        <f>_xlfn.XLOOKUP(Table1[[#This Row],[Loan_Credit_History]],Table4[Credit History],Table4[[ Category]])</f>
        <v>Critical Credit History</v>
      </c>
      <c r="Y797" s="3">
        <v>4</v>
      </c>
      <c r="Z797" s="3">
        <v>2</v>
      </c>
      <c r="AA797" s="5">
        <v>2121</v>
      </c>
      <c r="AB797" t="s">
        <v>151</v>
      </c>
      <c r="AC797" s="2" t="str" cm="1">
        <f t="array" ref="AC797">_xlfn.IFS(Table1[[#This Row],[Others_Parties]] = "No", "None",
Table1[[#This Row],[Others_Parties]] = "co applicant", "Co-applicant",
Table1[[#This Row],[Others_Parties]] = "guarantor", "Guarantor")</f>
        <v>None</v>
      </c>
      <c r="AD797" s="13" t="s">
        <v>145</v>
      </c>
      <c r="AE797" s="2" t="s">
        <v>141</v>
      </c>
      <c r="AF797" s="28" t="str" cm="1">
        <f t="array" ref="AF79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97" s="21">
        <v>12</v>
      </c>
      <c r="AH797" s="2" t="s">
        <v>154</v>
      </c>
      <c r="AI797"/>
      <c r="AZ797"/>
      <c r="BC797"/>
      <c r="BE797"/>
      <c r="BL797"/>
      <c r="BZ797"/>
      <c r="CA797"/>
      <c r="CF797"/>
      <c r="CG797"/>
      <c r="CH797"/>
      <c r="CI797"/>
      <c r="CK797"/>
      <c r="CN797"/>
    </row>
    <row r="798" spans="1:92" x14ac:dyDescent="0.3">
      <c r="A798" s="4">
        <v>796</v>
      </c>
      <c r="B798" s="11">
        <v>52</v>
      </c>
      <c r="C798" s="2" t="str">
        <f>_xlfn.XLOOKUP(Table1[[#This Row],[Age]],Table7[Start_Age],Table7[Age_Range],,-1)</f>
        <v>49-59</v>
      </c>
      <c r="D798" t="s">
        <v>136</v>
      </c>
      <c r="E798" s="2" t="s">
        <v>131</v>
      </c>
      <c r="F798" s="2" t="s">
        <v>137</v>
      </c>
      <c r="G798" s="3">
        <v>1</v>
      </c>
      <c r="H798" s="13" t="s">
        <v>152</v>
      </c>
      <c r="I798" s="2" t="str" cm="1">
        <f t="array" ref="I798">_xlfn.IFS(Table1[[#This Row],[Job_Type]] = "unskilled resident", "Resident",
Table1[[#This Row],[Job_Type]] = "unemp/unskilled non res", "Non-resident",
TRUE, "Unknown")</f>
        <v>Unknown</v>
      </c>
      <c r="J798" s="2" t="s">
        <v>150</v>
      </c>
      <c r="K798" s="3">
        <v>4</v>
      </c>
      <c r="L798" s="2" t="s">
        <v>142</v>
      </c>
      <c r="M798" s="13" t="s">
        <v>152</v>
      </c>
      <c r="N798" t="s">
        <v>17</v>
      </c>
      <c r="O798" s="2" t="str">
        <f>_xlfn.XLOOKUP(Table1[[#This Row],[Checking_Acct_Status]],Table3[Checking_Acct_Original],Table3[Category])</f>
        <v>No Account</v>
      </c>
      <c r="P798" s="10" t="s">
        <v>47</v>
      </c>
      <c r="Q798" s="13" t="str">
        <f>_xlfn.XLOOKUP(Table1[[#This Row],[Saving_Acct_Status]],Table5[Saving_Acct_Original],Table5[Category])</f>
        <v>No Savings</v>
      </c>
      <c r="R798" t="s">
        <v>63</v>
      </c>
      <c r="S798" s="2" t="str">
        <f>IF(
      OR(Table1[[#This Row],[Job_Type]] = "high qualif/self emp/mgmt", Table1[[#This Row],[Job_Type]] = "skilled"),
      "Skilled", "Unskilled")</f>
        <v>Skilled</v>
      </c>
      <c r="T798" t="str">
        <f>IF(Table1[[#This Row],[Job_Type]] = "unemp/unskilled non res", "Unemployed", "Employed")</f>
        <v>Employed</v>
      </c>
      <c r="U798" t="s">
        <v>38</v>
      </c>
      <c r="V798" s="14" t="str" cm="1">
        <f t="array" ref="V79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798" t="s">
        <v>31</v>
      </c>
      <c r="X798" s="2" t="str">
        <f>_xlfn.XLOOKUP(Table1[[#This Row],[Loan_Credit_History]],Table4[Credit History],Table4[[ Category]])</f>
        <v>Existing Credits Paid</v>
      </c>
      <c r="Y798" s="3">
        <v>4</v>
      </c>
      <c r="Z798" s="3">
        <v>1</v>
      </c>
      <c r="AA798" s="5">
        <v>2133</v>
      </c>
      <c r="AB798" t="s">
        <v>151</v>
      </c>
      <c r="AC798" s="2" t="str" cm="1">
        <f t="array" ref="AC798">_xlfn.IFS(Table1[[#This Row],[Others_Parties]] = "No", "None",
Table1[[#This Row],[Others_Parties]] = "co applicant", "Co-applicant",
Table1[[#This Row],[Others_Parties]] = "guarantor", "Guarantor")</f>
        <v>None</v>
      </c>
      <c r="AD798" s="13" t="s">
        <v>145</v>
      </c>
      <c r="AE798" s="2" t="s">
        <v>141</v>
      </c>
      <c r="AF798" s="28" t="str" cm="1">
        <f t="array" ref="AF79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98" s="21">
        <v>12</v>
      </c>
      <c r="AH798" s="2" t="s">
        <v>154</v>
      </c>
      <c r="AI798"/>
      <c r="AZ798"/>
      <c r="BC798"/>
      <c r="BE798"/>
      <c r="BL798"/>
      <c r="BZ798"/>
      <c r="CA798"/>
      <c r="CF798"/>
      <c r="CG798"/>
      <c r="CH798"/>
      <c r="CI798"/>
      <c r="CK798"/>
      <c r="CN798"/>
    </row>
    <row r="799" spans="1:92" x14ac:dyDescent="0.3">
      <c r="A799" s="4">
        <v>797</v>
      </c>
      <c r="B799" s="11">
        <v>35</v>
      </c>
      <c r="C799" s="2" t="str">
        <f>_xlfn.XLOOKUP(Table1[[#This Row],[Age]],Table7[Start_Age],Table7[Age_Range],,-1)</f>
        <v>29-39</v>
      </c>
      <c r="D799" t="s">
        <v>130</v>
      </c>
      <c r="E799" s="2" t="s">
        <v>129</v>
      </c>
      <c r="F799" s="2" t="s">
        <v>133</v>
      </c>
      <c r="G799" s="3">
        <v>1</v>
      </c>
      <c r="H799" s="13" t="s">
        <v>152</v>
      </c>
      <c r="I799" s="2" t="str" cm="1">
        <f t="array" ref="I799">_xlfn.IFS(Table1[[#This Row],[Job_Type]] = "unskilled resident", "Resident",
Table1[[#This Row],[Job_Type]] = "unemp/unskilled non res", "Non-resident",
TRUE, "Unknown")</f>
        <v>Unknown</v>
      </c>
      <c r="J799" s="2" t="s">
        <v>148</v>
      </c>
      <c r="K799" s="3">
        <v>1</v>
      </c>
      <c r="L799" s="2" t="s">
        <v>142</v>
      </c>
      <c r="M799" s="13" t="s">
        <v>151</v>
      </c>
      <c r="N799" t="s">
        <v>17</v>
      </c>
      <c r="O799" s="2" t="str">
        <f>_xlfn.XLOOKUP(Table1[[#This Row],[Checking_Acct_Status]],Table3[Checking_Acct_Original],Table3[Category])</f>
        <v>No Account</v>
      </c>
      <c r="P799" s="10" t="s">
        <v>46</v>
      </c>
      <c r="Q799" s="13" t="str">
        <f>_xlfn.XLOOKUP(Table1[[#This Row],[Saving_Acct_Status]],Table5[Saving_Acct_Original],Table5[Category])</f>
        <v>Medium Savings</v>
      </c>
      <c r="R799" t="s">
        <v>41</v>
      </c>
      <c r="S799" s="2" t="str">
        <f>IF(
      OR(Table1[[#This Row],[Job_Type]] = "high qualif/self emp/mgmt", Table1[[#This Row],[Job_Type]] = "skilled"),
      "Skilled", "Unskilled")</f>
        <v>Skilled</v>
      </c>
      <c r="T799" t="str">
        <f>IF(Table1[[#This Row],[Job_Type]] = "unemp/unskilled non res", "Unemployed", "Employed")</f>
        <v>Employed</v>
      </c>
      <c r="U799" t="s">
        <v>49</v>
      </c>
      <c r="V799" s="14" t="str" cm="1">
        <f t="array" ref="V79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799" t="s">
        <v>31</v>
      </c>
      <c r="X799" s="2" t="str">
        <f>_xlfn.XLOOKUP(Table1[[#This Row],[Loan_Credit_History]],Table4[Credit History],Table4[[ Category]])</f>
        <v>Existing Credits Paid</v>
      </c>
      <c r="Y799" s="3">
        <v>3</v>
      </c>
      <c r="Z799" s="3">
        <v>1</v>
      </c>
      <c r="AA799" s="5">
        <v>2141</v>
      </c>
      <c r="AB799" t="s">
        <v>151</v>
      </c>
      <c r="AC799" s="2" t="str" cm="1">
        <f t="array" ref="AC799">_xlfn.IFS(Table1[[#This Row],[Others_Parties]] = "No", "None",
Table1[[#This Row],[Others_Parties]] = "co applicant", "Co-applicant",
Table1[[#This Row],[Others_Parties]] = "guarantor", "Guarantor")</f>
        <v>None</v>
      </c>
      <c r="AD799" s="13" t="s">
        <v>145</v>
      </c>
      <c r="AE799" s="2" t="s">
        <v>111</v>
      </c>
      <c r="AF799" s="28" t="str" cm="1">
        <f t="array" ref="AF79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799" s="21">
        <v>12</v>
      </c>
      <c r="AH799" s="2" t="s">
        <v>154</v>
      </c>
      <c r="AI799"/>
      <c r="AZ799"/>
      <c r="BC799"/>
      <c r="BE799"/>
      <c r="BL799"/>
      <c r="BZ799"/>
      <c r="CA799"/>
      <c r="CF799"/>
      <c r="CG799"/>
      <c r="CH799"/>
      <c r="CI799"/>
      <c r="CK799"/>
      <c r="CN799"/>
    </row>
    <row r="800" spans="1:92" x14ac:dyDescent="0.3">
      <c r="A800" s="4">
        <v>798</v>
      </c>
      <c r="B800" s="11">
        <v>29</v>
      </c>
      <c r="C800" s="2" t="str">
        <f>_xlfn.XLOOKUP(Table1[[#This Row],[Age]],Table7[Start_Age],Table7[Age_Range],,-1)</f>
        <v>29-39</v>
      </c>
      <c r="D800" t="s">
        <v>138</v>
      </c>
      <c r="E800" s="2" t="s">
        <v>129</v>
      </c>
      <c r="F800" s="2" t="s">
        <v>178</v>
      </c>
      <c r="G800" s="3">
        <v>1</v>
      </c>
      <c r="H800" s="13" t="s">
        <v>152</v>
      </c>
      <c r="I800" s="2" t="str" cm="1">
        <f t="array" ref="I800">_xlfn.IFS(Table1[[#This Row],[Job_Type]] = "unskilled resident", "Resident",
Table1[[#This Row],[Job_Type]] = "unemp/unskilled non res", "Non-resident",
TRUE, "Unknown")</f>
        <v>Unknown</v>
      </c>
      <c r="J800" s="2" t="s">
        <v>150</v>
      </c>
      <c r="K800" s="3">
        <v>1</v>
      </c>
      <c r="L800" s="2" t="s">
        <v>142</v>
      </c>
      <c r="M800" s="13" t="s">
        <v>151</v>
      </c>
      <c r="N800" t="s">
        <v>35</v>
      </c>
      <c r="O800" s="2" t="str">
        <f>_xlfn.XLOOKUP(Table1[[#This Row],[Checking_Acct_Status]],Table3[Checking_Acct_Original],Table3[Category])</f>
        <v>Negative Balance</v>
      </c>
      <c r="P800" s="10" t="s">
        <v>32</v>
      </c>
      <c r="Q800" s="13" t="str">
        <f>_xlfn.XLOOKUP(Table1[[#This Row],[Saving_Acct_Status]],Table5[Saving_Acct_Original],Table5[Category])</f>
        <v>Low Savings</v>
      </c>
      <c r="R800" t="s">
        <v>41</v>
      </c>
      <c r="S800" s="2" t="str">
        <f>IF(
      OR(Table1[[#This Row],[Job_Type]] = "high qualif/self emp/mgmt", Table1[[#This Row],[Job_Type]] = "skilled"),
      "Skilled", "Unskilled")</f>
        <v>Skilled</v>
      </c>
      <c r="T800" t="str">
        <f>IF(Table1[[#This Row],[Job_Type]] = "unemp/unskilled non res", "Unemployed", "Employed")</f>
        <v>Employed</v>
      </c>
      <c r="U800" t="s">
        <v>21</v>
      </c>
      <c r="V800" s="14" t="str" cm="1">
        <f t="array" ref="V80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00" t="s">
        <v>42</v>
      </c>
      <c r="X800" s="2" t="str">
        <f>_xlfn.XLOOKUP(Table1[[#This Row],[Loan_Credit_History]],Table4[Credit History],Table4[[ Category]])</f>
        <v>All Paid</v>
      </c>
      <c r="Y800" s="3">
        <v>4</v>
      </c>
      <c r="Z800" s="3">
        <v>1</v>
      </c>
      <c r="AA800" s="5">
        <v>2149</v>
      </c>
      <c r="AB800" t="s">
        <v>151</v>
      </c>
      <c r="AC800" s="2" t="str" cm="1">
        <f t="array" ref="AC800">_xlfn.IFS(Table1[[#This Row],[Others_Parties]] = "No", "None",
Table1[[#This Row],[Others_Parties]] = "co applicant", "Co-applicant",
Table1[[#This Row],[Others_Parties]] = "guarantor", "Guarantor")</f>
        <v>None</v>
      </c>
      <c r="AD800" s="13" t="s">
        <v>145</v>
      </c>
      <c r="AE800" s="2" t="s">
        <v>111</v>
      </c>
      <c r="AF800" s="28" t="str" cm="1">
        <f t="array" ref="AF80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00" s="21">
        <v>12</v>
      </c>
      <c r="AH800" s="2" t="s">
        <v>153</v>
      </c>
      <c r="AI800"/>
      <c r="AZ800"/>
      <c r="BC800"/>
      <c r="BE800"/>
      <c r="BL800"/>
      <c r="BZ800"/>
      <c r="CA800"/>
      <c r="CF800"/>
      <c r="CG800"/>
      <c r="CH800"/>
      <c r="CI800"/>
      <c r="CK800"/>
      <c r="CN800"/>
    </row>
    <row r="801" spans="1:92" x14ac:dyDescent="0.3">
      <c r="A801" s="4">
        <v>799</v>
      </c>
      <c r="B801" s="11">
        <v>29</v>
      </c>
      <c r="C801" s="2" t="str">
        <f>_xlfn.XLOOKUP(Table1[[#This Row],[Age]],Table7[Start_Age],Table7[Age_Range],,-1)</f>
        <v>29-39</v>
      </c>
      <c r="D801" t="s">
        <v>136</v>
      </c>
      <c r="E801" s="2" t="s">
        <v>131</v>
      </c>
      <c r="F801" s="2" t="s">
        <v>137</v>
      </c>
      <c r="G801" s="3">
        <v>1</v>
      </c>
      <c r="H801" s="13" t="s">
        <v>152</v>
      </c>
      <c r="I801" s="2" t="str" cm="1">
        <f t="array" ref="I801">_xlfn.IFS(Table1[[#This Row],[Job_Type]] = "unskilled resident", "Resident",
Table1[[#This Row],[Job_Type]] = "unemp/unskilled non res", "Non-resident",
TRUE, "Unknown")</f>
        <v>Unknown</v>
      </c>
      <c r="J801" s="2" t="s">
        <v>148</v>
      </c>
      <c r="K801" s="3">
        <v>2</v>
      </c>
      <c r="L801" s="2" t="s">
        <v>140</v>
      </c>
      <c r="M801" s="13" t="s">
        <v>151</v>
      </c>
      <c r="N801" t="s">
        <v>17</v>
      </c>
      <c r="O801" s="2" t="str">
        <f>_xlfn.XLOOKUP(Table1[[#This Row],[Checking_Acct_Status]],Table3[Checking_Acct_Original],Table3[Category])</f>
        <v>No Account</v>
      </c>
      <c r="P801" s="10" t="s">
        <v>32</v>
      </c>
      <c r="Q801" s="13" t="str">
        <f>_xlfn.XLOOKUP(Table1[[#This Row],[Saving_Acct_Status]],Table5[Saving_Acct_Original],Table5[Category])</f>
        <v>Low Savings</v>
      </c>
      <c r="R801" t="s">
        <v>41</v>
      </c>
      <c r="S801" s="2" t="str">
        <f>IF(
      OR(Table1[[#This Row],[Job_Type]] = "high qualif/self emp/mgmt", Table1[[#This Row],[Job_Type]] = "skilled"),
      "Skilled", "Unskilled")</f>
        <v>Skilled</v>
      </c>
      <c r="T801" t="str">
        <f>IF(Table1[[#This Row],[Job_Type]] = "unemp/unskilled non res", "Unemployed", "Employed")</f>
        <v>Employed</v>
      </c>
      <c r="U801" t="s">
        <v>45</v>
      </c>
      <c r="V801" s="14" t="str" cm="1">
        <f t="array" ref="V80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01" t="s">
        <v>31</v>
      </c>
      <c r="X801" s="2" t="str">
        <f>_xlfn.XLOOKUP(Table1[[#This Row],[Loan_Credit_History]],Table4[Credit History],Table4[[ Category]])</f>
        <v>Existing Credits Paid</v>
      </c>
      <c r="Y801" s="3">
        <v>2</v>
      </c>
      <c r="Z801" s="3">
        <v>1</v>
      </c>
      <c r="AA801" s="5">
        <v>2171</v>
      </c>
      <c r="AB801" t="s">
        <v>151</v>
      </c>
      <c r="AC801" s="2" t="str" cm="1">
        <f t="array" ref="AC801">_xlfn.IFS(Table1[[#This Row],[Others_Parties]] = "No", "None",
Table1[[#This Row],[Others_Parties]] = "co applicant", "Co-applicant",
Table1[[#This Row],[Others_Parties]] = "guarantor", "Guarantor")</f>
        <v>None</v>
      </c>
      <c r="AD801" s="13" t="s">
        <v>146</v>
      </c>
      <c r="AE801" s="2" t="s">
        <v>111</v>
      </c>
      <c r="AF801" s="28" t="str" cm="1">
        <f t="array" ref="AF80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01" s="21">
        <v>12</v>
      </c>
      <c r="AH801" s="2" t="s">
        <v>154</v>
      </c>
      <c r="AI801"/>
      <c r="AZ801"/>
      <c r="BC801"/>
      <c r="BE801"/>
      <c r="BL801"/>
      <c r="BZ801"/>
      <c r="CA801"/>
      <c r="CF801"/>
      <c r="CG801"/>
      <c r="CH801"/>
      <c r="CI801"/>
      <c r="CK801"/>
      <c r="CN801"/>
    </row>
    <row r="802" spans="1:92" x14ac:dyDescent="0.3">
      <c r="A802" s="4">
        <v>800</v>
      </c>
      <c r="B802" s="11">
        <v>24</v>
      </c>
      <c r="C802" s="2" t="str">
        <f>_xlfn.XLOOKUP(Table1[[#This Row],[Age]],Table7[Start_Age],Table7[Age_Range],,-1)</f>
        <v>19-29</v>
      </c>
      <c r="D802" t="s">
        <v>130</v>
      </c>
      <c r="E802" s="2" t="s">
        <v>129</v>
      </c>
      <c r="F802" s="2" t="s">
        <v>133</v>
      </c>
      <c r="G802" s="3">
        <v>1</v>
      </c>
      <c r="H802" s="13" t="s">
        <v>152</v>
      </c>
      <c r="I802" s="2" t="str" cm="1">
        <f t="array" ref="I802">_xlfn.IFS(Table1[[#This Row],[Job_Type]] = "unskilled resident", "Resident",
Table1[[#This Row],[Job_Type]] = "unemp/unskilled non res", "Non-resident",
TRUE, "Unknown")</f>
        <v>Resident</v>
      </c>
      <c r="J802" s="2" t="s">
        <v>148</v>
      </c>
      <c r="K802" s="3">
        <v>3</v>
      </c>
      <c r="L802" s="2" t="s">
        <v>143</v>
      </c>
      <c r="M802" s="13" t="s">
        <v>151</v>
      </c>
      <c r="N802" t="s">
        <v>35</v>
      </c>
      <c r="O802" s="2" t="str">
        <f>_xlfn.XLOOKUP(Table1[[#This Row],[Checking_Acct_Status]],Table3[Checking_Acct_Original],Table3[Category])</f>
        <v>Negative Balance</v>
      </c>
      <c r="P802" s="10" t="s">
        <v>32</v>
      </c>
      <c r="Q802" s="13" t="str">
        <f>_xlfn.XLOOKUP(Table1[[#This Row],[Saving_Acct_Status]],Table5[Saving_Acct_Original],Table5[Category])</f>
        <v>Low Savings</v>
      </c>
      <c r="R802" t="s">
        <v>27</v>
      </c>
      <c r="S802" s="2" t="str">
        <f>IF(
      OR(Table1[[#This Row],[Job_Type]] = "high qualif/self emp/mgmt", Table1[[#This Row],[Job_Type]] = "skilled"),
      "Skilled", "Unskilled")</f>
        <v>Unskilled</v>
      </c>
      <c r="T802" t="str">
        <f>IF(Table1[[#This Row],[Job_Type]] = "unemp/unskilled non res", "Unemployed", "Employed")</f>
        <v>Employed</v>
      </c>
      <c r="U802" t="s">
        <v>21</v>
      </c>
      <c r="V802" s="14" t="str" cm="1">
        <f t="array" ref="V80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02" t="s">
        <v>31</v>
      </c>
      <c r="X802" s="2" t="str">
        <f>_xlfn.XLOOKUP(Table1[[#This Row],[Loan_Credit_History]],Table4[Credit History],Table4[[ Category]])</f>
        <v>Existing Credits Paid</v>
      </c>
      <c r="Y802" s="3">
        <v>4</v>
      </c>
      <c r="Z802" s="3">
        <v>1</v>
      </c>
      <c r="AA802" s="5">
        <v>2214</v>
      </c>
      <c r="AB802" t="s">
        <v>151</v>
      </c>
      <c r="AC802" s="2" t="str" cm="1">
        <f t="array" ref="AC802">_xlfn.IFS(Table1[[#This Row],[Others_Parties]] = "No", "None",
Table1[[#This Row],[Others_Parties]] = "co applicant", "Co-applicant",
Table1[[#This Row],[Others_Parties]] = "guarantor", "Guarantor")</f>
        <v>None</v>
      </c>
      <c r="AD802" s="13" t="s">
        <v>145</v>
      </c>
      <c r="AE802" s="2" t="s">
        <v>111</v>
      </c>
      <c r="AF802" s="28" t="str" cm="1">
        <f t="array" ref="AF80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02" s="21">
        <v>12</v>
      </c>
      <c r="AH802" s="2" t="s">
        <v>154</v>
      </c>
      <c r="AI802"/>
      <c r="AZ802"/>
      <c r="BC802"/>
      <c r="BE802"/>
      <c r="BL802"/>
      <c r="BZ802"/>
      <c r="CA802"/>
      <c r="CF802"/>
      <c r="CG802"/>
      <c r="CH802"/>
      <c r="CI802"/>
      <c r="CK802"/>
      <c r="CN802"/>
    </row>
    <row r="803" spans="1:92" x14ac:dyDescent="0.3">
      <c r="A803" s="4">
        <v>801</v>
      </c>
      <c r="B803" s="11">
        <v>60</v>
      </c>
      <c r="C803" s="2" t="str">
        <f>_xlfn.XLOOKUP(Table1[[#This Row],[Age]],Table7[Start_Age],Table7[Age_Range],,-1)</f>
        <v>59-69</v>
      </c>
      <c r="D803" t="s">
        <v>130</v>
      </c>
      <c r="E803" s="2" t="s">
        <v>129</v>
      </c>
      <c r="F803" s="2" t="s">
        <v>133</v>
      </c>
      <c r="G803" s="3">
        <v>1</v>
      </c>
      <c r="H803" s="13" t="s">
        <v>152</v>
      </c>
      <c r="I803" s="2" t="str" cm="1">
        <f t="array" ref="I803">_xlfn.IFS(Table1[[#This Row],[Job_Type]] = "unskilled resident", "Resident",
Table1[[#This Row],[Job_Type]] = "unemp/unskilled non res", "Non-resident",
TRUE, "Unknown")</f>
        <v>Unknown</v>
      </c>
      <c r="J803" s="2" t="s">
        <v>148</v>
      </c>
      <c r="K803" s="3">
        <v>3</v>
      </c>
      <c r="L803" s="2" t="s">
        <v>143</v>
      </c>
      <c r="M803" s="13" t="s">
        <v>151</v>
      </c>
      <c r="N803" t="s">
        <v>35</v>
      </c>
      <c r="O803" s="2" t="str">
        <f>_xlfn.XLOOKUP(Table1[[#This Row],[Checking_Acct_Status]],Table3[Checking_Acct_Original],Table3[Category])</f>
        <v>Negative Balance</v>
      </c>
      <c r="P803" s="10" t="s">
        <v>32</v>
      </c>
      <c r="Q803" s="13" t="str">
        <f>_xlfn.XLOOKUP(Table1[[#This Row],[Saving_Acct_Status]],Table5[Saving_Acct_Original],Table5[Category])</f>
        <v>Low Savings</v>
      </c>
      <c r="R803" t="s">
        <v>41</v>
      </c>
      <c r="S803" s="2" t="str">
        <f>IF(
      OR(Table1[[#This Row],[Job_Type]] = "high qualif/self emp/mgmt", Table1[[#This Row],[Job_Type]] = "skilled"),
      "Skilled", "Unskilled")</f>
        <v>Skilled</v>
      </c>
      <c r="T803" t="str">
        <f>IF(Table1[[#This Row],[Job_Type]] = "unemp/unskilled non res", "Unemployed", "Employed")</f>
        <v>Employed</v>
      </c>
      <c r="U803" t="s">
        <v>38</v>
      </c>
      <c r="V803" s="14" t="str" cm="1">
        <f t="array" ref="V80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03" t="s">
        <v>103</v>
      </c>
      <c r="X803" s="2" t="str">
        <f>_xlfn.XLOOKUP(Table1[[#This Row],[Loan_Credit_History]],Table4[Credit History],Table4[[ Category]])</f>
        <v>Critical Credit History</v>
      </c>
      <c r="Y803" s="3">
        <v>3</v>
      </c>
      <c r="Z803" s="3">
        <v>2</v>
      </c>
      <c r="AA803" s="5">
        <v>2246</v>
      </c>
      <c r="AB803" t="s">
        <v>151</v>
      </c>
      <c r="AC803" s="2" t="str" cm="1">
        <f t="array" ref="AC803">_xlfn.IFS(Table1[[#This Row],[Others_Parties]] = "No", "None",
Table1[[#This Row],[Others_Parties]] = "co applicant", "Co-applicant",
Table1[[#This Row],[Others_Parties]] = "guarantor", "Guarantor")</f>
        <v>None</v>
      </c>
      <c r="AD803" s="13" t="s">
        <v>145</v>
      </c>
      <c r="AE803" s="2" t="s">
        <v>108</v>
      </c>
      <c r="AF803" s="28" t="str" cm="1">
        <f t="array" ref="AF80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03" s="21">
        <v>12</v>
      </c>
      <c r="AH803" s="2" t="s">
        <v>153</v>
      </c>
      <c r="AI803"/>
      <c r="AZ803"/>
      <c r="BC803"/>
      <c r="BE803"/>
      <c r="BL803"/>
      <c r="BZ803"/>
      <c r="CA803"/>
      <c r="CF803"/>
      <c r="CG803"/>
      <c r="CH803"/>
      <c r="CI803"/>
      <c r="CK803"/>
      <c r="CN803"/>
    </row>
    <row r="804" spans="1:92" x14ac:dyDescent="0.3">
      <c r="A804" s="4">
        <v>802</v>
      </c>
      <c r="B804" s="11">
        <v>36</v>
      </c>
      <c r="C804" s="2" t="str">
        <f>_xlfn.XLOOKUP(Table1[[#This Row],[Age]],Table7[Start_Age],Table7[Age_Range],,-1)</f>
        <v>29-39</v>
      </c>
      <c r="D804" t="s">
        <v>136</v>
      </c>
      <c r="E804" s="2" t="s">
        <v>131</v>
      </c>
      <c r="F804" s="2" t="s">
        <v>137</v>
      </c>
      <c r="G804" s="3">
        <v>1</v>
      </c>
      <c r="H804" s="13" t="s">
        <v>152</v>
      </c>
      <c r="I804" s="2" t="str" cm="1">
        <f t="array" ref="I804">_xlfn.IFS(Table1[[#This Row],[Job_Type]] = "unskilled resident", "Resident",
Table1[[#This Row],[Job_Type]] = "unemp/unskilled non res", "Non-resident",
TRUE, "Unknown")</f>
        <v>Unknown</v>
      </c>
      <c r="J804" s="2" t="s">
        <v>148</v>
      </c>
      <c r="K804" s="3">
        <v>2</v>
      </c>
      <c r="L804" s="2" t="s">
        <v>140</v>
      </c>
      <c r="M804" s="13" t="s">
        <v>152</v>
      </c>
      <c r="N804" t="s">
        <v>50</v>
      </c>
      <c r="O804" s="2" t="str">
        <f>_xlfn.XLOOKUP(Table1[[#This Row],[Checking_Acct_Status]],Table3[Checking_Acct_Original],Table3[Category])</f>
        <v>High Balance</v>
      </c>
      <c r="P804" s="10" t="s">
        <v>32</v>
      </c>
      <c r="Q804" s="13" t="str">
        <f>_xlfn.XLOOKUP(Table1[[#This Row],[Saving_Acct_Status]],Table5[Saving_Acct_Original],Table5[Category])</f>
        <v>Low Savings</v>
      </c>
      <c r="R804" t="s">
        <v>41</v>
      </c>
      <c r="S804" s="2" t="str">
        <f>IF(
      OR(Table1[[#This Row],[Job_Type]] = "high qualif/self emp/mgmt", Table1[[#This Row],[Job_Type]] = "skilled"),
      "Skilled", "Unskilled")</f>
        <v>Skilled</v>
      </c>
      <c r="T804" t="str">
        <f>IF(Table1[[#This Row],[Job_Type]] = "unemp/unskilled non res", "Unemployed", "Employed")</f>
        <v>Employed</v>
      </c>
      <c r="U804" t="s">
        <v>21</v>
      </c>
      <c r="V804" s="14" t="str" cm="1">
        <f t="array" ref="V80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04" t="s">
        <v>59</v>
      </c>
      <c r="X804" s="2" t="str">
        <f>_xlfn.XLOOKUP(Table1[[#This Row],[Loan_Credit_History]],Table4[Credit History],Table4[[ Category]])</f>
        <v>Previously Delayed</v>
      </c>
      <c r="Y804" s="3">
        <v>2</v>
      </c>
      <c r="Z804" s="3">
        <v>2</v>
      </c>
      <c r="AA804" s="5">
        <v>2247</v>
      </c>
      <c r="AB804" t="s">
        <v>151</v>
      </c>
      <c r="AC804" s="2" t="str" cm="1">
        <f t="array" ref="AC804">_xlfn.IFS(Table1[[#This Row],[Others_Parties]] = "No", "None",
Table1[[#This Row],[Others_Parties]] = "co applicant", "Co-applicant",
Table1[[#This Row],[Others_Parties]] = "guarantor", "Guarantor")</f>
        <v>None</v>
      </c>
      <c r="AD804" s="13" t="s">
        <v>147</v>
      </c>
      <c r="AE804" s="2" t="s">
        <v>141</v>
      </c>
      <c r="AF804" s="28" t="str" cm="1">
        <f t="array" ref="AF80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04" s="21">
        <v>12</v>
      </c>
      <c r="AH804" s="2" t="s">
        <v>154</v>
      </c>
      <c r="AI804"/>
      <c r="AZ804"/>
      <c r="BC804"/>
      <c r="BE804"/>
      <c r="BL804"/>
      <c r="BZ804"/>
      <c r="CA804"/>
      <c r="CF804"/>
      <c r="CG804"/>
      <c r="CH804"/>
      <c r="CI804"/>
      <c r="CK804"/>
      <c r="CN804"/>
    </row>
    <row r="805" spans="1:92" x14ac:dyDescent="0.3">
      <c r="A805" s="4">
        <v>803</v>
      </c>
      <c r="B805" s="11">
        <v>46</v>
      </c>
      <c r="C805" s="2" t="str">
        <f>_xlfn.XLOOKUP(Table1[[#This Row],[Age]],Table7[Start_Age],Table7[Age_Range],,-1)</f>
        <v>39-49</v>
      </c>
      <c r="D805" t="s">
        <v>136</v>
      </c>
      <c r="E805" s="2" t="s">
        <v>131</v>
      </c>
      <c r="F805" s="2" t="s">
        <v>137</v>
      </c>
      <c r="G805" s="3">
        <v>1</v>
      </c>
      <c r="H805" s="13" t="s">
        <v>152</v>
      </c>
      <c r="I805" s="2" t="str" cm="1">
        <f t="array" ref="I805">_xlfn.IFS(Table1[[#This Row],[Job_Type]] = "unskilled resident", "Resident",
Table1[[#This Row],[Job_Type]] = "unemp/unskilled non res", "Non-resident",
TRUE, "Unknown")</f>
        <v>Resident</v>
      </c>
      <c r="J805" s="2" t="s">
        <v>148</v>
      </c>
      <c r="K805" s="3">
        <v>2</v>
      </c>
      <c r="L805" s="2" t="s">
        <v>140</v>
      </c>
      <c r="M805" s="13" t="s">
        <v>151</v>
      </c>
      <c r="N805" t="s">
        <v>50</v>
      </c>
      <c r="O805" s="2" t="str">
        <f>_xlfn.XLOOKUP(Table1[[#This Row],[Checking_Acct_Status]],Table3[Checking_Acct_Original],Table3[Category])</f>
        <v>High Balance</v>
      </c>
      <c r="P805" s="10" t="s">
        <v>32</v>
      </c>
      <c r="Q805" s="13" t="str">
        <f>_xlfn.XLOOKUP(Table1[[#This Row],[Saving_Acct_Status]],Table5[Saving_Acct_Original],Table5[Category])</f>
        <v>Low Savings</v>
      </c>
      <c r="R805" t="s">
        <v>27</v>
      </c>
      <c r="S805" s="2" t="str">
        <f>IF(
      OR(Table1[[#This Row],[Job_Type]] = "high qualif/self emp/mgmt", Table1[[#This Row],[Job_Type]] = "skilled"),
      "Skilled", "Unskilled")</f>
        <v>Unskilled</v>
      </c>
      <c r="T805" t="str">
        <f>IF(Table1[[#This Row],[Job_Type]] = "unemp/unskilled non res", "Unemployed", "Employed")</f>
        <v>Employed</v>
      </c>
      <c r="U805" t="s">
        <v>21</v>
      </c>
      <c r="V805" s="14" t="str" cm="1">
        <f t="array" ref="V80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05" t="s">
        <v>31</v>
      </c>
      <c r="X805" s="2" t="str">
        <f>_xlfn.XLOOKUP(Table1[[#This Row],[Loan_Credit_History]],Table4[Credit History],Table4[[ Category]])</f>
        <v>Existing Credits Paid</v>
      </c>
      <c r="Y805" s="3">
        <v>1</v>
      </c>
      <c r="Z805" s="3">
        <v>1</v>
      </c>
      <c r="AA805" s="5">
        <v>2251</v>
      </c>
      <c r="AB805" t="s">
        <v>151</v>
      </c>
      <c r="AC805" s="2" t="str" cm="1">
        <f t="array" ref="AC805">_xlfn.IFS(Table1[[#This Row],[Others_Parties]] = "No", "None",
Table1[[#This Row],[Others_Parties]] = "co applicant", "Co-applicant",
Table1[[#This Row],[Others_Parties]] = "guarantor", "Guarantor")</f>
        <v>None</v>
      </c>
      <c r="AD805" s="13" t="s">
        <v>145</v>
      </c>
      <c r="AE805" s="2" t="s">
        <v>108</v>
      </c>
      <c r="AF805" s="28" t="str" cm="1">
        <f t="array" ref="AF80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05" s="21">
        <v>12</v>
      </c>
      <c r="AH805" s="2" t="s">
        <v>154</v>
      </c>
      <c r="AI805"/>
      <c r="AZ805"/>
      <c r="BC805"/>
      <c r="BE805"/>
      <c r="BL805"/>
      <c r="BZ805"/>
      <c r="CA805"/>
      <c r="CF805"/>
      <c r="CG805"/>
      <c r="CH805"/>
      <c r="CI805"/>
      <c r="CK805"/>
      <c r="CN805"/>
    </row>
    <row r="806" spans="1:92" x14ac:dyDescent="0.3">
      <c r="A806" s="4">
        <v>804</v>
      </c>
      <c r="B806" s="11">
        <v>37</v>
      </c>
      <c r="C806" s="2" t="str">
        <f>_xlfn.XLOOKUP(Table1[[#This Row],[Age]],Table7[Start_Age],Table7[Age_Range],,-1)</f>
        <v>29-39</v>
      </c>
      <c r="D806" t="s">
        <v>130</v>
      </c>
      <c r="E806" s="2" t="s">
        <v>129</v>
      </c>
      <c r="F806" s="2" t="s">
        <v>133</v>
      </c>
      <c r="G806" s="3">
        <v>1</v>
      </c>
      <c r="H806" s="13" t="s">
        <v>152</v>
      </c>
      <c r="I806" s="2" t="str" cm="1">
        <f t="array" ref="I806">_xlfn.IFS(Table1[[#This Row],[Job_Type]] = "unskilled resident", "Resident",
Table1[[#This Row],[Job_Type]] = "unemp/unskilled non res", "Non-resident",
TRUE, "Unknown")</f>
        <v>Unknown</v>
      </c>
      <c r="J806" s="2" t="s">
        <v>150</v>
      </c>
      <c r="K806" s="3">
        <v>4</v>
      </c>
      <c r="L806" s="2" t="s">
        <v>142</v>
      </c>
      <c r="M806" s="13" t="s">
        <v>152</v>
      </c>
      <c r="N806" t="s">
        <v>17</v>
      </c>
      <c r="O806" s="2" t="str">
        <f>_xlfn.XLOOKUP(Table1[[#This Row],[Checking_Acct_Status]],Table3[Checking_Acct_Original],Table3[Category])</f>
        <v>No Account</v>
      </c>
      <c r="P806" s="10" t="s">
        <v>47</v>
      </c>
      <c r="Q806" s="13" t="str">
        <f>_xlfn.XLOOKUP(Table1[[#This Row],[Saving_Acct_Status]],Table5[Saving_Acct_Original],Table5[Category])</f>
        <v>No Savings</v>
      </c>
      <c r="R806" t="s">
        <v>41</v>
      </c>
      <c r="S806" s="2" t="str">
        <f>IF(
      OR(Table1[[#This Row],[Job_Type]] = "high qualif/self emp/mgmt", Table1[[#This Row],[Job_Type]] = "skilled"),
      "Skilled", "Unskilled")</f>
        <v>Skilled</v>
      </c>
      <c r="T806" t="str">
        <f>IF(Table1[[#This Row],[Job_Type]] = "unemp/unskilled non res", "Unemployed", "Employed")</f>
        <v>Employed</v>
      </c>
      <c r="U806" t="s">
        <v>21</v>
      </c>
      <c r="V806" s="14" t="str" cm="1">
        <f t="array" ref="V80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06" t="s">
        <v>31</v>
      </c>
      <c r="X806" s="2" t="str">
        <f>_xlfn.XLOOKUP(Table1[[#This Row],[Loan_Credit_History]],Table4[Credit History],Table4[[ Category]])</f>
        <v>Existing Credits Paid</v>
      </c>
      <c r="Y806" s="3">
        <v>4</v>
      </c>
      <c r="Z806" s="3">
        <v>1</v>
      </c>
      <c r="AA806" s="5">
        <v>2279</v>
      </c>
      <c r="AB806" t="s">
        <v>151</v>
      </c>
      <c r="AC806" s="2" t="str" cm="1">
        <f t="array" ref="AC806">_xlfn.IFS(Table1[[#This Row],[Others_Parties]] = "No", "None",
Table1[[#This Row],[Others_Parties]] = "co applicant", "Co-applicant",
Table1[[#This Row],[Others_Parties]] = "guarantor", "Guarantor")</f>
        <v>None</v>
      </c>
      <c r="AD806" s="13" t="s">
        <v>145</v>
      </c>
      <c r="AE806" s="2" t="s">
        <v>111</v>
      </c>
      <c r="AF806" s="28" t="str" cm="1">
        <f t="array" ref="AF80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06" s="21">
        <v>12</v>
      </c>
      <c r="AH806" s="2" t="s">
        <v>154</v>
      </c>
      <c r="AI806"/>
      <c r="AZ806"/>
      <c r="BC806"/>
      <c r="BE806"/>
      <c r="BL806"/>
      <c r="BZ806"/>
      <c r="CA806"/>
      <c r="CF806"/>
      <c r="CG806"/>
      <c r="CH806"/>
      <c r="CI806"/>
      <c r="CK806"/>
      <c r="CN806"/>
    </row>
    <row r="807" spans="1:92" x14ac:dyDescent="0.3">
      <c r="A807" s="4">
        <v>805</v>
      </c>
      <c r="B807" s="11">
        <v>42</v>
      </c>
      <c r="C807" s="2" t="str">
        <f>_xlfn.XLOOKUP(Table1[[#This Row],[Age]],Table7[Start_Age],Table7[Age_Range],,-1)</f>
        <v>39-49</v>
      </c>
      <c r="D807" t="s">
        <v>130</v>
      </c>
      <c r="E807" s="2" t="s">
        <v>129</v>
      </c>
      <c r="F807" s="2" t="s">
        <v>133</v>
      </c>
      <c r="G807" s="3">
        <v>1</v>
      </c>
      <c r="H807" s="13" t="s">
        <v>152</v>
      </c>
      <c r="I807" s="2" t="str" cm="1">
        <f t="array" ref="I807">_xlfn.IFS(Table1[[#This Row],[Job_Type]] = "unskilled resident", "Resident",
Table1[[#This Row],[Job_Type]] = "unemp/unskilled non res", "Non-resident",
TRUE, "Unknown")</f>
        <v>Unknown</v>
      </c>
      <c r="J807" s="2" t="s">
        <v>148</v>
      </c>
      <c r="K807" s="3">
        <v>2</v>
      </c>
      <c r="L807" s="2" t="s">
        <v>140</v>
      </c>
      <c r="M807" s="13" t="s">
        <v>152</v>
      </c>
      <c r="N807" t="s">
        <v>17</v>
      </c>
      <c r="O807" s="2" t="str">
        <f>_xlfn.XLOOKUP(Table1[[#This Row],[Checking_Acct_Status]],Table3[Checking_Acct_Original],Table3[Category])</f>
        <v>No Account</v>
      </c>
      <c r="P807" s="10" t="s">
        <v>32</v>
      </c>
      <c r="Q807" s="13" t="str">
        <f>_xlfn.XLOOKUP(Table1[[#This Row],[Saving_Acct_Status]],Table5[Saving_Acct_Original],Table5[Category])</f>
        <v>Low Savings</v>
      </c>
      <c r="R807" t="s">
        <v>63</v>
      </c>
      <c r="S807" s="2" t="str">
        <f>IF(
      OR(Table1[[#This Row],[Job_Type]] = "high qualif/self emp/mgmt", Table1[[#This Row],[Job_Type]] = "skilled"),
      "Skilled", "Unskilled")</f>
        <v>Skilled</v>
      </c>
      <c r="T807" t="str">
        <f>IF(Table1[[#This Row],[Job_Type]] = "unemp/unskilled non res", "Unemployed", "Employed")</f>
        <v>Employed</v>
      </c>
      <c r="U807" t="s">
        <v>54</v>
      </c>
      <c r="V807" s="14" t="str" cm="1">
        <f t="array" ref="V807">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807" t="s">
        <v>103</v>
      </c>
      <c r="X807" s="2" t="str">
        <f>_xlfn.XLOOKUP(Table1[[#This Row],[Loan_Credit_History]],Table4[Credit History],Table4[[ Category]])</f>
        <v>Critical Credit History</v>
      </c>
      <c r="Y807" s="3">
        <v>4</v>
      </c>
      <c r="Z807" s="3">
        <v>2</v>
      </c>
      <c r="AA807" s="5">
        <v>2292</v>
      </c>
      <c r="AB807" t="s">
        <v>151</v>
      </c>
      <c r="AC807" s="2" t="str" cm="1">
        <f t="array" ref="AC807">_xlfn.IFS(Table1[[#This Row],[Others_Parties]] = "No", "None",
Table1[[#This Row],[Others_Parties]] = "co applicant", "Co-applicant",
Table1[[#This Row],[Others_Parties]] = "guarantor", "Guarantor")</f>
        <v>None</v>
      </c>
      <c r="AD807" s="13" t="s">
        <v>147</v>
      </c>
      <c r="AE807" s="2" t="s">
        <v>105</v>
      </c>
      <c r="AF807" s="28" t="str" cm="1">
        <f t="array" ref="AF80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07" s="21">
        <v>12</v>
      </c>
      <c r="AH807" s="2" t="s">
        <v>153</v>
      </c>
      <c r="AI807"/>
      <c r="AZ807"/>
      <c r="BC807"/>
      <c r="BE807"/>
      <c r="BL807"/>
      <c r="BZ807"/>
      <c r="CA807"/>
      <c r="CF807"/>
      <c r="CG807"/>
      <c r="CH807"/>
      <c r="CI807"/>
      <c r="CK807"/>
      <c r="CN807"/>
    </row>
    <row r="808" spans="1:92" x14ac:dyDescent="0.3">
      <c r="A808" s="4">
        <v>806</v>
      </c>
      <c r="B808" s="11">
        <v>49</v>
      </c>
      <c r="C808" s="2" t="str">
        <f>_xlfn.XLOOKUP(Table1[[#This Row],[Age]],Table7[Start_Age],Table7[Age_Range],,-1)</f>
        <v>49-59</v>
      </c>
      <c r="D808" t="s">
        <v>130</v>
      </c>
      <c r="E808" s="2" t="s">
        <v>129</v>
      </c>
      <c r="F808" s="2" t="s">
        <v>133</v>
      </c>
      <c r="G808" s="3">
        <v>1</v>
      </c>
      <c r="H808" s="13" t="s">
        <v>152</v>
      </c>
      <c r="I808" s="2" t="str" cm="1">
        <f t="array" ref="I808">_xlfn.IFS(Table1[[#This Row],[Job_Type]] = "unskilled resident", "Resident",
Table1[[#This Row],[Job_Type]] = "unemp/unskilled non res", "Non-resident",
TRUE, "Unknown")</f>
        <v>Unknown</v>
      </c>
      <c r="J808" s="2" t="s">
        <v>148</v>
      </c>
      <c r="K808" s="3">
        <v>4</v>
      </c>
      <c r="L808" s="2" t="s">
        <v>144</v>
      </c>
      <c r="M808" s="13" t="s">
        <v>152</v>
      </c>
      <c r="N808" t="s">
        <v>17</v>
      </c>
      <c r="O808" s="2" t="str">
        <f>_xlfn.XLOOKUP(Table1[[#This Row],[Checking_Acct_Status]],Table3[Checking_Acct_Original],Table3[Category])</f>
        <v>No Account</v>
      </c>
      <c r="P808" s="10" t="s">
        <v>47</v>
      </c>
      <c r="Q808" s="13" t="str">
        <f>_xlfn.XLOOKUP(Table1[[#This Row],[Saving_Acct_Status]],Table5[Saving_Acct_Original],Table5[Category])</f>
        <v>No Savings</v>
      </c>
      <c r="R808" t="s">
        <v>41</v>
      </c>
      <c r="S808" s="2" t="str">
        <f>IF(
      OR(Table1[[#This Row],[Job_Type]] = "high qualif/self emp/mgmt", Table1[[#This Row],[Job_Type]] = "skilled"),
      "Skilled", "Unskilled")</f>
        <v>Skilled</v>
      </c>
      <c r="T808" t="str">
        <f>IF(Table1[[#This Row],[Job_Type]] = "unemp/unskilled non res", "Unemployed", "Employed")</f>
        <v>Employed</v>
      </c>
      <c r="U808" t="s">
        <v>38</v>
      </c>
      <c r="V808" s="14" t="str" cm="1">
        <f t="array" ref="V80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08" t="s">
        <v>103</v>
      </c>
      <c r="X808" s="2" t="str">
        <f>_xlfn.XLOOKUP(Table1[[#This Row],[Loan_Credit_History]],Table4[Credit History],Table4[[ Category]])</f>
        <v>Critical Credit History</v>
      </c>
      <c r="Y808" s="3">
        <v>1</v>
      </c>
      <c r="Z808" s="3">
        <v>1</v>
      </c>
      <c r="AA808" s="5">
        <v>2331</v>
      </c>
      <c r="AB808" t="s">
        <v>55</v>
      </c>
      <c r="AC808" s="2" t="str" cm="1">
        <f t="array" ref="AC808">_xlfn.IFS(Table1[[#This Row],[Others_Parties]] = "No", "None",
Table1[[#This Row],[Others_Parties]] = "co applicant", "Co-applicant",
Table1[[#This Row],[Others_Parties]] = "guarantor", "Guarantor")</f>
        <v>Co-applicant</v>
      </c>
      <c r="AD808" s="13" t="s">
        <v>145</v>
      </c>
      <c r="AE808" s="2" t="s">
        <v>111</v>
      </c>
      <c r="AF808" s="28" t="str" cm="1">
        <f t="array" ref="AF80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08" s="21">
        <v>12</v>
      </c>
      <c r="AH808" s="2" t="s">
        <v>154</v>
      </c>
      <c r="AI808"/>
      <c r="AZ808"/>
      <c r="BC808"/>
      <c r="BE808"/>
      <c r="BL808"/>
      <c r="BZ808"/>
      <c r="CA808"/>
      <c r="CF808"/>
      <c r="CG808"/>
      <c r="CH808"/>
      <c r="CI808"/>
      <c r="CK808"/>
      <c r="CN808"/>
    </row>
    <row r="809" spans="1:92" x14ac:dyDescent="0.3">
      <c r="A809" s="4">
        <v>807</v>
      </c>
      <c r="B809" s="11">
        <v>36</v>
      </c>
      <c r="C809" s="2" t="str">
        <f>_xlfn.XLOOKUP(Table1[[#This Row],[Age]],Table7[Start_Age],Table7[Age_Range],,-1)</f>
        <v>29-39</v>
      </c>
      <c r="D809" t="s">
        <v>138</v>
      </c>
      <c r="E809" s="2" t="s">
        <v>129</v>
      </c>
      <c r="F809" s="2" t="s">
        <v>178</v>
      </c>
      <c r="G809" s="3">
        <v>1</v>
      </c>
      <c r="H809" s="13" t="s">
        <v>152</v>
      </c>
      <c r="I809" s="2" t="str" cm="1">
        <f t="array" ref="I809">_xlfn.IFS(Table1[[#This Row],[Job_Type]] = "unskilled resident", "Resident",
Table1[[#This Row],[Job_Type]] = "unemp/unskilled non res", "Non-resident",
TRUE, "Unknown")</f>
        <v>Unknown</v>
      </c>
      <c r="J809" s="2" t="s">
        <v>148</v>
      </c>
      <c r="K809" s="3">
        <v>3</v>
      </c>
      <c r="L809" s="2" t="s">
        <v>140</v>
      </c>
      <c r="M809" s="13" t="s">
        <v>152</v>
      </c>
      <c r="N809" t="s">
        <v>30</v>
      </c>
      <c r="O809" s="2" t="str">
        <f>_xlfn.XLOOKUP(Table1[[#This Row],[Checking_Acct_Status]],Table3[Checking_Acct_Original],Table3[Category])</f>
        <v>Low Balance</v>
      </c>
      <c r="P809" s="10" t="s">
        <v>37</v>
      </c>
      <c r="Q809" s="13" t="str">
        <f>_xlfn.XLOOKUP(Table1[[#This Row],[Saving_Acct_Status]],Table5[Saving_Acct_Original],Table5[Category])</f>
        <v>High Savings</v>
      </c>
      <c r="R809" t="s">
        <v>63</v>
      </c>
      <c r="S809" s="2" t="str">
        <f>IF(
      OR(Table1[[#This Row],[Job_Type]] = "high qualif/self emp/mgmt", Table1[[#This Row],[Job_Type]] = "skilled"),
      "Skilled", "Unskilled")</f>
        <v>Skilled</v>
      </c>
      <c r="T809" t="str">
        <f>IF(Table1[[#This Row],[Job_Type]] = "unemp/unskilled non res", "Unemployed", "Employed")</f>
        <v>Employed</v>
      </c>
      <c r="U809" t="s">
        <v>49</v>
      </c>
      <c r="V809" s="14" t="str" cm="1">
        <f t="array" ref="V80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09" t="s">
        <v>103</v>
      </c>
      <c r="X809" s="2" t="str">
        <f>_xlfn.XLOOKUP(Table1[[#This Row],[Loan_Credit_History]],Table4[Credit History],Table4[[ Category]])</f>
        <v>Critical Credit History</v>
      </c>
      <c r="Y809" s="3">
        <v>3</v>
      </c>
      <c r="Z809" s="3">
        <v>1</v>
      </c>
      <c r="AA809" s="5">
        <v>2366</v>
      </c>
      <c r="AB809" t="s">
        <v>151</v>
      </c>
      <c r="AC809" s="2" t="str" cm="1">
        <f t="array" ref="AC809">_xlfn.IFS(Table1[[#This Row],[Others_Parties]] = "No", "None",
Table1[[#This Row],[Others_Parties]] = "co applicant", "Co-applicant",
Table1[[#This Row],[Others_Parties]] = "guarantor", "Guarantor")</f>
        <v>None</v>
      </c>
      <c r="AD809" s="13" t="s">
        <v>145</v>
      </c>
      <c r="AE809" s="2" t="s">
        <v>141</v>
      </c>
      <c r="AF809" s="28" t="str" cm="1">
        <f t="array" ref="AF80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09" s="21">
        <v>12</v>
      </c>
      <c r="AH809" s="2" t="s">
        <v>154</v>
      </c>
      <c r="AI809"/>
      <c r="AZ809"/>
      <c r="BC809"/>
      <c r="BE809"/>
      <c r="BL809"/>
      <c r="BZ809"/>
      <c r="CA809"/>
      <c r="CF809"/>
      <c r="CG809"/>
      <c r="CH809"/>
      <c r="CI809"/>
      <c r="CK809"/>
      <c r="CN809"/>
    </row>
    <row r="810" spans="1:92" x14ac:dyDescent="0.3">
      <c r="A810" s="4">
        <v>808</v>
      </c>
      <c r="B810" s="11">
        <v>50</v>
      </c>
      <c r="C810" s="2" t="str">
        <f>_xlfn.XLOOKUP(Table1[[#This Row],[Age]],Table7[Start_Age],Table7[Age_Range],,-1)</f>
        <v>49-59</v>
      </c>
      <c r="D810" t="s">
        <v>130</v>
      </c>
      <c r="E810" s="2" t="s">
        <v>129</v>
      </c>
      <c r="F810" s="2" t="s">
        <v>133</v>
      </c>
      <c r="G810" s="3">
        <v>1</v>
      </c>
      <c r="H810" s="13" t="s">
        <v>152</v>
      </c>
      <c r="I810" s="2" t="str" cm="1">
        <f t="array" ref="I810">_xlfn.IFS(Table1[[#This Row],[Job_Type]] = "unskilled resident", "Resident",
Table1[[#This Row],[Job_Type]] = "unemp/unskilled non res", "Non-resident",
TRUE, "Unknown")</f>
        <v>Unknown</v>
      </c>
      <c r="J810" s="2" t="s">
        <v>148</v>
      </c>
      <c r="K810" s="3">
        <v>3</v>
      </c>
      <c r="L810" s="2" t="s">
        <v>140</v>
      </c>
      <c r="M810" s="13" t="s">
        <v>152</v>
      </c>
      <c r="N810" t="s">
        <v>17</v>
      </c>
      <c r="O810" s="2" t="str">
        <f>_xlfn.XLOOKUP(Table1[[#This Row],[Checking_Acct_Status]],Table3[Checking_Acct_Original],Table3[Category])</f>
        <v>No Account</v>
      </c>
      <c r="P810" s="10" t="s">
        <v>47</v>
      </c>
      <c r="Q810" s="13" t="str">
        <f>_xlfn.XLOOKUP(Table1[[#This Row],[Saving_Acct_Status]],Table5[Saving_Acct_Original],Table5[Category])</f>
        <v>No Savings</v>
      </c>
      <c r="R810" t="s">
        <v>41</v>
      </c>
      <c r="S810" s="2" t="str">
        <f>IF(
      OR(Table1[[#This Row],[Job_Type]] = "high qualif/self emp/mgmt", Table1[[#This Row],[Job_Type]] = "skilled"),
      "Skilled", "Unskilled")</f>
        <v>Skilled</v>
      </c>
      <c r="T810" t="str">
        <f>IF(Table1[[#This Row],[Job_Type]] = "unemp/unskilled non res", "Unemployed", "Employed")</f>
        <v>Employed</v>
      </c>
      <c r="U810" t="s">
        <v>38</v>
      </c>
      <c r="V810" s="14" t="str" cm="1">
        <f t="array" ref="V81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10" t="s">
        <v>31</v>
      </c>
      <c r="X810" s="2" t="str">
        <f>_xlfn.XLOOKUP(Table1[[#This Row],[Loan_Credit_History]],Table4[Credit History],Table4[[ Category]])</f>
        <v>Existing Credits Paid</v>
      </c>
      <c r="Y810" s="3">
        <v>4</v>
      </c>
      <c r="Z810" s="3">
        <v>1</v>
      </c>
      <c r="AA810" s="5">
        <v>2390</v>
      </c>
      <c r="AB810" t="s">
        <v>151</v>
      </c>
      <c r="AC810" s="2" t="str" cm="1">
        <f t="array" ref="AC810">_xlfn.IFS(Table1[[#This Row],[Others_Parties]] = "No", "None",
Table1[[#This Row],[Others_Parties]] = "co applicant", "Co-applicant",
Table1[[#This Row],[Others_Parties]] = "guarantor", "Guarantor")</f>
        <v>None</v>
      </c>
      <c r="AD810" s="13" t="s">
        <v>145</v>
      </c>
      <c r="AE810" s="2" t="s">
        <v>141</v>
      </c>
      <c r="AF810" s="28" t="str" cm="1">
        <f t="array" ref="AF81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10" s="21">
        <v>12</v>
      </c>
      <c r="AH810" s="2" t="s">
        <v>154</v>
      </c>
      <c r="AI810"/>
      <c r="AZ810"/>
      <c r="BC810"/>
      <c r="BE810"/>
      <c r="BL810"/>
      <c r="BZ810"/>
      <c r="CA810"/>
      <c r="CF810"/>
      <c r="CG810"/>
      <c r="CH810"/>
      <c r="CI810"/>
      <c r="CK810"/>
      <c r="CN810"/>
    </row>
    <row r="811" spans="1:92" x14ac:dyDescent="0.3">
      <c r="A811" s="4">
        <v>809</v>
      </c>
      <c r="B811" s="11">
        <v>26</v>
      </c>
      <c r="C811" s="2" t="str">
        <f>_xlfn.XLOOKUP(Table1[[#This Row],[Age]],Table7[Start_Age],Table7[Age_Range],,-1)</f>
        <v>19-29</v>
      </c>
      <c r="D811" t="s">
        <v>134</v>
      </c>
      <c r="E811" s="2" t="s">
        <v>129</v>
      </c>
      <c r="F811" s="2" t="s">
        <v>135</v>
      </c>
      <c r="G811" s="3">
        <v>1</v>
      </c>
      <c r="H811" s="13" t="s">
        <v>152</v>
      </c>
      <c r="I811" s="2" t="str" cm="1">
        <f t="array" ref="I811">_xlfn.IFS(Table1[[#This Row],[Job_Type]] = "unskilled resident", "Resident",
Table1[[#This Row],[Job_Type]] = "unemp/unskilled non res", "Non-resident",
TRUE, "Unknown")</f>
        <v>Unknown</v>
      </c>
      <c r="J811" s="2" t="s">
        <v>149</v>
      </c>
      <c r="K811" s="3">
        <v>4</v>
      </c>
      <c r="L811" s="2" t="s">
        <v>140</v>
      </c>
      <c r="M811" s="13" t="s">
        <v>152</v>
      </c>
      <c r="N811" t="s">
        <v>17</v>
      </c>
      <c r="O811" s="2" t="str">
        <f>_xlfn.XLOOKUP(Table1[[#This Row],[Checking_Acct_Status]],Table3[Checking_Acct_Original],Table3[Category])</f>
        <v>No Account</v>
      </c>
      <c r="P811" s="10" t="s">
        <v>47</v>
      </c>
      <c r="Q811" s="13" t="str">
        <f>_xlfn.XLOOKUP(Table1[[#This Row],[Saving_Acct_Status]],Table5[Saving_Acct_Original],Table5[Category])</f>
        <v>No Savings</v>
      </c>
      <c r="R811" t="s">
        <v>41</v>
      </c>
      <c r="S811" s="2" t="str">
        <f>IF(
      OR(Table1[[#This Row],[Job_Type]] = "high qualif/self emp/mgmt", Table1[[#This Row],[Job_Type]] = "skilled"),
      "Skilled", "Unskilled")</f>
        <v>Skilled</v>
      </c>
      <c r="T811" t="str">
        <f>IF(Table1[[#This Row],[Job_Type]] = "unemp/unskilled non res", "Unemployed", "Employed")</f>
        <v>Employed</v>
      </c>
      <c r="U811" t="s">
        <v>45</v>
      </c>
      <c r="V811" s="14" t="str" cm="1">
        <f t="array" ref="V81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11" t="s">
        <v>31</v>
      </c>
      <c r="X811" s="2" t="str">
        <f>_xlfn.XLOOKUP(Table1[[#This Row],[Loan_Credit_History]],Table4[Credit History],Table4[[ Category]])</f>
        <v>Existing Credits Paid</v>
      </c>
      <c r="Y811" s="3">
        <v>2</v>
      </c>
      <c r="Z811" s="3">
        <v>1</v>
      </c>
      <c r="AA811" s="5">
        <v>2445</v>
      </c>
      <c r="AB811" t="s">
        <v>151</v>
      </c>
      <c r="AC811" s="2" t="str" cm="1">
        <f t="array" ref="AC811">_xlfn.IFS(Table1[[#This Row],[Others_Parties]] = "No", "None",
Table1[[#This Row],[Others_Parties]] = "co applicant", "Co-applicant",
Table1[[#This Row],[Others_Parties]] = "guarantor", "Guarantor")</f>
        <v>None</v>
      </c>
      <c r="AD811" s="13" t="s">
        <v>145</v>
      </c>
      <c r="AE811" s="2" t="s">
        <v>107</v>
      </c>
      <c r="AF811" s="28" t="str" cm="1">
        <f t="array" ref="AF81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11" s="21">
        <v>12</v>
      </c>
      <c r="AH811" s="2" t="s">
        <v>154</v>
      </c>
      <c r="AI811"/>
      <c r="AZ811"/>
      <c r="BC811"/>
      <c r="BE811"/>
      <c r="BL811"/>
      <c r="BZ811"/>
      <c r="CA811"/>
      <c r="CF811"/>
      <c r="CG811"/>
      <c r="CH811"/>
      <c r="CI811"/>
      <c r="CK811"/>
      <c r="CN811"/>
    </row>
    <row r="812" spans="1:92" x14ac:dyDescent="0.3">
      <c r="A812" s="4">
        <v>810</v>
      </c>
      <c r="B812" s="11">
        <v>42</v>
      </c>
      <c r="C812" s="2" t="str">
        <f>_xlfn.XLOOKUP(Table1[[#This Row],[Age]],Table7[Start_Age],Table7[Age_Range],,-1)</f>
        <v>39-49</v>
      </c>
      <c r="D812" t="s">
        <v>138</v>
      </c>
      <c r="E812" s="2" t="s">
        <v>129</v>
      </c>
      <c r="F812" s="2" t="s">
        <v>178</v>
      </c>
      <c r="G812" s="3">
        <v>1</v>
      </c>
      <c r="H812" s="13" t="s">
        <v>152</v>
      </c>
      <c r="I812" s="2" t="str" cm="1">
        <f t="array" ref="I812">_xlfn.IFS(Table1[[#This Row],[Job_Type]] = "unskilled resident", "Resident",
Table1[[#This Row],[Job_Type]] = "unemp/unskilled non res", "Non-resident",
TRUE, "Unknown")</f>
        <v>Unknown</v>
      </c>
      <c r="J812" s="2" t="s">
        <v>148</v>
      </c>
      <c r="K812" s="3">
        <v>1</v>
      </c>
      <c r="L812" s="2" t="s">
        <v>140</v>
      </c>
      <c r="M812" s="13" t="s">
        <v>151</v>
      </c>
      <c r="N812" t="s">
        <v>35</v>
      </c>
      <c r="O812" s="2" t="str">
        <f>_xlfn.XLOOKUP(Table1[[#This Row],[Checking_Acct_Status]],Table3[Checking_Acct_Original],Table3[Category])</f>
        <v>Negative Balance</v>
      </c>
      <c r="P812" s="10" t="s">
        <v>32</v>
      </c>
      <c r="Q812" s="13" t="str">
        <f>_xlfn.XLOOKUP(Table1[[#This Row],[Saving_Acct_Status]],Table5[Saving_Acct_Original],Table5[Category])</f>
        <v>Low Savings</v>
      </c>
      <c r="R812" t="s">
        <v>41</v>
      </c>
      <c r="S812" s="2" t="str">
        <f>IF(
      OR(Table1[[#This Row],[Job_Type]] = "high qualif/self emp/mgmt", Table1[[#This Row],[Job_Type]] = "skilled"),
      "Skilled", "Unskilled")</f>
        <v>Skilled</v>
      </c>
      <c r="T812" t="str">
        <f>IF(Table1[[#This Row],[Job_Type]] = "unemp/unskilled non res", "Unemployed", "Employed")</f>
        <v>Employed</v>
      </c>
      <c r="U812" t="s">
        <v>21</v>
      </c>
      <c r="V812" s="14" t="str" cm="1">
        <f t="array" ref="V81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12" t="s">
        <v>31</v>
      </c>
      <c r="X812" s="2" t="str">
        <f>_xlfn.XLOOKUP(Table1[[#This Row],[Loan_Credit_History]],Table4[Credit History],Table4[[ Category]])</f>
        <v>Existing Credits Paid</v>
      </c>
      <c r="Y812" s="3">
        <v>2</v>
      </c>
      <c r="Z812" s="3">
        <v>1</v>
      </c>
      <c r="AA812" s="5">
        <v>2577</v>
      </c>
      <c r="AB812" t="s">
        <v>151</v>
      </c>
      <c r="AC812" s="2" t="str" cm="1">
        <f t="array" ref="AC812">_xlfn.IFS(Table1[[#This Row],[Others_Parties]] = "No", "None",
Table1[[#This Row],[Others_Parties]] = "co applicant", "Co-applicant",
Table1[[#This Row],[Others_Parties]] = "guarantor", "Guarantor")</f>
        <v>None</v>
      </c>
      <c r="AD812" s="13" t="s">
        <v>145</v>
      </c>
      <c r="AE812" s="2" t="s">
        <v>108</v>
      </c>
      <c r="AF812" s="28" t="str" cm="1">
        <f t="array" ref="AF81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12" s="21">
        <v>12</v>
      </c>
      <c r="AH812" s="2" t="s">
        <v>154</v>
      </c>
      <c r="AI812"/>
      <c r="AZ812"/>
      <c r="BC812"/>
      <c r="BE812"/>
      <c r="BL812"/>
      <c r="BZ812"/>
      <c r="CA812"/>
      <c r="CF812"/>
      <c r="CG812"/>
      <c r="CH812"/>
      <c r="CI812"/>
      <c r="CK812"/>
      <c r="CN812"/>
    </row>
    <row r="813" spans="1:92" x14ac:dyDescent="0.3">
      <c r="A813" s="4">
        <v>811</v>
      </c>
      <c r="B813" s="11">
        <v>55</v>
      </c>
      <c r="C813" s="2" t="str">
        <f>_xlfn.XLOOKUP(Table1[[#This Row],[Age]],Table7[Start_Age],Table7[Age_Range],,-1)</f>
        <v>49-59</v>
      </c>
      <c r="D813" t="s">
        <v>136</v>
      </c>
      <c r="E813" s="2" t="s">
        <v>131</v>
      </c>
      <c r="F813" s="2" t="s">
        <v>137</v>
      </c>
      <c r="G813" s="3">
        <v>1</v>
      </c>
      <c r="H813" s="13" t="s">
        <v>152</v>
      </c>
      <c r="I813" s="2" t="str" cm="1">
        <f t="array" ref="I813">_xlfn.IFS(Table1[[#This Row],[Job_Type]] = "unskilled resident", "Resident",
Table1[[#This Row],[Job_Type]] = "unemp/unskilled non res", "Non-resident",
TRUE, "Unknown")</f>
        <v>Unknown</v>
      </c>
      <c r="J813" s="2" t="s">
        <v>150</v>
      </c>
      <c r="K813" s="3">
        <v>4</v>
      </c>
      <c r="L813" s="2" t="s">
        <v>142</v>
      </c>
      <c r="M813" s="13" t="s">
        <v>151</v>
      </c>
      <c r="N813" t="s">
        <v>35</v>
      </c>
      <c r="O813" s="2" t="str">
        <f>_xlfn.XLOOKUP(Table1[[#This Row],[Checking_Acct_Status]],Table3[Checking_Acct_Original],Table3[Category])</f>
        <v>Negative Balance</v>
      </c>
      <c r="P813" s="10" t="s">
        <v>32</v>
      </c>
      <c r="Q813" s="13" t="str">
        <f>_xlfn.XLOOKUP(Table1[[#This Row],[Saving_Acct_Status]],Table5[Saving_Acct_Original],Table5[Category])</f>
        <v>Low Savings</v>
      </c>
      <c r="R813" t="s">
        <v>63</v>
      </c>
      <c r="S813" s="2" t="str">
        <f>IF(
      OR(Table1[[#This Row],[Job_Type]] = "high qualif/self emp/mgmt", Table1[[#This Row],[Job_Type]] = "skilled"),
      "Skilled", "Unskilled")</f>
        <v>Skilled</v>
      </c>
      <c r="T813" t="str">
        <f>IF(Table1[[#This Row],[Job_Type]] = "unemp/unskilled non res", "Unemployed", "Employed")</f>
        <v>Employed</v>
      </c>
      <c r="U813" t="s">
        <v>54</v>
      </c>
      <c r="V813" s="14" t="str" cm="1">
        <f t="array" ref="V813">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813" t="s">
        <v>31</v>
      </c>
      <c r="X813" s="2" t="str">
        <f>_xlfn.XLOOKUP(Table1[[#This Row],[Loan_Credit_History]],Table4[Credit History],Table4[[ Category]])</f>
        <v>Existing Credits Paid</v>
      </c>
      <c r="Y813" s="3">
        <v>3</v>
      </c>
      <c r="Z813" s="3">
        <v>1</v>
      </c>
      <c r="AA813" s="5">
        <v>2578</v>
      </c>
      <c r="AB813" t="s">
        <v>151</v>
      </c>
      <c r="AC813" s="2" t="str" cm="1">
        <f t="array" ref="AC813">_xlfn.IFS(Table1[[#This Row],[Others_Parties]] = "No", "None",
Table1[[#This Row],[Others_Parties]] = "co applicant", "Co-applicant",
Table1[[#This Row],[Others_Parties]] = "guarantor", "Guarantor")</f>
        <v>None</v>
      </c>
      <c r="AD813" s="13" t="s">
        <v>145</v>
      </c>
      <c r="AE813" s="2" t="s">
        <v>108</v>
      </c>
      <c r="AF813" s="28" t="str" cm="1">
        <f t="array" ref="AF81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13" s="21">
        <v>12</v>
      </c>
      <c r="AH813" s="2" t="s">
        <v>154</v>
      </c>
      <c r="AI813"/>
      <c r="AZ813"/>
      <c r="BC813"/>
      <c r="BE813"/>
      <c r="BL813"/>
      <c r="BZ813"/>
      <c r="CA813"/>
      <c r="CF813"/>
      <c r="CG813"/>
      <c r="CH813"/>
      <c r="CI813"/>
      <c r="CK813"/>
      <c r="CN813"/>
    </row>
    <row r="814" spans="1:92" x14ac:dyDescent="0.3">
      <c r="A814" s="4">
        <v>812</v>
      </c>
      <c r="B814" s="11">
        <v>33</v>
      </c>
      <c r="C814" s="2" t="str">
        <f>_xlfn.XLOOKUP(Table1[[#This Row],[Age]],Table7[Start_Age],Table7[Age_Range],,-1)</f>
        <v>29-39</v>
      </c>
      <c r="D814" t="s">
        <v>130</v>
      </c>
      <c r="E814" s="2" t="s">
        <v>129</v>
      </c>
      <c r="F814" s="2" t="s">
        <v>133</v>
      </c>
      <c r="G814" s="3">
        <v>2</v>
      </c>
      <c r="H814" s="13" t="s">
        <v>152</v>
      </c>
      <c r="I814" s="2" t="str" cm="1">
        <f t="array" ref="I814">_xlfn.IFS(Table1[[#This Row],[Job_Type]] = "unskilled resident", "Resident",
Table1[[#This Row],[Job_Type]] = "unemp/unskilled non res", "Non-resident",
TRUE, "Unknown")</f>
        <v>Resident</v>
      </c>
      <c r="J814" s="2" t="s">
        <v>148</v>
      </c>
      <c r="K814" s="3">
        <v>1</v>
      </c>
      <c r="L814" s="2" t="s">
        <v>144</v>
      </c>
      <c r="M814" s="13" t="s">
        <v>151</v>
      </c>
      <c r="N814" t="s">
        <v>35</v>
      </c>
      <c r="O814" s="2" t="str">
        <f>_xlfn.XLOOKUP(Table1[[#This Row],[Checking_Acct_Status]],Table3[Checking_Acct_Original],Table3[Category])</f>
        <v>Negative Balance</v>
      </c>
      <c r="P814" s="10" t="s">
        <v>32</v>
      </c>
      <c r="Q814" s="13" t="str">
        <f>_xlfn.XLOOKUP(Table1[[#This Row],[Saving_Acct_Status]],Table5[Saving_Acct_Original],Table5[Category])</f>
        <v>Low Savings</v>
      </c>
      <c r="R814" t="s">
        <v>27</v>
      </c>
      <c r="S814" s="2" t="str">
        <f>IF(
      OR(Table1[[#This Row],[Job_Type]] = "high qualif/self emp/mgmt", Table1[[#This Row],[Job_Type]] = "skilled"),
      "Skilled", "Unskilled")</f>
        <v>Unskilled</v>
      </c>
      <c r="T814" t="str">
        <f>IF(Table1[[#This Row],[Job_Type]] = "unemp/unskilled non res", "Unemployed", "Employed")</f>
        <v>Employed</v>
      </c>
      <c r="U814" t="s">
        <v>45</v>
      </c>
      <c r="V814" s="14" t="str" cm="1">
        <f t="array" ref="V81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14" t="s">
        <v>31</v>
      </c>
      <c r="X814" s="2" t="str">
        <f>_xlfn.XLOOKUP(Table1[[#This Row],[Loan_Credit_History]],Table4[Credit History],Table4[[ Category]])</f>
        <v>Existing Credits Paid</v>
      </c>
      <c r="Y814" s="3">
        <v>4</v>
      </c>
      <c r="Z814" s="3">
        <v>1</v>
      </c>
      <c r="AA814" s="5">
        <v>2579</v>
      </c>
      <c r="AB814" t="s">
        <v>151</v>
      </c>
      <c r="AC814" s="2" t="str" cm="1">
        <f t="array" ref="AC814">_xlfn.IFS(Table1[[#This Row],[Others_Parties]] = "No", "None",
Table1[[#This Row],[Others_Parties]] = "co applicant", "Co-applicant",
Table1[[#This Row],[Others_Parties]] = "guarantor", "Guarantor")</f>
        <v>None</v>
      </c>
      <c r="AD814" s="13" t="s">
        <v>145</v>
      </c>
      <c r="AE814" s="2" t="s">
        <v>141</v>
      </c>
      <c r="AF814" s="28" t="str" cm="1">
        <f t="array" ref="AF81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14" s="21">
        <v>12</v>
      </c>
      <c r="AH814" s="2" t="s">
        <v>153</v>
      </c>
      <c r="AI814"/>
      <c r="AZ814"/>
      <c r="BC814"/>
      <c r="BE814"/>
      <c r="BL814"/>
      <c r="BZ814"/>
      <c r="CA814"/>
      <c r="CF814"/>
      <c r="CG814"/>
      <c r="CH814"/>
      <c r="CI814"/>
      <c r="CK814"/>
      <c r="CN814"/>
    </row>
    <row r="815" spans="1:92" x14ac:dyDescent="0.3">
      <c r="A815" s="4">
        <v>813</v>
      </c>
      <c r="B815" s="11">
        <v>57</v>
      </c>
      <c r="C815" s="2" t="str">
        <f>_xlfn.XLOOKUP(Table1[[#This Row],[Age]],Table7[Start_Age],Table7[Age_Range],,-1)</f>
        <v>49-59</v>
      </c>
      <c r="D815" t="s">
        <v>136</v>
      </c>
      <c r="E815" s="2" t="s">
        <v>131</v>
      </c>
      <c r="F815" s="2" t="s">
        <v>137</v>
      </c>
      <c r="G815" s="3">
        <v>1</v>
      </c>
      <c r="H815" s="13" t="s">
        <v>152</v>
      </c>
      <c r="I815" s="2" t="str" cm="1">
        <f t="array" ref="I815">_xlfn.IFS(Table1[[#This Row],[Job_Type]] = "unskilled resident", "Resident",
Table1[[#This Row],[Job_Type]] = "unemp/unskilled non res", "Non-resident",
TRUE, "Unknown")</f>
        <v>Resident</v>
      </c>
      <c r="J815" s="2" t="s">
        <v>150</v>
      </c>
      <c r="K815" s="3">
        <v>4</v>
      </c>
      <c r="L815" s="2" t="s">
        <v>142</v>
      </c>
      <c r="M815" s="13" t="s">
        <v>151</v>
      </c>
      <c r="N815" t="s">
        <v>17</v>
      </c>
      <c r="O815" s="2" t="str">
        <f>_xlfn.XLOOKUP(Table1[[#This Row],[Checking_Acct_Status]],Table3[Checking_Acct_Original],Table3[Category])</f>
        <v>No Account</v>
      </c>
      <c r="P815" s="10" t="s">
        <v>32</v>
      </c>
      <c r="Q815" s="13" t="str">
        <f>_xlfn.XLOOKUP(Table1[[#This Row],[Saving_Acct_Status]],Table5[Saving_Acct_Original],Table5[Category])</f>
        <v>Low Savings</v>
      </c>
      <c r="R815" t="s">
        <v>27</v>
      </c>
      <c r="S815" s="2" t="str">
        <f>IF(
      OR(Table1[[#This Row],[Job_Type]] = "high qualif/self emp/mgmt", Table1[[#This Row],[Job_Type]] = "skilled"),
      "Skilled", "Unskilled")</f>
        <v>Unskilled</v>
      </c>
      <c r="T815" t="str">
        <f>IF(Table1[[#This Row],[Job_Type]] = "unemp/unskilled non res", "Unemployed", "Employed")</f>
        <v>Employed</v>
      </c>
      <c r="U815" t="s">
        <v>38</v>
      </c>
      <c r="V815" s="14" t="str" cm="1">
        <f t="array" ref="V81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15" t="s">
        <v>103</v>
      </c>
      <c r="X815" s="2" t="str">
        <f>_xlfn.XLOOKUP(Table1[[#This Row],[Loan_Credit_History]],Table4[Credit History],Table4[[ Category]])</f>
        <v>Critical Credit History</v>
      </c>
      <c r="Y815" s="3">
        <v>2</v>
      </c>
      <c r="Z815" s="3">
        <v>3</v>
      </c>
      <c r="AA815" s="5">
        <v>2748</v>
      </c>
      <c r="AB815" t="s">
        <v>151</v>
      </c>
      <c r="AC815" s="2" t="str" cm="1">
        <f t="array" ref="AC815">_xlfn.IFS(Table1[[#This Row],[Others_Parties]] = "No", "None",
Table1[[#This Row],[Others_Parties]] = "co applicant", "Co-applicant",
Table1[[#This Row],[Others_Parties]] = "guarantor", "Guarantor")</f>
        <v>None</v>
      </c>
      <c r="AD815" s="13" t="s">
        <v>146</v>
      </c>
      <c r="AE815" s="2" t="s">
        <v>100</v>
      </c>
      <c r="AF815" s="28" t="str" cm="1">
        <f t="array" ref="AF81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15" s="21">
        <v>12</v>
      </c>
      <c r="AH815" s="2" t="s">
        <v>154</v>
      </c>
      <c r="AI815"/>
      <c r="AZ815"/>
      <c r="BC815"/>
      <c r="BE815"/>
      <c r="BL815"/>
      <c r="BZ815"/>
      <c r="CA815"/>
      <c r="CF815"/>
      <c r="CG815"/>
      <c r="CH815"/>
      <c r="CI815"/>
      <c r="CK815"/>
      <c r="CN815"/>
    </row>
    <row r="816" spans="1:92" x14ac:dyDescent="0.3">
      <c r="A816" s="4">
        <v>814</v>
      </c>
      <c r="B816" s="11">
        <v>34</v>
      </c>
      <c r="C816" s="2" t="str">
        <f>_xlfn.XLOOKUP(Table1[[#This Row],[Age]],Table7[Start_Age],Table7[Age_Range],,-1)</f>
        <v>29-39</v>
      </c>
      <c r="D816" t="s">
        <v>130</v>
      </c>
      <c r="E816" s="2" t="s">
        <v>129</v>
      </c>
      <c r="F816" s="2" t="s">
        <v>133</v>
      </c>
      <c r="G816" s="3">
        <v>1</v>
      </c>
      <c r="H816" s="13" t="s">
        <v>152</v>
      </c>
      <c r="I816" s="2" t="str" cm="1">
        <f t="array" ref="I816">_xlfn.IFS(Table1[[#This Row],[Job_Type]] = "unskilled resident", "Resident",
Table1[[#This Row],[Job_Type]] = "unemp/unskilled non res", "Non-resident",
TRUE, "Unknown")</f>
        <v>Unknown</v>
      </c>
      <c r="J816" s="2" t="s">
        <v>148</v>
      </c>
      <c r="K816" s="3">
        <v>4</v>
      </c>
      <c r="L816" s="2" t="s">
        <v>143</v>
      </c>
      <c r="M816" s="13" t="s">
        <v>151</v>
      </c>
      <c r="N816" t="s">
        <v>17</v>
      </c>
      <c r="O816" s="2" t="str">
        <f>_xlfn.XLOOKUP(Table1[[#This Row],[Checking_Acct_Status]],Table3[Checking_Acct_Original],Table3[Category])</f>
        <v>No Account</v>
      </c>
      <c r="P816" s="10" t="s">
        <v>32</v>
      </c>
      <c r="Q816" s="13" t="str">
        <f>_xlfn.XLOOKUP(Table1[[#This Row],[Saving_Acct_Status]],Table5[Saving_Acct_Original],Table5[Category])</f>
        <v>Low Savings</v>
      </c>
      <c r="R816" t="s">
        <v>41</v>
      </c>
      <c r="S816" s="2" t="str">
        <f>IF(
      OR(Table1[[#This Row],[Job_Type]] = "high qualif/self emp/mgmt", Table1[[#This Row],[Job_Type]] = "skilled"),
      "Skilled", "Unskilled")</f>
        <v>Skilled</v>
      </c>
      <c r="T816" t="str">
        <f>IF(Table1[[#This Row],[Job_Type]] = "unemp/unskilled non res", "Unemployed", "Employed")</f>
        <v>Employed</v>
      </c>
      <c r="U816" t="s">
        <v>38</v>
      </c>
      <c r="V816" s="14" t="str" cm="1">
        <f t="array" ref="V81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16" t="s">
        <v>52</v>
      </c>
      <c r="X816" s="2" t="str">
        <f>_xlfn.XLOOKUP(Table1[[#This Row],[Loan_Credit_History]],Table4[Credit History],Table4[[ Category]])</f>
        <v>No Credit History</v>
      </c>
      <c r="Y816" s="3">
        <v>2</v>
      </c>
      <c r="Z816" s="3">
        <v>2</v>
      </c>
      <c r="AA816" s="5">
        <v>2759</v>
      </c>
      <c r="AB816" t="s">
        <v>151</v>
      </c>
      <c r="AC816" s="2" t="str" cm="1">
        <f t="array" ref="AC816">_xlfn.IFS(Table1[[#This Row],[Others_Parties]] = "No", "None",
Table1[[#This Row],[Others_Parties]] = "co applicant", "Co-applicant",
Table1[[#This Row],[Others_Parties]] = "guarantor", "Guarantor")</f>
        <v>None</v>
      </c>
      <c r="AD816" s="13" t="s">
        <v>145</v>
      </c>
      <c r="AE816" s="2" t="s">
        <v>108</v>
      </c>
      <c r="AF816" s="28" t="str" cm="1">
        <f t="array" ref="AF81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16" s="21">
        <v>12</v>
      </c>
      <c r="AH816" s="2" t="s">
        <v>154</v>
      </c>
      <c r="AI816"/>
      <c r="AZ816"/>
      <c r="BC816"/>
      <c r="BE816"/>
      <c r="BL816"/>
      <c r="BZ816"/>
      <c r="CA816"/>
      <c r="CF816"/>
      <c r="CG816"/>
      <c r="CH816"/>
      <c r="CI816"/>
      <c r="CK816"/>
      <c r="CN816"/>
    </row>
    <row r="817" spans="1:92" x14ac:dyDescent="0.3">
      <c r="A817" s="4">
        <v>815</v>
      </c>
      <c r="B817" s="11">
        <v>25</v>
      </c>
      <c r="C817" s="2" t="str">
        <f>_xlfn.XLOOKUP(Table1[[#This Row],[Age]],Table7[Start_Age],Table7[Age_Range],,-1)</f>
        <v>19-29</v>
      </c>
      <c r="D817" t="s">
        <v>136</v>
      </c>
      <c r="E817" s="2" t="s">
        <v>131</v>
      </c>
      <c r="F817" s="2" t="s">
        <v>137</v>
      </c>
      <c r="G817" s="3">
        <v>1</v>
      </c>
      <c r="H817" s="13" t="s">
        <v>152</v>
      </c>
      <c r="I817" s="2" t="str" cm="1">
        <f t="array" ref="I817">_xlfn.IFS(Table1[[#This Row],[Job_Type]] = "unskilled resident", "Resident",
Table1[[#This Row],[Job_Type]] = "unemp/unskilled non res", "Non-resident",
TRUE, "Unknown")</f>
        <v>Unknown</v>
      </c>
      <c r="J817" s="2" t="s">
        <v>148</v>
      </c>
      <c r="K817" s="3">
        <v>2</v>
      </c>
      <c r="L817" s="2" t="s">
        <v>143</v>
      </c>
      <c r="M817" s="13" t="s">
        <v>152</v>
      </c>
      <c r="N817" t="s">
        <v>30</v>
      </c>
      <c r="O817" s="2" t="str">
        <f>_xlfn.XLOOKUP(Table1[[#This Row],[Checking_Acct_Status]],Table3[Checking_Acct_Original],Table3[Category])</f>
        <v>Low Balance</v>
      </c>
      <c r="P817" s="10" t="s">
        <v>47</v>
      </c>
      <c r="Q817" s="13" t="str">
        <f>_xlfn.XLOOKUP(Table1[[#This Row],[Saving_Acct_Status]],Table5[Saving_Acct_Original],Table5[Category])</f>
        <v>No Savings</v>
      </c>
      <c r="R817" t="s">
        <v>41</v>
      </c>
      <c r="S817" s="2" t="str">
        <f>IF(
      OR(Table1[[#This Row],[Job_Type]] = "high qualif/self emp/mgmt", Table1[[#This Row],[Job_Type]] = "skilled"),
      "Skilled", "Unskilled")</f>
        <v>Skilled</v>
      </c>
      <c r="T817" t="str">
        <f>IF(Table1[[#This Row],[Job_Type]] = "unemp/unskilled non res", "Unemployed", "Employed")</f>
        <v>Employed</v>
      </c>
      <c r="U817" t="s">
        <v>38</v>
      </c>
      <c r="V817" s="14" t="str" cm="1">
        <f t="array" ref="V81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17" t="s">
        <v>31</v>
      </c>
      <c r="X817" s="2" t="str">
        <f>_xlfn.XLOOKUP(Table1[[#This Row],[Loan_Credit_History]],Table4[Credit History],Table4[[ Category]])</f>
        <v>Existing Credits Paid</v>
      </c>
      <c r="Y817" s="3">
        <v>1</v>
      </c>
      <c r="Z817" s="3">
        <v>1</v>
      </c>
      <c r="AA817" s="5">
        <v>2762</v>
      </c>
      <c r="AB817" t="s">
        <v>151</v>
      </c>
      <c r="AC817" s="2" t="str" cm="1">
        <f t="array" ref="AC817">_xlfn.IFS(Table1[[#This Row],[Others_Parties]] = "No", "None",
Table1[[#This Row],[Others_Parties]] = "co applicant", "Co-applicant",
Table1[[#This Row],[Others_Parties]] = "guarantor", "Guarantor")</f>
        <v>None</v>
      </c>
      <c r="AD817" s="13" t="s">
        <v>146</v>
      </c>
      <c r="AE817" s="2" t="s">
        <v>108</v>
      </c>
      <c r="AF817" s="28" t="str" cm="1">
        <f t="array" ref="AF81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17" s="21">
        <v>12</v>
      </c>
      <c r="AH817" s="2" t="s">
        <v>153</v>
      </c>
      <c r="AI817"/>
      <c r="AZ817"/>
      <c r="BC817"/>
      <c r="BE817"/>
      <c r="BL817"/>
      <c r="BZ817"/>
      <c r="CA817"/>
      <c r="CF817"/>
      <c r="CG817"/>
      <c r="CH817"/>
      <c r="CI817"/>
      <c r="CK817"/>
      <c r="CN817"/>
    </row>
    <row r="818" spans="1:92" x14ac:dyDescent="0.3">
      <c r="A818" s="4">
        <v>816</v>
      </c>
      <c r="B818" s="11">
        <v>38</v>
      </c>
      <c r="C818" s="2" t="str">
        <f>_xlfn.XLOOKUP(Table1[[#This Row],[Age]],Table7[Start_Age],Table7[Age_Range],,-1)</f>
        <v>29-39</v>
      </c>
      <c r="D818" t="s">
        <v>130</v>
      </c>
      <c r="E818" s="2" t="s">
        <v>129</v>
      </c>
      <c r="F818" s="2" t="s">
        <v>133</v>
      </c>
      <c r="G818" s="3">
        <v>1</v>
      </c>
      <c r="H818" s="13" t="s">
        <v>152</v>
      </c>
      <c r="I818" s="2" t="str" cm="1">
        <f t="array" ref="I818">_xlfn.IFS(Table1[[#This Row],[Job_Type]] = "unskilled resident", "Resident",
Table1[[#This Row],[Job_Type]] = "unemp/unskilled non res", "Non-resident",
TRUE, "Unknown")</f>
        <v>Unknown</v>
      </c>
      <c r="J818" s="2" t="s">
        <v>148</v>
      </c>
      <c r="K818" s="3">
        <v>4</v>
      </c>
      <c r="L818" s="2" t="s">
        <v>142</v>
      </c>
      <c r="M818" s="13" t="s">
        <v>152</v>
      </c>
      <c r="N818" t="s">
        <v>17</v>
      </c>
      <c r="O818" s="2" t="str">
        <f>_xlfn.XLOOKUP(Table1[[#This Row],[Checking_Acct_Status]],Table3[Checking_Acct_Original],Table3[Category])</f>
        <v>No Account</v>
      </c>
      <c r="P818" s="10" t="s">
        <v>47</v>
      </c>
      <c r="Q818" s="13" t="str">
        <f>_xlfn.XLOOKUP(Table1[[#This Row],[Saving_Acct_Status]],Table5[Saving_Acct_Original],Table5[Category])</f>
        <v>No Savings</v>
      </c>
      <c r="R818" t="s">
        <v>63</v>
      </c>
      <c r="S818" s="2" t="str">
        <f>IF(
      OR(Table1[[#This Row],[Job_Type]] = "high qualif/self emp/mgmt", Table1[[#This Row],[Job_Type]] = "skilled"),
      "Skilled", "Unskilled")</f>
        <v>Skilled</v>
      </c>
      <c r="T818" t="str">
        <f>IF(Table1[[#This Row],[Job_Type]] = "unemp/unskilled non res", "Unemployed", "Employed")</f>
        <v>Employed</v>
      </c>
      <c r="U818" t="s">
        <v>54</v>
      </c>
      <c r="V818" s="14" t="str" cm="1">
        <f t="array" ref="V818">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818" t="s">
        <v>31</v>
      </c>
      <c r="X818" s="2" t="str">
        <f>_xlfn.XLOOKUP(Table1[[#This Row],[Loan_Credit_History]],Table4[Credit History],Table4[[ Category]])</f>
        <v>Existing Credits Paid</v>
      </c>
      <c r="Y818" s="3">
        <v>4</v>
      </c>
      <c r="Z818" s="3">
        <v>1</v>
      </c>
      <c r="AA818" s="5">
        <v>2859</v>
      </c>
      <c r="AB818" t="s">
        <v>151</v>
      </c>
      <c r="AC818" s="2" t="str" cm="1">
        <f t="array" ref="AC818">_xlfn.IFS(Table1[[#This Row],[Others_Parties]] = "No", "None",
Table1[[#This Row],[Others_Parties]] = "co applicant", "Co-applicant",
Table1[[#This Row],[Others_Parties]] = "guarantor", "Guarantor")</f>
        <v>None</v>
      </c>
      <c r="AD818" s="13" t="s">
        <v>145</v>
      </c>
      <c r="AE818" s="2" t="s">
        <v>141</v>
      </c>
      <c r="AF818" s="28" t="str" cm="1">
        <f t="array" ref="AF81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18" s="21">
        <v>12</v>
      </c>
      <c r="AH818" s="2" t="s">
        <v>154</v>
      </c>
      <c r="AI818"/>
      <c r="AZ818"/>
      <c r="BC818"/>
      <c r="BE818"/>
      <c r="BL818"/>
      <c r="BZ818"/>
      <c r="CA818"/>
      <c r="CF818"/>
      <c r="CG818"/>
      <c r="CH818"/>
      <c r="CI818"/>
      <c r="CK818"/>
      <c r="CN818"/>
    </row>
    <row r="819" spans="1:92" x14ac:dyDescent="0.3">
      <c r="A819" s="4">
        <v>817</v>
      </c>
      <c r="B819" s="11">
        <v>27</v>
      </c>
      <c r="C819" s="2" t="str">
        <f>_xlfn.XLOOKUP(Table1[[#This Row],[Age]],Table7[Start_Age],Table7[Age_Range],,-1)</f>
        <v>19-29</v>
      </c>
      <c r="D819" t="s">
        <v>136</v>
      </c>
      <c r="E819" s="2" t="s">
        <v>131</v>
      </c>
      <c r="F819" s="2" t="s">
        <v>137</v>
      </c>
      <c r="G819" s="3">
        <v>1</v>
      </c>
      <c r="H819" s="13" t="s">
        <v>152</v>
      </c>
      <c r="I819" s="2" t="str" cm="1">
        <f t="array" ref="I819">_xlfn.IFS(Table1[[#This Row],[Job_Type]] = "unskilled resident", "Resident",
Table1[[#This Row],[Job_Type]] = "unemp/unskilled non res", "Non-resident",
TRUE, "Unknown")</f>
        <v>Unknown</v>
      </c>
      <c r="J819" s="2" t="s">
        <v>148</v>
      </c>
      <c r="K819" s="3">
        <v>1</v>
      </c>
      <c r="L819" s="2" t="s">
        <v>144</v>
      </c>
      <c r="M819" s="13" t="s">
        <v>151</v>
      </c>
      <c r="N819" t="s">
        <v>30</v>
      </c>
      <c r="O819" s="2" t="str">
        <f>_xlfn.XLOOKUP(Table1[[#This Row],[Checking_Acct_Status]],Table3[Checking_Acct_Original],Table3[Category])</f>
        <v>Low Balance</v>
      </c>
      <c r="P819" s="10" t="s">
        <v>32</v>
      </c>
      <c r="Q819" s="13" t="str">
        <f>_xlfn.XLOOKUP(Table1[[#This Row],[Saving_Acct_Status]],Table5[Saving_Acct_Original],Table5[Category])</f>
        <v>Low Savings</v>
      </c>
      <c r="R819" t="s">
        <v>41</v>
      </c>
      <c r="S819" s="2" t="str">
        <f>IF(
      OR(Table1[[#This Row],[Job_Type]] = "high qualif/self emp/mgmt", Table1[[#This Row],[Job_Type]] = "skilled"),
      "Skilled", "Unskilled")</f>
        <v>Skilled</v>
      </c>
      <c r="T819" t="str">
        <f>IF(Table1[[#This Row],[Job_Type]] = "unemp/unskilled non res", "Unemployed", "Employed")</f>
        <v>Employed</v>
      </c>
      <c r="U819" t="s">
        <v>49</v>
      </c>
      <c r="V819" s="14" t="str" cm="1">
        <f t="array" ref="V81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19" t="s">
        <v>31</v>
      </c>
      <c r="X819" s="2" t="str">
        <f>_xlfn.XLOOKUP(Table1[[#This Row],[Loan_Credit_History]],Table4[Credit History],Table4[[ Category]])</f>
        <v>Existing Credits Paid</v>
      </c>
      <c r="Y819" s="3">
        <v>2</v>
      </c>
      <c r="Z819" s="3">
        <v>1</v>
      </c>
      <c r="AA819" s="5">
        <v>2930</v>
      </c>
      <c r="AB819" t="s">
        <v>151</v>
      </c>
      <c r="AC819" s="2" t="str" cm="1">
        <f t="array" ref="AC819">_xlfn.IFS(Table1[[#This Row],[Others_Parties]] = "No", "None",
Table1[[#This Row],[Others_Parties]] = "co applicant", "Co-applicant",
Table1[[#This Row],[Others_Parties]] = "guarantor", "Guarantor")</f>
        <v>None</v>
      </c>
      <c r="AD819" s="13" t="s">
        <v>145</v>
      </c>
      <c r="AE819" s="2" t="s">
        <v>111</v>
      </c>
      <c r="AF819" s="28" t="str" cm="1">
        <f t="array" ref="AF81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19" s="21">
        <v>12</v>
      </c>
      <c r="AH819" s="2" t="s">
        <v>154</v>
      </c>
      <c r="AI819"/>
      <c r="AZ819"/>
      <c r="BC819"/>
      <c r="BE819"/>
      <c r="BL819"/>
      <c r="BZ819"/>
      <c r="CA819"/>
      <c r="CF819"/>
      <c r="CG819"/>
      <c r="CH819"/>
      <c r="CI819"/>
      <c r="CK819"/>
      <c r="CN819"/>
    </row>
    <row r="820" spans="1:92" x14ac:dyDescent="0.3">
      <c r="A820" s="4">
        <v>818</v>
      </c>
      <c r="B820" s="11">
        <v>25</v>
      </c>
      <c r="C820" s="2" t="str">
        <f>_xlfn.XLOOKUP(Table1[[#This Row],[Age]],Table7[Start_Age],Table7[Age_Range],,-1)</f>
        <v>19-29</v>
      </c>
      <c r="D820" t="s">
        <v>136</v>
      </c>
      <c r="E820" s="2" t="s">
        <v>131</v>
      </c>
      <c r="F820" s="2" t="s">
        <v>137</v>
      </c>
      <c r="G820" s="3">
        <v>1</v>
      </c>
      <c r="H820" s="13" t="s">
        <v>152</v>
      </c>
      <c r="I820" s="2" t="str" cm="1">
        <f t="array" ref="I820">_xlfn.IFS(Table1[[#This Row],[Job_Type]] = "unskilled resident", "Resident",
Table1[[#This Row],[Job_Type]] = "unemp/unskilled non res", "Non-resident",
TRUE, "Unknown")</f>
        <v>Unknown</v>
      </c>
      <c r="J820" s="2" t="s">
        <v>149</v>
      </c>
      <c r="K820" s="3">
        <v>3</v>
      </c>
      <c r="L820" s="2" t="s">
        <v>143</v>
      </c>
      <c r="M820" s="13" t="s">
        <v>151</v>
      </c>
      <c r="N820" t="s">
        <v>30</v>
      </c>
      <c r="O820" s="2" t="str">
        <f>_xlfn.XLOOKUP(Table1[[#This Row],[Checking_Acct_Status]],Table3[Checking_Acct_Original],Table3[Category])</f>
        <v>Low Balance</v>
      </c>
      <c r="P820" s="10" t="s">
        <v>32</v>
      </c>
      <c r="Q820" s="13" t="str">
        <f>_xlfn.XLOOKUP(Table1[[#This Row],[Saving_Acct_Status]],Table5[Saving_Acct_Original],Table5[Category])</f>
        <v>Low Savings</v>
      </c>
      <c r="R820" t="s">
        <v>41</v>
      </c>
      <c r="S820" s="2" t="str">
        <f>IF(
      OR(Table1[[#This Row],[Job_Type]] = "high qualif/self emp/mgmt", Table1[[#This Row],[Job_Type]] = "skilled"),
      "Skilled", "Unskilled")</f>
        <v>Skilled</v>
      </c>
      <c r="T820" t="str">
        <f>IF(Table1[[#This Row],[Job_Type]] = "unemp/unskilled non res", "Unemployed", "Employed")</f>
        <v>Employed</v>
      </c>
      <c r="U820" t="s">
        <v>45</v>
      </c>
      <c r="V820" s="14" t="str" cm="1">
        <f t="array" ref="V82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20" t="s">
        <v>52</v>
      </c>
      <c r="X820" s="2" t="str">
        <f>_xlfn.XLOOKUP(Table1[[#This Row],[Loan_Credit_History]],Table4[Credit History],Table4[[ Category]])</f>
        <v>No Credit History</v>
      </c>
      <c r="Y820" s="3">
        <v>4</v>
      </c>
      <c r="Z820" s="3">
        <v>2</v>
      </c>
      <c r="AA820" s="5">
        <v>2969</v>
      </c>
      <c r="AB820" t="s">
        <v>151</v>
      </c>
      <c r="AC820" s="2" t="str" cm="1">
        <f t="array" ref="AC820">_xlfn.IFS(Table1[[#This Row],[Others_Parties]] = "No", "None",
Table1[[#This Row],[Others_Parties]] = "co applicant", "Co-applicant",
Table1[[#This Row],[Others_Parties]] = "guarantor", "Guarantor")</f>
        <v>None</v>
      </c>
      <c r="AD820" s="13" t="s">
        <v>145</v>
      </c>
      <c r="AE820" s="2" t="s">
        <v>108</v>
      </c>
      <c r="AF820" s="28" t="str" cm="1">
        <f t="array" ref="AF82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20" s="21">
        <v>12</v>
      </c>
      <c r="AH820" s="2" t="s">
        <v>153</v>
      </c>
      <c r="AI820"/>
      <c r="AZ820"/>
      <c r="BC820"/>
      <c r="BE820"/>
      <c r="BL820"/>
      <c r="BZ820"/>
      <c r="CA820"/>
      <c r="CF820"/>
      <c r="CG820"/>
      <c r="CH820"/>
      <c r="CI820"/>
      <c r="CK820"/>
      <c r="CN820"/>
    </row>
    <row r="821" spans="1:92" x14ac:dyDescent="0.3">
      <c r="A821" s="4">
        <v>819</v>
      </c>
      <c r="B821" s="11">
        <v>24</v>
      </c>
      <c r="C821" s="2" t="str">
        <f>_xlfn.XLOOKUP(Table1[[#This Row],[Age]],Table7[Start_Age],Table7[Age_Range],,-1)</f>
        <v>19-29</v>
      </c>
      <c r="D821" t="s">
        <v>134</v>
      </c>
      <c r="E821" s="2" t="s">
        <v>129</v>
      </c>
      <c r="F821" s="2" t="s">
        <v>135</v>
      </c>
      <c r="G821" s="3">
        <v>1</v>
      </c>
      <c r="H821" s="13" t="s">
        <v>152</v>
      </c>
      <c r="I821" s="2" t="str" cm="1">
        <f t="array" ref="I821">_xlfn.IFS(Table1[[#This Row],[Job_Type]] = "unskilled resident", "Resident",
Table1[[#This Row],[Job_Type]] = "unemp/unskilled non res", "Non-resident",
TRUE, "Unknown")</f>
        <v>Unknown</v>
      </c>
      <c r="J821" s="2" t="s">
        <v>148</v>
      </c>
      <c r="K821" s="3">
        <v>1</v>
      </c>
      <c r="L821" s="2" t="s">
        <v>140</v>
      </c>
      <c r="M821" s="13" t="s">
        <v>151</v>
      </c>
      <c r="N821" t="s">
        <v>50</v>
      </c>
      <c r="O821" s="2" t="str">
        <f>_xlfn.XLOOKUP(Table1[[#This Row],[Checking_Acct_Status]],Table3[Checking_Acct_Original],Table3[Category])</f>
        <v>High Balance</v>
      </c>
      <c r="P821" s="10" t="s">
        <v>32</v>
      </c>
      <c r="Q821" s="13" t="str">
        <f>_xlfn.XLOOKUP(Table1[[#This Row],[Saving_Acct_Status]],Table5[Saving_Acct_Original],Table5[Category])</f>
        <v>Low Savings</v>
      </c>
      <c r="R821" t="s">
        <v>41</v>
      </c>
      <c r="S821" s="2" t="str">
        <f>IF(
      OR(Table1[[#This Row],[Job_Type]] = "high qualif/self emp/mgmt", Table1[[#This Row],[Job_Type]] = "skilled"),
      "Skilled", "Unskilled")</f>
        <v>Skilled</v>
      </c>
      <c r="T821" t="str">
        <f>IF(Table1[[#This Row],[Job_Type]] = "unemp/unskilled non res", "Unemployed", "Employed")</f>
        <v>Employed</v>
      </c>
      <c r="U821" t="s">
        <v>21</v>
      </c>
      <c r="V821" s="14" t="str" cm="1">
        <f t="array" ref="V82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21" t="s">
        <v>31</v>
      </c>
      <c r="X821" s="2" t="str">
        <f>_xlfn.XLOOKUP(Table1[[#This Row],[Loan_Credit_History]],Table4[Credit History],Table4[[ Category]])</f>
        <v>Existing Credits Paid</v>
      </c>
      <c r="Y821" s="3">
        <v>3</v>
      </c>
      <c r="Z821" s="3">
        <v>1</v>
      </c>
      <c r="AA821" s="5">
        <v>3016</v>
      </c>
      <c r="AB821" t="s">
        <v>151</v>
      </c>
      <c r="AC821" s="2" t="str" cm="1">
        <f t="array" ref="AC821">_xlfn.IFS(Table1[[#This Row],[Others_Parties]] = "No", "None",
Table1[[#This Row],[Others_Parties]] = "co applicant", "Co-applicant",
Table1[[#This Row],[Others_Parties]] = "guarantor", "Guarantor")</f>
        <v>None</v>
      </c>
      <c r="AD821" s="13" t="s">
        <v>145</v>
      </c>
      <c r="AE821" s="2" t="s">
        <v>111</v>
      </c>
      <c r="AF821" s="28" t="str" cm="1">
        <f t="array" ref="AF82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21" s="21">
        <v>12</v>
      </c>
      <c r="AH821" s="2" t="s">
        <v>154</v>
      </c>
      <c r="AI821"/>
      <c r="AZ821"/>
      <c r="BC821"/>
      <c r="BE821"/>
      <c r="BL821"/>
      <c r="BZ821"/>
      <c r="CA821"/>
      <c r="CF821"/>
      <c r="CG821"/>
      <c r="CH821"/>
      <c r="CI821"/>
      <c r="CK821"/>
      <c r="CN821"/>
    </row>
    <row r="822" spans="1:92" x14ac:dyDescent="0.3">
      <c r="A822" s="4">
        <v>820</v>
      </c>
      <c r="B822" s="11">
        <v>34</v>
      </c>
      <c r="C822" s="2" t="str">
        <f>_xlfn.XLOOKUP(Table1[[#This Row],[Age]],Table7[Start_Age],Table7[Age_Range],,-1)</f>
        <v>29-39</v>
      </c>
      <c r="D822" t="s">
        <v>136</v>
      </c>
      <c r="E822" s="2" t="s">
        <v>131</v>
      </c>
      <c r="F822" s="2" t="s">
        <v>137</v>
      </c>
      <c r="G822" s="3">
        <v>1</v>
      </c>
      <c r="H822" s="13" t="s">
        <v>152</v>
      </c>
      <c r="I822" s="2" t="str" cm="1">
        <f t="array" ref="I822">_xlfn.IFS(Table1[[#This Row],[Job_Type]] = "unskilled resident", "Resident",
Table1[[#This Row],[Job_Type]] = "unemp/unskilled non res", "Non-resident",
TRUE, "Unknown")</f>
        <v>Unknown</v>
      </c>
      <c r="J822" s="2" t="s">
        <v>149</v>
      </c>
      <c r="K822" s="3">
        <v>1</v>
      </c>
      <c r="L822" s="2" t="s">
        <v>144</v>
      </c>
      <c r="M822" s="13" t="s">
        <v>151</v>
      </c>
      <c r="N822" t="s">
        <v>30</v>
      </c>
      <c r="O822" s="2" t="str">
        <f>_xlfn.XLOOKUP(Table1[[#This Row],[Checking_Acct_Status]],Table3[Checking_Acct_Original],Table3[Category])</f>
        <v>Low Balance</v>
      </c>
      <c r="P822" s="10" t="s">
        <v>32</v>
      </c>
      <c r="Q822" s="13" t="str">
        <f>_xlfn.XLOOKUP(Table1[[#This Row],[Saving_Acct_Status]],Table5[Saving_Acct_Original],Table5[Category])</f>
        <v>Low Savings</v>
      </c>
      <c r="R822" t="s">
        <v>63</v>
      </c>
      <c r="S822" s="2" t="str">
        <f>IF(
      OR(Table1[[#This Row],[Job_Type]] = "high qualif/self emp/mgmt", Table1[[#This Row],[Job_Type]] = "skilled"),
      "Skilled", "Unskilled")</f>
        <v>Skilled</v>
      </c>
      <c r="T822" t="str">
        <f>IF(Table1[[#This Row],[Job_Type]] = "unemp/unskilled non res", "Unemployed", "Employed")</f>
        <v>Employed</v>
      </c>
      <c r="U822" t="s">
        <v>45</v>
      </c>
      <c r="V822" s="14" t="str" cm="1">
        <f t="array" ref="V82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22" t="s">
        <v>31</v>
      </c>
      <c r="X822" s="2" t="str">
        <f>_xlfn.XLOOKUP(Table1[[#This Row],[Loan_Credit_History]],Table4[Credit History],Table4[[ Category]])</f>
        <v>Existing Credits Paid</v>
      </c>
      <c r="Y822" s="3">
        <v>3</v>
      </c>
      <c r="Z822" s="3">
        <v>1</v>
      </c>
      <c r="AA822" s="5">
        <v>3017</v>
      </c>
      <c r="AB822" t="s">
        <v>151</v>
      </c>
      <c r="AC822" s="2" t="str" cm="1">
        <f t="array" ref="AC822">_xlfn.IFS(Table1[[#This Row],[Others_Parties]] = "No", "None",
Table1[[#This Row],[Others_Parties]] = "co applicant", "Co-applicant",
Table1[[#This Row],[Others_Parties]] = "guarantor", "Guarantor")</f>
        <v>None</v>
      </c>
      <c r="AD822" s="13" t="s">
        <v>145</v>
      </c>
      <c r="AE822" s="2" t="s">
        <v>108</v>
      </c>
      <c r="AF822" s="28" t="str" cm="1">
        <f t="array" ref="AF82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22" s="21">
        <v>12</v>
      </c>
      <c r="AH822" s="2" t="s">
        <v>154</v>
      </c>
      <c r="AI822"/>
      <c r="AZ822"/>
      <c r="BC822"/>
      <c r="BE822"/>
      <c r="BL822"/>
      <c r="BZ822"/>
      <c r="CA822"/>
      <c r="CF822"/>
      <c r="CG822"/>
      <c r="CH822"/>
      <c r="CI822"/>
      <c r="CK822"/>
      <c r="CN822"/>
    </row>
    <row r="823" spans="1:92" x14ac:dyDescent="0.3">
      <c r="A823" s="4">
        <v>821</v>
      </c>
      <c r="B823" s="11">
        <v>61</v>
      </c>
      <c r="C823" s="2" t="str">
        <f>_xlfn.XLOOKUP(Table1[[#This Row],[Age]],Table7[Start_Age],Table7[Age_Range],,-1)</f>
        <v>59-69</v>
      </c>
      <c r="D823" t="s">
        <v>138</v>
      </c>
      <c r="E823" s="2" t="s">
        <v>129</v>
      </c>
      <c r="F823" s="2" t="s">
        <v>178</v>
      </c>
      <c r="G823" s="3">
        <v>1</v>
      </c>
      <c r="H823" s="13" t="s">
        <v>152</v>
      </c>
      <c r="I823" s="2" t="str" cm="1">
        <f t="array" ref="I823">_xlfn.IFS(Table1[[#This Row],[Job_Type]] = "unskilled resident", "Resident",
Table1[[#This Row],[Job_Type]] = "unemp/unskilled non res", "Non-resident",
TRUE, "Unknown")</f>
        <v>Resident</v>
      </c>
      <c r="J823" s="2" t="s">
        <v>148</v>
      </c>
      <c r="K823" s="3">
        <v>4</v>
      </c>
      <c r="L823" s="2" t="s">
        <v>144</v>
      </c>
      <c r="M823" s="13" t="s">
        <v>151</v>
      </c>
      <c r="N823" t="s">
        <v>17</v>
      </c>
      <c r="O823" s="2" t="str">
        <f>_xlfn.XLOOKUP(Table1[[#This Row],[Checking_Acct_Status]],Table3[Checking_Acct_Original],Table3[Category])</f>
        <v>No Account</v>
      </c>
      <c r="P823" s="10" t="s">
        <v>20</v>
      </c>
      <c r="Q823" s="13" t="str">
        <f>_xlfn.XLOOKUP(Table1[[#This Row],[Saving_Acct_Status]],Table5[Saving_Acct_Original],Table5[Category])</f>
        <v>Very High Savings</v>
      </c>
      <c r="R823" t="s">
        <v>27</v>
      </c>
      <c r="S823" s="2" t="str">
        <f>IF(
      OR(Table1[[#This Row],[Job_Type]] = "high qualif/self emp/mgmt", Table1[[#This Row],[Job_Type]] = "skilled"),
      "Skilled", "Unskilled")</f>
        <v>Unskilled</v>
      </c>
      <c r="T823" t="str">
        <f>IF(Table1[[#This Row],[Job_Type]] = "unemp/unskilled non res", "Unemployed", "Employed")</f>
        <v>Employed</v>
      </c>
      <c r="U823" t="s">
        <v>49</v>
      </c>
      <c r="V823" s="14" t="str" cm="1">
        <f t="array" ref="V82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23" t="s">
        <v>31</v>
      </c>
      <c r="X823" s="2" t="str">
        <f>_xlfn.XLOOKUP(Table1[[#This Row],[Loan_Credit_History]],Table4[Credit History],Table4[[ Category]])</f>
        <v>Existing Credits Paid</v>
      </c>
      <c r="Y823" s="3">
        <v>2</v>
      </c>
      <c r="Z823" s="3">
        <v>1</v>
      </c>
      <c r="AA823" s="5">
        <v>3059</v>
      </c>
      <c r="AB823" t="s">
        <v>151</v>
      </c>
      <c r="AC823" s="2" t="str" cm="1">
        <f t="array" ref="AC823">_xlfn.IFS(Table1[[#This Row],[Others_Parties]] = "No", "None",
Table1[[#This Row],[Others_Parties]] = "co applicant", "Co-applicant",
Table1[[#This Row],[Others_Parties]] = "guarantor", "Guarantor")</f>
        <v>None</v>
      </c>
      <c r="AD823" s="13" t="s">
        <v>145</v>
      </c>
      <c r="AE823" s="2" t="s">
        <v>111</v>
      </c>
      <c r="AF823" s="28" t="str" cm="1">
        <f t="array" ref="AF82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23" s="21">
        <v>12</v>
      </c>
      <c r="AH823" s="2" t="s">
        <v>154</v>
      </c>
      <c r="AI823"/>
      <c r="AZ823"/>
      <c r="BC823"/>
      <c r="BE823"/>
      <c r="BL823"/>
      <c r="BZ823"/>
      <c r="CA823"/>
      <c r="CF823"/>
      <c r="CG823"/>
      <c r="CH823"/>
      <c r="CI823"/>
      <c r="CK823"/>
      <c r="CN823"/>
    </row>
    <row r="824" spans="1:92" x14ac:dyDescent="0.3">
      <c r="A824" s="4">
        <v>822</v>
      </c>
      <c r="B824" s="11">
        <v>52</v>
      </c>
      <c r="C824" s="2" t="str">
        <f>_xlfn.XLOOKUP(Table1[[#This Row],[Age]],Table7[Start_Age],Table7[Age_Range],,-1)</f>
        <v>49-59</v>
      </c>
      <c r="D824" t="s">
        <v>130</v>
      </c>
      <c r="E824" s="2" t="s">
        <v>129</v>
      </c>
      <c r="F824" s="2" t="s">
        <v>133</v>
      </c>
      <c r="G824" s="3">
        <v>1</v>
      </c>
      <c r="H824" s="13" t="s">
        <v>152</v>
      </c>
      <c r="I824" s="2" t="str" cm="1">
        <f t="array" ref="I824">_xlfn.IFS(Table1[[#This Row],[Job_Type]] = "unskilled resident", "Resident",
Table1[[#This Row],[Job_Type]] = "unemp/unskilled non res", "Non-resident",
TRUE, "Unknown")</f>
        <v>Unknown</v>
      </c>
      <c r="J824" s="2" t="s">
        <v>148</v>
      </c>
      <c r="K824" s="3">
        <v>4</v>
      </c>
      <c r="L824" s="2" t="s">
        <v>140</v>
      </c>
      <c r="M824" s="13" t="s">
        <v>152</v>
      </c>
      <c r="N824" t="s">
        <v>17</v>
      </c>
      <c r="O824" s="2" t="str">
        <f>_xlfn.XLOOKUP(Table1[[#This Row],[Checking_Acct_Status]],Table3[Checking_Acct_Original],Table3[Category])</f>
        <v>No Account</v>
      </c>
      <c r="P824" s="10" t="s">
        <v>32</v>
      </c>
      <c r="Q824" s="13" t="str">
        <f>_xlfn.XLOOKUP(Table1[[#This Row],[Saving_Acct_Status]],Table5[Saving_Acct_Original],Table5[Category])</f>
        <v>Low Savings</v>
      </c>
      <c r="R824" t="s">
        <v>41</v>
      </c>
      <c r="S824" s="2" t="str">
        <f>IF(
      OR(Table1[[#This Row],[Job_Type]] = "high qualif/self emp/mgmt", Table1[[#This Row],[Job_Type]] = "skilled"),
      "Skilled", "Unskilled")</f>
        <v>Skilled</v>
      </c>
      <c r="T824" t="str">
        <f>IF(Table1[[#This Row],[Job_Type]] = "unemp/unskilled non res", "Unemployed", "Employed")</f>
        <v>Employed</v>
      </c>
      <c r="U824" t="s">
        <v>21</v>
      </c>
      <c r="V824" s="14" t="str" cm="1">
        <f t="array" ref="V82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24" t="s">
        <v>31</v>
      </c>
      <c r="X824" s="2" t="str">
        <f>_xlfn.XLOOKUP(Table1[[#This Row],[Loan_Credit_History]],Table4[Credit History],Table4[[ Category]])</f>
        <v>Existing Credits Paid</v>
      </c>
      <c r="Y824" s="3">
        <v>2</v>
      </c>
      <c r="Z824" s="3">
        <v>1</v>
      </c>
      <c r="AA824" s="5">
        <v>3077</v>
      </c>
      <c r="AB824" t="s">
        <v>151</v>
      </c>
      <c r="AC824" s="2" t="str" cm="1">
        <f t="array" ref="AC824">_xlfn.IFS(Table1[[#This Row],[Others_Parties]] = "No", "None",
Table1[[#This Row],[Others_Parties]] = "co applicant", "Co-applicant",
Table1[[#This Row],[Others_Parties]] = "guarantor", "Guarantor")</f>
        <v>None</v>
      </c>
      <c r="AD824" s="13" t="s">
        <v>145</v>
      </c>
      <c r="AE824" s="2" t="s">
        <v>111</v>
      </c>
      <c r="AF824" s="28" t="str" cm="1">
        <f t="array" ref="AF82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24" s="21">
        <v>12</v>
      </c>
      <c r="AH824" s="2" t="s">
        <v>154</v>
      </c>
      <c r="AI824"/>
      <c r="AZ824"/>
      <c r="BC824"/>
      <c r="BE824"/>
      <c r="BL824"/>
      <c r="BZ824"/>
      <c r="CA824"/>
      <c r="CF824"/>
      <c r="CG824"/>
      <c r="CH824"/>
      <c r="CI824"/>
      <c r="CK824"/>
      <c r="CN824"/>
    </row>
    <row r="825" spans="1:92" x14ac:dyDescent="0.3">
      <c r="A825" s="4">
        <v>823</v>
      </c>
      <c r="B825" s="11">
        <v>49</v>
      </c>
      <c r="C825" s="2" t="str">
        <f>_xlfn.XLOOKUP(Table1[[#This Row],[Age]],Table7[Start_Age],Table7[Age_Range],,-1)</f>
        <v>49-59</v>
      </c>
      <c r="D825" t="s">
        <v>130</v>
      </c>
      <c r="E825" s="2" t="s">
        <v>129</v>
      </c>
      <c r="F825" s="2" t="s">
        <v>133</v>
      </c>
      <c r="G825" s="3">
        <v>2</v>
      </c>
      <c r="H825" s="13" t="s">
        <v>152</v>
      </c>
      <c r="I825" s="2" t="str" cm="1">
        <f t="array" ref="I825">_xlfn.IFS(Table1[[#This Row],[Job_Type]] = "unskilled resident", "Resident",
Table1[[#This Row],[Job_Type]] = "unemp/unskilled non res", "Non-resident",
TRUE, "Unknown")</f>
        <v>Resident</v>
      </c>
      <c r="J825" s="2" t="s">
        <v>148</v>
      </c>
      <c r="K825" s="3">
        <v>3</v>
      </c>
      <c r="L825" s="2" t="s">
        <v>144</v>
      </c>
      <c r="M825" s="13" t="s">
        <v>151</v>
      </c>
      <c r="N825" t="s">
        <v>30</v>
      </c>
      <c r="O825" s="2" t="str">
        <f>_xlfn.XLOOKUP(Table1[[#This Row],[Checking_Acct_Status]],Table3[Checking_Acct_Original],Table3[Category])</f>
        <v>Low Balance</v>
      </c>
      <c r="P825" s="10" t="s">
        <v>32</v>
      </c>
      <c r="Q825" s="13" t="str">
        <f>_xlfn.XLOOKUP(Table1[[#This Row],[Saving_Acct_Status]],Table5[Saving_Acct_Original],Table5[Category])</f>
        <v>Low Savings</v>
      </c>
      <c r="R825" t="s">
        <v>27</v>
      </c>
      <c r="S825" s="2" t="str">
        <f>IF(
      OR(Table1[[#This Row],[Job_Type]] = "high qualif/self emp/mgmt", Table1[[#This Row],[Job_Type]] = "skilled"),
      "Skilled", "Unskilled")</f>
        <v>Unskilled</v>
      </c>
      <c r="T825" t="str">
        <f>IF(Table1[[#This Row],[Job_Type]] = "unemp/unskilled non res", "Unemployed", "Employed")</f>
        <v>Employed</v>
      </c>
      <c r="U825" t="s">
        <v>45</v>
      </c>
      <c r="V825" s="14" t="str" cm="1">
        <f t="array" ref="V82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25" t="s">
        <v>103</v>
      </c>
      <c r="X825" s="2" t="str">
        <f>_xlfn.XLOOKUP(Table1[[#This Row],[Loan_Credit_History]],Table4[Credit History],Table4[[ Category]])</f>
        <v>Critical Credit History</v>
      </c>
      <c r="Y825" s="3">
        <v>1</v>
      </c>
      <c r="Z825" s="3">
        <v>2</v>
      </c>
      <c r="AA825" s="5">
        <v>3124</v>
      </c>
      <c r="AB825" t="s">
        <v>151</v>
      </c>
      <c r="AC825" s="2" t="str" cm="1">
        <f t="array" ref="AC825">_xlfn.IFS(Table1[[#This Row],[Others_Parties]] = "No", "None",
Table1[[#This Row],[Others_Parties]] = "co applicant", "Co-applicant",
Table1[[#This Row],[Others_Parties]] = "guarantor", "Guarantor")</f>
        <v>None</v>
      </c>
      <c r="AD825" s="13" t="s">
        <v>146</v>
      </c>
      <c r="AE825" s="2" t="s">
        <v>141</v>
      </c>
      <c r="AF825" s="28" t="str" cm="1">
        <f t="array" ref="AF82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25" s="21">
        <v>12</v>
      </c>
      <c r="AH825" s="2" t="s">
        <v>154</v>
      </c>
      <c r="AI825"/>
      <c r="AZ825"/>
      <c r="BC825"/>
      <c r="BE825"/>
      <c r="BL825"/>
      <c r="BZ825"/>
      <c r="CA825"/>
      <c r="CF825"/>
      <c r="CG825"/>
      <c r="CH825"/>
      <c r="CI825"/>
      <c r="CK825"/>
      <c r="CN825"/>
    </row>
    <row r="826" spans="1:92" x14ac:dyDescent="0.3">
      <c r="A826" s="4">
        <v>824</v>
      </c>
      <c r="B826" s="11">
        <v>42</v>
      </c>
      <c r="C826" s="2" t="str">
        <f>_xlfn.XLOOKUP(Table1[[#This Row],[Age]],Table7[Start_Age],Table7[Age_Range],,-1)</f>
        <v>39-49</v>
      </c>
      <c r="D826" t="s">
        <v>130</v>
      </c>
      <c r="E826" s="2" t="s">
        <v>129</v>
      </c>
      <c r="F826" s="2" t="s">
        <v>133</v>
      </c>
      <c r="G826" s="3">
        <v>1</v>
      </c>
      <c r="H826" s="13" t="s">
        <v>152</v>
      </c>
      <c r="I826" s="2" t="str" cm="1">
        <f t="array" ref="I826">_xlfn.IFS(Table1[[#This Row],[Job_Type]] = "unskilled resident", "Resident",
Table1[[#This Row],[Job_Type]] = "unemp/unskilled non res", "Non-resident",
TRUE, "Unknown")</f>
        <v>Unknown</v>
      </c>
      <c r="J826" s="2" t="s">
        <v>148</v>
      </c>
      <c r="K826" s="3">
        <v>4</v>
      </c>
      <c r="L826" s="2" t="s">
        <v>143</v>
      </c>
      <c r="M826" s="13" t="s">
        <v>151</v>
      </c>
      <c r="N826" t="s">
        <v>17</v>
      </c>
      <c r="O826" s="2" t="str">
        <f>_xlfn.XLOOKUP(Table1[[#This Row],[Checking_Acct_Status]],Table3[Checking_Acct_Original],Table3[Category])</f>
        <v>No Account</v>
      </c>
      <c r="P826" s="10" t="s">
        <v>32</v>
      </c>
      <c r="Q826" s="13" t="str">
        <f>_xlfn.XLOOKUP(Table1[[#This Row],[Saving_Acct_Status]],Table5[Saving_Acct_Original],Table5[Category])</f>
        <v>Low Savings</v>
      </c>
      <c r="R826" t="s">
        <v>41</v>
      </c>
      <c r="S826" s="2" t="str">
        <f>IF(
      OR(Table1[[#This Row],[Job_Type]] = "high qualif/self emp/mgmt", Table1[[#This Row],[Job_Type]] = "skilled"),
      "Skilled", "Unskilled")</f>
        <v>Skilled</v>
      </c>
      <c r="T826" t="str">
        <f>IF(Table1[[#This Row],[Job_Type]] = "unemp/unskilled non res", "Unemployed", "Employed")</f>
        <v>Employed</v>
      </c>
      <c r="U826" t="s">
        <v>38</v>
      </c>
      <c r="V826" s="14" t="str" cm="1">
        <f t="array" ref="V82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26" t="s">
        <v>103</v>
      </c>
      <c r="X826" s="2" t="str">
        <f>_xlfn.XLOOKUP(Table1[[#This Row],[Loan_Credit_History]],Table4[Credit History],Table4[[ Category]])</f>
        <v>Critical Credit History</v>
      </c>
      <c r="Y826" s="3">
        <v>2</v>
      </c>
      <c r="Z826" s="3">
        <v>1</v>
      </c>
      <c r="AA826" s="5">
        <v>3331</v>
      </c>
      <c r="AB826" t="s">
        <v>151</v>
      </c>
      <c r="AC826" s="2" t="str" cm="1">
        <f t="array" ref="AC826">_xlfn.IFS(Table1[[#This Row],[Others_Parties]] = "No", "None",
Table1[[#This Row],[Others_Parties]] = "co applicant", "Co-applicant",
Table1[[#This Row],[Others_Parties]] = "guarantor", "Guarantor")</f>
        <v>None</v>
      </c>
      <c r="AD826" s="13" t="s">
        <v>147</v>
      </c>
      <c r="AE826" s="2" t="s">
        <v>108</v>
      </c>
      <c r="AF826" s="28" t="str" cm="1">
        <f t="array" ref="AF82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26" s="21">
        <v>12</v>
      </c>
      <c r="AH826" s="2" t="s">
        <v>154</v>
      </c>
      <c r="AI826"/>
      <c r="AZ826"/>
      <c r="BC826"/>
      <c r="BE826"/>
      <c r="BL826"/>
      <c r="BZ826"/>
      <c r="CA826"/>
      <c r="CF826"/>
      <c r="CG826"/>
      <c r="CH826"/>
      <c r="CI826"/>
      <c r="CK826"/>
      <c r="CN826"/>
    </row>
    <row r="827" spans="1:92" x14ac:dyDescent="0.3">
      <c r="A827" s="4">
        <v>825</v>
      </c>
      <c r="B827" s="11">
        <v>35</v>
      </c>
      <c r="C827" s="2" t="str">
        <f>_xlfn.XLOOKUP(Table1[[#This Row],[Age]],Table7[Start_Age],Table7[Age_Range],,-1)</f>
        <v>29-39</v>
      </c>
      <c r="D827" t="s">
        <v>130</v>
      </c>
      <c r="E827" s="2" t="s">
        <v>129</v>
      </c>
      <c r="F827" s="2" t="s">
        <v>133</v>
      </c>
      <c r="G827" s="3">
        <v>1</v>
      </c>
      <c r="H827" s="13" t="s">
        <v>152</v>
      </c>
      <c r="I827" s="2" t="str" cm="1">
        <f t="array" ref="I827">_xlfn.IFS(Table1[[#This Row],[Job_Type]] = "unskilled resident", "Resident",
Table1[[#This Row],[Job_Type]] = "unemp/unskilled non res", "Non-resident",
TRUE, "Unknown")</f>
        <v>Unknown</v>
      </c>
      <c r="J827" s="2" t="s">
        <v>150</v>
      </c>
      <c r="K827" s="3">
        <v>4</v>
      </c>
      <c r="L827" s="2" t="s">
        <v>142</v>
      </c>
      <c r="M827" s="13" t="s">
        <v>152</v>
      </c>
      <c r="N827" t="s">
        <v>35</v>
      </c>
      <c r="O827" s="2" t="str">
        <f>_xlfn.XLOOKUP(Table1[[#This Row],[Checking_Acct_Status]],Table3[Checking_Acct_Original],Table3[Category])</f>
        <v>Negative Balance</v>
      </c>
      <c r="P827" s="10" t="s">
        <v>32</v>
      </c>
      <c r="Q827" s="13" t="str">
        <f>_xlfn.XLOOKUP(Table1[[#This Row],[Saving_Acct_Status]],Table5[Saving_Acct_Original],Table5[Category])</f>
        <v>Low Savings</v>
      </c>
      <c r="R827" t="s">
        <v>41</v>
      </c>
      <c r="S827" s="2" t="str">
        <f>IF(
      OR(Table1[[#This Row],[Job_Type]] = "high qualif/self emp/mgmt", Table1[[#This Row],[Job_Type]] = "skilled"),
      "Skilled", "Unskilled")</f>
        <v>Skilled</v>
      </c>
      <c r="T827" t="str">
        <f>IF(Table1[[#This Row],[Job_Type]] = "unemp/unskilled non res", "Unemployed", "Employed")</f>
        <v>Employed</v>
      </c>
      <c r="U827" t="s">
        <v>38</v>
      </c>
      <c r="V827" s="14" t="str" cm="1">
        <f t="array" ref="V82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27" t="s">
        <v>31</v>
      </c>
      <c r="X827" s="2" t="str">
        <f>_xlfn.XLOOKUP(Table1[[#This Row],[Loan_Credit_History]],Table4[Credit History],Table4[[ Category]])</f>
        <v>Existing Credits Paid</v>
      </c>
      <c r="Y827" s="3">
        <v>3</v>
      </c>
      <c r="Z827" s="3">
        <v>1</v>
      </c>
      <c r="AA827" s="5">
        <v>3386</v>
      </c>
      <c r="AB827" t="s">
        <v>151</v>
      </c>
      <c r="AC827" s="2" t="str" cm="1">
        <f t="array" ref="AC827">_xlfn.IFS(Table1[[#This Row],[Others_Parties]] = "No", "None",
Table1[[#This Row],[Others_Parties]] = "co applicant", "Co-applicant",
Table1[[#This Row],[Others_Parties]] = "guarantor", "Guarantor")</f>
        <v>None</v>
      </c>
      <c r="AD827" s="13" t="s">
        <v>145</v>
      </c>
      <c r="AE827" s="2" t="s">
        <v>107</v>
      </c>
      <c r="AF827" s="28" t="str" cm="1">
        <f t="array" ref="AF82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27" s="21">
        <v>12</v>
      </c>
      <c r="AH827" s="2" t="s">
        <v>153</v>
      </c>
      <c r="AI827"/>
      <c r="AZ827"/>
      <c r="BC827"/>
      <c r="BE827"/>
      <c r="BL827"/>
      <c r="BZ827"/>
      <c r="CA827"/>
      <c r="CF827"/>
      <c r="CG827"/>
      <c r="CH827"/>
      <c r="CI827"/>
      <c r="CK827"/>
      <c r="CN827"/>
    </row>
    <row r="828" spans="1:92" x14ac:dyDescent="0.3">
      <c r="A828" s="4">
        <v>826</v>
      </c>
      <c r="B828" s="11">
        <v>37</v>
      </c>
      <c r="C828" s="2" t="str">
        <f>_xlfn.XLOOKUP(Table1[[#This Row],[Age]],Table7[Start_Age],Table7[Age_Range],,-1)</f>
        <v>29-39</v>
      </c>
      <c r="D828" t="s">
        <v>130</v>
      </c>
      <c r="E828" s="2" t="s">
        <v>129</v>
      </c>
      <c r="F828" s="2" t="s">
        <v>133</v>
      </c>
      <c r="G828" s="3">
        <v>1</v>
      </c>
      <c r="H828" s="13" t="s">
        <v>152</v>
      </c>
      <c r="I828" s="2" t="str" cm="1">
        <f t="array" ref="I828">_xlfn.IFS(Table1[[#This Row],[Job_Type]] = "unskilled resident", "Resident",
Table1[[#This Row],[Job_Type]] = "unemp/unskilled non res", "Non-resident",
TRUE, "Unknown")</f>
        <v>Unknown</v>
      </c>
      <c r="J828" s="2" t="s">
        <v>148</v>
      </c>
      <c r="K828" s="3">
        <v>3</v>
      </c>
      <c r="L828" s="2" t="s">
        <v>140</v>
      </c>
      <c r="M828" s="13" t="s">
        <v>151</v>
      </c>
      <c r="N828" t="s">
        <v>50</v>
      </c>
      <c r="O828" s="2" t="str">
        <f>_xlfn.XLOOKUP(Table1[[#This Row],[Checking_Acct_Status]],Table3[Checking_Acct_Original],Table3[Category])</f>
        <v>High Balance</v>
      </c>
      <c r="P828" s="10" t="s">
        <v>47</v>
      </c>
      <c r="Q828" s="13" t="str">
        <f>_xlfn.XLOOKUP(Table1[[#This Row],[Saving_Acct_Status]],Table5[Saving_Acct_Original],Table5[Category])</f>
        <v>No Savings</v>
      </c>
      <c r="R828" t="s">
        <v>63</v>
      </c>
      <c r="S828" s="2" t="str">
        <f>IF(
      OR(Table1[[#This Row],[Job_Type]] = "high qualif/self emp/mgmt", Table1[[#This Row],[Job_Type]] = "skilled"),
      "Skilled", "Unskilled")</f>
        <v>Skilled</v>
      </c>
      <c r="T828" t="str">
        <f>IF(Table1[[#This Row],[Job_Type]] = "unemp/unskilled non res", "Unemployed", "Employed")</f>
        <v>Employed</v>
      </c>
      <c r="U828" t="s">
        <v>38</v>
      </c>
      <c r="V828" s="14" t="str" cm="1">
        <f t="array" ref="V82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28" t="s">
        <v>31</v>
      </c>
      <c r="X828" s="2" t="str">
        <f>_xlfn.XLOOKUP(Table1[[#This Row],[Loan_Credit_History]],Table4[Credit History],Table4[[ Category]])</f>
        <v>Existing Credits Paid</v>
      </c>
      <c r="Y828" s="3">
        <v>2</v>
      </c>
      <c r="Z828" s="3">
        <v>1</v>
      </c>
      <c r="AA828" s="5">
        <v>3399</v>
      </c>
      <c r="AB828" t="s">
        <v>151</v>
      </c>
      <c r="AC828" s="2" t="str" cm="1">
        <f t="array" ref="AC828">_xlfn.IFS(Table1[[#This Row],[Others_Parties]] = "No", "None",
Table1[[#This Row],[Others_Parties]] = "co applicant", "Co-applicant",
Table1[[#This Row],[Others_Parties]] = "guarantor", "Guarantor")</f>
        <v>None</v>
      </c>
      <c r="AD828" s="13" t="s">
        <v>145</v>
      </c>
      <c r="AE828" s="2" t="s">
        <v>111</v>
      </c>
      <c r="AF828" s="28" t="str" cm="1">
        <f t="array" ref="AF82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28" s="21">
        <v>12</v>
      </c>
      <c r="AH828" s="2" t="s">
        <v>154</v>
      </c>
      <c r="AI828"/>
      <c r="AZ828"/>
      <c r="BC828"/>
      <c r="BE828"/>
      <c r="BL828"/>
      <c r="BZ828"/>
      <c r="CA828"/>
      <c r="CF828"/>
      <c r="CG828"/>
      <c r="CH828"/>
      <c r="CI828"/>
      <c r="CK828"/>
      <c r="CN828"/>
    </row>
    <row r="829" spans="1:92" x14ac:dyDescent="0.3">
      <c r="A829" s="4">
        <v>827</v>
      </c>
      <c r="B829" s="11">
        <v>35</v>
      </c>
      <c r="C829" s="2" t="str">
        <f>_xlfn.XLOOKUP(Table1[[#This Row],[Age]],Table7[Start_Age],Table7[Age_Range],,-1)</f>
        <v>29-39</v>
      </c>
      <c r="D829" t="s">
        <v>136</v>
      </c>
      <c r="E829" s="2" t="s">
        <v>131</v>
      </c>
      <c r="F829" s="2" t="s">
        <v>137</v>
      </c>
      <c r="G829" s="3">
        <v>2</v>
      </c>
      <c r="H829" s="13" t="s">
        <v>152</v>
      </c>
      <c r="I829" s="2" t="str" cm="1">
        <f t="array" ref="I829">_xlfn.IFS(Table1[[#This Row],[Job_Type]] = "unskilled resident", "Resident",
Table1[[#This Row],[Job_Type]] = "unemp/unskilled non res", "Non-resident",
TRUE, "Unknown")</f>
        <v>Resident</v>
      </c>
      <c r="J829" s="2" t="s">
        <v>148</v>
      </c>
      <c r="K829" s="3">
        <v>3</v>
      </c>
      <c r="L829" s="2" t="s">
        <v>144</v>
      </c>
      <c r="M829" s="13" t="s">
        <v>151</v>
      </c>
      <c r="N829" t="s">
        <v>17</v>
      </c>
      <c r="O829" s="2" t="str">
        <f>_xlfn.XLOOKUP(Table1[[#This Row],[Checking_Acct_Status]],Table3[Checking_Acct_Original],Table3[Category])</f>
        <v>No Account</v>
      </c>
      <c r="P829" s="10" t="s">
        <v>37</v>
      </c>
      <c r="Q829" s="13" t="str">
        <f>_xlfn.XLOOKUP(Table1[[#This Row],[Saving_Acct_Status]],Table5[Saving_Acct_Original],Table5[Category])</f>
        <v>High Savings</v>
      </c>
      <c r="R829" t="s">
        <v>27</v>
      </c>
      <c r="S829" s="2" t="str">
        <f>IF(
      OR(Table1[[#This Row],[Job_Type]] = "high qualif/self emp/mgmt", Table1[[#This Row],[Job_Type]] = "skilled"),
      "Skilled", "Unskilled")</f>
        <v>Unskilled</v>
      </c>
      <c r="T829" t="str">
        <f>IF(Table1[[#This Row],[Job_Type]] = "unemp/unskilled non res", "Unemployed", "Employed")</f>
        <v>Employed</v>
      </c>
      <c r="U829" t="s">
        <v>21</v>
      </c>
      <c r="V829" s="14" t="str" cm="1">
        <f t="array" ref="V82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29" t="s">
        <v>42</v>
      </c>
      <c r="X829" s="2" t="str">
        <f>_xlfn.XLOOKUP(Table1[[#This Row],[Loan_Credit_History]],Table4[Credit History],Table4[[ Category]])</f>
        <v>All Paid</v>
      </c>
      <c r="Y829" s="3">
        <v>4</v>
      </c>
      <c r="Z829" s="3">
        <v>1</v>
      </c>
      <c r="AA829" s="5">
        <v>3447</v>
      </c>
      <c r="AB829" t="s">
        <v>151</v>
      </c>
      <c r="AC829" s="2" t="str" cm="1">
        <f t="array" ref="AC829">_xlfn.IFS(Table1[[#This Row],[Others_Parties]] = "No", "None",
Table1[[#This Row],[Others_Parties]] = "co applicant", "Co-applicant",
Table1[[#This Row],[Others_Parties]] = "guarantor", "Guarantor")</f>
        <v>None</v>
      </c>
      <c r="AD829" s="13" t="s">
        <v>145</v>
      </c>
      <c r="AE829" s="2" t="s">
        <v>110</v>
      </c>
      <c r="AF829" s="28" t="str" cm="1">
        <f t="array" ref="AF82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29" s="21">
        <v>12</v>
      </c>
      <c r="AH829" s="2" t="s">
        <v>154</v>
      </c>
      <c r="AI829"/>
      <c r="AZ829"/>
      <c r="BC829"/>
      <c r="BE829"/>
      <c r="BL829"/>
      <c r="BZ829"/>
      <c r="CA829"/>
      <c r="CF829"/>
      <c r="CG829"/>
      <c r="CH829"/>
      <c r="CI829"/>
      <c r="CK829"/>
      <c r="CN829"/>
    </row>
    <row r="830" spans="1:92" x14ac:dyDescent="0.3">
      <c r="A830" s="4">
        <v>828</v>
      </c>
      <c r="B830" s="11">
        <v>29</v>
      </c>
      <c r="C830" s="2" t="str">
        <f>_xlfn.XLOOKUP(Table1[[#This Row],[Age]],Table7[Start_Age],Table7[Age_Range],,-1)</f>
        <v>29-39</v>
      </c>
      <c r="D830" t="s">
        <v>136</v>
      </c>
      <c r="E830" s="2" t="s">
        <v>131</v>
      </c>
      <c r="F830" s="2" t="s">
        <v>137</v>
      </c>
      <c r="G830" s="3">
        <v>1</v>
      </c>
      <c r="H830" s="13" t="s">
        <v>152</v>
      </c>
      <c r="I830" s="2" t="str" cm="1">
        <f t="array" ref="I830">_xlfn.IFS(Table1[[#This Row],[Job_Type]] = "unskilled resident", "Resident",
Table1[[#This Row],[Job_Type]] = "unemp/unskilled non res", "Non-resident",
TRUE, "Unknown")</f>
        <v>Unknown</v>
      </c>
      <c r="J830" s="2" t="s">
        <v>148</v>
      </c>
      <c r="K830" s="3">
        <v>2</v>
      </c>
      <c r="L830" s="2" t="s">
        <v>144</v>
      </c>
      <c r="M830" s="13" t="s">
        <v>151</v>
      </c>
      <c r="N830" t="s">
        <v>35</v>
      </c>
      <c r="O830" s="2" t="str">
        <f>_xlfn.XLOOKUP(Table1[[#This Row],[Checking_Acct_Status]],Table3[Checking_Acct_Original],Table3[Category])</f>
        <v>Negative Balance</v>
      </c>
      <c r="P830" s="10" t="s">
        <v>32</v>
      </c>
      <c r="Q830" s="13" t="str">
        <f>_xlfn.XLOOKUP(Table1[[#This Row],[Saving_Acct_Status]],Table5[Saving_Acct_Original],Table5[Category])</f>
        <v>Low Savings</v>
      </c>
      <c r="R830" t="s">
        <v>41</v>
      </c>
      <c r="S830" s="2" t="str">
        <f>IF(
      OR(Table1[[#This Row],[Job_Type]] = "high qualif/self emp/mgmt", Table1[[#This Row],[Job_Type]] = "skilled"),
      "Skilled", "Unskilled")</f>
        <v>Skilled</v>
      </c>
      <c r="T830" t="str">
        <f>IF(Table1[[#This Row],[Job_Type]] = "unemp/unskilled non res", "Unemployed", "Employed")</f>
        <v>Employed</v>
      </c>
      <c r="U830" t="s">
        <v>21</v>
      </c>
      <c r="V830" s="14" t="str" cm="1">
        <f t="array" ref="V83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30" t="s">
        <v>103</v>
      </c>
      <c r="X830" s="2" t="str">
        <f>_xlfn.XLOOKUP(Table1[[#This Row],[Loan_Credit_History]],Table4[Credit History],Table4[[ Category]])</f>
        <v>Critical Credit History</v>
      </c>
      <c r="Y830" s="3">
        <v>3</v>
      </c>
      <c r="Z830" s="3">
        <v>2</v>
      </c>
      <c r="AA830" s="5">
        <v>3499</v>
      </c>
      <c r="AB830" t="s">
        <v>55</v>
      </c>
      <c r="AC830" s="2" t="str" cm="1">
        <f t="array" ref="AC830">_xlfn.IFS(Table1[[#This Row],[Others_Parties]] = "No", "None",
Table1[[#This Row],[Others_Parties]] = "co applicant", "Co-applicant",
Table1[[#This Row],[Others_Parties]] = "guarantor", "Guarantor")</f>
        <v>Co-applicant</v>
      </c>
      <c r="AD830" s="13" t="s">
        <v>145</v>
      </c>
      <c r="AE830" s="2" t="s">
        <v>141</v>
      </c>
      <c r="AF830" s="28" t="str" cm="1">
        <f t="array" ref="AF83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30" s="21">
        <v>12</v>
      </c>
      <c r="AH830" s="2" t="s">
        <v>153</v>
      </c>
      <c r="AI830"/>
      <c r="AZ830"/>
      <c r="BC830"/>
      <c r="BE830"/>
      <c r="BL830"/>
      <c r="BZ830"/>
      <c r="CA830"/>
      <c r="CF830"/>
      <c r="CG830"/>
      <c r="CH830"/>
      <c r="CI830"/>
      <c r="CK830"/>
      <c r="CN830"/>
    </row>
    <row r="831" spans="1:92" x14ac:dyDescent="0.3">
      <c r="A831" s="4">
        <v>829</v>
      </c>
      <c r="B831" s="11">
        <v>45</v>
      </c>
      <c r="C831" s="2" t="str">
        <f>_xlfn.XLOOKUP(Table1[[#This Row],[Age]],Table7[Start_Age],Table7[Age_Range],,-1)</f>
        <v>39-49</v>
      </c>
      <c r="D831" t="s">
        <v>130</v>
      </c>
      <c r="E831" s="2" t="s">
        <v>129</v>
      </c>
      <c r="F831" s="2" t="s">
        <v>133</v>
      </c>
      <c r="G831" s="3">
        <v>2</v>
      </c>
      <c r="H831" s="13" t="s">
        <v>152</v>
      </c>
      <c r="I831" s="2" t="str" cm="1">
        <f t="array" ref="I831">_xlfn.IFS(Table1[[#This Row],[Job_Type]] = "unskilled resident", "Resident",
Table1[[#This Row],[Job_Type]] = "unemp/unskilled non res", "Non-resident",
TRUE, "Unknown")</f>
        <v>Unknown</v>
      </c>
      <c r="J831" s="2" t="s">
        <v>148</v>
      </c>
      <c r="K831" s="3">
        <v>3</v>
      </c>
      <c r="L831" s="2" t="s">
        <v>143</v>
      </c>
      <c r="M831" s="13" t="s">
        <v>152</v>
      </c>
      <c r="N831" t="s">
        <v>17</v>
      </c>
      <c r="O831" s="2" t="str">
        <f>_xlfn.XLOOKUP(Table1[[#This Row],[Checking_Acct_Status]],Table3[Checking_Acct_Original],Table3[Category])</f>
        <v>No Account</v>
      </c>
      <c r="P831" s="10" t="s">
        <v>47</v>
      </c>
      <c r="Q831" s="13" t="str">
        <f>_xlfn.XLOOKUP(Table1[[#This Row],[Saving_Acct_Status]],Table5[Saving_Acct_Original],Table5[Category])</f>
        <v>No Savings</v>
      </c>
      <c r="R831" t="s">
        <v>63</v>
      </c>
      <c r="S831" s="2" t="str">
        <f>IF(
      OR(Table1[[#This Row],[Job_Type]] = "high qualif/self emp/mgmt", Table1[[#This Row],[Job_Type]] = "skilled"),
      "Skilled", "Unskilled")</f>
        <v>Skilled</v>
      </c>
      <c r="T831" t="str">
        <f>IF(Table1[[#This Row],[Job_Type]] = "unemp/unskilled non res", "Unemployed", "Employed")</f>
        <v>Employed</v>
      </c>
      <c r="U831" t="s">
        <v>45</v>
      </c>
      <c r="V831" s="14" t="str" cm="1">
        <f t="array" ref="V83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31" t="s">
        <v>31</v>
      </c>
      <c r="X831" s="2" t="str">
        <f>_xlfn.XLOOKUP(Table1[[#This Row],[Loan_Credit_History]],Table4[Credit History],Table4[[ Category]])</f>
        <v>Existing Credits Paid</v>
      </c>
      <c r="Y831" s="3">
        <v>2</v>
      </c>
      <c r="Z831" s="3">
        <v>1</v>
      </c>
      <c r="AA831" s="5">
        <v>3527</v>
      </c>
      <c r="AB831" t="s">
        <v>151</v>
      </c>
      <c r="AC831" s="2" t="str" cm="1">
        <f t="array" ref="AC831">_xlfn.IFS(Table1[[#This Row],[Others_Parties]] = "No", "None",
Table1[[#This Row],[Others_Parties]] = "co applicant", "Co-applicant",
Table1[[#This Row],[Others_Parties]] = "guarantor", "Guarantor")</f>
        <v>None</v>
      </c>
      <c r="AD831" s="13" t="s">
        <v>145</v>
      </c>
      <c r="AE831" s="2" t="s">
        <v>141</v>
      </c>
      <c r="AF831" s="28" t="str" cm="1">
        <f t="array" ref="AF83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31" s="21">
        <v>12</v>
      </c>
      <c r="AH831" s="2" t="s">
        <v>154</v>
      </c>
      <c r="AI831"/>
      <c r="AZ831"/>
      <c r="BC831"/>
      <c r="BE831"/>
      <c r="BL831"/>
      <c r="BZ831"/>
      <c r="CA831"/>
      <c r="CF831"/>
      <c r="CG831"/>
      <c r="CH831"/>
      <c r="CI831"/>
      <c r="CK831"/>
      <c r="CN831"/>
    </row>
    <row r="832" spans="1:92" x14ac:dyDescent="0.3">
      <c r="A832" s="4">
        <v>830</v>
      </c>
      <c r="B832" s="11">
        <v>37</v>
      </c>
      <c r="C832" s="2" t="str">
        <f>_xlfn.XLOOKUP(Table1[[#This Row],[Age]],Table7[Start_Age],Table7[Age_Range],,-1)</f>
        <v>29-39</v>
      </c>
      <c r="D832" t="s">
        <v>130</v>
      </c>
      <c r="E832" s="2" t="s">
        <v>129</v>
      </c>
      <c r="F832" s="2" t="s">
        <v>133</v>
      </c>
      <c r="G832" s="3">
        <v>2</v>
      </c>
      <c r="H832" s="13" t="s">
        <v>152</v>
      </c>
      <c r="I832" s="2" t="str" cm="1">
        <f t="array" ref="I832">_xlfn.IFS(Table1[[#This Row],[Job_Type]] = "unskilled resident", "Resident",
Table1[[#This Row],[Job_Type]] = "unemp/unskilled non res", "Non-resident",
TRUE, "Unknown")</f>
        <v>Resident</v>
      </c>
      <c r="J832" s="2" t="s">
        <v>148</v>
      </c>
      <c r="K832" s="3">
        <v>1</v>
      </c>
      <c r="L832" s="2" t="s">
        <v>143</v>
      </c>
      <c r="M832" s="13" t="s">
        <v>151</v>
      </c>
      <c r="N832" t="s">
        <v>17</v>
      </c>
      <c r="O832" s="2" t="str">
        <f>_xlfn.XLOOKUP(Table1[[#This Row],[Checking_Acct_Status]],Table3[Checking_Acct_Original],Table3[Category])</f>
        <v>No Account</v>
      </c>
      <c r="P832" s="10" t="s">
        <v>47</v>
      </c>
      <c r="Q832" s="13" t="str">
        <f>_xlfn.XLOOKUP(Table1[[#This Row],[Saving_Acct_Status]],Table5[Saving_Acct_Original],Table5[Category])</f>
        <v>No Savings</v>
      </c>
      <c r="R832" t="s">
        <v>27</v>
      </c>
      <c r="S832" s="2" t="str">
        <f>IF(
      OR(Table1[[#This Row],[Job_Type]] = "high qualif/self emp/mgmt", Table1[[#This Row],[Job_Type]] = "skilled"),
      "Skilled", "Unskilled")</f>
        <v>Unskilled</v>
      </c>
      <c r="T832" t="str">
        <f>IF(Table1[[#This Row],[Job_Type]] = "unemp/unskilled non res", "Unemployed", "Employed")</f>
        <v>Employed</v>
      </c>
      <c r="U832" t="s">
        <v>45</v>
      </c>
      <c r="V832" s="14" t="str" cm="1">
        <f t="array" ref="V83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32" t="s">
        <v>103</v>
      </c>
      <c r="X832" s="2" t="str">
        <f>_xlfn.XLOOKUP(Table1[[#This Row],[Loan_Credit_History]],Table4[Credit History],Table4[[ Category]])</f>
        <v>Critical Credit History</v>
      </c>
      <c r="Y832" s="3">
        <v>2</v>
      </c>
      <c r="Z832" s="3">
        <v>2</v>
      </c>
      <c r="AA832" s="5">
        <v>3565</v>
      </c>
      <c r="AB832" t="s">
        <v>151</v>
      </c>
      <c r="AC832" s="2" t="str" cm="1">
        <f t="array" ref="AC832">_xlfn.IFS(Table1[[#This Row],[Others_Parties]] = "No", "None",
Table1[[#This Row],[Others_Parties]] = "co applicant", "Co-applicant",
Table1[[#This Row],[Others_Parties]] = "guarantor", "Guarantor")</f>
        <v>None</v>
      </c>
      <c r="AD832" s="13" t="s">
        <v>145</v>
      </c>
      <c r="AE832" s="2" t="s">
        <v>100</v>
      </c>
      <c r="AF832" s="28" t="str" cm="1">
        <f t="array" ref="AF83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32" s="21">
        <v>12</v>
      </c>
      <c r="AH832" s="2" t="s">
        <v>154</v>
      </c>
      <c r="AI832"/>
      <c r="AZ832"/>
      <c r="BC832"/>
      <c r="BE832"/>
      <c r="BL832"/>
      <c r="BZ832"/>
      <c r="CA832"/>
      <c r="CF832"/>
      <c r="CG832"/>
      <c r="CH832"/>
      <c r="CI832"/>
      <c r="CK832"/>
      <c r="CN832"/>
    </row>
    <row r="833" spans="1:92" x14ac:dyDescent="0.3">
      <c r="A833" s="4">
        <v>831</v>
      </c>
      <c r="B833" s="11">
        <v>23</v>
      </c>
      <c r="C833" s="2" t="str">
        <f>_xlfn.XLOOKUP(Table1[[#This Row],[Age]],Table7[Start_Age],Table7[Age_Range],,-1)</f>
        <v>19-29</v>
      </c>
      <c r="D833" t="s">
        <v>136</v>
      </c>
      <c r="E833" s="2" t="s">
        <v>131</v>
      </c>
      <c r="F833" s="2" t="s">
        <v>137</v>
      </c>
      <c r="G833" s="3">
        <v>1</v>
      </c>
      <c r="H833" s="13" t="s">
        <v>152</v>
      </c>
      <c r="I833" s="2" t="str" cm="1">
        <f t="array" ref="I833">_xlfn.IFS(Table1[[#This Row],[Job_Type]] = "unskilled resident", "Resident",
Table1[[#This Row],[Job_Type]] = "unemp/unskilled non res", "Non-resident",
TRUE, "Unknown")</f>
        <v>Resident</v>
      </c>
      <c r="J833" s="2" t="s">
        <v>148</v>
      </c>
      <c r="K833" s="3">
        <v>1</v>
      </c>
      <c r="L833" s="2" t="s">
        <v>144</v>
      </c>
      <c r="M833" s="13" t="s">
        <v>151</v>
      </c>
      <c r="N833" t="s">
        <v>30</v>
      </c>
      <c r="O833" s="2" t="str">
        <f>_xlfn.XLOOKUP(Table1[[#This Row],[Checking_Acct_Status]],Table3[Checking_Acct_Original],Table3[Category])</f>
        <v>Low Balance</v>
      </c>
      <c r="P833" s="10" t="s">
        <v>32</v>
      </c>
      <c r="Q833" s="13" t="str">
        <f>_xlfn.XLOOKUP(Table1[[#This Row],[Saving_Acct_Status]],Table5[Saving_Acct_Original],Table5[Category])</f>
        <v>Low Savings</v>
      </c>
      <c r="R833" t="s">
        <v>27</v>
      </c>
      <c r="S833" s="2" t="str">
        <f>IF(
      OR(Table1[[#This Row],[Job_Type]] = "high qualif/self emp/mgmt", Table1[[#This Row],[Job_Type]] = "skilled"),
      "Skilled", "Unskilled")</f>
        <v>Unskilled</v>
      </c>
      <c r="T833" t="str">
        <f>IF(Table1[[#This Row],[Job_Type]] = "unemp/unskilled non res", "Unemployed", "Employed")</f>
        <v>Employed</v>
      </c>
      <c r="U833" t="s">
        <v>21</v>
      </c>
      <c r="V833" s="14" t="str" cm="1">
        <f t="array" ref="V83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33" t="s">
        <v>103</v>
      </c>
      <c r="X833" s="2" t="str">
        <f>_xlfn.XLOOKUP(Table1[[#This Row],[Loan_Credit_History]],Table4[Credit History],Table4[[ Category]])</f>
        <v>Critical Credit History</v>
      </c>
      <c r="Y833" s="3">
        <v>1</v>
      </c>
      <c r="Z833" s="3">
        <v>1</v>
      </c>
      <c r="AA833" s="5">
        <v>3573</v>
      </c>
      <c r="AB833" t="s">
        <v>151</v>
      </c>
      <c r="AC833" s="2" t="str" cm="1">
        <f t="array" ref="AC833">_xlfn.IFS(Table1[[#This Row],[Others_Parties]] = "No", "None",
Table1[[#This Row],[Others_Parties]] = "co applicant", "Co-applicant",
Table1[[#This Row],[Others_Parties]] = "guarantor", "Guarantor")</f>
        <v>None</v>
      </c>
      <c r="AD833" s="13" t="s">
        <v>145</v>
      </c>
      <c r="AE833" s="2" t="s">
        <v>111</v>
      </c>
      <c r="AF833" s="28" t="str" cm="1">
        <f t="array" ref="AF83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33" s="21">
        <v>12</v>
      </c>
      <c r="AH833" s="2" t="s">
        <v>154</v>
      </c>
      <c r="AI833"/>
      <c r="AZ833"/>
      <c r="BC833"/>
      <c r="BE833"/>
      <c r="BL833"/>
      <c r="BZ833"/>
      <c r="CA833"/>
      <c r="CF833"/>
      <c r="CG833"/>
      <c r="CH833"/>
      <c r="CI833"/>
      <c r="CK833"/>
      <c r="CN833"/>
    </row>
    <row r="834" spans="1:92" x14ac:dyDescent="0.3">
      <c r="A834" s="4">
        <v>832</v>
      </c>
      <c r="B834" s="11">
        <v>29</v>
      </c>
      <c r="C834" s="2" t="str">
        <f>_xlfn.XLOOKUP(Table1[[#This Row],[Age]],Table7[Start_Age],Table7[Age_Range],,-1)</f>
        <v>29-39</v>
      </c>
      <c r="D834" t="s">
        <v>130</v>
      </c>
      <c r="E834" s="2" t="s">
        <v>129</v>
      </c>
      <c r="F834" s="2" t="s">
        <v>133</v>
      </c>
      <c r="G834" s="3">
        <v>2</v>
      </c>
      <c r="H834" s="13" t="s">
        <v>152</v>
      </c>
      <c r="I834" s="2" t="str" cm="1">
        <f t="array" ref="I834">_xlfn.IFS(Table1[[#This Row],[Job_Type]] = "unskilled resident", "Resident",
Table1[[#This Row],[Job_Type]] = "unemp/unskilled non res", "Non-resident",
TRUE, "Unknown")</f>
        <v>Resident</v>
      </c>
      <c r="J834" s="2" t="s">
        <v>148</v>
      </c>
      <c r="K834" s="3">
        <v>2</v>
      </c>
      <c r="L834" s="2" t="s">
        <v>143</v>
      </c>
      <c r="M834" s="13" t="s">
        <v>151</v>
      </c>
      <c r="N834" t="s">
        <v>35</v>
      </c>
      <c r="O834" s="2" t="str">
        <f>_xlfn.XLOOKUP(Table1[[#This Row],[Checking_Acct_Status]],Table3[Checking_Acct_Original],Table3[Category])</f>
        <v>Negative Balance</v>
      </c>
      <c r="P834" s="10" t="s">
        <v>32</v>
      </c>
      <c r="Q834" s="13" t="str">
        <f>_xlfn.XLOOKUP(Table1[[#This Row],[Saving_Acct_Status]],Table5[Saving_Acct_Original],Table5[Category])</f>
        <v>Low Savings</v>
      </c>
      <c r="R834" t="s">
        <v>27</v>
      </c>
      <c r="S834" s="2" t="str">
        <f>IF(
      OR(Table1[[#This Row],[Job_Type]] = "high qualif/self emp/mgmt", Table1[[#This Row],[Job_Type]] = "skilled"),
      "Skilled", "Unskilled")</f>
        <v>Unskilled</v>
      </c>
      <c r="T834" t="str">
        <f>IF(Table1[[#This Row],[Job_Type]] = "unemp/unskilled non res", "Unemployed", "Employed")</f>
        <v>Employed</v>
      </c>
      <c r="U834" t="s">
        <v>21</v>
      </c>
      <c r="V834" s="14" t="str" cm="1">
        <f t="array" ref="V83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34" t="s">
        <v>31</v>
      </c>
      <c r="X834" s="2" t="str">
        <f>_xlfn.XLOOKUP(Table1[[#This Row],[Loan_Credit_History]],Table4[Credit History],Table4[[ Category]])</f>
        <v>Existing Credits Paid</v>
      </c>
      <c r="Y834" s="3">
        <v>2</v>
      </c>
      <c r="Z834" s="3">
        <v>1</v>
      </c>
      <c r="AA834" s="5">
        <v>3590</v>
      </c>
      <c r="AB834" t="s">
        <v>55</v>
      </c>
      <c r="AC834" s="2" t="str" cm="1">
        <f t="array" ref="AC834">_xlfn.IFS(Table1[[#This Row],[Others_Parties]] = "No", "None",
Table1[[#This Row],[Others_Parties]] = "co applicant", "Co-applicant",
Table1[[#This Row],[Others_Parties]] = "guarantor", "Guarantor")</f>
        <v>Co-applicant</v>
      </c>
      <c r="AD834" s="13" t="s">
        <v>145</v>
      </c>
      <c r="AE834" s="2" t="s">
        <v>108</v>
      </c>
      <c r="AF834" s="28" t="str" cm="1">
        <f t="array" ref="AF83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34" s="21">
        <v>12</v>
      </c>
      <c r="AH834" s="2" t="s">
        <v>154</v>
      </c>
      <c r="AI834"/>
      <c r="AZ834"/>
      <c r="BC834"/>
      <c r="BE834"/>
      <c r="BL834"/>
      <c r="BZ834"/>
      <c r="CA834"/>
      <c r="CF834"/>
      <c r="CG834"/>
      <c r="CH834"/>
      <c r="CI834"/>
      <c r="CK834"/>
      <c r="CN834"/>
    </row>
    <row r="835" spans="1:92" x14ac:dyDescent="0.3">
      <c r="A835" s="4">
        <v>833</v>
      </c>
      <c r="B835" s="11">
        <v>28</v>
      </c>
      <c r="C835" s="2" t="str">
        <f>_xlfn.XLOOKUP(Table1[[#This Row],[Age]],Table7[Start_Age],Table7[Age_Range],,-1)</f>
        <v>19-29</v>
      </c>
      <c r="D835" t="s">
        <v>130</v>
      </c>
      <c r="E835" s="2" t="s">
        <v>129</v>
      </c>
      <c r="F835" s="2" t="s">
        <v>133</v>
      </c>
      <c r="G835" s="3">
        <v>1</v>
      </c>
      <c r="H835" s="13" t="s">
        <v>152</v>
      </c>
      <c r="I835" s="2" t="str" cm="1">
        <f t="array" ref="I835">_xlfn.IFS(Table1[[#This Row],[Job_Type]] = "unskilled resident", "Resident",
Table1[[#This Row],[Job_Type]] = "unemp/unskilled non res", "Non-resident",
TRUE, "Unknown")</f>
        <v>Unknown</v>
      </c>
      <c r="J835" s="2" t="s">
        <v>149</v>
      </c>
      <c r="K835" s="3">
        <v>4</v>
      </c>
      <c r="L835" s="2" t="s">
        <v>140</v>
      </c>
      <c r="M835" s="13" t="s">
        <v>152</v>
      </c>
      <c r="N835" t="s">
        <v>30</v>
      </c>
      <c r="O835" s="2" t="str">
        <f>_xlfn.XLOOKUP(Table1[[#This Row],[Checking_Acct_Status]],Table3[Checking_Acct_Original],Table3[Category])</f>
        <v>Low Balance</v>
      </c>
      <c r="P835" s="10" t="s">
        <v>32</v>
      </c>
      <c r="Q835" s="13" t="str">
        <f>_xlfn.XLOOKUP(Table1[[#This Row],[Saving_Acct_Status]],Table5[Saving_Acct_Original],Table5[Category])</f>
        <v>Low Savings</v>
      </c>
      <c r="R835" t="s">
        <v>41</v>
      </c>
      <c r="S835" s="2" t="str">
        <f>IF(
      OR(Table1[[#This Row],[Job_Type]] = "high qualif/self emp/mgmt", Table1[[#This Row],[Job_Type]] = "skilled"),
      "Skilled", "Unskilled")</f>
        <v>Skilled</v>
      </c>
      <c r="T835" t="str">
        <f>IF(Table1[[#This Row],[Job_Type]] = "unemp/unskilled non res", "Unemployed", "Employed")</f>
        <v>Employed</v>
      </c>
      <c r="U835" t="s">
        <v>38</v>
      </c>
      <c r="V835" s="14" t="str" cm="1">
        <f t="array" ref="V83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35" t="s">
        <v>103</v>
      </c>
      <c r="X835" s="2" t="str">
        <f>_xlfn.XLOOKUP(Table1[[#This Row],[Loan_Credit_History]],Table4[Credit History],Table4[[ Category]])</f>
        <v>Critical Credit History</v>
      </c>
      <c r="Y835" s="3">
        <v>1</v>
      </c>
      <c r="Z835" s="3">
        <v>3</v>
      </c>
      <c r="AA835" s="5">
        <v>3617</v>
      </c>
      <c r="AB835" t="s">
        <v>151</v>
      </c>
      <c r="AC835" s="2" t="str" cm="1">
        <f t="array" ref="AC835">_xlfn.IFS(Table1[[#This Row],[Others_Parties]] = "No", "None",
Table1[[#This Row],[Others_Parties]] = "co applicant", "Co-applicant",
Table1[[#This Row],[Others_Parties]] = "guarantor", "Guarantor")</f>
        <v>None</v>
      </c>
      <c r="AD835" s="13" t="s">
        <v>145</v>
      </c>
      <c r="AE835" s="2" t="s">
        <v>108</v>
      </c>
      <c r="AF835" s="28" t="str" cm="1">
        <f t="array" ref="AF83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35" s="21">
        <v>12</v>
      </c>
      <c r="AH835" s="2" t="s">
        <v>154</v>
      </c>
      <c r="AI835"/>
      <c r="AZ835"/>
      <c r="BC835"/>
      <c r="BE835"/>
      <c r="BL835"/>
      <c r="BZ835"/>
      <c r="CA835"/>
      <c r="CF835"/>
      <c r="CG835"/>
      <c r="CH835"/>
      <c r="CI835"/>
      <c r="CK835"/>
      <c r="CN835"/>
    </row>
    <row r="836" spans="1:92" x14ac:dyDescent="0.3">
      <c r="A836" s="4">
        <v>834</v>
      </c>
      <c r="B836" s="11">
        <v>31</v>
      </c>
      <c r="C836" s="2" t="str">
        <f>_xlfn.XLOOKUP(Table1[[#This Row],[Age]],Table7[Start_Age],Table7[Age_Range],,-1)</f>
        <v>29-39</v>
      </c>
      <c r="D836" t="s">
        <v>130</v>
      </c>
      <c r="E836" s="2" t="s">
        <v>129</v>
      </c>
      <c r="F836" s="2" t="s">
        <v>133</v>
      </c>
      <c r="G836" s="3">
        <v>2</v>
      </c>
      <c r="H836" s="13" t="s">
        <v>152</v>
      </c>
      <c r="I836" s="2" t="str" cm="1">
        <f t="array" ref="I836">_xlfn.IFS(Table1[[#This Row],[Job_Type]] = "unskilled resident", "Resident",
Table1[[#This Row],[Job_Type]] = "unemp/unskilled non res", "Non-resident",
TRUE, "Unknown")</f>
        <v>Unknown</v>
      </c>
      <c r="J836" s="2" t="s">
        <v>148</v>
      </c>
      <c r="K836" s="3">
        <v>3</v>
      </c>
      <c r="L836" s="2" t="s">
        <v>143</v>
      </c>
      <c r="M836" s="13" t="s">
        <v>151</v>
      </c>
      <c r="N836" t="s">
        <v>35</v>
      </c>
      <c r="O836" s="2" t="str">
        <f>_xlfn.XLOOKUP(Table1[[#This Row],[Checking_Acct_Status]],Table3[Checking_Acct_Original],Table3[Category])</f>
        <v>Negative Balance</v>
      </c>
      <c r="P836" s="10" t="s">
        <v>20</v>
      </c>
      <c r="Q836" s="13" t="str">
        <f>_xlfn.XLOOKUP(Table1[[#This Row],[Saving_Acct_Status]],Table5[Saving_Acct_Original],Table5[Category])</f>
        <v>Very High Savings</v>
      </c>
      <c r="R836" t="s">
        <v>41</v>
      </c>
      <c r="S836" s="2" t="str">
        <f>IF(
      OR(Table1[[#This Row],[Job_Type]] = "high qualif/self emp/mgmt", Table1[[#This Row],[Job_Type]] = "skilled"),
      "Skilled", "Unskilled")</f>
        <v>Skilled</v>
      </c>
      <c r="T836" t="str">
        <f>IF(Table1[[#This Row],[Job_Type]] = "unemp/unskilled non res", "Unemployed", "Employed")</f>
        <v>Employed</v>
      </c>
      <c r="U836" t="s">
        <v>21</v>
      </c>
      <c r="V836" s="14" t="str" cm="1">
        <f t="array" ref="V83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36" t="s">
        <v>31</v>
      </c>
      <c r="X836" s="2" t="str">
        <f>_xlfn.XLOOKUP(Table1[[#This Row],[Loan_Credit_History]],Table4[Credit History],Table4[[ Category]])</f>
        <v>Existing Credits Paid</v>
      </c>
      <c r="Y836" s="3">
        <v>1</v>
      </c>
      <c r="Z836" s="3">
        <v>1</v>
      </c>
      <c r="AA836" s="5">
        <v>3651</v>
      </c>
      <c r="AB836" t="s">
        <v>151</v>
      </c>
      <c r="AC836" s="2" t="str" cm="1">
        <f t="array" ref="AC836">_xlfn.IFS(Table1[[#This Row],[Others_Parties]] = "No", "None",
Table1[[#This Row],[Others_Parties]] = "co applicant", "Co-applicant",
Table1[[#This Row],[Others_Parties]] = "guarantor", "Guarantor")</f>
        <v>None</v>
      </c>
      <c r="AD836" s="13" t="s">
        <v>145</v>
      </c>
      <c r="AE836" s="2" t="s">
        <v>141</v>
      </c>
      <c r="AF836" s="28" t="str" cm="1">
        <f t="array" ref="AF83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36" s="21">
        <v>12</v>
      </c>
      <c r="AH836" s="2" t="s">
        <v>154</v>
      </c>
      <c r="AI836"/>
      <c r="AZ836"/>
      <c r="BC836"/>
      <c r="BE836"/>
      <c r="BL836"/>
      <c r="BZ836"/>
      <c r="CA836"/>
      <c r="CF836"/>
      <c r="CG836"/>
      <c r="CH836"/>
      <c r="CI836"/>
      <c r="CK836"/>
      <c r="CN836"/>
    </row>
    <row r="837" spans="1:92" x14ac:dyDescent="0.3">
      <c r="A837" s="4">
        <v>835</v>
      </c>
      <c r="B837" s="11">
        <v>20</v>
      </c>
      <c r="C837" s="2" t="str">
        <f>_xlfn.XLOOKUP(Table1[[#This Row],[Age]],Table7[Start_Age],Table7[Age_Range],,-1)</f>
        <v>19-29</v>
      </c>
      <c r="D837" t="s">
        <v>136</v>
      </c>
      <c r="E837" s="2" t="s">
        <v>131</v>
      </c>
      <c r="F837" s="2" t="s">
        <v>137</v>
      </c>
      <c r="G837" s="3">
        <v>1</v>
      </c>
      <c r="H837" s="13" t="s">
        <v>152</v>
      </c>
      <c r="I837" s="2" t="str" cm="1">
        <f t="array" ref="I837">_xlfn.IFS(Table1[[#This Row],[Job_Type]] = "unskilled resident", "Resident",
Table1[[#This Row],[Job_Type]] = "unemp/unskilled non res", "Non-resident",
TRUE, "Unknown")</f>
        <v>Unknown</v>
      </c>
      <c r="J837" s="2" t="s">
        <v>149</v>
      </c>
      <c r="K837" s="3">
        <v>4</v>
      </c>
      <c r="L837" s="2" t="s">
        <v>140</v>
      </c>
      <c r="M837" s="13" t="s">
        <v>151</v>
      </c>
      <c r="N837" t="s">
        <v>17</v>
      </c>
      <c r="O837" s="2" t="str">
        <f>_xlfn.XLOOKUP(Table1[[#This Row],[Checking_Acct_Status]],Table3[Checking_Acct_Original],Table3[Category])</f>
        <v>No Account</v>
      </c>
      <c r="P837" s="10" t="s">
        <v>47</v>
      </c>
      <c r="Q837" s="13" t="str">
        <f>_xlfn.XLOOKUP(Table1[[#This Row],[Saving_Acct_Status]],Table5[Saving_Acct_Original],Table5[Category])</f>
        <v>No Savings</v>
      </c>
      <c r="R837" t="s">
        <v>41</v>
      </c>
      <c r="S837" s="2" t="str">
        <f>IF(
      OR(Table1[[#This Row],[Job_Type]] = "high qualif/self emp/mgmt", Table1[[#This Row],[Job_Type]] = "skilled"),
      "Skilled", "Unskilled")</f>
        <v>Skilled</v>
      </c>
      <c r="T837" t="str">
        <f>IF(Table1[[#This Row],[Job_Type]] = "unemp/unskilled non res", "Unemployed", "Employed")</f>
        <v>Employed</v>
      </c>
      <c r="U837" t="s">
        <v>45</v>
      </c>
      <c r="V837" s="14" t="str" cm="1">
        <f t="array" ref="V83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37" t="s">
        <v>31</v>
      </c>
      <c r="X837" s="2" t="str">
        <f>_xlfn.XLOOKUP(Table1[[#This Row],[Loan_Credit_History]],Table4[Credit History],Table4[[ Category]])</f>
        <v>Existing Credits Paid</v>
      </c>
      <c r="Y837" s="3">
        <v>1</v>
      </c>
      <c r="Z837" s="3">
        <v>1</v>
      </c>
      <c r="AA837" s="5">
        <v>4675</v>
      </c>
      <c r="AB837" t="s">
        <v>151</v>
      </c>
      <c r="AC837" s="2" t="str" cm="1">
        <f t="array" ref="AC837">_xlfn.IFS(Table1[[#This Row],[Others_Parties]] = "No", "None",
Table1[[#This Row],[Others_Parties]] = "co applicant", "Co-applicant",
Table1[[#This Row],[Others_Parties]] = "guarantor", "Guarantor")</f>
        <v>None</v>
      </c>
      <c r="AD837" s="13" t="s">
        <v>145</v>
      </c>
      <c r="AE837" s="2" t="s">
        <v>107</v>
      </c>
      <c r="AF837" s="28" t="str" cm="1">
        <f t="array" ref="AF83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37" s="21">
        <v>12</v>
      </c>
      <c r="AH837" s="2" t="s">
        <v>154</v>
      </c>
      <c r="AI837"/>
      <c r="AZ837"/>
      <c r="BC837"/>
      <c r="BE837"/>
      <c r="BL837"/>
      <c r="BZ837"/>
      <c r="CA837"/>
      <c r="CF837"/>
      <c r="CG837"/>
      <c r="CH837"/>
      <c r="CI837"/>
      <c r="CK837"/>
      <c r="CN837"/>
    </row>
    <row r="838" spans="1:92" x14ac:dyDescent="0.3">
      <c r="A838" s="4">
        <v>836</v>
      </c>
      <c r="B838" s="11">
        <v>43</v>
      </c>
      <c r="C838" s="2" t="str">
        <f>_xlfn.XLOOKUP(Table1[[#This Row],[Age]],Table7[Start_Age],Table7[Age_Range],,-1)</f>
        <v>39-49</v>
      </c>
      <c r="D838" t="s">
        <v>130</v>
      </c>
      <c r="E838" s="2" t="s">
        <v>129</v>
      </c>
      <c r="F838" s="2" t="s">
        <v>133</v>
      </c>
      <c r="G838" s="3">
        <v>1</v>
      </c>
      <c r="H838" s="13" t="s">
        <v>152</v>
      </c>
      <c r="I838" s="2" t="str" cm="1">
        <f t="array" ref="I838">_xlfn.IFS(Table1[[#This Row],[Job_Type]] = "unskilled resident", "Resident",
Table1[[#This Row],[Job_Type]] = "unemp/unskilled non res", "Non-resident",
TRUE, "Unknown")</f>
        <v>Unknown</v>
      </c>
      <c r="J838" s="2" t="s">
        <v>149</v>
      </c>
      <c r="K838" s="3">
        <v>4</v>
      </c>
      <c r="L838" s="2" t="s">
        <v>143</v>
      </c>
      <c r="M838" s="13" t="s">
        <v>152</v>
      </c>
      <c r="N838" t="s">
        <v>35</v>
      </c>
      <c r="O838" s="2" t="str">
        <f>_xlfn.XLOOKUP(Table1[[#This Row],[Checking_Acct_Status]],Table3[Checking_Acct_Original],Table3[Category])</f>
        <v>Negative Balance</v>
      </c>
      <c r="P838" s="10" t="s">
        <v>32</v>
      </c>
      <c r="Q838" s="13" t="str">
        <f>_xlfn.XLOOKUP(Table1[[#This Row],[Saving_Acct_Status]],Table5[Saving_Acct_Original],Table5[Category])</f>
        <v>Low Savings</v>
      </c>
      <c r="R838" t="s">
        <v>41</v>
      </c>
      <c r="S838" s="2" t="str">
        <f>IF(
      OR(Table1[[#This Row],[Job_Type]] = "high qualif/self emp/mgmt", Table1[[#This Row],[Job_Type]] = "skilled"),
      "Skilled", "Unskilled")</f>
        <v>Skilled</v>
      </c>
      <c r="T838" t="str">
        <f>IF(Table1[[#This Row],[Job_Type]] = "unemp/unskilled non res", "Unemployed", "Employed")</f>
        <v>Employed</v>
      </c>
      <c r="U838" t="s">
        <v>38</v>
      </c>
      <c r="V838" s="14" t="str" cm="1">
        <f t="array" ref="V83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38" t="s">
        <v>103</v>
      </c>
      <c r="X838" s="2" t="str">
        <f>_xlfn.XLOOKUP(Table1[[#This Row],[Loan_Credit_History]],Table4[Credit History],Table4[[ Category]])</f>
        <v>Critical Credit History</v>
      </c>
      <c r="Y838" s="3">
        <v>3</v>
      </c>
      <c r="Z838" s="3">
        <v>2</v>
      </c>
      <c r="AA838" s="5">
        <v>4843</v>
      </c>
      <c r="AB838" t="s">
        <v>55</v>
      </c>
      <c r="AC838" s="2" t="str" cm="1">
        <f t="array" ref="AC838">_xlfn.IFS(Table1[[#This Row],[Others_Parties]] = "No", "None",
Table1[[#This Row],[Others_Parties]] = "co applicant", "Co-applicant",
Table1[[#This Row],[Others_Parties]] = "guarantor", "Guarantor")</f>
        <v>Co-applicant</v>
      </c>
      <c r="AD838" s="13" t="s">
        <v>145</v>
      </c>
      <c r="AE838" s="2" t="s">
        <v>141</v>
      </c>
      <c r="AF838" s="28" t="str" cm="1">
        <f t="array" ref="AF83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38" s="21">
        <v>12</v>
      </c>
      <c r="AH838" s="2" t="s">
        <v>153</v>
      </c>
      <c r="AI838"/>
      <c r="AZ838"/>
      <c r="BC838"/>
      <c r="BE838"/>
      <c r="BL838"/>
      <c r="BZ838"/>
      <c r="CA838"/>
      <c r="CF838"/>
      <c r="CG838"/>
      <c r="CH838"/>
      <c r="CI838"/>
      <c r="CK838"/>
      <c r="CN838"/>
    </row>
    <row r="839" spans="1:92" x14ac:dyDescent="0.3">
      <c r="A839" s="4">
        <v>837</v>
      </c>
      <c r="B839" s="11">
        <v>49</v>
      </c>
      <c r="C839" s="2" t="str">
        <f>_xlfn.XLOOKUP(Table1[[#This Row],[Age]],Table7[Start_Age],Table7[Age_Range],,-1)</f>
        <v>49-59</v>
      </c>
      <c r="D839" t="s">
        <v>130</v>
      </c>
      <c r="E839" s="2" t="s">
        <v>129</v>
      </c>
      <c r="F839" s="2" t="s">
        <v>133</v>
      </c>
      <c r="G839" s="3">
        <v>1</v>
      </c>
      <c r="H839" s="13" t="s">
        <v>152</v>
      </c>
      <c r="I839" s="2" t="str" cm="1">
        <f t="array" ref="I839">_xlfn.IFS(Table1[[#This Row],[Job_Type]] = "unskilled resident", "Resident",
Table1[[#This Row],[Job_Type]] = "unemp/unskilled non res", "Non-resident",
TRUE, "Unknown")</f>
        <v>Unknown</v>
      </c>
      <c r="J839" s="2" t="s">
        <v>149</v>
      </c>
      <c r="K839" s="3">
        <v>4</v>
      </c>
      <c r="L839" s="2" t="s">
        <v>143</v>
      </c>
      <c r="M839" s="13" t="s">
        <v>152</v>
      </c>
      <c r="N839" t="s">
        <v>17</v>
      </c>
      <c r="O839" s="2" t="str">
        <f>_xlfn.XLOOKUP(Table1[[#This Row],[Checking_Acct_Status]],Table3[Checking_Acct_Original],Table3[Category])</f>
        <v>No Account</v>
      </c>
      <c r="P839" s="10" t="s">
        <v>47</v>
      </c>
      <c r="Q839" s="13" t="str">
        <f>_xlfn.XLOOKUP(Table1[[#This Row],[Saving_Acct_Status]],Table5[Saving_Acct_Original],Table5[Category])</f>
        <v>No Savings</v>
      </c>
      <c r="R839" t="s">
        <v>41</v>
      </c>
      <c r="S839" s="2" t="str">
        <f>IF(
      OR(Table1[[#This Row],[Job_Type]] = "high qualif/self emp/mgmt", Table1[[#This Row],[Job_Type]] = "skilled"),
      "Skilled", "Unskilled")</f>
        <v>Skilled</v>
      </c>
      <c r="T839" t="str">
        <f>IF(Table1[[#This Row],[Job_Type]] = "unemp/unskilled non res", "Unemployed", "Employed")</f>
        <v>Employed</v>
      </c>
      <c r="U839" t="s">
        <v>38</v>
      </c>
      <c r="V839" s="14" t="str" cm="1">
        <f t="array" ref="V83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39" t="s">
        <v>103</v>
      </c>
      <c r="X839" s="2" t="str">
        <f>_xlfn.XLOOKUP(Table1[[#This Row],[Loan_Credit_History]],Table4[Credit History],Table4[[ Category]])</f>
        <v>Critical Credit History</v>
      </c>
      <c r="Y839" s="3">
        <v>2</v>
      </c>
      <c r="Z839" s="3">
        <v>1</v>
      </c>
      <c r="AA839" s="5">
        <v>5801</v>
      </c>
      <c r="AB839" t="s">
        <v>151</v>
      </c>
      <c r="AC839" s="2" t="str" cm="1">
        <f t="array" ref="AC839">_xlfn.IFS(Table1[[#This Row],[Others_Parties]] = "No", "None",
Table1[[#This Row],[Others_Parties]] = "co applicant", "Co-applicant",
Table1[[#This Row],[Others_Parties]] = "guarantor", "Guarantor")</f>
        <v>None</v>
      </c>
      <c r="AD839" s="13" t="s">
        <v>145</v>
      </c>
      <c r="AE839" s="2" t="s">
        <v>108</v>
      </c>
      <c r="AF839" s="28" t="str" cm="1">
        <f t="array" ref="AF83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39" s="21">
        <v>12</v>
      </c>
      <c r="AH839" s="2" t="s">
        <v>154</v>
      </c>
      <c r="AI839"/>
      <c r="AZ839"/>
      <c r="BC839"/>
      <c r="BE839"/>
      <c r="BL839"/>
      <c r="BZ839"/>
      <c r="CA839"/>
      <c r="CF839"/>
      <c r="CG839"/>
      <c r="CH839"/>
      <c r="CI839"/>
      <c r="CK839"/>
      <c r="CN839"/>
    </row>
    <row r="840" spans="1:92" x14ac:dyDescent="0.3">
      <c r="A840" s="4">
        <v>838</v>
      </c>
      <c r="B840" s="11">
        <v>32</v>
      </c>
      <c r="C840" s="2" t="str">
        <f>_xlfn.XLOOKUP(Table1[[#This Row],[Age]],Table7[Start_Age],Table7[Age_Range],,-1)</f>
        <v>29-39</v>
      </c>
      <c r="D840" t="s">
        <v>130</v>
      </c>
      <c r="E840" s="2" t="s">
        <v>129</v>
      </c>
      <c r="F840" s="2" t="s">
        <v>133</v>
      </c>
      <c r="G840" s="3">
        <v>1</v>
      </c>
      <c r="H840" s="13" t="s">
        <v>152</v>
      </c>
      <c r="I840" s="2" t="str" cm="1">
        <f t="array" ref="I840">_xlfn.IFS(Table1[[#This Row],[Job_Type]] = "unskilled resident", "Resident",
Table1[[#This Row],[Job_Type]] = "unemp/unskilled non res", "Non-resident",
TRUE, "Unknown")</f>
        <v>Unknown</v>
      </c>
      <c r="J840" s="2" t="s">
        <v>148</v>
      </c>
      <c r="K840" s="3">
        <v>2</v>
      </c>
      <c r="L840" s="2" t="s">
        <v>140</v>
      </c>
      <c r="M840" s="13" t="s">
        <v>151</v>
      </c>
      <c r="N840" t="s">
        <v>30</v>
      </c>
      <c r="O840" s="2" t="str">
        <f>_xlfn.XLOOKUP(Table1[[#This Row],[Checking_Acct_Status]],Table3[Checking_Acct_Original],Table3[Category])</f>
        <v>Low Balance</v>
      </c>
      <c r="P840" s="10" t="s">
        <v>32</v>
      </c>
      <c r="Q840" s="13" t="str">
        <f>_xlfn.XLOOKUP(Table1[[#This Row],[Saving_Acct_Status]],Table5[Saving_Acct_Original],Table5[Category])</f>
        <v>Low Savings</v>
      </c>
      <c r="R840" t="s">
        <v>41</v>
      </c>
      <c r="S840" s="2" t="str">
        <f>IF(
      OR(Table1[[#This Row],[Job_Type]] = "high qualif/self emp/mgmt", Table1[[#This Row],[Job_Type]] = "skilled"),
      "Skilled", "Unskilled")</f>
        <v>Skilled</v>
      </c>
      <c r="T840" t="str">
        <f>IF(Table1[[#This Row],[Job_Type]] = "unemp/unskilled non res", "Unemployed", "Employed")</f>
        <v>Employed</v>
      </c>
      <c r="U840" t="s">
        <v>49</v>
      </c>
      <c r="V840" s="14" t="str" cm="1">
        <f t="array" ref="V84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40" t="s">
        <v>31</v>
      </c>
      <c r="X840" s="2" t="str">
        <f>_xlfn.XLOOKUP(Table1[[#This Row],[Loan_Credit_History]],Table4[Credit History],Table4[[ Category]])</f>
        <v>Existing Credits Paid</v>
      </c>
      <c r="Y840" s="3">
        <v>2</v>
      </c>
      <c r="Z840" s="3">
        <v>1</v>
      </c>
      <c r="AA840" s="5">
        <v>6078</v>
      </c>
      <c r="AB840" t="s">
        <v>151</v>
      </c>
      <c r="AC840" s="2" t="str" cm="1">
        <f t="array" ref="AC840">_xlfn.IFS(Table1[[#This Row],[Others_Parties]] = "No", "None",
Table1[[#This Row],[Others_Parties]] = "co applicant", "Co-applicant",
Table1[[#This Row],[Others_Parties]] = "guarantor", "Guarantor")</f>
        <v>None</v>
      </c>
      <c r="AD840" s="13" t="s">
        <v>145</v>
      </c>
      <c r="AE840" s="2" t="s">
        <v>141</v>
      </c>
      <c r="AF840" s="28" t="str" cm="1">
        <f t="array" ref="AF84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40" s="21">
        <v>12</v>
      </c>
      <c r="AH840" s="2" t="s">
        <v>154</v>
      </c>
      <c r="AI840"/>
      <c r="AZ840"/>
      <c r="BC840"/>
      <c r="BE840"/>
      <c r="BL840"/>
      <c r="BZ840"/>
      <c r="CA840"/>
      <c r="CF840"/>
      <c r="CG840"/>
      <c r="CH840"/>
      <c r="CI840"/>
      <c r="CK840"/>
      <c r="CN840"/>
    </row>
    <row r="841" spans="1:92" x14ac:dyDescent="0.3">
      <c r="A841" s="4">
        <v>839</v>
      </c>
      <c r="B841" s="11">
        <v>28</v>
      </c>
      <c r="C841" s="2" t="str">
        <f>_xlfn.XLOOKUP(Table1[[#This Row],[Age]],Table7[Start_Age],Table7[Age_Range],,-1)</f>
        <v>19-29</v>
      </c>
      <c r="D841" t="s">
        <v>130</v>
      </c>
      <c r="E841" s="2" t="s">
        <v>129</v>
      </c>
      <c r="F841" s="2" t="s">
        <v>133</v>
      </c>
      <c r="G841" s="3">
        <v>1</v>
      </c>
      <c r="H841" s="13" t="s">
        <v>152</v>
      </c>
      <c r="I841" s="2" t="str" cm="1">
        <f t="array" ref="I841">_xlfn.IFS(Table1[[#This Row],[Job_Type]] = "unskilled resident", "Resident",
Table1[[#This Row],[Job_Type]] = "unemp/unskilled non res", "Non-resident",
TRUE, "Unknown")</f>
        <v>Unknown</v>
      </c>
      <c r="J841" s="2" t="s">
        <v>149</v>
      </c>
      <c r="K841" s="3">
        <v>2</v>
      </c>
      <c r="L841" s="2" t="s">
        <v>143</v>
      </c>
      <c r="M841" s="13" t="s">
        <v>152</v>
      </c>
      <c r="N841" t="s">
        <v>35</v>
      </c>
      <c r="O841" s="2" t="str">
        <f>_xlfn.XLOOKUP(Table1[[#This Row],[Checking_Acct_Status]],Table3[Checking_Acct_Original],Table3[Category])</f>
        <v>Negative Balance</v>
      </c>
      <c r="P841" s="10" t="s">
        <v>32</v>
      </c>
      <c r="Q841" s="13" t="str">
        <f>_xlfn.XLOOKUP(Table1[[#This Row],[Saving_Acct_Status]],Table5[Saving_Acct_Original],Table5[Category])</f>
        <v>Low Savings</v>
      </c>
      <c r="R841" t="s">
        <v>41</v>
      </c>
      <c r="S841" s="2" t="str">
        <f>IF(
      OR(Table1[[#This Row],[Job_Type]] = "high qualif/self emp/mgmt", Table1[[#This Row],[Job_Type]] = "skilled"),
      "Skilled", "Unskilled")</f>
        <v>Skilled</v>
      </c>
      <c r="T841" t="str">
        <f>IF(Table1[[#This Row],[Job_Type]] = "unemp/unskilled non res", "Unemployed", "Employed")</f>
        <v>Employed</v>
      </c>
      <c r="U841" t="s">
        <v>21</v>
      </c>
      <c r="V841" s="14" t="str" cm="1">
        <f t="array" ref="V84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41" t="s">
        <v>52</v>
      </c>
      <c r="X841" s="2" t="str">
        <f>_xlfn.XLOOKUP(Table1[[#This Row],[Loan_Credit_History]],Table4[Credit History],Table4[[ Category]])</f>
        <v>No Credit History</v>
      </c>
      <c r="Y841" s="3">
        <v>4</v>
      </c>
      <c r="Z841" s="3">
        <v>2</v>
      </c>
      <c r="AA841" s="5">
        <v>6199</v>
      </c>
      <c r="AB841" t="s">
        <v>151</v>
      </c>
      <c r="AC841" s="2" t="str" cm="1">
        <f t="array" ref="AC841">_xlfn.IFS(Table1[[#This Row],[Others_Parties]] = "No", "None",
Table1[[#This Row],[Others_Parties]] = "co applicant", "Co-applicant",
Table1[[#This Row],[Others_Parties]] = "guarantor", "Guarantor")</f>
        <v>None</v>
      </c>
      <c r="AD841" s="13" t="s">
        <v>145</v>
      </c>
      <c r="AE841" s="2" t="s">
        <v>111</v>
      </c>
      <c r="AF841" s="28" t="str" cm="1">
        <f t="array" ref="AF84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41" s="21">
        <v>12</v>
      </c>
      <c r="AH841" s="2" t="s">
        <v>153</v>
      </c>
      <c r="AI841"/>
      <c r="AZ841"/>
      <c r="BC841"/>
      <c r="BE841"/>
      <c r="BL841"/>
      <c r="BZ841"/>
      <c r="CA841"/>
      <c r="CF841"/>
      <c r="CG841"/>
      <c r="CH841"/>
      <c r="CI841"/>
      <c r="CK841"/>
      <c r="CN841"/>
    </row>
    <row r="842" spans="1:92" x14ac:dyDescent="0.3">
      <c r="A842" s="4">
        <v>840</v>
      </c>
      <c r="B842" s="11">
        <v>52</v>
      </c>
      <c r="C842" s="2" t="str">
        <f>_xlfn.XLOOKUP(Table1[[#This Row],[Age]],Table7[Start_Age],Table7[Age_Range],,-1)</f>
        <v>49-59</v>
      </c>
      <c r="D842" t="s">
        <v>130</v>
      </c>
      <c r="E842" s="2" t="s">
        <v>129</v>
      </c>
      <c r="F842" s="2" t="s">
        <v>133</v>
      </c>
      <c r="G842" s="3">
        <v>1</v>
      </c>
      <c r="H842" s="13" t="s">
        <v>152</v>
      </c>
      <c r="I842" s="2" t="str" cm="1">
        <f t="array" ref="I842">_xlfn.IFS(Table1[[#This Row],[Job_Type]] = "unskilled resident", "Resident",
Table1[[#This Row],[Job_Type]] = "unemp/unskilled non res", "Non-resident",
TRUE, "Unknown")</f>
        <v>Unknown</v>
      </c>
      <c r="J842" s="2" t="s">
        <v>148</v>
      </c>
      <c r="K842" s="3">
        <v>1</v>
      </c>
      <c r="L842" s="2" t="s">
        <v>142</v>
      </c>
      <c r="M842" s="13" t="s">
        <v>152</v>
      </c>
      <c r="N842" t="s">
        <v>30</v>
      </c>
      <c r="O842" s="2" t="str">
        <f>_xlfn.XLOOKUP(Table1[[#This Row],[Checking_Acct_Status]],Table3[Checking_Acct_Original],Table3[Category])</f>
        <v>Low Balance</v>
      </c>
      <c r="P842" s="10" t="s">
        <v>47</v>
      </c>
      <c r="Q842" s="13" t="str">
        <f>_xlfn.XLOOKUP(Table1[[#This Row],[Saving_Acct_Status]],Table5[Saving_Acct_Original],Table5[Category])</f>
        <v>No Savings</v>
      </c>
      <c r="R842" t="s">
        <v>63</v>
      </c>
      <c r="S842" s="2" t="str">
        <f>IF(
      OR(Table1[[#This Row],[Job_Type]] = "high qualif/self emp/mgmt", Table1[[#This Row],[Job_Type]] = "skilled"),
      "Skilled", "Unskilled")</f>
        <v>Skilled</v>
      </c>
      <c r="T842" t="str">
        <f>IF(Table1[[#This Row],[Job_Type]] = "unemp/unskilled non res", "Unemployed", "Employed")</f>
        <v>Employed</v>
      </c>
      <c r="U842" t="s">
        <v>54</v>
      </c>
      <c r="V842" s="14" t="str" cm="1">
        <f t="array" ref="V842">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842" t="s">
        <v>31</v>
      </c>
      <c r="X842" s="2" t="str">
        <f>_xlfn.XLOOKUP(Table1[[#This Row],[Loan_Credit_History]],Table4[Credit History],Table4[[ Category]])</f>
        <v>Existing Credits Paid</v>
      </c>
      <c r="Y842" s="3">
        <v>2</v>
      </c>
      <c r="Z842" s="3">
        <v>1</v>
      </c>
      <c r="AA842" s="5">
        <v>6468</v>
      </c>
      <c r="AB842" t="s">
        <v>151</v>
      </c>
      <c r="AC842" s="2" t="str" cm="1">
        <f t="array" ref="AC842">_xlfn.IFS(Table1[[#This Row],[Others_Parties]] = "No", "None",
Table1[[#This Row],[Others_Parties]] = "co applicant", "Co-applicant",
Table1[[#This Row],[Others_Parties]] = "guarantor", "Guarantor")</f>
        <v>None</v>
      </c>
      <c r="AD842" s="13" t="s">
        <v>145</v>
      </c>
      <c r="AE842" s="2" t="s">
        <v>111</v>
      </c>
      <c r="AF842" s="28" t="str" cm="1">
        <f t="array" ref="AF84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42" s="21">
        <v>12</v>
      </c>
      <c r="AH842" s="2" t="s">
        <v>153</v>
      </c>
      <c r="AI842"/>
      <c r="AZ842"/>
      <c r="BC842"/>
      <c r="BE842"/>
      <c r="BL842"/>
      <c r="BZ842"/>
      <c r="CA842"/>
      <c r="CF842"/>
      <c r="CG842"/>
      <c r="CH842"/>
      <c r="CI842"/>
      <c r="CK842"/>
      <c r="CN842"/>
    </row>
    <row r="843" spans="1:92" x14ac:dyDescent="0.3">
      <c r="A843" s="4">
        <v>841</v>
      </c>
      <c r="B843" s="11">
        <v>24</v>
      </c>
      <c r="C843" s="2" t="str">
        <f>_xlfn.XLOOKUP(Table1[[#This Row],[Age]],Table7[Start_Age],Table7[Age_Range],,-1)</f>
        <v>19-29</v>
      </c>
      <c r="D843" t="s">
        <v>136</v>
      </c>
      <c r="E843" s="2" t="s">
        <v>131</v>
      </c>
      <c r="F843" s="2" t="s">
        <v>137</v>
      </c>
      <c r="G843" s="3">
        <v>1</v>
      </c>
      <c r="H843" s="13" t="s">
        <v>152</v>
      </c>
      <c r="I843" s="2" t="str" cm="1">
        <f t="array" ref="I843">_xlfn.IFS(Table1[[#This Row],[Job_Type]] = "unskilled resident", "Resident",
Table1[[#This Row],[Job_Type]] = "unemp/unskilled non res", "Non-resident",
TRUE, "Unknown")</f>
        <v>Non-resident</v>
      </c>
      <c r="J843" s="2" t="s">
        <v>149</v>
      </c>
      <c r="K843" s="3">
        <v>2</v>
      </c>
      <c r="L843" s="2" t="s">
        <v>144</v>
      </c>
      <c r="M843" s="13" t="s">
        <v>151</v>
      </c>
      <c r="N843" t="s">
        <v>30</v>
      </c>
      <c r="O843" s="2" t="str">
        <f>_xlfn.XLOOKUP(Table1[[#This Row],[Checking_Acct_Status]],Table3[Checking_Acct_Original],Table3[Category])</f>
        <v>Low Balance</v>
      </c>
      <c r="P843" s="10" t="s">
        <v>47</v>
      </c>
      <c r="Q843" s="13" t="str">
        <f>_xlfn.XLOOKUP(Table1[[#This Row],[Saving_Acct_Status]],Table5[Saving_Acct_Original],Table5[Category])</f>
        <v>No Savings</v>
      </c>
      <c r="R843" t="s">
        <v>62</v>
      </c>
      <c r="S843" s="2" t="str">
        <f>IF(
      OR(Table1[[#This Row],[Job_Type]] = "high qualif/self emp/mgmt", Table1[[#This Row],[Job_Type]] = "skilled"),
      "Skilled", "Unskilled")</f>
        <v>Unskilled</v>
      </c>
      <c r="T843" t="str">
        <f>IF(Table1[[#This Row],[Job_Type]] = "unemp/unskilled non res", "Unemployed", "Employed")</f>
        <v>Unemployed</v>
      </c>
      <c r="U843" t="s">
        <v>54</v>
      </c>
      <c r="V843" s="14" t="str" cm="1">
        <f t="array" ref="V843">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843" t="s">
        <v>31</v>
      </c>
      <c r="X843" s="2" t="str">
        <f>_xlfn.XLOOKUP(Table1[[#This Row],[Loan_Credit_History]],Table4[Credit History],Table4[[ Category]])</f>
        <v>Existing Credits Paid</v>
      </c>
      <c r="Y843" s="3">
        <v>1</v>
      </c>
      <c r="Z843" s="3">
        <v>1</v>
      </c>
      <c r="AA843" s="5">
        <v>7472</v>
      </c>
      <c r="AB843" t="s">
        <v>151</v>
      </c>
      <c r="AC843" s="2" t="str" cm="1">
        <f t="array" ref="AC843">_xlfn.IFS(Table1[[#This Row],[Others_Parties]] = "No", "None",
Table1[[#This Row],[Others_Parties]] = "co applicant", "Co-applicant",
Table1[[#This Row],[Others_Parties]] = "guarantor", "Guarantor")</f>
        <v>None</v>
      </c>
      <c r="AD843" s="13" t="s">
        <v>145</v>
      </c>
      <c r="AE843" s="2" t="s">
        <v>141</v>
      </c>
      <c r="AF843" s="28" t="str" cm="1">
        <f t="array" ref="AF84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43" s="21">
        <v>12</v>
      </c>
      <c r="AH843" s="2" t="s">
        <v>154</v>
      </c>
      <c r="AI843"/>
      <c r="AZ843"/>
      <c r="BC843"/>
      <c r="BE843"/>
      <c r="BL843"/>
      <c r="BZ843"/>
      <c r="CA843"/>
      <c r="CF843"/>
      <c r="CG843"/>
      <c r="CH843"/>
      <c r="CI843"/>
      <c r="CK843"/>
      <c r="CN843"/>
    </row>
    <row r="844" spans="1:92" x14ac:dyDescent="0.3">
      <c r="A844" s="4">
        <v>842</v>
      </c>
      <c r="B844" s="11">
        <v>53</v>
      </c>
      <c r="C844" s="2" t="str">
        <f>_xlfn.XLOOKUP(Table1[[#This Row],[Age]],Table7[Start_Age],Table7[Age_Range],,-1)</f>
        <v>49-59</v>
      </c>
      <c r="D844" t="s">
        <v>130</v>
      </c>
      <c r="E844" s="2" t="s">
        <v>129</v>
      </c>
      <c r="F844" s="2" t="s">
        <v>133</v>
      </c>
      <c r="G844" s="3">
        <v>1</v>
      </c>
      <c r="H844" s="13" t="s">
        <v>152</v>
      </c>
      <c r="I844" s="2" t="str" cm="1">
        <f t="array" ref="I844">_xlfn.IFS(Table1[[#This Row],[Job_Type]] = "unskilled resident", "Resident",
Table1[[#This Row],[Job_Type]] = "unemp/unskilled non res", "Non-resident",
TRUE, "Unknown")</f>
        <v>Unknown</v>
      </c>
      <c r="J844" s="2" t="s">
        <v>150</v>
      </c>
      <c r="K844" s="3">
        <v>4</v>
      </c>
      <c r="L844" s="2" t="s">
        <v>142</v>
      </c>
      <c r="M844" s="13" t="s">
        <v>152</v>
      </c>
      <c r="N844" t="s">
        <v>35</v>
      </c>
      <c r="O844" s="2" t="str">
        <f>_xlfn.XLOOKUP(Table1[[#This Row],[Checking_Acct_Status]],Table3[Checking_Acct_Original],Table3[Category])</f>
        <v>Negative Balance</v>
      </c>
      <c r="P844" s="10" t="s">
        <v>32</v>
      </c>
      <c r="Q844" s="13" t="str">
        <f>_xlfn.XLOOKUP(Table1[[#This Row],[Saving_Acct_Status]],Table5[Saving_Acct_Original],Table5[Category])</f>
        <v>Low Savings</v>
      </c>
      <c r="R844" t="s">
        <v>63</v>
      </c>
      <c r="S844" s="2" t="str">
        <f>IF(
      OR(Table1[[#This Row],[Job_Type]] = "high qualif/self emp/mgmt", Table1[[#This Row],[Job_Type]] = "skilled"),
      "Skilled", "Unskilled")</f>
        <v>Skilled</v>
      </c>
      <c r="T844" t="str">
        <f>IF(Table1[[#This Row],[Job_Type]] = "unemp/unskilled non res", "Unemployed", "Employed")</f>
        <v>Employed</v>
      </c>
      <c r="U844" t="s">
        <v>38</v>
      </c>
      <c r="V844" s="14" t="str" cm="1">
        <f t="array" ref="V84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44" t="s">
        <v>31</v>
      </c>
      <c r="X844" s="2" t="str">
        <f>_xlfn.XLOOKUP(Table1[[#This Row],[Loan_Credit_History]],Table4[Credit History],Table4[[ Category]])</f>
        <v>Existing Credits Paid</v>
      </c>
      <c r="Y844" s="3">
        <v>4</v>
      </c>
      <c r="Z844" s="3">
        <v>1</v>
      </c>
      <c r="AA844" s="5">
        <v>7865</v>
      </c>
      <c r="AB844" t="s">
        <v>151</v>
      </c>
      <c r="AC844" s="2" t="str" cm="1">
        <f t="array" ref="AC844">_xlfn.IFS(Table1[[#This Row],[Others_Parties]] = "No", "None",
Table1[[#This Row],[Others_Parties]] = "co applicant", "Co-applicant",
Table1[[#This Row],[Others_Parties]] = "guarantor", "Guarantor")</f>
        <v>None</v>
      </c>
      <c r="AD844" s="13" t="s">
        <v>145</v>
      </c>
      <c r="AE844" s="2" t="s">
        <v>108</v>
      </c>
      <c r="AF844" s="28" t="str" cm="1">
        <f t="array" ref="AF84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44" s="21">
        <v>12</v>
      </c>
      <c r="AH844" s="2" t="s">
        <v>153</v>
      </c>
      <c r="AI844"/>
      <c r="AZ844"/>
      <c r="BC844"/>
      <c r="BE844"/>
      <c r="BL844"/>
      <c r="BZ844"/>
      <c r="CA844"/>
      <c r="CF844"/>
      <c r="CG844"/>
      <c r="CH844"/>
      <c r="CI844"/>
      <c r="CK844"/>
      <c r="CN844"/>
    </row>
    <row r="845" spans="1:92" x14ac:dyDescent="0.3">
      <c r="A845" s="4">
        <v>843</v>
      </c>
      <c r="B845" s="11">
        <v>57</v>
      </c>
      <c r="C845" s="2" t="str">
        <f>_xlfn.XLOOKUP(Table1[[#This Row],[Age]],Table7[Start_Age],Table7[Age_Range],,-1)</f>
        <v>49-59</v>
      </c>
      <c r="D845" t="s">
        <v>136</v>
      </c>
      <c r="E845" s="2" t="s">
        <v>131</v>
      </c>
      <c r="F845" s="2" t="s">
        <v>137</v>
      </c>
      <c r="G845" s="3">
        <v>1</v>
      </c>
      <c r="H845" s="13" t="s">
        <v>152</v>
      </c>
      <c r="I845" s="2" t="str" cm="1">
        <f t="array" ref="I845">_xlfn.IFS(Table1[[#This Row],[Job_Type]] = "unskilled resident", "Resident",
Table1[[#This Row],[Job_Type]] = "unemp/unskilled non res", "Non-resident",
TRUE, "Unknown")</f>
        <v>Resident</v>
      </c>
      <c r="J845" s="2" t="s">
        <v>148</v>
      </c>
      <c r="K845" s="3">
        <v>4</v>
      </c>
      <c r="L845" s="2" t="s">
        <v>144</v>
      </c>
      <c r="M845" s="13" t="s">
        <v>151</v>
      </c>
      <c r="N845" t="s">
        <v>17</v>
      </c>
      <c r="O845" s="2" t="str">
        <f>_xlfn.XLOOKUP(Table1[[#This Row],[Checking_Acct_Status]],Table3[Checking_Acct_Original],Table3[Category])</f>
        <v>No Account</v>
      </c>
      <c r="P845" s="10" t="s">
        <v>46</v>
      </c>
      <c r="Q845" s="13" t="str">
        <f>_xlfn.XLOOKUP(Table1[[#This Row],[Saving_Acct_Status]],Table5[Saving_Acct_Original],Table5[Category])</f>
        <v>Medium Savings</v>
      </c>
      <c r="R845" t="s">
        <v>27</v>
      </c>
      <c r="S845" s="2" t="str">
        <f>IF(
      OR(Table1[[#This Row],[Job_Type]] = "high qualif/self emp/mgmt", Table1[[#This Row],[Job_Type]] = "skilled"),
      "Skilled", "Unskilled")</f>
        <v>Unskilled</v>
      </c>
      <c r="T845" t="str">
        <f>IF(Table1[[#This Row],[Job_Type]] = "unemp/unskilled non res", "Unemployed", "Employed")</f>
        <v>Employed</v>
      </c>
      <c r="U845" t="s">
        <v>54</v>
      </c>
      <c r="V845" s="14" t="str" cm="1">
        <f t="array" ref="V845">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845" t="s">
        <v>103</v>
      </c>
      <c r="X845" s="2" t="str">
        <f>_xlfn.XLOOKUP(Table1[[#This Row],[Loan_Credit_History]],Table4[Credit History],Table4[[ Category]])</f>
        <v>Critical Credit History</v>
      </c>
      <c r="Y845" s="3">
        <v>4</v>
      </c>
      <c r="Z845" s="3">
        <v>3</v>
      </c>
      <c r="AA845" s="5">
        <v>1154</v>
      </c>
      <c r="AB845" t="s">
        <v>151</v>
      </c>
      <c r="AC845" s="2" t="str" cm="1">
        <f t="array" ref="AC845">_xlfn.IFS(Table1[[#This Row],[Others_Parties]] = "No", "None",
Table1[[#This Row],[Others_Parties]] = "co applicant", "Co-applicant",
Table1[[#This Row],[Others_Parties]] = "guarantor", "Guarantor")</f>
        <v>None</v>
      </c>
      <c r="AD845" s="13" t="s">
        <v>145</v>
      </c>
      <c r="AE845" s="2" t="s">
        <v>111</v>
      </c>
      <c r="AF845" s="28" t="str" cm="1">
        <f t="array" ref="AF84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45" s="21">
        <v>11</v>
      </c>
      <c r="AH845" s="2" t="s">
        <v>154</v>
      </c>
      <c r="AI845"/>
      <c r="AZ845"/>
      <c r="BC845"/>
      <c r="BE845"/>
      <c r="BL845"/>
      <c r="BZ845"/>
      <c r="CA845"/>
      <c r="CF845"/>
      <c r="CG845"/>
      <c r="CH845"/>
      <c r="CI845"/>
      <c r="CK845"/>
      <c r="CN845"/>
    </row>
    <row r="846" spans="1:92" x14ac:dyDescent="0.3">
      <c r="A846" s="4">
        <v>844</v>
      </c>
      <c r="B846" s="11">
        <v>40</v>
      </c>
      <c r="C846" s="2" t="str">
        <f>_xlfn.XLOOKUP(Table1[[#This Row],[Age]],Table7[Start_Age],Table7[Age_Range],,-1)</f>
        <v>39-49</v>
      </c>
      <c r="D846" t="s">
        <v>136</v>
      </c>
      <c r="E846" s="2" t="s">
        <v>131</v>
      </c>
      <c r="F846" s="2" t="s">
        <v>137</v>
      </c>
      <c r="G846" s="3">
        <v>1</v>
      </c>
      <c r="H846" s="13" t="s">
        <v>152</v>
      </c>
      <c r="I846" s="2" t="str" cm="1">
        <f t="array" ref="I846">_xlfn.IFS(Table1[[#This Row],[Job_Type]] = "unskilled resident", "Resident",
Table1[[#This Row],[Job_Type]] = "unemp/unskilled non res", "Non-resident",
TRUE, "Unknown")</f>
        <v>Unknown</v>
      </c>
      <c r="J846" s="2" t="s">
        <v>148</v>
      </c>
      <c r="K846" s="3">
        <v>4</v>
      </c>
      <c r="L846" s="2" t="s">
        <v>140</v>
      </c>
      <c r="M846" s="13" t="s">
        <v>151</v>
      </c>
      <c r="N846" t="s">
        <v>30</v>
      </c>
      <c r="O846" s="2" t="str">
        <f>_xlfn.XLOOKUP(Table1[[#This Row],[Checking_Acct_Status]],Table3[Checking_Acct_Original],Table3[Category])</f>
        <v>Low Balance</v>
      </c>
      <c r="P846" s="10" t="s">
        <v>20</v>
      </c>
      <c r="Q846" s="13" t="str">
        <f>_xlfn.XLOOKUP(Table1[[#This Row],[Saving_Acct_Status]],Table5[Saving_Acct_Original],Table5[Category])</f>
        <v>Very High Savings</v>
      </c>
      <c r="R846" t="s">
        <v>41</v>
      </c>
      <c r="S846" s="2" t="str">
        <f>IF(
      OR(Table1[[#This Row],[Job_Type]] = "high qualif/self emp/mgmt", Table1[[#This Row],[Job_Type]] = "skilled"),
      "Skilled", "Unskilled")</f>
        <v>Skilled</v>
      </c>
      <c r="T846" t="str">
        <f>IF(Table1[[#This Row],[Job_Type]] = "unemp/unskilled non res", "Unemployed", "Employed")</f>
        <v>Employed</v>
      </c>
      <c r="U846" t="s">
        <v>21</v>
      </c>
      <c r="V846" s="14" t="str" cm="1">
        <f t="array" ref="V84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46" t="s">
        <v>103</v>
      </c>
      <c r="X846" s="2" t="str">
        <f>_xlfn.XLOOKUP(Table1[[#This Row],[Loan_Credit_History]],Table4[Credit History],Table4[[ Category]])</f>
        <v>Critical Credit History</v>
      </c>
      <c r="Y846" s="3">
        <v>4</v>
      </c>
      <c r="Z846" s="3">
        <v>2</v>
      </c>
      <c r="AA846" s="5">
        <v>1322</v>
      </c>
      <c r="AB846" t="s">
        <v>151</v>
      </c>
      <c r="AC846" s="2" t="str" cm="1">
        <f t="array" ref="AC846">_xlfn.IFS(Table1[[#This Row],[Others_Parties]] = "No", "None",
Table1[[#This Row],[Others_Parties]] = "co applicant", "Co-applicant",
Table1[[#This Row],[Others_Parties]] = "guarantor", "Guarantor")</f>
        <v>None</v>
      </c>
      <c r="AD846" s="13" t="s">
        <v>145</v>
      </c>
      <c r="AE846" s="2" t="s">
        <v>141</v>
      </c>
      <c r="AF846" s="28" t="str" cm="1">
        <f t="array" ref="AF84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46" s="21">
        <v>11</v>
      </c>
      <c r="AH846" s="2" t="s">
        <v>154</v>
      </c>
      <c r="AI846"/>
      <c r="AZ846"/>
      <c r="BC846"/>
      <c r="BE846"/>
      <c r="BL846"/>
      <c r="BZ846"/>
      <c r="CA846"/>
      <c r="CF846"/>
      <c r="CG846"/>
      <c r="CH846"/>
      <c r="CI846"/>
      <c r="CK846"/>
      <c r="CN846"/>
    </row>
    <row r="847" spans="1:92" x14ac:dyDescent="0.3">
      <c r="A847" s="4">
        <v>845</v>
      </c>
      <c r="B847" s="11">
        <v>35</v>
      </c>
      <c r="C847" s="2" t="str">
        <f>_xlfn.XLOOKUP(Table1[[#This Row],[Age]],Table7[Start_Age],Table7[Age_Range],,-1)</f>
        <v>29-39</v>
      </c>
      <c r="D847" t="s">
        <v>136</v>
      </c>
      <c r="E847" s="2" t="s">
        <v>131</v>
      </c>
      <c r="F847" s="2" t="s">
        <v>137</v>
      </c>
      <c r="G847" s="3">
        <v>1</v>
      </c>
      <c r="H847" s="13" t="s">
        <v>152</v>
      </c>
      <c r="I847" s="2" t="str" cm="1">
        <f t="array" ref="I847">_xlfn.IFS(Table1[[#This Row],[Job_Type]] = "unskilled resident", "Resident",
Table1[[#This Row],[Job_Type]] = "unemp/unskilled non res", "Non-resident",
TRUE, "Unknown")</f>
        <v>Unknown</v>
      </c>
      <c r="J847" s="2" t="s">
        <v>148</v>
      </c>
      <c r="K847" s="3">
        <v>4</v>
      </c>
      <c r="L847" s="2" t="s">
        <v>140</v>
      </c>
      <c r="M847" s="13" t="s">
        <v>151</v>
      </c>
      <c r="N847" t="s">
        <v>17</v>
      </c>
      <c r="O847" s="2" t="str">
        <f>_xlfn.XLOOKUP(Table1[[#This Row],[Checking_Acct_Status]],Table3[Checking_Acct_Original],Table3[Category])</f>
        <v>No Account</v>
      </c>
      <c r="P847" s="10" t="s">
        <v>32</v>
      </c>
      <c r="Q847" s="13" t="str">
        <f>_xlfn.XLOOKUP(Table1[[#This Row],[Saving_Acct_Status]],Table5[Saving_Acct_Original],Table5[Category])</f>
        <v>Low Savings</v>
      </c>
      <c r="R847" t="s">
        <v>63</v>
      </c>
      <c r="S847" s="2" t="str">
        <f>IF(
      OR(Table1[[#This Row],[Job_Type]] = "high qualif/self emp/mgmt", Table1[[#This Row],[Job_Type]] = "skilled"),
      "Skilled", "Unskilled")</f>
        <v>Skilled</v>
      </c>
      <c r="T847" t="str">
        <f>IF(Table1[[#This Row],[Job_Type]] = "unemp/unskilled non res", "Unemployed", "Employed")</f>
        <v>Employed</v>
      </c>
      <c r="U847" t="s">
        <v>45</v>
      </c>
      <c r="V847" s="14" t="str" cm="1">
        <f t="array" ref="V84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47" t="s">
        <v>103</v>
      </c>
      <c r="X847" s="2" t="str">
        <f>_xlfn.XLOOKUP(Table1[[#This Row],[Loan_Credit_History]],Table4[Credit History],Table4[[ Category]])</f>
        <v>Critical Credit History</v>
      </c>
      <c r="Y847" s="3">
        <v>4</v>
      </c>
      <c r="Z847" s="3">
        <v>2</v>
      </c>
      <c r="AA847" s="5">
        <v>1393</v>
      </c>
      <c r="AB847" t="s">
        <v>151</v>
      </c>
      <c r="AC847" s="2" t="str" cm="1">
        <f t="array" ref="AC847">_xlfn.IFS(Table1[[#This Row],[Others_Parties]] = "No", "None",
Table1[[#This Row],[Others_Parties]] = "co applicant", "Co-applicant",
Table1[[#This Row],[Others_Parties]] = "guarantor", "Guarantor")</f>
        <v>None</v>
      </c>
      <c r="AD847" s="13" t="s">
        <v>145</v>
      </c>
      <c r="AE847" s="2" t="s">
        <v>141</v>
      </c>
      <c r="AF847" s="28" t="str" cm="1">
        <f t="array" ref="AF84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47" s="21">
        <v>11</v>
      </c>
      <c r="AH847" s="2" t="s">
        <v>154</v>
      </c>
      <c r="AI847"/>
      <c r="AZ847"/>
      <c r="BC847"/>
      <c r="BE847"/>
      <c r="BL847"/>
      <c r="BZ847"/>
      <c r="CA847"/>
      <c r="CF847"/>
      <c r="CG847"/>
      <c r="CH847"/>
      <c r="CI847"/>
      <c r="CK847"/>
      <c r="CN847"/>
    </row>
    <row r="848" spans="1:92" x14ac:dyDescent="0.3">
      <c r="A848" s="4">
        <v>846</v>
      </c>
      <c r="B848" s="11">
        <v>20</v>
      </c>
      <c r="C848" s="2" t="str">
        <f>_xlfn.XLOOKUP(Table1[[#This Row],[Age]],Table7[Start_Age],Table7[Age_Range],,-1)</f>
        <v>19-29</v>
      </c>
      <c r="D848" t="s">
        <v>136</v>
      </c>
      <c r="E848" s="2" t="s">
        <v>131</v>
      </c>
      <c r="F848" s="2" t="s">
        <v>137</v>
      </c>
      <c r="G848" s="3">
        <v>1</v>
      </c>
      <c r="H848" s="13" t="s">
        <v>152</v>
      </c>
      <c r="I848" s="2" t="str" cm="1">
        <f t="array" ref="I848">_xlfn.IFS(Table1[[#This Row],[Job_Type]] = "unskilled resident", "Resident",
Table1[[#This Row],[Job_Type]] = "unemp/unskilled non res", "Non-resident",
TRUE, "Unknown")</f>
        <v>Unknown</v>
      </c>
      <c r="J848" s="2" t="s">
        <v>148</v>
      </c>
      <c r="K848" s="3">
        <v>1</v>
      </c>
      <c r="L848" s="2" t="s">
        <v>144</v>
      </c>
      <c r="M848" s="13" t="s">
        <v>151</v>
      </c>
      <c r="N848" t="s">
        <v>30</v>
      </c>
      <c r="O848" s="2" t="str">
        <f>_xlfn.XLOOKUP(Table1[[#This Row],[Checking_Acct_Status]],Table3[Checking_Acct_Original],Table3[Category])</f>
        <v>Low Balance</v>
      </c>
      <c r="P848" s="10" t="s">
        <v>20</v>
      </c>
      <c r="Q848" s="13" t="str">
        <f>_xlfn.XLOOKUP(Table1[[#This Row],[Saving_Acct_Status]],Table5[Saving_Acct_Original],Table5[Category])</f>
        <v>Very High Savings</v>
      </c>
      <c r="R848" t="s">
        <v>41</v>
      </c>
      <c r="S848" s="2" t="str">
        <f>IF(
      OR(Table1[[#This Row],[Job_Type]] = "high qualif/self emp/mgmt", Table1[[#This Row],[Job_Type]] = "skilled"),
      "Skilled", "Unskilled")</f>
        <v>Skilled</v>
      </c>
      <c r="T848" t="str">
        <f>IF(Table1[[#This Row],[Job_Type]] = "unemp/unskilled non res", "Unemployed", "Employed")</f>
        <v>Employed</v>
      </c>
      <c r="U848" t="s">
        <v>45</v>
      </c>
      <c r="V848" s="14" t="str" cm="1">
        <f t="array" ref="V84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48" t="s">
        <v>31</v>
      </c>
      <c r="X848" s="2" t="str">
        <f>_xlfn.XLOOKUP(Table1[[#This Row],[Loan_Credit_History]],Table4[Credit History],Table4[[ Category]])</f>
        <v>Existing Credits Paid</v>
      </c>
      <c r="Y848" s="3">
        <v>4</v>
      </c>
      <c r="Z848" s="3">
        <v>1</v>
      </c>
      <c r="AA848" s="5">
        <v>1577</v>
      </c>
      <c r="AB848" t="s">
        <v>151</v>
      </c>
      <c r="AC848" s="2" t="str" cm="1">
        <f t="array" ref="AC848">_xlfn.IFS(Table1[[#This Row],[Others_Parties]] = "No", "None",
Table1[[#This Row],[Others_Parties]] = "co applicant", "Co-applicant",
Table1[[#This Row],[Others_Parties]] = "guarantor", "Guarantor")</f>
        <v>None</v>
      </c>
      <c r="AD848" s="13" t="s">
        <v>145</v>
      </c>
      <c r="AE848" s="2" t="s">
        <v>108</v>
      </c>
      <c r="AF848" s="28" t="str" cm="1">
        <f t="array" ref="AF84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48" s="21">
        <v>11</v>
      </c>
      <c r="AH848" s="2" t="s">
        <v>154</v>
      </c>
      <c r="AI848"/>
      <c r="AZ848"/>
      <c r="BC848"/>
      <c r="BE848"/>
      <c r="BL848"/>
      <c r="BZ848"/>
      <c r="CA848"/>
      <c r="CF848"/>
      <c r="CG848"/>
      <c r="CH848"/>
      <c r="CI848"/>
      <c r="CK848"/>
      <c r="CN848"/>
    </row>
    <row r="849" spans="1:92" x14ac:dyDescent="0.3">
      <c r="A849" s="4">
        <v>847</v>
      </c>
      <c r="B849" s="11">
        <v>28</v>
      </c>
      <c r="C849" s="2" t="str">
        <f>_xlfn.XLOOKUP(Table1[[#This Row],[Age]],Table7[Start_Age],Table7[Age_Range],,-1)</f>
        <v>19-29</v>
      </c>
      <c r="D849" t="s">
        <v>138</v>
      </c>
      <c r="E849" s="2" t="s">
        <v>129</v>
      </c>
      <c r="F849" s="2" t="s">
        <v>178</v>
      </c>
      <c r="G849" s="3">
        <v>1</v>
      </c>
      <c r="H849" s="13" t="s">
        <v>152</v>
      </c>
      <c r="I849" s="2" t="str" cm="1">
        <f t="array" ref="I849">_xlfn.IFS(Table1[[#This Row],[Job_Type]] = "unskilled resident", "Resident",
Table1[[#This Row],[Job_Type]] = "unemp/unskilled non res", "Non-resident",
TRUE, "Unknown")</f>
        <v>Unknown</v>
      </c>
      <c r="J849" s="2" t="s">
        <v>148</v>
      </c>
      <c r="K849" s="3">
        <v>2</v>
      </c>
      <c r="L849" s="2" t="s">
        <v>144</v>
      </c>
      <c r="M849" s="13" t="s">
        <v>152</v>
      </c>
      <c r="N849" t="s">
        <v>17</v>
      </c>
      <c r="O849" s="2" t="str">
        <f>_xlfn.XLOOKUP(Table1[[#This Row],[Checking_Acct_Status]],Table3[Checking_Acct_Original],Table3[Category])</f>
        <v>No Account</v>
      </c>
      <c r="P849" s="10" t="s">
        <v>20</v>
      </c>
      <c r="Q849" s="13" t="str">
        <f>_xlfn.XLOOKUP(Table1[[#This Row],[Saving_Acct_Status]],Table5[Saving_Acct_Original],Table5[Category])</f>
        <v>Very High Savings</v>
      </c>
      <c r="R849" t="s">
        <v>41</v>
      </c>
      <c r="S849" s="2" t="str">
        <f>IF(
      OR(Table1[[#This Row],[Job_Type]] = "high qualif/self emp/mgmt", Table1[[#This Row],[Job_Type]] = "skilled"),
      "Skilled", "Unskilled")</f>
        <v>Skilled</v>
      </c>
      <c r="T849" t="str">
        <f>IF(Table1[[#This Row],[Job_Type]] = "unemp/unskilled non res", "Unemployed", "Employed")</f>
        <v>Employed</v>
      </c>
      <c r="U849" t="s">
        <v>38</v>
      </c>
      <c r="V849" s="14" t="str" cm="1">
        <f t="array" ref="V84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49" t="s">
        <v>31</v>
      </c>
      <c r="X849" s="2" t="str">
        <f>_xlfn.XLOOKUP(Table1[[#This Row],[Loan_Credit_History]],Table4[Credit History],Table4[[ Category]])</f>
        <v>Existing Credits Paid</v>
      </c>
      <c r="Y849" s="3">
        <v>1</v>
      </c>
      <c r="Z849" s="3">
        <v>1</v>
      </c>
      <c r="AA849" s="5">
        <v>2142</v>
      </c>
      <c r="AB849" t="s">
        <v>151</v>
      </c>
      <c r="AC849" s="2" t="str" cm="1">
        <f t="array" ref="AC849">_xlfn.IFS(Table1[[#This Row],[Others_Parties]] = "No", "None",
Table1[[#This Row],[Others_Parties]] = "co applicant", "Co-applicant",
Table1[[#This Row],[Others_Parties]] = "guarantor", "Guarantor")</f>
        <v>None</v>
      </c>
      <c r="AD849" s="13" t="s">
        <v>145</v>
      </c>
      <c r="AE849" s="2" t="s">
        <v>105</v>
      </c>
      <c r="AF849" s="28" t="str" cm="1">
        <f t="array" ref="AF84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49" s="21">
        <v>11</v>
      </c>
      <c r="AH849" s="2" t="s">
        <v>154</v>
      </c>
      <c r="AI849"/>
      <c r="AZ849"/>
      <c r="BC849"/>
      <c r="BE849"/>
      <c r="BL849"/>
      <c r="BZ849"/>
      <c r="CA849"/>
      <c r="CF849"/>
      <c r="CG849"/>
      <c r="CH849"/>
      <c r="CI849"/>
      <c r="CK849"/>
      <c r="CN849"/>
    </row>
    <row r="850" spans="1:92" x14ac:dyDescent="0.3">
      <c r="A850" s="4">
        <v>848</v>
      </c>
      <c r="B850" s="11">
        <v>36</v>
      </c>
      <c r="C850" s="2" t="str">
        <f>_xlfn.XLOOKUP(Table1[[#This Row],[Age]],Table7[Start_Age],Table7[Age_Range],,-1)</f>
        <v>29-39</v>
      </c>
      <c r="D850" t="s">
        <v>130</v>
      </c>
      <c r="E850" s="2" t="s">
        <v>129</v>
      </c>
      <c r="F850" s="2" t="s">
        <v>133</v>
      </c>
      <c r="G850" s="3">
        <v>2</v>
      </c>
      <c r="H850" s="13" t="s">
        <v>152</v>
      </c>
      <c r="I850" s="2" t="str" cm="1">
        <f t="array" ref="I850">_xlfn.IFS(Table1[[#This Row],[Job_Type]] = "unskilled resident", "Resident",
Table1[[#This Row],[Job_Type]] = "unemp/unskilled non res", "Non-resident",
TRUE, "Unknown")</f>
        <v>Unknown</v>
      </c>
      <c r="J850" s="2" t="s">
        <v>149</v>
      </c>
      <c r="K850" s="3">
        <v>2</v>
      </c>
      <c r="L850" s="2" t="s">
        <v>144</v>
      </c>
      <c r="M850" s="13" t="s">
        <v>151</v>
      </c>
      <c r="N850" t="s">
        <v>35</v>
      </c>
      <c r="O850" s="2" t="str">
        <f>_xlfn.XLOOKUP(Table1[[#This Row],[Checking_Acct_Status]],Table3[Checking_Acct_Original],Table3[Category])</f>
        <v>Negative Balance</v>
      </c>
      <c r="P850" s="10" t="s">
        <v>32</v>
      </c>
      <c r="Q850" s="13" t="str">
        <f>_xlfn.XLOOKUP(Table1[[#This Row],[Saving_Acct_Status]],Table5[Saving_Acct_Original],Table5[Category])</f>
        <v>Low Savings</v>
      </c>
      <c r="R850" t="s">
        <v>41</v>
      </c>
      <c r="S850" s="2" t="str">
        <f>IF(
      OR(Table1[[#This Row],[Job_Type]] = "high qualif/self emp/mgmt", Table1[[#This Row],[Job_Type]] = "skilled"),
      "Skilled", "Unskilled")</f>
        <v>Skilled</v>
      </c>
      <c r="T850" t="str">
        <f>IF(Table1[[#This Row],[Job_Type]] = "unemp/unskilled non res", "Unemployed", "Employed")</f>
        <v>Employed</v>
      </c>
      <c r="U850" t="s">
        <v>21</v>
      </c>
      <c r="V850" s="14" t="str" cm="1">
        <f t="array" ref="V85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50" t="s">
        <v>103</v>
      </c>
      <c r="X850" s="2" t="str">
        <f>_xlfn.XLOOKUP(Table1[[#This Row],[Loan_Credit_History]],Table4[Credit History],Table4[[ Category]])</f>
        <v>Critical Credit History</v>
      </c>
      <c r="Y850" s="3">
        <v>2</v>
      </c>
      <c r="Z850" s="3">
        <v>2</v>
      </c>
      <c r="AA850" s="5">
        <v>3905</v>
      </c>
      <c r="AB850" t="s">
        <v>151</v>
      </c>
      <c r="AC850" s="2" t="str" cm="1">
        <f t="array" ref="AC850">_xlfn.IFS(Table1[[#This Row],[Others_Parties]] = "No", "None",
Table1[[#This Row],[Others_Parties]] = "co applicant", "Co-applicant",
Table1[[#This Row],[Others_Parties]] = "guarantor", "Guarantor")</f>
        <v>None</v>
      </c>
      <c r="AD850" s="13" t="s">
        <v>145</v>
      </c>
      <c r="AE850" s="2" t="s">
        <v>141</v>
      </c>
      <c r="AF850" s="28" t="str" cm="1">
        <f t="array" ref="AF85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50" s="21">
        <v>11</v>
      </c>
      <c r="AH850" s="2" t="s">
        <v>154</v>
      </c>
      <c r="AI850"/>
      <c r="AZ850"/>
      <c r="BC850"/>
      <c r="BE850"/>
      <c r="BL850"/>
      <c r="BZ850"/>
      <c r="CA850"/>
      <c r="CF850"/>
      <c r="CG850"/>
      <c r="CH850"/>
      <c r="CI850"/>
      <c r="CK850"/>
      <c r="CN850"/>
    </row>
    <row r="851" spans="1:92" x14ac:dyDescent="0.3">
      <c r="A851" s="4">
        <v>849</v>
      </c>
      <c r="B851" s="11">
        <v>40</v>
      </c>
      <c r="C851" s="2" t="str">
        <f>_xlfn.XLOOKUP(Table1[[#This Row],[Age]],Table7[Start_Age],Table7[Age_Range],,-1)</f>
        <v>39-49</v>
      </c>
      <c r="D851" t="s">
        <v>130</v>
      </c>
      <c r="E851" s="2" t="s">
        <v>129</v>
      </c>
      <c r="F851" s="2" t="s">
        <v>133</v>
      </c>
      <c r="G851" s="3">
        <v>2</v>
      </c>
      <c r="H851" s="13" t="s">
        <v>152</v>
      </c>
      <c r="I851" s="2" t="str" cm="1">
        <f t="array" ref="I851">_xlfn.IFS(Table1[[#This Row],[Job_Type]] = "unskilled resident", "Resident",
Table1[[#This Row],[Job_Type]] = "unemp/unskilled non res", "Non-resident",
TRUE, "Unknown")</f>
        <v>Resident</v>
      </c>
      <c r="J851" s="2" t="s">
        <v>148</v>
      </c>
      <c r="K851" s="3">
        <v>2</v>
      </c>
      <c r="L851" s="2" t="s">
        <v>144</v>
      </c>
      <c r="M851" s="13" t="s">
        <v>151</v>
      </c>
      <c r="N851" t="s">
        <v>35</v>
      </c>
      <c r="O851" s="2" t="str">
        <f>_xlfn.XLOOKUP(Table1[[#This Row],[Checking_Acct_Status]],Table3[Checking_Acct_Original],Table3[Category])</f>
        <v>Negative Balance</v>
      </c>
      <c r="P851" s="10" t="s">
        <v>32</v>
      </c>
      <c r="Q851" s="13" t="str">
        <f>_xlfn.XLOOKUP(Table1[[#This Row],[Saving_Acct_Status]],Table5[Saving_Acct_Original],Table5[Category])</f>
        <v>Low Savings</v>
      </c>
      <c r="R851" t="s">
        <v>27</v>
      </c>
      <c r="S851" s="2" t="str">
        <f>IF(
      OR(Table1[[#This Row],[Job_Type]] = "high qualif/self emp/mgmt", Table1[[#This Row],[Job_Type]] = "skilled"),
      "Skilled", "Unskilled")</f>
        <v>Unskilled</v>
      </c>
      <c r="T851" t="str">
        <f>IF(Table1[[#This Row],[Job_Type]] = "unemp/unskilled non res", "Unemployed", "Employed")</f>
        <v>Employed</v>
      </c>
      <c r="U851" t="s">
        <v>21</v>
      </c>
      <c r="V851" s="14" t="str" cm="1">
        <f t="array" ref="V85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51" t="s">
        <v>103</v>
      </c>
      <c r="X851" s="2" t="str">
        <f>_xlfn.XLOOKUP(Table1[[#This Row],[Loan_Credit_History]],Table4[Credit History],Table4[[ Category]])</f>
        <v>Critical Credit History</v>
      </c>
      <c r="Y851" s="3">
        <v>1</v>
      </c>
      <c r="Z851" s="3">
        <v>2</v>
      </c>
      <c r="AA851" s="5">
        <v>3939</v>
      </c>
      <c r="AB851" t="s">
        <v>151</v>
      </c>
      <c r="AC851" s="2" t="str" cm="1">
        <f t="array" ref="AC851">_xlfn.IFS(Table1[[#This Row],[Others_Parties]] = "No", "None",
Table1[[#This Row],[Others_Parties]] = "co applicant", "Co-applicant",
Table1[[#This Row],[Others_Parties]] = "guarantor", "Guarantor")</f>
        <v>None</v>
      </c>
      <c r="AD851" s="13" t="s">
        <v>145</v>
      </c>
      <c r="AE851" s="2" t="s">
        <v>141</v>
      </c>
      <c r="AF851" s="28" t="str" cm="1">
        <f t="array" ref="AF85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51" s="21">
        <v>11</v>
      </c>
      <c r="AH851" s="2" t="s">
        <v>154</v>
      </c>
      <c r="AI851"/>
      <c r="AZ851"/>
      <c r="BC851"/>
      <c r="BE851"/>
      <c r="BL851"/>
      <c r="BZ851"/>
      <c r="CA851"/>
      <c r="CF851"/>
      <c r="CG851"/>
      <c r="CH851"/>
      <c r="CI851"/>
      <c r="CK851"/>
      <c r="CN851"/>
    </row>
    <row r="852" spans="1:92" x14ac:dyDescent="0.3">
      <c r="A852" s="4">
        <v>850</v>
      </c>
      <c r="B852" s="11">
        <v>51</v>
      </c>
      <c r="C852" s="2" t="str">
        <f>_xlfn.XLOOKUP(Table1[[#This Row],[Age]],Table7[Start_Age],Table7[Age_Range],,-1)</f>
        <v>49-59</v>
      </c>
      <c r="D852" t="s">
        <v>130</v>
      </c>
      <c r="E852" s="2" t="s">
        <v>129</v>
      </c>
      <c r="F852" s="2" t="s">
        <v>133</v>
      </c>
      <c r="G852" s="3">
        <v>1</v>
      </c>
      <c r="H852" s="13" t="s">
        <v>152</v>
      </c>
      <c r="I852" s="2" t="str" cm="1">
        <f t="array" ref="I852">_xlfn.IFS(Table1[[#This Row],[Job_Type]] = "unskilled resident", "Resident",
Table1[[#This Row],[Job_Type]] = "unemp/unskilled non res", "Non-resident",
TRUE, "Unknown")</f>
        <v>Unknown</v>
      </c>
      <c r="J852" s="2" t="s">
        <v>148</v>
      </c>
      <c r="K852" s="3">
        <v>4</v>
      </c>
      <c r="L852" s="2" t="s">
        <v>143</v>
      </c>
      <c r="M852" s="13" t="s">
        <v>151</v>
      </c>
      <c r="N852" t="s">
        <v>30</v>
      </c>
      <c r="O852" s="2" t="str">
        <f>_xlfn.XLOOKUP(Table1[[#This Row],[Checking_Acct_Status]],Table3[Checking_Acct_Original],Table3[Category])</f>
        <v>Low Balance</v>
      </c>
      <c r="P852" s="10" t="s">
        <v>32</v>
      </c>
      <c r="Q852" s="13" t="str">
        <f>_xlfn.XLOOKUP(Table1[[#This Row],[Saving_Acct_Status]],Table5[Saving_Acct_Original],Table5[Category])</f>
        <v>Low Savings</v>
      </c>
      <c r="R852" t="s">
        <v>41</v>
      </c>
      <c r="S852" s="2" t="str">
        <f>IF(
      OR(Table1[[#This Row],[Job_Type]] = "high qualif/self emp/mgmt", Table1[[#This Row],[Job_Type]] = "skilled"),
      "Skilled", "Unskilled")</f>
        <v>Skilled</v>
      </c>
      <c r="T852" t="str">
        <f>IF(Table1[[#This Row],[Job_Type]] = "unemp/unskilled non res", "Unemployed", "Employed")</f>
        <v>Employed</v>
      </c>
      <c r="U852" t="s">
        <v>49</v>
      </c>
      <c r="V852" s="14" t="str" cm="1">
        <f t="array" ref="V85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52" t="s">
        <v>59</v>
      </c>
      <c r="X852" s="2" t="str">
        <f>_xlfn.XLOOKUP(Table1[[#This Row],[Loan_Credit_History]],Table4[Credit History],Table4[[ Category]])</f>
        <v>Previously Delayed</v>
      </c>
      <c r="Y852" s="3">
        <v>2</v>
      </c>
      <c r="Z852" s="3">
        <v>1</v>
      </c>
      <c r="AA852" s="5">
        <v>4771</v>
      </c>
      <c r="AB852" t="s">
        <v>151</v>
      </c>
      <c r="AC852" s="2" t="str" cm="1">
        <f t="array" ref="AC852">_xlfn.IFS(Table1[[#This Row],[Others_Parties]] = "No", "None",
Table1[[#This Row],[Others_Parties]] = "co applicant", "Co-applicant",
Table1[[#This Row],[Others_Parties]] = "guarantor", "Guarantor")</f>
        <v>None</v>
      </c>
      <c r="AD852" s="13" t="s">
        <v>145</v>
      </c>
      <c r="AE852" s="2" t="s">
        <v>111</v>
      </c>
      <c r="AF852" s="28" t="str" cm="1">
        <f t="array" ref="AF85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52" s="21">
        <v>11</v>
      </c>
      <c r="AH852" s="2" t="s">
        <v>154</v>
      </c>
      <c r="AI852"/>
      <c r="AZ852"/>
      <c r="BC852"/>
      <c r="BE852"/>
      <c r="BL852"/>
      <c r="BZ852"/>
      <c r="CA852"/>
      <c r="CF852"/>
      <c r="CG852"/>
      <c r="CH852"/>
      <c r="CI852"/>
      <c r="CK852"/>
      <c r="CN852"/>
    </row>
    <row r="853" spans="1:92" x14ac:dyDescent="0.3">
      <c r="A853" s="4">
        <v>851</v>
      </c>
      <c r="B853" s="11">
        <v>39</v>
      </c>
      <c r="C853" s="2" t="str">
        <f>_xlfn.XLOOKUP(Table1[[#This Row],[Age]],Table7[Start_Age],Table7[Age_Range],,-1)</f>
        <v>39-49</v>
      </c>
      <c r="D853" t="s">
        <v>130</v>
      </c>
      <c r="E853" s="2" t="s">
        <v>129</v>
      </c>
      <c r="F853" s="2" t="s">
        <v>133</v>
      </c>
      <c r="G853" s="3">
        <v>1</v>
      </c>
      <c r="H853" s="13" t="s">
        <v>152</v>
      </c>
      <c r="I853" s="2" t="str" cm="1">
        <f t="array" ref="I853">_xlfn.IFS(Table1[[#This Row],[Job_Type]] = "unskilled resident", "Resident",
Table1[[#This Row],[Job_Type]] = "unemp/unskilled non res", "Non-resident",
TRUE, "Unknown")</f>
        <v>Resident</v>
      </c>
      <c r="J853" s="2" t="s">
        <v>148</v>
      </c>
      <c r="K853" s="3">
        <v>4</v>
      </c>
      <c r="L853" s="2" t="s">
        <v>143</v>
      </c>
      <c r="M853" s="13" t="s">
        <v>151</v>
      </c>
      <c r="N853" t="s">
        <v>17</v>
      </c>
      <c r="O853" s="2" t="str">
        <f>_xlfn.XLOOKUP(Table1[[#This Row],[Checking_Acct_Status]],Table3[Checking_Acct_Original],Table3[Category])</f>
        <v>No Account</v>
      </c>
      <c r="P853" s="10" t="s">
        <v>32</v>
      </c>
      <c r="Q853" s="13" t="str">
        <f>_xlfn.XLOOKUP(Table1[[#This Row],[Saving_Acct_Status]],Table5[Saving_Acct_Original],Table5[Category])</f>
        <v>Low Savings</v>
      </c>
      <c r="R853" t="s">
        <v>27</v>
      </c>
      <c r="S853" s="2" t="str">
        <f>IF(
      OR(Table1[[#This Row],[Job_Type]] = "high qualif/self emp/mgmt", Table1[[#This Row],[Job_Type]] = "skilled"),
      "Skilled", "Unskilled")</f>
        <v>Unskilled</v>
      </c>
      <c r="T853" t="str">
        <f>IF(Table1[[#This Row],[Job_Type]] = "unemp/unskilled non res", "Unemployed", "Employed")</f>
        <v>Employed</v>
      </c>
      <c r="U853" t="s">
        <v>21</v>
      </c>
      <c r="V853" s="14" t="str" cm="1">
        <f t="array" ref="V85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53" t="s">
        <v>103</v>
      </c>
      <c r="X853" s="2" t="str">
        <f>_xlfn.XLOOKUP(Table1[[#This Row],[Loan_Credit_History]],Table4[Credit History],Table4[[ Category]])</f>
        <v>Critical Credit History</v>
      </c>
      <c r="Y853" s="3">
        <v>1</v>
      </c>
      <c r="Z853" s="3">
        <v>2</v>
      </c>
      <c r="AA853" s="5">
        <v>7228</v>
      </c>
      <c r="AB853" t="s">
        <v>151</v>
      </c>
      <c r="AC853" s="2" t="str" cm="1">
        <f t="array" ref="AC853">_xlfn.IFS(Table1[[#This Row],[Others_Parties]] = "No", "None",
Table1[[#This Row],[Others_Parties]] = "co applicant", "Co-applicant",
Table1[[#This Row],[Others_Parties]] = "guarantor", "Guarantor")</f>
        <v>None</v>
      </c>
      <c r="AD853" s="13" t="s">
        <v>145</v>
      </c>
      <c r="AE853" s="2" t="s">
        <v>141</v>
      </c>
      <c r="AF853" s="28" t="str" cm="1">
        <f t="array" ref="AF85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53" s="21">
        <v>11</v>
      </c>
      <c r="AH853" s="2" t="s">
        <v>154</v>
      </c>
      <c r="AI853"/>
      <c r="AZ853"/>
      <c r="BC853"/>
      <c r="BE853"/>
      <c r="BL853"/>
      <c r="BZ853"/>
      <c r="CA853"/>
      <c r="CF853"/>
      <c r="CG853"/>
      <c r="CH853"/>
      <c r="CI853"/>
      <c r="CK853"/>
      <c r="CN853"/>
    </row>
    <row r="854" spans="1:92" x14ac:dyDescent="0.3">
      <c r="A854" s="4">
        <v>852</v>
      </c>
      <c r="B854" s="11">
        <v>46</v>
      </c>
      <c r="C854" s="2" t="str">
        <f>_xlfn.XLOOKUP(Table1[[#This Row],[Age]],Table7[Start_Age],Table7[Age_Range],,-1)</f>
        <v>39-49</v>
      </c>
      <c r="D854" t="s">
        <v>130</v>
      </c>
      <c r="E854" s="2" t="s">
        <v>129</v>
      </c>
      <c r="F854" s="2" t="s">
        <v>133</v>
      </c>
      <c r="G854" s="3">
        <v>1</v>
      </c>
      <c r="H854" s="13" t="s">
        <v>152</v>
      </c>
      <c r="I854" s="2" t="str" cm="1">
        <f t="array" ref="I854">_xlfn.IFS(Table1[[#This Row],[Job_Type]] = "unskilled resident", "Resident",
Table1[[#This Row],[Job_Type]] = "unemp/unskilled non res", "Non-resident",
TRUE, "Unknown")</f>
        <v>Unknown</v>
      </c>
      <c r="J854" s="2" t="s">
        <v>150</v>
      </c>
      <c r="K854" s="3">
        <v>4</v>
      </c>
      <c r="L854" s="2" t="s">
        <v>142</v>
      </c>
      <c r="M854" s="13" t="s">
        <v>152</v>
      </c>
      <c r="N854" t="s">
        <v>17</v>
      </c>
      <c r="O854" s="2" t="str">
        <f>_xlfn.XLOOKUP(Table1[[#This Row],[Checking_Acct_Status]],Table3[Checking_Acct_Original],Table3[Category])</f>
        <v>No Account</v>
      </c>
      <c r="P854" s="10" t="s">
        <v>37</v>
      </c>
      <c r="Q854" s="13" t="str">
        <f>_xlfn.XLOOKUP(Table1[[#This Row],[Saving_Acct_Status]],Table5[Saving_Acct_Original],Table5[Category])</f>
        <v>High Savings</v>
      </c>
      <c r="R854" t="s">
        <v>41</v>
      </c>
      <c r="S854" s="2" t="str">
        <f>IF(
      OR(Table1[[#This Row],[Job_Type]] = "high qualif/self emp/mgmt", Table1[[#This Row],[Job_Type]] = "skilled"),
      "Skilled", "Unskilled")</f>
        <v>Skilled</v>
      </c>
      <c r="T854" t="str">
        <f>IF(Table1[[#This Row],[Job_Type]] = "unemp/unskilled non res", "Unemployed", "Employed")</f>
        <v>Employed</v>
      </c>
      <c r="U854" t="s">
        <v>38</v>
      </c>
      <c r="V854" s="14" t="str" cm="1">
        <f t="array" ref="V85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54" t="s">
        <v>31</v>
      </c>
      <c r="X854" s="2" t="str">
        <f>_xlfn.XLOOKUP(Table1[[#This Row],[Loan_Credit_History]],Table4[Credit History],Table4[[ Category]])</f>
        <v>Existing Credits Paid</v>
      </c>
      <c r="Y854" s="3">
        <v>4</v>
      </c>
      <c r="Z854" s="3">
        <v>1</v>
      </c>
      <c r="AA854" s="5">
        <v>727</v>
      </c>
      <c r="AB854" t="s">
        <v>151</v>
      </c>
      <c r="AC854" s="2" t="str" cm="1">
        <f t="array" ref="AC854">_xlfn.IFS(Table1[[#This Row],[Others_Parties]] = "No", "None",
Table1[[#This Row],[Others_Parties]] = "co applicant", "Co-applicant",
Table1[[#This Row],[Others_Parties]] = "guarantor", "Guarantor")</f>
        <v>None</v>
      </c>
      <c r="AD854" s="13" t="s">
        <v>145</v>
      </c>
      <c r="AE854" s="2" t="s">
        <v>100</v>
      </c>
      <c r="AF854" s="28" t="str" cm="1">
        <f t="array" ref="AF85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54" s="21">
        <v>10</v>
      </c>
      <c r="AH854" s="2" t="s">
        <v>154</v>
      </c>
      <c r="AI854"/>
      <c r="AZ854"/>
      <c r="BC854"/>
      <c r="BE854"/>
      <c r="BL854"/>
      <c r="BZ854"/>
      <c r="CA854"/>
      <c r="CF854"/>
      <c r="CG854"/>
      <c r="CH854"/>
      <c r="CI854"/>
      <c r="CK854"/>
      <c r="CN854"/>
    </row>
    <row r="855" spans="1:92" x14ac:dyDescent="0.3">
      <c r="A855" s="4">
        <v>853</v>
      </c>
      <c r="B855" s="11">
        <v>63</v>
      </c>
      <c r="C855" s="2" t="str">
        <f>_xlfn.XLOOKUP(Table1[[#This Row],[Age]],Table7[Start_Age],Table7[Age_Range],,-1)</f>
        <v>59-69</v>
      </c>
      <c r="D855" t="s">
        <v>130</v>
      </c>
      <c r="E855" s="2" t="s">
        <v>129</v>
      </c>
      <c r="F855" s="2" t="s">
        <v>133</v>
      </c>
      <c r="G855" s="3">
        <v>1</v>
      </c>
      <c r="H855" s="13" t="s">
        <v>152</v>
      </c>
      <c r="I855" s="2" t="str" cm="1">
        <f t="array" ref="I855">_xlfn.IFS(Table1[[#This Row],[Job_Type]] = "unskilled resident", "Resident",
Table1[[#This Row],[Job_Type]] = "unemp/unskilled non res", "Non-resident",
TRUE, "Unknown")</f>
        <v>Unknown</v>
      </c>
      <c r="J855" s="2" t="s">
        <v>150</v>
      </c>
      <c r="K855" s="3">
        <v>4</v>
      </c>
      <c r="L855" s="2" t="s">
        <v>142</v>
      </c>
      <c r="M855" s="13" t="s">
        <v>152</v>
      </c>
      <c r="N855" t="s">
        <v>50</v>
      </c>
      <c r="O855" s="2" t="str">
        <f>_xlfn.XLOOKUP(Table1[[#This Row],[Checking_Acct_Status]],Table3[Checking_Acct_Original],Table3[Category])</f>
        <v>High Balance</v>
      </c>
      <c r="P855" s="10" t="s">
        <v>32</v>
      </c>
      <c r="Q855" s="13" t="str">
        <f>_xlfn.XLOOKUP(Table1[[#This Row],[Saving_Acct_Status]],Table5[Saving_Acct_Original],Table5[Category])</f>
        <v>Low Savings</v>
      </c>
      <c r="R855" t="s">
        <v>41</v>
      </c>
      <c r="S855" s="2" t="str">
        <f>IF(
      OR(Table1[[#This Row],[Job_Type]] = "high qualif/self emp/mgmt", Table1[[#This Row],[Job_Type]] = "skilled"),
      "Skilled", "Unskilled")</f>
        <v>Skilled</v>
      </c>
      <c r="T855" t="str">
        <f>IF(Table1[[#This Row],[Job_Type]] = "unemp/unskilled non res", "Unemployed", "Employed")</f>
        <v>Employed</v>
      </c>
      <c r="U855" t="s">
        <v>38</v>
      </c>
      <c r="V855" s="14" t="str" cm="1">
        <f t="array" ref="V85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55" t="s">
        <v>103</v>
      </c>
      <c r="X855" s="2" t="str">
        <f>_xlfn.XLOOKUP(Table1[[#This Row],[Loan_Credit_History]],Table4[Credit History],Table4[[ Category]])</f>
        <v>Critical Credit History</v>
      </c>
      <c r="Y855" s="3">
        <v>4</v>
      </c>
      <c r="Z855" s="3">
        <v>2</v>
      </c>
      <c r="AA855" s="5">
        <v>781</v>
      </c>
      <c r="AB855" t="s">
        <v>151</v>
      </c>
      <c r="AC855" s="2" t="str" cm="1">
        <f t="array" ref="AC855">_xlfn.IFS(Table1[[#This Row],[Others_Parties]] = "No", "None",
Table1[[#This Row],[Others_Parties]] = "co applicant", "Co-applicant",
Table1[[#This Row],[Others_Parties]] = "guarantor", "Guarantor")</f>
        <v>None</v>
      </c>
      <c r="AD855" s="13" t="s">
        <v>145</v>
      </c>
      <c r="AE855" s="2" t="s">
        <v>141</v>
      </c>
      <c r="AF855" s="28" t="str" cm="1">
        <f t="array" ref="AF85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55" s="21">
        <v>10</v>
      </c>
      <c r="AH855" s="2" t="s">
        <v>154</v>
      </c>
      <c r="AI855"/>
      <c r="AZ855"/>
      <c r="BC855"/>
      <c r="BE855"/>
      <c r="BL855"/>
      <c r="BZ855"/>
      <c r="CA855"/>
      <c r="CF855"/>
      <c r="CG855"/>
      <c r="CH855"/>
      <c r="CI855"/>
      <c r="CK855"/>
      <c r="CN855"/>
    </row>
    <row r="856" spans="1:92" x14ac:dyDescent="0.3">
      <c r="A856" s="4">
        <v>854</v>
      </c>
      <c r="B856" s="11">
        <v>40</v>
      </c>
      <c r="C856" s="2" t="str">
        <f>_xlfn.XLOOKUP(Table1[[#This Row],[Age]],Table7[Start_Age],Table7[Age_Range],,-1)</f>
        <v>39-49</v>
      </c>
      <c r="D856" t="s">
        <v>136</v>
      </c>
      <c r="E856" s="2" t="s">
        <v>131</v>
      </c>
      <c r="F856" s="2" t="s">
        <v>137</v>
      </c>
      <c r="G856" s="3">
        <v>1</v>
      </c>
      <c r="H856" s="13" t="s">
        <v>152</v>
      </c>
      <c r="I856" s="2" t="str" cm="1">
        <f t="array" ref="I856">_xlfn.IFS(Table1[[#This Row],[Job_Type]] = "unskilled resident", "Resident",
Table1[[#This Row],[Job_Type]] = "unemp/unskilled non res", "Non-resident",
TRUE, "Unknown")</f>
        <v>Unknown</v>
      </c>
      <c r="J856" s="2" t="s">
        <v>148</v>
      </c>
      <c r="K856" s="3">
        <v>3</v>
      </c>
      <c r="L856" s="2" t="s">
        <v>143</v>
      </c>
      <c r="M856" s="13" t="s">
        <v>152</v>
      </c>
      <c r="N856" t="s">
        <v>17</v>
      </c>
      <c r="O856" s="2" t="str">
        <f>_xlfn.XLOOKUP(Table1[[#This Row],[Checking_Acct_Status]],Table3[Checking_Acct_Original],Table3[Category])</f>
        <v>No Account</v>
      </c>
      <c r="P856" s="10" t="s">
        <v>47</v>
      </c>
      <c r="Q856" s="13" t="str">
        <f>_xlfn.XLOOKUP(Table1[[#This Row],[Saving_Acct_Status]],Table5[Saving_Acct_Original],Table5[Category])</f>
        <v>No Savings</v>
      </c>
      <c r="R856" t="s">
        <v>41</v>
      </c>
      <c r="S856" s="2" t="str">
        <f>IF(
      OR(Table1[[#This Row],[Job_Type]] = "high qualif/self emp/mgmt", Table1[[#This Row],[Job_Type]] = "skilled"),
      "Skilled", "Unskilled")</f>
        <v>Skilled</v>
      </c>
      <c r="T856" t="str">
        <f>IF(Table1[[#This Row],[Job_Type]] = "unemp/unskilled non res", "Unemployed", "Employed")</f>
        <v>Employed</v>
      </c>
      <c r="U856" t="s">
        <v>49</v>
      </c>
      <c r="V856" s="14" t="str" cm="1">
        <f t="array" ref="V856">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56" t="s">
        <v>31</v>
      </c>
      <c r="X856" s="2" t="str">
        <f>_xlfn.XLOOKUP(Table1[[#This Row],[Loan_Credit_History]],Table4[Credit History],Table4[[ Category]])</f>
        <v>Existing Credits Paid</v>
      </c>
      <c r="Y856" s="3">
        <v>4</v>
      </c>
      <c r="Z856" s="3">
        <v>1</v>
      </c>
      <c r="AA856" s="5">
        <v>894</v>
      </c>
      <c r="AB856" t="s">
        <v>151</v>
      </c>
      <c r="AC856" s="2" t="str" cm="1">
        <f t="array" ref="AC856">_xlfn.IFS(Table1[[#This Row],[Others_Parties]] = "No", "None",
Table1[[#This Row],[Others_Parties]] = "co applicant", "Co-applicant",
Table1[[#This Row],[Others_Parties]] = "guarantor", "Guarantor")</f>
        <v>None</v>
      </c>
      <c r="AD856" s="13" t="s">
        <v>145</v>
      </c>
      <c r="AE856" s="2" t="s">
        <v>110</v>
      </c>
      <c r="AF856" s="28" t="str" cm="1">
        <f t="array" ref="AF85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56" s="21">
        <v>10</v>
      </c>
      <c r="AH856" s="2" t="s">
        <v>154</v>
      </c>
      <c r="AI856"/>
      <c r="AZ856"/>
      <c r="BC856"/>
      <c r="BE856"/>
      <c r="BL856"/>
      <c r="BZ856"/>
      <c r="CA856"/>
      <c r="CF856"/>
      <c r="CG856"/>
      <c r="CH856"/>
      <c r="CI856"/>
      <c r="CK856"/>
      <c r="CN856"/>
    </row>
    <row r="857" spans="1:92" x14ac:dyDescent="0.3">
      <c r="A857" s="4">
        <v>855</v>
      </c>
      <c r="B857" s="11">
        <v>49</v>
      </c>
      <c r="C857" s="2" t="str">
        <f>_xlfn.XLOOKUP(Table1[[#This Row],[Age]],Table7[Start_Age],Table7[Age_Range],,-1)</f>
        <v>49-59</v>
      </c>
      <c r="D857" t="s">
        <v>130</v>
      </c>
      <c r="E857" s="2" t="s">
        <v>129</v>
      </c>
      <c r="F857" s="2" t="s">
        <v>133</v>
      </c>
      <c r="G857" s="3">
        <v>1</v>
      </c>
      <c r="H857" s="13" t="s">
        <v>152</v>
      </c>
      <c r="I857" s="2" t="str" cm="1">
        <f t="array" ref="I857">_xlfn.IFS(Table1[[#This Row],[Job_Type]] = "unskilled resident", "Resident",
Table1[[#This Row],[Job_Type]] = "unemp/unskilled non res", "Non-resident",
TRUE, "Unknown")</f>
        <v>Unknown</v>
      </c>
      <c r="J857" s="2" t="s">
        <v>148</v>
      </c>
      <c r="K857" s="3">
        <v>3</v>
      </c>
      <c r="L857" s="2" t="s">
        <v>143</v>
      </c>
      <c r="M857" s="13" t="s">
        <v>152</v>
      </c>
      <c r="N857" t="s">
        <v>35</v>
      </c>
      <c r="O857" s="2" t="str">
        <f>_xlfn.XLOOKUP(Table1[[#This Row],[Checking_Acct_Status]],Table3[Checking_Acct_Original],Table3[Category])</f>
        <v>Negative Balance</v>
      </c>
      <c r="P857" s="10" t="s">
        <v>32</v>
      </c>
      <c r="Q857" s="13" t="str">
        <f>_xlfn.XLOOKUP(Table1[[#This Row],[Saving_Acct_Status]],Table5[Saving_Acct_Original],Table5[Category])</f>
        <v>Low Savings</v>
      </c>
      <c r="R857" t="s">
        <v>41</v>
      </c>
      <c r="S857" s="2" t="str">
        <f>IF(
      OR(Table1[[#This Row],[Job_Type]] = "high qualif/self emp/mgmt", Table1[[#This Row],[Job_Type]] = "skilled"),
      "Skilled", "Unskilled")</f>
        <v>Skilled</v>
      </c>
      <c r="T857" t="str">
        <f>IF(Table1[[#This Row],[Job_Type]] = "unemp/unskilled non res", "Unemployed", "Employed")</f>
        <v>Employed</v>
      </c>
      <c r="U857" t="s">
        <v>49</v>
      </c>
      <c r="V857" s="14" t="str" cm="1">
        <f t="array" ref="V85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57" t="s">
        <v>103</v>
      </c>
      <c r="X857" s="2" t="str">
        <f>_xlfn.XLOOKUP(Table1[[#This Row],[Loan_Credit_History]],Table4[Credit History],Table4[[ Category]])</f>
        <v>Critical Credit History</v>
      </c>
      <c r="Y857" s="3">
        <v>4</v>
      </c>
      <c r="Z857" s="3">
        <v>2</v>
      </c>
      <c r="AA857" s="5">
        <v>1038</v>
      </c>
      <c r="AB857" t="s">
        <v>55</v>
      </c>
      <c r="AC857" s="2" t="str" cm="1">
        <f t="array" ref="AC857">_xlfn.IFS(Table1[[#This Row],[Others_Parties]] = "No", "None",
Table1[[#This Row],[Others_Parties]] = "co applicant", "Co-applicant",
Table1[[#This Row],[Others_Parties]] = "guarantor", "Guarantor")</f>
        <v>Co-applicant</v>
      </c>
      <c r="AD857" s="13" t="s">
        <v>145</v>
      </c>
      <c r="AE857" s="2" t="s">
        <v>141</v>
      </c>
      <c r="AF857" s="28" t="str" cm="1">
        <f t="array" ref="AF85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57" s="21">
        <v>10</v>
      </c>
      <c r="AH857" s="2" t="s">
        <v>154</v>
      </c>
      <c r="AI857"/>
      <c r="AZ857"/>
      <c r="BC857"/>
      <c r="BE857"/>
      <c r="BL857"/>
      <c r="BZ857"/>
      <c r="CA857"/>
      <c r="CF857"/>
      <c r="CG857"/>
      <c r="CH857"/>
      <c r="CI857"/>
      <c r="CK857"/>
      <c r="CN857"/>
    </row>
    <row r="858" spans="1:92" x14ac:dyDescent="0.3">
      <c r="A858" s="4">
        <v>856</v>
      </c>
      <c r="B858" s="11">
        <v>23</v>
      </c>
      <c r="C858" s="2" t="str">
        <f>_xlfn.XLOOKUP(Table1[[#This Row],[Age]],Table7[Start_Age],Table7[Age_Range],,-1)</f>
        <v>19-29</v>
      </c>
      <c r="D858" t="s">
        <v>130</v>
      </c>
      <c r="E858" s="2" t="s">
        <v>129</v>
      </c>
      <c r="F858" s="2" t="s">
        <v>133</v>
      </c>
      <c r="G858" s="3">
        <v>1</v>
      </c>
      <c r="H858" s="13" t="s">
        <v>152</v>
      </c>
      <c r="I858" s="2" t="str" cm="1">
        <f t="array" ref="I858">_xlfn.IFS(Table1[[#This Row],[Job_Type]] = "unskilled resident", "Resident",
Table1[[#This Row],[Job_Type]] = "unemp/unskilled non res", "Non-resident",
TRUE, "Unknown")</f>
        <v>Resident</v>
      </c>
      <c r="J858" s="2" t="s">
        <v>148</v>
      </c>
      <c r="K858" s="3">
        <v>4</v>
      </c>
      <c r="L858" s="2" t="s">
        <v>144</v>
      </c>
      <c r="M858" s="13" t="s">
        <v>151</v>
      </c>
      <c r="N858" t="s">
        <v>30</v>
      </c>
      <c r="O858" s="2" t="str">
        <f>_xlfn.XLOOKUP(Table1[[#This Row],[Checking_Acct_Status]],Table3[Checking_Acct_Original],Table3[Category])</f>
        <v>Low Balance</v>
      </c>
      <c r="P858" s="10" t="s">
        <v>32</v>
      </c>
      <c r="Q858" s="13" t="str">
        <f>_xlfn.XLOOKUP(Table1[[#This Row],[Saving_Acct_Status]],Table5[Saving_Acct_Original],Table5[Category])</f>
        <v>Low Savings</v>
      </c>
      <c r="R858" t="s">
        <v>27</v>
      </c>
      <c r="S858" s="2" t="str">
        <f>IF(
      OR(Table1[[#This Row],[Job_Type]] = "high qualif/self emp/mgmt", Table1[[#This Row],[Job_Type]] = "skilled"),
      "Skilled", "Unskilled")</f>
        <v>Unskilled</v>
      </c>
      <c r="T858" t="str">
        <f>IF(Table1[[#This Row],[Job_Type]] = "unemp/unskilled non res", "Unemployed", "Employed")</f>
        <v>Employed</v>
      </c>
      <c r="U858" t="s">
        <v>21</v>
      </c>
      <c r="V858" s="14" t="str" cm="1">
        <f t="array" ref="V85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58" t="s">
        <v>42</v>
      </c>
      <c r="X858" s="2" t="str">
        <f>_xlfn.XLOOKUP(Table1[[#This Row],[Loan_Credit_History]],Table4[Credit History],Table4[[ Category]])</f>
        <v>All Paid</v>
      </c>
      <c r="Y858" s="3">
        <v>4</v>
      </c>
      <c r="Z858" s="3">
        <v>1</v>
      </c>
      <c r="AA858" s="5">
        <v>1048</v>
      </c>
      <c r="AB858" t="s">
        <v>151</v>
      </c>
      <c r="AC858" s="2" t="str" cm="1">
        <f t="array" ref="AC858">_xlfn.IFS(Table1[[#This Row],[Others_Parties]] = "No", "None",
Table1[[#This Row],[Others_Parties]] = "co applicant", "Co-applicant",
Table1[[#This Row],[Others_Parties]] = "guarantor", "Guarantor")</f>
        <v>None</v>
      </c>
      <c r="AD858" s="13" t="s">
        <v>147</v>
      </c>
      <c r="AE858" s="2" t="s">
        <v>111</v>
      </c>
      <c r="AF858" s="28" t="str" cm="1">
        <f t="array" ref="AF85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58" s="21">
        <v>10</v>
      </c>
      <c r="AH858" s="2" t="s">
        <v>154</v>
      </c>
      <c r="AI858"/>
      <c r="AZ858"/>
      <c r="BC858"/>
      <c r="BE858"/>
      <c r="BL858"/>
      <c r="BZ858"/>
      <c r="CA858"/>
      <c r="CF858"/>
      <c r="CG858"/>
      <c r="CH858"/>
      <c r="CI858"/>
      <c r="CK858"/>
      <c r="CN858"/>
    </row>
    <row r="859" spans="1:92" x14ac:dyDescent="0.3">
      <c r="A859" s="4">
        <v>857</v>
      </c>
      <c r="B859" s="11">
        <v>37</v>
      </c>
      <c r="C859" s="2" t="str">
        <f>_xlfn.XLOOKUP(Table1[[#This Row],[Age]],Table7[Start_Age],Table7[Age_Range],,-1)</f>
        <v>29-39</v>
      </c>
      <c r="D859" t="s">
        <v>130</v>
      </c>
      <c r="E859" s="2" t="s">
        <v>129</v>
      </c>
      <c r="F859" s="2" t="s">
        <v>133</v>
      </c>
      <c r="G859" s="3">
        <v>1</v>
      </c>
      <c r="H859" s="13" t="s">
        <v>152</v>
      </c>
      <c r="I859" s="2" t="str" cm="1">
        <f t="array" ref="I859">_xlfn.IFS(Table1[[#This Row],[Job_Type]] = "unskilled resident", "Resident",
Table1[[#This Row],[Job_Type]] = "unemp/unskilled non res", "Non-resident",
TRUE, "Unknown")</f>
        <v>Unknown</v>
      </c>
      <c r="J859" s="2" t="s">
        <v>148</v>
      </c>
      <c r="K859" s="3">
        <v>2</v>
      </c>
      <c r="L859" s="2" t="s">
        <v>140</v>
      </c>
      <c r="M859" s="13" t="s">
        <v>152</v>
      </c>
      <c r="N859" t="s">
        <v>50</v>
      </c>
      <c r="O859" s="2" t="str">
        <f>_xlfn.XLOOKUP(Table1[[#This Row],[Checking_Acct_Status]],Table3[Checking_Acct_Original],Table3[Category])</f>
        <v>High Balance</v>
      </c>
      <c r="P859" s="10" t="s">
        <v>32</v>
      </c>
      <c r="Q859" s="13" t="str">
        <f>_xlfn.XLOOKUP(Table1[[#This Row],[Saving_Acct_Status]],Table5[Saving_Acct_Original],Table5[Category])</f>
        <v>Low Savings</v>
      </c>
      <c r="R859" t="s">
        <v>41</v>
      </c>
      <c r="S859" s="2" t="str">
        <f>IF(
      OR(Table1[[#This Row],[Job_Type]] = "high qualif/self emp/mgmt", Table1[[#This Row],[Job_Type]] = "skilled"),
      "Skilled", "Unskilled")</f>
        <v>Skilled</v>
      </c>
      <c r="T859" t="str">
        <f>IF(Table1[[#This Row],[Job_Type]] = "unemp/unskilled non res", "Unemployed", "Employed")</f>
        <v>Employed</v>
      </c>
      <c r="U859" t="s">
        <v>21</v>
      </c>
      <c r="V859" s="14" t="str" cm="1">
        <f t="array" ref="V85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59" t="s">
        <v>31</v>
      </c>
      <c r="X859" s="2" t="str">
        <f>_xlfn.XLOOKUP(Table1[[#This Row],[Loan_Credit_History]],Table4[Credit History],Table4[[ Category]])</f>
        <v>Existing Credits Paid</v>
      </c>
      <c r="Y859" s="3">
        <v>2</v>
      </c>
      <c r="Z859" s="3">
        <v>1</v>
      </c>
      <c r="AA859" s="5">
        <v>1225</v>
      </c>
      <c r="AB859" t="s">
        <v>151</v>
      </c>
      <c r="AC859" s="2" t="str" cm="1">
        <f t="array" ref="AC859">_xlfn.IFS(Table1[[#This Row],[Others_Parties]] = "No", "None",
Table1[[#This Row],[Others_Parties]] = "co applicant", "Co-applicant",
Table1[[#This Row],[Others_Parties]] = "guarantor", "Guarantor")</f>
        <v>None</v>
      </c>
      <c r="AD859" s="13" t="s">
        <v>145</v>
      </c>
      <c r="AE859" s="2" t="s">
        <v>106</v>
      </c>
      <c r="AF859" s="28" t="str" cm="1">
        <f t="array" ref="AF85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59" s="21">
        <v>10</v>
      </c>
      <c r="AH859" s="2" t="s">
        <v>154</v>
      </c>
      <c r="AI859"/>
      <c r="AZ859"/>
      <c r="BC859"/>
      <c r="BE859"/>
      <c r="BL859"/>
      <c r="BZ859"/>
      <c r="CA859"/>
      <c r="CF859"/>
      <c r="CG859"/>
      <c r="CH859"/>
      <c r="CI859"/>
      <c r="CK859"/>
      <c r="CN859"/>
    </row>
    <row r="860" spans="1:92" x14ac:dyDescent="0.3">
      <c r="A860" s="4">
        <v>858</v>
      </c>
      <c r="B860" s="11">
        <v>48</v>
      </c>
      <c r="C860" s="2" t="str">
        <f>_xlfn.XLOOKUP(Table1[[#This Row],[Age]],Table7[Start_Age],Table7[Age_Range],,-1)</f>
        <v>39-49</v>
      </c>
      <c r="D860" t="s">
        <v>136</v>
      </c>
      <c r="E860" s="2" t="s">
        <v>131</v>
      </c>
      <c r="F860" s="2" t="s">
        <v>137</v>
      </c>
      <c r="G860" s="3">
        <v>2</v>
      </c>
      <c r="H860" s="13" t="s">
        <v>152</v>
      </c>
      <c r="I860" s="2" t="str" cm="1">
        <f t="array" ref="I860">_xlfn.IFS(Table1[[#This Row],[Job_Type]] = "unskilled resident", "Resident",
Table1[[#This Row],[Job_Type]] = "unemp/unskilled non res", "Non-resident",
TRUE, "Unknown")</f>
        <v>Resident</v>
      </c>
      <c r="J860" s="2" t="s">
        <v>150</v>
      </c>
      <c r="K860" s="3">
        <v>4</v>
      </c>
      <c r="L860" s="2" t="s">
        <v>142</v>
      </c>
      <c r="M860" s="13" t="s">
        <v>151</v>
      </c>
      <c r="N860" t="s">
        <v>50</v>
      </c>
      <c r="O860" s="2" t="str">
        <f>_xlfn.XLOOKUP(Table1[[#This Row],[Checking_Acct_Status]],Table3[Checking_Acct_Original],Table3[Category])</f>
        <v>High Balance</v>
      </c>
      <c r="P860" s="10" t="s">
        <v>46</v>
      </c>
      <c r="Q860" s="13" t="str">
        <f>_xlfn.XLOOKUP(Table1[[#This Row],[Saving_Acct_Status]],Table5[Saving_Acct_Original],Table5[Category])</f>
        <v>Medium Savings</v>
      </c>
      <c r="R860" t="s">
        <v>27</v>
      </c>
      <c r="S860" s="2" t="str">
        <f>IF(
      OR(Table1[[#This Row],[Job_Type]] = "high qualif/self emp/mgmt", Table1[[#This Row],[Job_Type]] = "skilled"),
      "Skilled", "Unskilled")</f>
        <v>Unskilled</v>
      </c>
      <c r="T860" t="str">
        <f>IF(Table1[[#This Row],[Job_Type]] = "unemp/unskilled non res", "Unemployed", "Employed")</f>
        <v>Employed</v>
      </c>
      <c r="U860" t="s">
        <v>38</v>
      </c>
      <c r="V860" s="14" t="str" cm="1">
        <f t="array" ref="V86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60" t="s">
        <v>31</v>
      </c>
      <c r="X860" s="2" t="str">
        <f>_xlfn.XLOOKUP(Table1[[#This Row],[Loan_Credit_History]],Table4[Credit History],Table4[[ Category]])</f>
        <v>Existing Credits Paid</v>
      </c>
      <c r="Y860" s="3">
        <v>1</v>
      </c>
      <c r="Z860" s="3">
        <v>1</v>
      </c>
      <c r="AA860" s="5">
        <v>1240</v>
      </c>
      <c r="AB860" t="s">
        <v>151</v>
      </c>
      <c r="AC860" s="2" t="str" cm="1">
        <f t="array" ref="AC860">_xlfn.IFS(Table1[[#This Row],[Others_Parties]] = "No", "None",
Table1[[#This Row],[Others_Parties]] = "co applicant", "Co-applicant",
Table1[[#This Row],[Others_Parties]] = "guarantor", "Guarantor")</f>
        <v>None</v>
      </c>
      <c r="AD860" s="13" t="s">
        <v>145</v>
      </c>
      <c r="AE860" s="2" t="s">
        <v>141</v>
      </c>
      <c r="AF860" s="28" t="str" cm="1">
        <f t="array" ref="AF86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60" s="21">
        <v>10</v>
      </c>
      <c r="AH860" s="2" t="s">
        <v>153</v>
      </c>
      <c r="AI860"/>
      <c r="AZ860"/>
      <c r="BC860"/>
      <c r="BE860"/>
      <c r="BL860"/>
      <c r="BZ860"/>
      <c r="CA860"/>
      <c r="CF860"/>
      <c r="CG860"/>
      <c r="CH860"/>
      <c r="CI860"/>
      <c r="CK860"/>
      <c r="CN860"/>
    </row>
    <row r="861" spans="1:92" x14ac:dyDescent="0.3">
      <c r="A861" s="4">
        <v>859</v>
      </c>
      <c r="B861" s="11">
        <v>23</v>
      </c>
      <c r="C861" s="2" t="str">
        <f>_xlfn.XLOOKUP(Table1[[#This Row],[Age]],Table7[Start_Age],Table7[Age_Range],,-1)</f>
        <v>19-29</v>
      </c>
      <c r="D861" t="s">
        <v>136</v>
      </c>
      <c r="E861" s="2" t="s">
        <v>131</v>
      </c>
      <c r="F861" s="2" t="s">
        <v>137</v>
      </c>
      <c r="G861" s="3">
        <v>1</v>
      </c>
      <c r="H861" s="13" t="s">
        <v>152</v>
      </c>
      <c r="I861" s="2" t="str" cm="1">
        <f t="array" ref="I861">_xlfn.IFS(Table1[[#This Row],[Job_Type]] = "unskilled resident", "Resident",
Table1[[#This Row],[Job_Type]] = "unemp/unskilled non res", "Non-resident",
TRUE, "Unknown")</f>
        <v>Unknown</v>
      </c>
      <c r="J861" s="2" t="s">
        <v>148</v>
      </c>
      <c r="K861" s="3">
        <v>2</v>
      </c>
      <c r="L861" s="2" t="s">
        <v>143</v>
      </c>
      <c r="M861" s="13" t="s">
        <v>151</v>
      </c>
      <c r="N861" t="s">
        <v>50</v>
      </c>
      <c r="O861" s="2" t="str">
        <f>_xlfn.XLOOKUP(Table1[[#This Row],[Checking_Acct_Status]],Table3[Checking_Acct_Original],Table3[Category])</f>
        <v>High Balance</v>
      </c>
      <c r="P861" s="10" t="s">
        <v>32</v>
      </c>
      <c r="Q861" s="13" t="str">
        <f>_xlfn.XLOOKUP(Table1[[#This Row],[Saving_Acct_Status]],Table5[Saving_Acct_Original],Table5[Category])</f>
        <v>Low Savings</v>
      </c>
      <c r="R861" t="s">
        <v>41</v>
      </c>
      <c r="S861" s="2" t="str">
        <f>IF(
      OR(Table1[[#This Row],[Job_Type]] = "high qualif/self emp/mgmt", Table1[[#This Row],[Job_Type]] = "skilled"),
      "Skilled", "Unskilled")</f>
        <v>Skilled</v>
      </c>
      <c r="T861" t="str">
        <f>IF(Table1[[#This Row],[Job_Type]] = "unemp/unskilled non res", "Unemployed", "Employed")</f>
        <v>Employed</v>
      </c>
      <c r="U861" t="s">
        <v>45</v>
      </c>
      <c r="V861" s="14" t="str" cm="1">
        <f t="array" ref="V86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61" t="s">
        <v>31</v>
      </c>
      <c r="X861" s="2" t="str">
        <f>_xlfn.XLOOKUP(Table1[[#This Row],[Loan_Credit_History]],Table4[Credit History],Table4[[ Category]])</f>
        <v>Existing Credits Paid</v>
      </c>
      <c r="Y861" s="3">
        <v>4</v>
      </c>
      <c r="Z861" s="3">
        <v>1</v>
      </c>
      <c r="AA861" s="5">
        <v>1275</v>
      </c>
      <c r="AB861" t="s">
        <v>151</v>
      </c>
      <c r="AC861" s="2" t="str" cm="1">
        <f t="array" ref="AC861">_xlfn.IFS(Table1[[#This Row],[Others_Parties]] = "No", "None",
Table1[[#This Row],[Others_Parties]] = "co applicant", "Co-applicant",
Table1[[#This Row],[Others_Parties]] = "guarantor", "Guarantor")</f>
        <v>None</v>
      </c>
      <c r="AD861" s="13" t="s">
        <v>145</v>
      </c>
      <c r="AE861" s="2" t="s">
        <v>108</v>
      </c>
      <c r="AF861" s="28" t="str" cm="1">
        <f t="array" ref="AF86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61" s="21">
        <v>10</v>
      </c>
      <c r="AH861" s="2" t="s">
        <v>154</v>
      </c>
      <c r="AI861"/>
      <c r="AZ861"/>
      <c r="BC861"/>
      <c r="BE861"/>
      <c r="BL861"/>
      <c r="BZ861"/>
      <c r="CA861"/>
      <c r="CF861"/>
      <c r="CG861"/>
      <c r="CH861"/>
      <c r="CI861"/>
      <c r="CK861"/>
      <c r="CN861"/>
    </row>
    <row r="862" spans="1:92" x14ac:dyDescent="0.3">
      <c r="A862" s="4">
        <v>860</v>
      </c>
      <c r="B862" s="11">
        <v>27</v>
      </c>
      <c r="C862" s="2" t="str">
        <f>_xlfn.XLOOKUP(Table1[[#This Row],[Age]],Table7[Start_Age],Table7[Age_Range],,-1)</f>
        <v>19-29</v>
      </c>
      <c r="D862" t="s">
        <v>130</v>
      </c>
      <c r="E862" s="2" t="s">
        <v>129</v>
      </c>
      <c r="F862" s="2" t="s">
        <v>133</v>
      </c>
      <c r="G862" s="3">
        <v>1</v>
      </c>
      <c r="H862" s="13" t="s">
        <v>152</v>
      </c>
      <c r="I862" s="2" t="str" cm="1">
        <f t="array" ref="I862">_xlfn.IFS(Table1[[#This Row],[Job_Type]] = "unskilled resident", "Resident",
Table1[[#This Row],[Job_Type]] = "unemp/unskilled non res", "Non-resident",
TRUE, "Unknown")</f>
        <v>Resident</v>
      </c>
      <c r="J862" s="2" t="s">
        <v>148</v>
      </c>
      <c r="K862" s="3">
        <v>4</v>
      </c>
      <c r="L862" s="2" t="s">
        <v>143</v>
      </c>
      <c r="M862" s="13" t="s">
        <v>151</v>
      </c>
      <c r="N862" t="s">
        <v>17</v>
      </c>
      <c r="O862" s="2" t="str">
        <f>_xlfn.XLOOKUP(Table1[[#This Row],[Checking_Acct_Status]],Table3[Checking_Acct_Original],Table3[Category])</f>
        <v>No Account</v>
      </c>
      <c r="P862" s="10" t="s">
        <v>47</v>
      </c>
      <c r="Q862" s="13" t="str">
        <f>_xlfn.XLOOKUP(Table1[[#This Row],[Saving_Acct_Status]],Table5[Saving_Acct_Original],Table5[Category])</f>
        <v>No Savings</v>
      </c>
      <c r="R862" t="s">
        <v>27</v>
      </c>
      <c r="S862" s="2" t="str">
        <f>IF(
      OR(Table1[[#This Row],[Job_Type]] = "high qualif/self emp/mgmt", Table1[[#This Row],[Job_Type]] = "skilled"),
      "Skilled", "Unskilled")</f>
        <v>Unskilled</v>
      </c>
      <c r="T862" t="str">
        <f>IF(Table1[[#This Row],[Job_Type]] = "unemp/unskilled non res", "Unemployed", "Employed")</f>
        <v>Employed</v>
      </c>
      <c r="U862" t="s">
        <v>21</v>
      </c>
      <c r="V862" s="14" t="str" cm="1">
        <f t="array" ref="V86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62" t="s">
        <v>31</v>
      </c>
      <c r="X862" s="2" t="str">
        <f>_xlfn.XLOOKUP(Table1[[#This Row],[Loan_Credit_History]],Table4[Credit History],Table4[[ Category]])</f>
        <v>Existing Credits Paid</v>
      </c>
      <c r="Y862" s="3">
        <v>4</v>
      </c>
      <c r="Z862" s="3">
        <v>1</v>
      </c>
      <c r="AA862" s="5">
        <v>1309</v>
      </c>
      <c r="AB862" t="s">
        <v>58</v>
      </c>
      <c r="AC862" s="2" t="str" cm="1">
        <f t="array" ref="AC862">_xlfn.IFS(Table1[[#This Row],[Others_Parties]] = "No", "None",
Table1[[#This Row],[Others_Parties]] = "co applicant", "Co-applicant",
Table1[[#This Row],[Others_Parties]] = "guarantor", "Guarantor")</f>
        <v>Guarantor</v>
      </c>
      <c r="AD862" s="13" t="s">
        <v>145</v>
      </c>
      <c r="AE862" s="2" t="s">
        <v>141</v>
      </c>
      <c r="AF862" s="28" t="str" cm="1">
        <f t="array" ref="AF86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62" s="21">
        <v>10</v>
      </c>
      <c r="AH862" s="2" t="s">
        <v>153</v>
      </c>
      <c r="AI862"/>
      <c r="AZ862"/>
      <c r="BC862"/>
      <c r="BE862"/>
      <c r="BL862"/>
      <c r="BZ862"/>
      <c r="CA862"/>
      <c r="CF862"/>
      <c r="CG862"/>
      <c r="CH862"/>
      <c r="CI862"/>
      <c r="CK862"/>
      <c r="CN862"/>
    </row>
    <row r="863" spans="1:92" x14ac:dyDescent="0.3">
      <c r="A863" s="4">
        <v>861</v>
      </c>
      <c r="B863" s="11">
        <v>27</v>
      </c>
      <c r="C863" s="2" t="str">
        <f>_xlfn.XLOOKUP(Table1[[#This Row],[Age]],Table7[Start_Age],Table7[Age_Range],,-1)</f>
        <v>19-29</v>
      </c>
      <c r="D863" t="s">
        <v>130</v>
      </c>
      <c r="E863" s="2" t="s">
        <v>129</v>
      </c>
      <c r="F863" s="2" t="s">
        <v>133</v>
      </c>
      <c r="G863" s="3">
        <v>1</v>
      </c>
      <c r="H863" s="13" t="s">
        <v>152</v>
      </c>
      <c r="I863" s="2" t="str" cm="1">
        <f t="array" ref="I863">_xlfn.IFS(Table1[[#This Row],[Job_Type]] = "unskilled resident", "Resident",
Table1[[#This Row],[Job_Type]] = "unemp/unskilled non res", "Non-resident",
TRUE, "Unknown")</f>
        <v>Unknown</v>
      </c>
      <c r="J863" s="2" t="s">
        <v>148</v>
      </c>
      <c r="K863" s="3">
        <v>2</v>
      </c>
      <c r="L863" s="2" t="s">
        <v>143</v>
      </c>
      <c r="M863" s="13" t="s">
        <v>152</v>
      </c>
      <c r="N863" t="s">
        <v>50</v>
      </c>
      <c r="O863" s="2" t="str">
        <f>_xlfn.XLOOKUP(Table1[[#This Row],[Checking_Acct_Status]],Table3[Checking_Acct_Original],Table3[Category])</f>
        <v>High Balance</v>
      </c>
      <c r="P863" s="10" t="s">
        <v>47</v>
      </c>
      <c r="Q863" s="13" t="str">
        <f>_xlfn.XLOOKUP(Table1[[#This Row],[Saving_Acct_Status]],Table5[Saving_Acct_Original],Table5[Category])</f>
        <v>No Savings</v>
      </c>
      <c r="R863" t="s">
        <v>41</v>
      </c>
      <c r="S863" s="2" t="str">
        <f>IF(
      OR(Table1[[#This Row],[Job_Type]] = "high qualif/self emp/mgmt", Table1[[#This Row],[Job_Type]] = "skilled"),
      "Skilled", "Unskilled")</f>
        <v>Skilled</v>
      </c>
      <c r="T863" t="str">
        <f>IF(Table1[[#This Row],[Job_Type]] = "unemp/unskilled non res", "Unemployed", "Employed")</f>
        <v>Employed</v>
      </c>
      <c r="U863" t="s">
        <v>49</v>
      </c>
      <c r="V863" s="14" t="str" cm="1">
        <f t="array" ref="V86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63" t="s">
        <v>103</v>
      </c>
      <c r="X863" s="2" t="str">
        <f>_xlfn.XLOOKUP(Table1[[#This Row],[Loan_Credit_History]],Table4[Credit History],Table4[[ Category]])</f>
        <v>Critical Credit History</v>
      </c>
      <c r="Y863" s="3">
        <v>4</v>
      </c>
      <c r="Z863" s="3">
        <v>2</v>
      </c>
      <c r="AA863" s="5">
        <v>1347</v>
      </c>
      <c r="AB863" t="s">
        <v>151</v>
      </c>
      <c r="AC863" s="2" t="str" cm="1">
        <f t="array" ref="AC863">_xlfn.IFS(Table1[[#This Row],[Others_Parties]] = "No", "None",
Table1[[#This Row],[Others_Parties]] = "co applicant", "Co-applicant",
Table1[[#This Row],[Others_Parties]] = "guarantor", "Guarantor")</f>
        <v>None</v>
      </c>
      <c r="AD863" s="13" t="s">
        <v>145</v>
      </c>
      <c r="AE863" s="2" t="s">
        <v>111</v>
      </c>
      <c r="AF863" s="28" t="str" cm="1">
        <f t="array" ref="AF86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63" s="21">
        <v>10</v>
      </c>
      <c r="AH863" s="2" t="s">
        <v>154</v>
      </c>
      <c r="AI863"/>
      <c r="AZ863"/>
      <c r="BC863"/>
      <c r="BE863"/>
      <c r="BL863"/>
      <c r="BZ863"/>
      <c r="CA863"/>
      <c r="CF863"/>
      <c r="CG863"/>
      <c r="CH863"/>
      <c r="CI863"/>
      <c r="CK863"/>
      <c r="CN863"/>
    </row>
    <row r="864" spans="1:92" x14ac:dyDescent="0.3">
      <c r="A864" s="4">
        <v>862</v>
      </c>
      <c r="B864" s="11">
        <v>64</v>
      </c>
      <c r="C864" s="2" t="str">
        <f>_xlfn.XLOOKUP(Table1[[#This Row],[Age]],Table7[Start_Age],Table7[Age_Range],,-1)</f>
        <v>59-69</v>
      </c>
      <c r="D864" t="s">
        <v>136</v>
      </c>
      <c r="E864" s="2" t="s">
        <v>131</v>
      </c>
      <c r="F864" s="2" t="s">
        <v>137</v>
      </c>
      <c r="G864" s="3">
        <v>1</v>
      </c>
      <c r="H864" s="13" t="s">
        <v>152</v>
      </c>
      <c r="I864" s="2" t="str" cm="1">
        <f t="array" ref="I864">_xlfn.IFS(Table1[[#This Row],[Job_Type]] = "unskilled resident", "Resident",
Table1[[#This Row],[Job_Type]] = "unemp/unskilled non res", "Non-resident",
TRUE, "Unknown")</f>
        <v>Unknown</v>
      </c>
      <c r="J864" s="2" t="s">
        <v>148</v>
      </c>
      <c r="K864" s="3">
        <v>4</v>
      </c>
      <c r="L864" s="2" t="s">
        <v>140</v>
      </c>
      <c r="M864" s="13" t="s">
        <v>152</v>
      </c>
      <c r="N864" t="s">
        <v>17</v>
      </c>
      <c r="O864" s="2" t="str">
        <f>_xlfn.XLOOKUP(Table1[[#This Row],[Checking_Acct_Status]],Table3[Checking_Acct_Original],Table3[Category])</f>
        <v>No Account</v>
      </c>
      <c r="P864" s="10" t="s">
        <v>32</v>
      </c>
      <c r="Q864" s="13" t="str">
        <f>_xlfn.XLOOKUP(Table1[[#This Row],[Saving_Acct_Status]],Table5[Saving_Acct_Original],Table5[Category])</f>
        <v>Low Savings</v>
      </c>
      <c r="R864" t="s">
        <v>41</v>
      </c>
      <c r="S864" s="2" t="str">
        <f>IF(
      OR(Table1[[#This Row],[Job_Type]] = "high qualif/self emp/mgmt", Table1[[#This Row],[Job_Type]] = "skilled"),
      "Skilled", "Unskilled")</f>
        <v>Skilled</v>
      </c>
      <c r="T864" t="str">
        <f>IF(Table1[[#This Row],[Job_Type]] = "unemp/unskilled non res", "Unemployed", "Employed")</f>
        <v>Employed</v>
      </c>
      <c r="U864" t="s">
        <v>21</v>
      </c>
      <c r="V864" s="14" t="str" cm="1">
        <f t="array" ref="V86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64" t="s">
        <v>31</v>
      </c>
      <c r="X864" s="2" t="str">
        <f>_xlfn.XLOOKUP(Table1[[#This Row],[Loan_Credit_History]],Table4[Credit History],Table4[[ Category]])</f>
        <v>Existing Credits Paid</v>
      </c>
      <c r="Y864" s="3">
        <v>2</v>
      </c>
      <c r="Z864" s="3">
        <v>1</v>
      </c>
      <c r="AA864" s="5">
        <v>1364</v>
      </c>
      <c r="AB864" t="s">
        <v>151</v>
      </c>
      <c r="AC864" s="2" t="str" cm="1">
        <f t="array" ref="AC864">_xlfn.IFS(Table1[[#This Row],[Others_Parties]] = "No", "None",
Table1[[#This Row],[Others_Parties]] = "co applicant", "Co-applicant",
Table1[[#This Row],[Others_Parties]] = "guarantor", "Guarantor")</f>
        <v>None</v>
      </c>
      <c r="AD864" s="13" t="s">
        <v>145</v>
      </c>
      <c r="AE864" s="2" t="s">
        <v>141</v>
      </c>
      <c r="AF864" s="28" t="str" cm="1">
        <f t="array" ref="AF86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64" s="21">
        <v>10</v>
      </c>
      <c r="AH864" s="2" t="s">
        <v>154</v>
      </c>
      <c r="AI864"/>
      <c r="AZ864"/>
      <c r="BC864"/>
      <c r="BE864"/>
      <c r="BL864"/>
      <c r="BZ864"/>
      <c r="CA864"/>
      <c r="CF864"/>
      <c r="CG864"/>
      <c r="CH864"/>
      <c r="CI864"/>
      <c r="CK864"/>
      <c r="CN864"/>
    </row>
    <row r="865" spans="1:92" x14ac:dyDescent="0.3">
      <c r="A865" s="4">
        <v>863</v>
      </c>
      <c r="B865" s="11">
        <v>31</v>
      </c>
      <c r="C865" s="2" t="str">
        <f>_xlfn.XLOOKUP(Table1[[#This Row],[Age]],Table7[Start_Age],Table7[Age_Range],,-1)</f>
        <v>29-39</v>
      </c>
      <c r="D865" t="s">
        <v>138</v>
      </c>
      <c r="E865" s="2" t="s">
        <v>129</v>
      </c>
      <c r="F865" s="2" t="s">
        <v>178</v>
      </c>
      <c r="G865" s="3">
        <v>1</v>
      </c>
      <c r="H865" s="13" t="s">
        <v>152</v>
      </c>
      <c r="I865" s="2" t="str" cm="1">
        <f t="array" ref="I865">_xlfn.IFS(Table1[[#This Row],[Job_Type]] = "unskilled resident", "Resident",
Table1[[#This Row],[Job_Type]] = "unemp/unskilled non res", "Non-resident",
TRUE, "Unknown")</f>
        <v>Resident</v>
      </c>
      <c r="J865" s="2" t="s">
        <v>148</v>
      </c>
      <c r="K865" s="3">
        <v>2</v>
      </c>
      <c r="L865" s="2" t="s">
        <v>140</v>
      </c>
      <c r="M865" s="13" t="s">
        <v>151</v>
      </c>
      <c r="N865" t="s">
        <v>30</v>
      </c>
      <c r="O865" s="2" t="str">
        <f>_xlfn.XLOOKUP(Table1[[#This Row],[Checking_Acct_Status]],Table3[Checking_Acct_Original],Table3[Category])</f>
        <v>Low Balance</v>
      </c>
      <c r="P865" s="10" t="s">
        <v>32</v>
      </c>
      <c r="Q865" s="13" t="str">
        <f>_xlfn.XLOOKUP(Table1[[#This Row],[Saving_Acct_Status]],Table5[Saving_Acct_Original],Table5[Category])</f>
        <v>Low Savings</v>
      </c>
      <c r="R865" t="s">
        <v>27</v>
      </c>
      <c r="S865" s="2" t="str">
        <f>IF(
      OR(Table1[[#This Row],[Job_Type]] = "high qualif/self emp/mgmt", Table1[[#This Row],[Job_Type]] = "skilled"),
      "Skilled", "Unskilled")</f>
        <v>Unskilled</v>
      </c>
      <c r="T865" t="str">
        <f>IF(Table1[[#This Row],[Job_Type]] = "unemp/unskilled non res", "Unemployed", "Employed")</f>
        <v>Employed</v>
      </c>
      <c r="U865" t="s">
        <v>21</v>
      </c>
      <c r="V865" s="14" t="str" cm="1">
        <f t="array" ref="V86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65" t="s">
        <v>31</v>
      </c>
      <c r="X865" s="2" t="str">
        <f>_xlfn.XLOOKUP(Table1[[#This Row],[Loan_Credit_History]],Table4[Credit History],Table4[[ Category]])</f>
        <v>Existing Credits Paid</v>
      </c>
      <c r="Y865" s="3">
        <v>4</v>
      </c>
      <c r="Z865" s="3">
        <v>1</v>
      </c>
      <c r="AA865" s="5">
        <v>1521</v>
      </c>
      <c r="AB865" t="s">
        <v>151</v>
      </c>
      <c r="AC865" s="2" t="str" cm="1">
        <f t="array" ref="AC865">_xlfn.IFS(Table1[[#This Row],[Others_Parties]] = "No", "None",
Table1[[#This Row],[Others_Parties]] = "co applicant", "Co-applicant",
Table1[[#This Row],[Others_Parties]] = "guarantor", "Guarantor")</f>
        <v>None</v>
      </c>
      <c r="AD865" s="13" t="s">
        <v>145</v>
      </c>
      <c r="AE865" s="2" t="s">
        <v>108</v>
      </c>
      <c r="AF865" s="28" t="str" cm="1">
        <f t="array" ref="AF86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65" s="21">
        <v>10</v>
      </c>
      <c r="AH865" s="2" t="s">
        <v>154</v>
      </c>
      <c r="AI865"/>
      <c r="AZ865"/>
      <c r="BC865"/>
      <c r="BE865"/>
      <c r="BL865"/>
      <c r="BZ865"/>
      <c r="CA865"/>
      <c r="CF865"/>
      <c r="CG865"/>
      <c r="CH865"/>
      <c r="CI865"/>
      <c r="CK865"/>
      <c r="CN865"/>
    </row>
    <row r="866" spans="1:92" x14ac:dyDescent="0.3">
      <c r="A866" s="4">
        <v>864</v>
      </c>
      <c r="B866" s="11">
        <v>23</v>
      </c>
      <c r="C866" s="2" t="str">
        <f>_xlfn.XLOOKUP(Table1[[#This Row],[Age]],Table7[Start_Age],Table7[Age_Range],,-1)</f>
        <v>19-29</v>
      </c>
      <c r="D866" t="s">
        <v>136</v>
      </c>
      <c r="E866" s="2" t="s">
        <v>131</v>
      </c>
      <c r="F866" s="2" t="s">
        <v>137</v>
      </c>
      <c r="G866" s="3">
        <v>1</v>
      </c>
      <c r="H866" s="13" t="s">
        <v>152</v>
      </c>
      <c r="I866" s="2" t="str" cm="1">
        <f t="array" ref="I866">_xlfn.IFS(Table1[[#This Row],[Job_Type]] = "unskilled resident", "Resident",
Table1[[#This Row],[Job_Type]] = "unemp/unskilled non res", "Non-resident",
TRUE, "Unknown")</f>
        <v>Unknown</v>
      </c>
      <c r="J866" s="2" t="s">
        <v>149</v>
      </c>
      <c r="K866" s="3">
        <v>3</v>
      </c>
      <c r="L866" s="2" t="s">
        <v>144</v>
      </c>
      <c r="M866" s="13" t="s">
        <v>151</v>
      </c>
      <c r="N866" t="s">
        <v>17</v>
      </c>
      <c r="O866" s="2" t="str">
        <f>_xlfn.XLOOKUP(Table1[[#This Row],[Checking_Acct_Status]],Table3[Checking_Acct_Original],Table3[Category])</f>
        <v>No Account</v>
      </c>
      <c r="P866" s="10" t="s">
        <v>32</v>
      </c>
      <c r="Q866" s="13" t="str">
        <f>_xlfn.XLOOKUP(Table1[[#This Row],[Saving_Acct_Status]],Table5[Saving_Acct_Original],Table5[Category])</f>
        <v>Low Savings</v>
      </c>
      <c r="R866" t="s">
        <v>41</v>
      </c>
      <c r="S866" s="2" t="str">
        <f>IF(
      OR(Table1[[#This Row],[Job_Type]] = "high qualif/self emp/mgmt", Table1[[#This Row],[Job_Type]] = "skilled"),
      "Skilled", "Unskilled")</f>
        <v>Skilled</v>
      </c>
      <c r="T866" t="str">
        <f>IF(Table1[[#This Row],[Job_Type]] = "unemp/unskilled non res", "Unemployed", "Employed")</f>
        <v>Employed</v>
      </c>
      <c r="U866" t="s">
        <v>45</v>
      </c>
      <c r="V866" s="14" t="str" cm="1">
        <f t="array" ref="V86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66" t="s">
        <v>103</v>
      </c>
      <c r="X866" s="2" t="str">
        <f>_xlfn.XLOOKUP(Table1[[#This Row],[Loan_Credit_History]],Table4[Credit History],Table4[[ Category]])</f>
        <v>Critical Credit History</v>
      </c>
      <c r="Y866" s="3">
        <v>1</v>
      </c>
      <c r="Z866" s="3">
        <v>2</v>
      </c>
      <c r="AA866" s="5">
        <v>2146</v>
      </c>
      <c r="AB866" t="s">
        <v>151</v>
      </c>
      <c r="AC866" s="2" t="str" cm="1">
        <f t="array" ref="AC866">_xlfn.IFS(Table1[[#This Row],[Others_Parties]] = "No", "None",
Table1[[#This Row],[Others_Parties]] = "co applicant", "Co-applicant",
Table1[[#This Row],[Others_Parties]] = "guarantor", "Guarantor")</f>
        <v>None</v>
      </c>
      <c r="AD866" s="13" t="s">
        <v>145</v>
      </c>
      <c r="AE866" s="2" t="s">
        <v>108</v>
      </c>
      <c r="AF866" s="28" t="str" cm="1">
        <f t="array" ref="AF86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66" s="21">
        <v>10</v>
      </c>
      <c r="AH866" s="2" t="s">
        <v>154</v>
      </c>
      <c r="AI866"/>
      <c r="AZ866"/>
      <c r="BC866"/>
      <c r="BE866"/>
      <c r="BL866"/>
      <c r="BZ866"/>
      <c r="CA866"/>
      <c r="CF866"/>
      <c r="CG866"/>
      <c r="CH866"/>
      <c r="CI866"/>
      <c r="CK866"/>
      <c r="CN866"/>
    </row>
    <row r="867" spans="1:92" x14ac:dyDescent="0.3">
      <c r="A867" s="4">
        <v>865</v>
      </c>
      <c r="B867" s="11">
        <v>25</v>
      </c>
      <c r="C867" s="2" t="str">
        <f>_xlfn.XLOOKUP(Table1[[#This Row],[Age]],Table7[Start_Age],Table7[Age_Range],,-1)</f>
        <v>19-29</v>
      </c>
      <c r="D867" t="s">
        <v>130</v>
      </c>
      <c r="E867" s="2" t="s">
        <v>129</v>
      </c>
      <c r="F867" s="2" t="s">
        <v>133</v>
      </c>
      <c r="G867" s="3">
        <v>1</v>
      </c>
      <c r="H867" s="13" t="s">
        <v>152</v>
      </c>
      <c r="I867" s="2" t="str" cm="1">
        <f t="array" ref="I867">_xlfn.IFS(Table1[[#This Row],[Job_Type]] = "unskilled resident", "Resident",
Table1[[#This Row],[Job_Type]] = "unemp/unskilled non res", "Non-resident",
TRUE, "Unknown")</f>
        <v>Resident</v>
      </c>
      <c r="J867" s="2" t="s">
        <v>149</v>
      </c>
      <c r="K867" s="3">
        <v>2</v>
      </c>
      <c r="L867" s="2" t="s">
        <v>144</v>
      </c>
      <c r="M867" s="13" t="s">
        <v>151</v>
      </c>
      <c r="N867" t="s">
        <v>17</v>
      </c>
      <c r="O867" s="2" t="str">
        <f>_xlfn.XLOOKUP(Table1[[#This Row],[Checking_Acct_Status]],Table3[Checking_Acct_Original],Table3[Category])</f>
        <v>No Account</v>
      </c>
      <c r="P867" s="10" t="s">
        <v>32</v>
      </c>
      <c r="Q867" s="13" t="str">
        <f>_xlfn.XLOOKUP(Table1[[#This Row],[Saving_Acct_Status]],Table5[Saving_Acct_Original],Table5[Category])</f>
        <v>Low Savings</v>
      </c>
      <c r="R867" t="s">
        <v>27</v>
      </c>
      <c r="S867" s="2" t="str">
        <f>IF(
      OR(Table1[[#This Row],[Job_Type]] = "high qualif/self emp/mgmt", Table1[[#This Row],[Job_Type]] = "skilled"),
      "Skilled", "Unskilled")</f>
        <v>Unskilled</v>
      </c>
      <c r="T867" t="str">
        <f>IF(Table1[[#This Row],[Job_Type]] = "unemp/unskilled non res", "Unemployed", "Employed")</f>
        <v>Employed</v>
      </c>
      <c r="U867" t="s">
        <v>21</v>
      </c>
      <c r="V867" s="14" t="str" cm="1">
        <f t="array" ref="V86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67" t="s">
        <v>31</v>
      </c>
      <c r="X867" s="2" t="str">
        <f>_xlfn.XLOOKUP(Table1[[#This Row],[Loan_Credit_History]],Table4[Credit History],Table4[[ Category]])</f>
        <v>Existing Credits Paid</v>
      </c>
      <c r="Y867" s="3">
        <v>2</v>
      </c>
      <c r="Z867" s="3">
        <v>1</v>
      </c>
      <c r="AA867" s="5">
        <v>2210</v>
      </c>
      <c r="AB867" t="s">
        <v>151</v>
      </c>
      <c r="AC867" s="2" t="str" cm="1">
        <f t="array" ref="AC867">_xlfn.IFS(Table1[[#This Row],[Others_Parties]] = "No", "None",
Table1[[#This Row],[Others_Parties]] = "co applicant", "Co-applicant",
Table1[[#This Row],[Others_Parties]] = "guarantor", "Guarantor")</f>
        <v>None</v>
      </c>
      <c r="AD867" s="13" t="s">
        <v>146</v>
      </c>
      <c r="AE867" s="2" t="s">
        <v>108</v>
      </c>
      <c r="AF867" s="28" t="str" cm="1">
        <f t="array" ref="AF86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67" s="21">
        <v>10</v>
      </c>
      <c r="AH867" s="2" t="s">
        <v>153</v>
      </c>
      <c r="AI867"/>
      <c r="AZ867"/>
      <c r="BC867"/>
      <c r="BE867"/>
      <c r="BL867"/>
      <c r="BZ867"/>
      <c r="CA867"/>
      <c r="CF867"/>
      <c r="CG867"/>
      <c r="CH867"/>
      <c r="CI867"/>
      <c r="CK867"/>
      <c r="CN867"/>
    </row>
    <row r="868" spans="1:92" x14ac:dyDescent="0.3">
      <c r="A868" s="4">
        <v>866</v>
      </c>
      <c r="B868" s="11">
        <v>52</v>
      </c>
      <c r="C868" s="2" t="str">
        <f>_xlfn.XLOOKUP(Table1[[#This Row],[Age]],Table7[Start_Age],Table7[Age_Range],,-1)</f>
        <v>49-59</v>
      </c>
      <c r="D868" t="s">
        <v>130</v>
      </c>
      <c r="E868" s="2" t="s">
        <v>129</v>
      </c>
      <c r="F868" s="2" t="s">
        <v>133</v>
      </c>
      <c r="G868" s="3">
        <v>1</v>
      </c>
      <c r="H868" s="13" t="s">
        <v>152</v>
      </c>
      <c r="I868" s="2" t="str" cm="1">
        <f t="array" ref="I868">_xlfn.IFS(Table1[[#This Row],[Job_Type]] = "unskilled resident", "Resident",
Table1[[#This Row],[Job_Type]] = "unemp/unskilled non res", "Non-resident",
TRUE, "Unknown")</f>
        <v>Resident</v>
      </c>
      <c r="J868" s="2" t="s">
        <v>148</v>
      </c>
      <c r="K868" s="3">
        <v>4</v>
      </c>
      <c r="L868" s="2" t="s">
        <v>144</v>
      </c>
      <c r="M868" s="13" t="s">
        <v>151</v>
      </c>
      <c r="N868" t="s">
        <v>35</v>
      </c>
      <c r="O868" s="2" t="str">
        <f>_xlfn.XLOOKUP(Table1[[#This Row],[Checking_Acct_Status]],Table3[Checking_Acct_Original],Table3[Category])</f>
        <v>Negative Balance</v>
      </c>
      <c r="P868" s="10" t="s">
        <v>32</v>
      </c>
      <c r="Q868" s="13" t="str">
        <f>_xlfn.XLOOKUP(Table1[[#This Row],[Saving_Acct_Status]],Table5[Saving_Acct_Original],Table5[Category])</f>
        <v>Low Savings</v>
      </c>
      <c r="R868" t="s">
        <v>27</v>
      </c>
      <c r="S868" s="2" t="str">
        <f>IF(
      OR(Table1[[#This Row],[Job_Type]] = "high qualif/self emp/mgmt", Table1[[#This Row],[Job_Type]] = "skilled"),
      "Skilled", "Unskilled")</f>
        <v>Unskilled</v>
      </c>
      <c r="T868" t="str">
        <f>IF(Table1[[#This Row],[Job_Type]] = "unemp/unskilled non res", "Unemployed", "Employed")</f>
        <v>Employed</v>
      </c>
      <c r="U868" t="s">
        <v>38</v>
      </c>
      <c r="V868" s="14" t="str" cm="1">
        <f t="array" ref="V86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68" t="s">
        <v>31</v>
      </c>
      <c r="X868" s="2" t="str">
        <f>_xlfn.XLOOKUP(Table1[[#This Row],[Loan_Credit_History]],Table4[Credit History],Table4[[ Category]])</f>
        <v>Existing Credits Paid</v>
      </c>
      <c r="Y868" s="3">
        <v>3</v>
      </c>
      <c r="Z868" s="3">
        <v>1</v>
      </c>
      <c r="AA868" s="5">
        <v>2315</v>
      </c>
      <c r="AB868" t="s">
        <v>151</v>
      </c>
      <c r="AC868" s="2" t="str" cm="1">
        <f t="array" ref="AC868">_xlfn.IFS(Table1[[#This Row],[Others_Parties]] = "No", "None",
Table1[[#This Row],[Others_Parties]] = "co applicant", "Co-applicant",
Table1[[#This Row],[Others_Parties]] = "guarantor", "Guarantor")</f>
        <v>None</v>
      </c>
      <c r="AD868" s="13" t="s">
        <v>145</v>
      </c>
      <c r="AE868" s="2" t="s">
        <v>111</v>
      </c>
      <c r="AF868" s="28" t="str" cm="1">
        <f t="array" ref="AF86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68" s="21">
        <v>10</v>
      </c>
      <c r="AH868" s="2" t="s">
        <v>154</v>
      </c>
      <c r="AI868"/>
      <c r="AZ868"/>
      <c r="BC868"/>
      <c r="BE868"/>
      <c r="BL868"/>
      <c r="BZ868"/>
      <c r="CA868"/>
      <c r="CF868"/>
      <c r="CG868"/>
      <c r="CH868"/>
      <c r="CI868"/>
      <c r="CK868"/>
      <c r="CN868"/>
    </row>
    <row r="869" spans="1:92" x14ac:dyDescent="0.3">
      <c r="A869" s="4">
        <v>867</v>
      </c>
      <c r="B869" s="11">
        <v>32</v>
      </c>
      <c r="C869" s="2" t="str">
        <f>_xlfn.XLOOKUP(Table1[[#This Row],[Age]],Table7[Start_Age],Table7[Age_Range],,-1)</f>
        <v>29-39</v>
      </c>
      <c r="D869" t="s">
        <v>130</v>
      </c>
      <c r="E869" s="2" t="s">
        <v>129</v>
      </c>
      <c r="F869" s="2" t="s">
        <v>133</v>
      </c>
      <c r="G869" s="3">
        <v>2</v>
      </c>
      <c r="H869" s="13" t="s">
        <v>152</v>
      </c>
      <c r="I869" s="2" t="str" cm="1">
        <f t="array" ref="I869">_xlfn.IFS(Table1[[#This Row],[Job_Type]] = "unskilled resident", "Resident",
Table1[[#This Row],[Job_Type]] = "unemp/unskilled non res", "Non-resident",
TRUE, "Unknown")</f>
        <v>Unknown</v>
      </c>
      <c r="J869" s="2" t="s">
        <v>148</v>
      </c>
      <c r="K869" s="3">
        <v>2</v>
      </c>
      <c r="L869" s="2" t="s">
        <v>144</v>
      </c>
      <c r="M869" s="13" t="s">
        <v>151</v>
      </c>
      <c r="N869" t="s">
        <v>17</v>
      </c>
      <c r="O869" s="2" t="str">
        <f>_xlfn.XLOOKUP(Table1[[#This Row],[Checking_Acct_Status]],Table3[Checking_Acct_Original],Table3[Category])</f>
        <v>No Account</v>
      </c>
      <c r="P869" s="10" t="s">
        <v>46</v>
      </c>
      <c r="Q869" s="13" t="str">
        <f>_xlfn.XLOOKUP(Table1[[#This Row],[Saving_Acct_Status]],Table5[Saving_Acct_Original],Table5[Category])</f>
        <v>Medium Savings</v>
      </c>
      <c r="R869" t="s">
        <v>41</v>
      </c>
      <c r="S869" s="2" t="str">
        <f>IF(
      OR(Table1[[#This Row],[Job_Type]] = "high qualif/self emp/mgmt", Table1[[#This Row],[Job_Type]] = "skilled"),
      "Skilled", "Unskilled")</f>
        <v>Skilled</v>
      </c>
      <c r="T869" t="str">
        <f>IF(Table1[[#This Row],[Job_Type]] = "unemp/unskilled non res", "Unemployed", "Employed")</f>
        <v>Employed</v>
      </c>
      <c r="U869" t="s">
        <v>21</v>
      </c>
      <c r="V869" s="14" t="str" cm="1">
        <f t="array" ref="V86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69" t="s">
        <v>31</v>
      </c>
      <c r="X869" s="2" t="str">
        <f>_xlfn.XLOOKUP(Table1[[#This Row],[Loan_Credit_History]],Table4[Credit History],Table4[[ Category]])</f>
        <v>Existing Credits Paid</v>
      </c>
      <c r="Y869" s="3">
        <v>1</v>
      </c>
      <c r="Z869" s="3">
        <v>1</v>
      </c>
      <c r="AA869" s="5">
        <v>2848</v>
      </c>
      <c r="AB869" t="s">
        <v>55</v>
      </c>
      <c r="AC869" s="2" t="str" cm="1">
        <f t="array" ref="AC869">_xlfn.IFS(Table1[[#This Row],[Others_Parties]] = "No", "None",
Table1[[#This Row],[Others_Parties]] = "co applicant", "Co-applicant",
Table1[[#This Row],[Others_Parties]] = "guarantor", "Guarantor")</f>
        <v>Co-applicant</v>
      </c>
      <c r="AD869" s="13" t="s">
        <v>145</v>
      </c>
      <c r="AE869" s="2" t="s">
        <v>107</v>
      </c>
      <c r="AF869" s="28" t="str" cm="1">
        <f t="array" ref="AF86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69" s="21">
        <v>10</v>
      </c>
      <c r="AH869" s="2" t="s">
        <v>154</v>
      </c>
      <c r="AI869"/>
      <c r="AZ869"/>
      <c r="BC869"/>
      <c r="BE869"/>
      <c r="BL869"/>
      <c r="BZ869"/>
      <c r="CA869"/>
      <c r="CF869"/>
      <c r="CG869"/>
      <c r="CH869"/>
      <c r="CI869"/>
      <c r="CK869"/>
      <c r="CN869"/>
    </row>
    <row r="870" spans="1:92" x14ac:dyDescent="0.3">
      <c r="A870" s="4">
        <v>868</v>
      </c>
      <c r="B870" s="11">
        <v>31</v>
      </c>
      <c r="C870" s="2" t="str">
        <f>_xlfn.XLOOKUP(Table1[[#This Row],[Age]],Table7[Start_Age],Table7[Age_Range],,-1)</f>
        <v>29-39</v>
      </c>
      <c r="D870" t="s">
        <v>136</v>
      </c>
      <c r="E870" s="2" t="s">
        <v>131</v>
      </c>
      <c r="F870" s="2" t="s">
        <v>137</v>
      </c>
      <c r="G870" s="3">
        <v>1</v>
      </c>
      <c r="H870" s="13" t="s">
        <v>152</v>
      </c>
      <c r="I870" s="2" t="str" cm="1">
        <f t="array" ref="I870">_xlfn.IFS(Table1[[#This Row],[Job_Type]] = "unskilled resident", "Resident",
Table1[[#This Row],[Job_Type]] = "unemp/unskilled non res", "Non-resident",
TRUE, "Unknown")</f>
        <v>Unknown</v>
      </c>
      <c r="J870" s="2" t="s">
        <v>149</v>
      </c>
      <c r="K870" s="3">
        <v>4</v>
      </c>
      <c r="L870" s="2" t="s">
        <v>144</v>
      </c>
      <c r="M870" s="13" t="s">
        <v>151</v>
      </c>
      <c r="N870" t="s">
        <v>17</v>
      </c>
      <c r="O870" s="2" t="str">
        <f>_xlfn.XLOOKUP(Table1[[#This Row],[Checking_Acct_Status]],Table3[Checking_Acct_Original],Table3[Category])</f>
        <v>No Account</v>
      </c>
      <c r="P870" s="10" t="s">
        <v>47</v>
      </c>
      <c r="Q870" s="13" t="str">
        <f>_xlfn.XLOOKUP(Table1[[#This Row],[Saving_Acct_Status]],Table5[Saving_Acct_Original],Table5[Category])</f>
        <v>No Savings</v>
      </c>
      <c r="R870" t="s">
        <v>41</v>
      </c>
      <c r="S870" s="2" t="str">
        <f>IF(
      OR(Table1[[#This Row],[Job_Type]] = "high qualif/self emp/mgmt", Table1[[#This Row],[Job_Type]] = "skilled"),
      "Skilled", "Unskilled")</f>
        <v>Skilled</v>
      </c>
      <c r="T870" t="str">
        <f>IF(Table1[[#This Row],[Job_Type]] = "unemp/unskilled non res", "Unemployed", "Employed")</f>
        <v>Employed</v>
      </c>
      <c r="U870" t="s">
        <v>45</v>
      </c>
      <c r="V870" s="14" t="str" cm="1">
        <f t="array" ref="V87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70" t="s">
        <v>31</v>
      </c>
      <c r="X870" s="2" t="str">
        <f>_xlfn.XLOOKUP(Table1[[#This Row],[Loan_Credit_History]],Table4[Credit History],Table4[[ Category]])</f>
        <v>Existing Credits Paid</v>
      </c>
      <c r="Y870" s="3">
        <v>1</v>
      </c>
      <c r="Z870" s="3">
        <v>1</v>
      </c>
      <c r="AA870" s="5">
        <v>2901</v>
      </c>
      <c r="AB870" t="s">
        <v>151</v>
      </c>
      <c r="AC870" s="2" t="str" cm="1">
        <f t="array" ref="AC870">_xlfn.IFS(Table1[[#This Row],[Others_Parties]] = "No", "None",
Table1[[#This Row],[Others_Parties]] = "co applicant", "Co-applicant",
Table1[[#This Row],[Others_Parties]] = "guarantor", "Guarantor")</f>
        <v>None</v>
      </c>
      <c r="AD870" s="13" t="s">
        <v>145</v>
      </c>
      <c r="AE870" s="2" t="s">
        <v>107</v>
      </c>
      <c r="AF870" s="28" t="str" cm="1">
        <f t="array" ref="AF87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70" s="21">
        <v>10</v>
      </c>
      <c r="AH870" s="2" t="s">
        <v>154</v>
      </c>
      <c r="AI870"/>
      <c r="AZ870"/>
      <c r="BC870"/>
      <c r="BE870"/>
      <c r="BL870"/>
      <c r="BZ870"/>
      <c r="CA870"/>
      <c r="CF870"/>
      <c r="CG870"/>
      <c r="CH870"/>
      <c r="CI870"/>
      <c r="CK870"/>
      <c r="CN870"/>
    </row>
    <row r="871" spans="1:92" x14ac:dyDescent="0.3">
      <c r="A871" s="4">
        <v>869</v>
      </c>
      <c r="B871" s="11">
        <v>37</v>
      </c>
      <c r="C871" s="2" t="str">
        <f>_xlfn.XLOOKUP(Table1[[#This Row],[Age]],Table7[Start_Age],Table7[Age_Range],,-1)</f>
        <v>29-39</v>
      </c>
      <c r="D871" t="s">
        <v>130</v>
      </c>
      <c r="E871" s="2" t="s">
        <v>129</v>
      </c>
      <c r="F871" s="2" t="s">
        <v>133</v>
      </c>
      <c r="G871" s="3">
        <v>2</v>
      </c>
      <c r="H871" s="13" t="s">
        <v>152</v>
      </c>
      <c r="I871" s="2" t="str" cm="1">
        <f t="array" ref="I871">_xlfn.IFS(Table1[[#This Row],[Job_Type]] = "unskilled resident", "Resident",
Table1[[#This Row],[Job_Type]] = "unemp/unskilled non res", "Non-resident",
TRUE, "Unknown")</f>
        <v>Resident</v>
      </c>
      <c r="J871" s="2" t="s">
        <v>148</v>
      </c>
      <c r="K871" s="3">
        <v>1</v>
      </c>
      <c r="L871" s="2" t="s">
        <v>143</v>
      </c>
      <c r="M871" s="13" t="s">
        <v>151</v>
      </c>
      <c r="N871" t="s">
        <v>50</v>
      </c>
      <c r="O871" s="2" t="str">
        <f>_xlfn.XLOOKUP(Table1[[#This Row],[Checking_Acct_Status]],Table3[Checking_Acct_Original],Table3[Category])</f>
        <v>High Balance</v>
      </c>
      <c r="P871" s="10" t="s">
        <v>32</v>
      </c>
      <c r="Q871" s="13" t="str">
        <f>_xlfn.XLOOKUP(Table1[[#This Row],[Saving_Acct_Status]],Table5[Saving_Acct_Original],Table5[Category])</f>
        <v>Low Savings</v>
      </c>
      <c r="R871" t="s">
        <v>27</v>
      </c>
      <c r="S871" s="2" t="str">
        <f>IF(
      OR(Table1[[#This Row],[Job_Type]] = "high qualif/self emp/mgmt", Table1[[#This Row],[Job_Type]] = "skilled"),
      "Skilled", "Unskilled")</f>
        <v>Unskilled</v>
      </c>
      <c r="T871" t="str">
        <f>IF(Table1[[#This Row],[Job_Type]] = "unemp/unskilled non res", "Unemployed", "Employed")</f>
        <v>Employed</v>
      </c>
      <c r="U871" t="s">
        <v>45</v>
      </c>
      <c r="V871" s="14" t="str" cm="1">
        <f t="array" ref="V87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71" t="s">
        <v>31</v>
      </c>
      <c r="X871" s="2" t="str">
        <f>_xlfn.XLOOKUP(Table1[[#This Row],[Loan_Credit_History]],Table4[Credit History],Table4[[ Category]])</f>
        <v>Existing Credits Paid</v>
      </c>
      <c r="Y871" s="3">
        <v>1</v>
      </c>
      <c r="Z871" s="3">
        <v>1</v>
      </c>
      <c r="AA871" s="5">
        <v>3949</v>
      </c>
      <c r="AB871" t="s">
        <v>58</v>
      </c>
      <c r="AC871" s="2" t="str" cm="1">
        <f t="array" ref="AC871">_xlfn.IFS(Table1[[#This Row],[Others_Parties]] = "No", "None",
Table1[[#This Row],[Others_Parties]] = "co applicant", "Co-applicant",
Table1[[#This Row],[Others_Parties]] = "guarantor", "Guarantor")</f>
        <v>Guarantor</v>
      </c>
      <c r="AD871" s="13" t="s">
        <v>145</v>
      </c>
      <c r="AE871" s="2" t="s">
        <v>141</v>
      </c>
      <c r="AF871" s="28" t="str" cm="1">
        <f t="array" ref="AF87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71" s="21">
        <v>10</v>
      </c>
      <c r="AH871" s="2" t="s">
        <v>154</v>
      </c>
      <c r="AI871"/>
      <c r="AZ871"/>
      <c r="BC871"/>
      <c r="BE871"/>
      <c r="BL871"/>
      <c r="BZ871"/>
      <c r="CA871"/>
      <c r="CF871"/>
      <c r="CG871"/>
      <c r="CH871"/>
      <c r="CI871"/>
      <c r="CK871"/>
      <c r="CN871"/>
    </row>
    <row r="872" spans="1:92" x14ac:dyDescent="0.3">
      <c r="A872" s="4">
        <v>870</v>
      </c>
      <c r="B872" s="11">
        <v>70</v>
      </c>
      <c r="C872" s="2" t="str">
        <f>_xlfn.XLOOKUP(Table1[[#This Row],[Age]],Table7[Start_Age],Table7[Age_Range],,-1)</f>
        <v>69-76</v>
      </c>
      <c r="D872" t="s">
        <v>130</v>
      </c>
      <c r="E872" s="2" t="s">
        <v>129</v>
      </c>
      <c r="F872" s="2" t="s">
        <v>133</v>
      </c>
      <c r="G872" s="3">
        <v>1</v>
      </c>
      <c r="H872" s="13" t="s">
        <v>152</v>
      </c>
      <c r="I872" s="2" t="str" cm="1">
        <f t="array" ref="I872">_xlfn.IFS(Table1[[#This Row],[Job_Type]] = "unskilled resident", "Resident",
Table1[[#This Row],[Job_Type]] = "unemp/unskilled non res", "Non-resident",
TRUE, "Unknown")</f>
        <v>Unknown</v>
      </c>
      <c r="J872" s="2" t="s">
        <v>150</v>
      </c>
      <c r="K872" s="3">
        <v>4</v>
      </c>
      <c r="L872" s="2" t="s">
        <v>142</v>
      </c>
      <c r="M872" s="13" t="s">
        <v>152</v>
      </c>
      <c r="N872" t="s">
        <v>30</v>
      </c>
      <c r="O872" s="2" t="str">
        <f>_xlfn.XLOOKUP(Table1[[#This Row],[Checking_Acct_Status]],Table3[Checking_Acct_Original],Table3[Category])</f>
        <v>Low Balance</v>
      </c>
      <c r="P872" s="10" t="s">
        <v>32</v>
      </c>
      <c r="Q872" s="13" t="str">
        <f>_xlfn.XLOOKUP(Table1[[#This Row],[Saving_Acct_Status]],Table5[Saving_Acct_Original],Table5[Category])</f>
        <v>Low Savings</v>
      </c>
      <c r="R872" t="s">
        <v>63</v>
      </c>
      <c r="S872" s="2" t="str">
        <f>IF(
      OR(Table1[[#This Row],[Job_Type]] = "high qualif/self emp/mgmt", Table1[[#This Row],[Job_Type]] = "skilled"),
      "Skilled", "Unskilled")</f>
        <v>Skilled</v>
      </c>
      <c r="T872" t="str">
        <f>IF(Table1[[#This Row],[Job_Type]] = "unemp/unskilled non res", "Unemployed", "Employed")</f>
        <v>Employed</v>
      </c>
      <c r="U872" t="s">
        <v>54</v>
      </c>
      <c r="V872" s="14" t="str" cm="1">
        <f t="array" ref="V872">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872" t="s">
        <v>31</v>
      </c>
      <c r="X872" s="2" t="str">
        <f>_xlfn.XLOOKUP(Table1[[#This Row],[Loan_Credit_History]],Table4[Credit History],Table4[[ Category]])</f>
        <v>Existing Credits Paid</v>
      </c>
      <c r="Y872" s="3">
        <v>2</v>
      </c>
      <c r="Z872" s="3">
        <v>1</v>
      </c>
      <c r="AA872" s="5">
        <v>7308</v>
      </c>
      <c r="AB872" t="s">
        <v>151</v>
      </c>
      <c r="AC872" s="2" t="str" cm="1">
        <f t="array" ref="AC872">_xlfn.IFS(Table1[[#This Row],[Others_Parties]] = "No", "None",
Table1[[#This Row],[Others_Parties]] = "co applicant", "Co-applicant",
Table1[[#This Row],[Others_Parties]] = "guarantor", "Guarantor")</f>
        <v>None</v>
      </c>
      <c r="AD872" s="13" t="s">
        <v>146</v>
      </c>
      <c r="AE872" s="2" t="s">
        <v>141</v>
      </c>
      <c r="AF872" s="28" t="str" cm="1">
        <f t="array" ref="AF87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72" s="21">
        <v>10</v>
      </c>
      <c r="AH872" s="2" t="s">
        <v>154</v>
      </c>
      <c r="AI872"/>
      <c r="AZ872"/>
      <c r="BC872"/>
      <c r="BE872"/>
      <c r="BL872"/>
      <c r="BZ872"/>
      <c r="CA872"/>
      <c r="CF872"/>
      <c r="CG872"/>
      <c r="CH872"/>
      <c r="CI872"/>
      <c r="CK872"/>
      <c r="CN872"/>
    </row>
    <row r="873" spans="1:92" x14ac:dyDescent="0.3">
      <c r="A873" s="4">
        <v>871</v>
      </c>
      <c r="B873" s="11">
        <v>22</v>
      </c>
      <c r="C873" s="2" t="str">
        <f>_xlfn.XLOOKUP(Table1[[#This Row],[Age]],Table7[Start_Age],Table7[Age_Range],,-1)</f>
        <v>19-29</v>
      </c>
      <c r="D873" t="s">
        <v>134</v>
      </c>
      <c r="E873" s="2" t="s">
        <v>129</v>
      </c>
      <c r="F873" s="2" t="s">
        <v>135</v>
      </c>
      <c r="G873" s="3">
        <v>1</v>
      </c>
      <c r="H873" s="13" t="s">
        <v>152</v>
      </c>
      <c r="I873" s="2" t="str" cm="1">
        <f t="array" ref="I873">_xlfn.IFS(Table1[[#This Row],[Job_Type]] = "unskilled resident", "Resident",
Table1[[#This Row],[Job_Type]] = "unemp/unskilled non res", "Non-resident",
TRUE, "Unknown")</f>
        <v>Resident</v>
      </c>
      <c r="J873" s="2" t="s">
        <v>149</v>
      </c>
      <c r="K873" s="3">
        <v>4</v>
      </c>
      <c r="L873" s="2" t="s">
        <v>144</v>
      </c>
      <c r="M873" s="13" t="s">
        <v>151</v>
      </c>
      <c r="N873" t="s">
        <v>30</v>
      </c>
      <c r="O873" s="2" t="str">
        <f>_xlfn.XLOOKUP(Table1[[#This Row],[Checking_Acct_Status]],Table3[Checking_Acct_Original],Table3[Category])</f>
        <v>Low Balance</v>
      </c>
      <c r="P873" s="10" t="s">
        <v>32</v>
      </c>
      <c r="Q873" s="13" t="str">
        <f>_xlfn.XLOOKUP(Table1[[#This Row],[Saving_Acct_Status]],Table5[Saving_Acct_Original],Table5[Category])</f>
        <v>Low Savings</v>
      </c>
      <c r="R873" t="s">
        <v>27</v>
      </c>
      <c r="S873" s="2" t="str">
        <f>IF(
      OR(Table1[[#This Row],[Job_Type]] = "high qualif/self emp/mgmt", Table1[[#This Row],[Job_Type]] = "skilled"),
      "Skilled", "Unskilled")</f>
        <v>Unskilled</v>
      </c>
      <c r="T873" t="str">
        <f>IF(Table1[[#This Row],[Job_Type]] = "unemp/unskilled non res", "Unemployed", "Employed")</f>
        <v>Employed</v>
      </c>
      <c r="U873" t="s">
        <v>21</v>
      </c>
      <c r="V873" s="14" t="str" cm="1">
        <f t="array" ref="V87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73" t="s">
        <v>31</v>
      </c>
      <c r="X873" s="2" t="str">
        <f>_xlfn.XLOOKUP(Table1[[#This Row],[Loan_Credit_History]],Table4[Credit History],Table4[[ Category]])</f>
        <v>Existing Credits Paid</v>
      </c>
      <c r="Y873" s="3">
        <v>4</v>
      </c>
      <c r="Z873" s="3">
        <v>1</v>
      </c>
      <c r="AA873" s="5">
        <v>276</v>
      </c>
      <c r="AB873" t="s">
        <v>151</v>
      </c>
      <c r="AC873" s="2" t="str" cm="1">
        <f t="array" ref="AC873">_xlfn.IFS(Table1[[#This Row],[Others_Parties]] = "No", "None",
Table1[[#This Row],[Others_Parties]] = "co applicant", "Co-applicant",
Table1[[#This Row],[Others_Parties]] = "guarantor", "Guarantor")</f>
        <v>None</v>
      </c>
      <c r="AD873" s="13" t="s">
        <v>145</v>
      </c>
      <c r="AE873" s="2" t="s">
        <v>141</v>
      </c>
      <c r="AF873" s="28" t="str" cm="1">
        <f t="array" ref="AF87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73" s="21">
        <v>9</v>
      </c>
      <c r="AH873" s="2" t="s">
        <v>154</v>
      </c>
      <c r="AI873"/>
      <c r="AZ873"/>
      <c r="BC873"/>
      <c r="BE873"/>
      <c r="BL873"/>
      <c r="BZ873"/>
      <c r="CA873"/>
      <c r="CF873"/>
      <c r="CG873"/>
      <c r="CH873"/>
      <c r="CI873"/>
      <c r="CK873"/>
      <c r="CN873"/>
    </row>
    <row r="874" spans="1:92" x14ac:dyDescent="0.3">
      <c r="A874" s="4">
        <v>872</v>
      </c>
      <c r="B874" s="11">
        <v>24</v>
      </c>
      <c r="C874" s="2" t="str">
        <f>_xlfn.XLOOKUP(Table1[[#This Row],[Age]],Table7[Start_Age],Table7[Age_Range],,-1)</f>
        <v>19-29</v>
      </c>
      <c r="D874" t="s">
        <v>130</v>
      </c>
      <c r="E874" s="2" t="s">
        <v>129</v>
      </c>
      <c r="F874" s="2" t="s">
        <v>133</v>
      </c>
      <c r="G874" s="3">
        <v>1</v>
      </c>
      <c r="H874" s="13" t="s">
        <v>152</v>
      </c>
      <c r="I874" s="2" t="str" cm="1">
        <f t="array" ref="I874">_xlfn.IFS(Table1[[#This Row],[Job_Type]] = "unskilled resident", "Resident",
Table1[[#This Row],[Job_Type]] = "unemp/unskilled non res", "Non-resident",
TRUE, "Unknown")</f>
        <v>Unknown</v>
      </c>
      <c r="J874" s="2" t="s">
        <v>148</v>
      </c>
      <c r="K874" s="3">
        <v>3</v>
      </c>
      <c r="L874" s="2" t="s">
        <v>144</v>
      </c>
      <c r="M874" s="13" t="s">
        <v>151</v>
      </c>
      <c r="N874" t="s">
        <v>30</v>
      </c>
      <c r="O874" s="2" t="str">
        <f>_xlfn.XLOOKUP(Table1[[#This Row],[Checking_Acct_Status]],Table3[Checking_Acct_Original],Table3[Category])</f>
        <v>Low Balance</v>
      </c>
      <c r="P874" s="10" t="s">
        <v>32</v>
      </c>
      <c r="Q874" s="13" t="str">
        <f>_xlfn.XLOOKUP(Table1[[#This Row],[Saving_Acct_Status]],Table5[Saving_Acct_Original],Table5[Category])</f>
        <v>Low Savings</v>
      </c>
      <c r="R874" t="s">
        <v>41</v>
      </c>
      <c r="S874" s="2" t="str">
        <f>IF(
      OR(Table1[[#This Row],[Job_Type]] = "high qualif/self emp/mgmt", Table1[[#This Row],[Job_Type]] = "skilled"),
      "Skilled", "Unskilled")</f>
        <v>Skilled</v>
      </c>
      <c r="T874" t="str">
        <f>IF(Table1[[#This Row],[Job_Type]] = "unemp/unskilled non res", "Unemployed", "Employed")</f>
        <v>Employed</v>
      </c>
      <c r="U874" t="s">
        <v>21</v>
      </c>
      <c r="V874" s="14" t="str" cm="1">
        <f t="array" ref="V87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74" t="s">
        <v>31</v>
      </c>
      <c r="X874" s="2" t="str">
        <f>_xlfn.XLOOKUP(Table1[[#This Row],[Loan_Credit_History]],Table4[Credit History],Table4[[ Category]])</f>
        <v>Existing Credits Paid</v>
      </c>
      <c r="Y874" s="3">
        <v>4</v>
      </c>
      <c r="Z874" s="3">
        <v>1</v>
      </c>
      <c r="AA874" s="5">
        <v>458</v>
      </c>
      <c r="AB874" t="s">
        <v>151</v>
      </c>
      <c r="AC874" s="2" t="str" cm="1">
        <f t="array" ref="AC874">_xlfn.IFS(Table1[[#This Row],[Others_Parties]] = "No", "None",
Table1[[#This Row],[Others_Parties]] = "co applicant", "Co-applicant",
Table1[[#This Row],[Others_Parties]] = "guarantor", "Guarantor")</f>
        <v>None</v>
      </c>
      <c r="AD874" s="13" t="s">
        <v>145</v>
      </c>
      <c r="AE874" s="2" t="s">
        <v>111</v>
      </c>
      <c r="AF874" s="28" t="str" cm="1">
        <f t="array" ref="AF87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74" s="21">
        <v>9</v>
      </c>
      <c r="AH874" s="2" t="s">
        <v>154</v>
      </c>
      <c r="AI874"/>
      <c r="AZ874"/>
      <c r="BC874"/>
      <c r="BE874"/>
      <c r="BL874"/>
      <c r="BZ874"/>
      <c r="CA874"/>
      <c r="CF874"/>
      <c r="CG874"/>
      <c r="CH874"/>
      <c r="CI874"/>
      <c r="CK874"/>
      <c r="CN874"/>
    </row>
    <row r="875" spans="1:92" x14ac:dyDescent="0.3">
      <c r="A875" s="4">
        <v>873</v>
      </c>
      <c r="B875" s="11">
        <v>28</v>
      </c>
      <c r="C875" s="2" t="str">
        <f>_xlfn.XLOOKUP(Table1[[#This Row],[Age]],Table7[Start_Age],Table7[Age_Range],,-1)</f>
        <v>19-29</v>
      </c>
      <c r="D875" t="s">
        <v>130</v>
      </c>
      <c r="E875" s="2" t="s">
        <v>129</v>
      </c>
      <c r="F875" s="2" t="s">
        <v>133</v>
      </c>
      <c r="G875" s="3">
        <v>1</v>
      </c>
      <c r="H875" s="13" t="s">
        <v>152</v>
      </c>
      <c r="I875" s="2" t="str" cm="1">
        <f t="array" ref="I875">_xlfn.IFS(Table1[[#This Row],[Job_Type]] = "unskilled resident", "Resident",
Table1[[#This Row],[Job_Type]] = "unemp/unskilled non res", "Non-resident",
TRUE, "Unknown")</f>
        <v>Resident</v>
      </c>
      <c r="J875" s="2" t="s">
        <v>148</v>
      </c>
      <c r="K875" s="3">
        <v>3</v>
      </c>
      <c r="L875" s="2" t="s">
        <v>140</v>
      </c>
      <c r="M875" s="13" t="s">
        <v>151</v>
      </c>
      <c r="N875" t="s">
        <v>35</v>
      </c>
      <c r="O875" s="2" t="str">
        <f>_xlfn.XLOOKUP(Table1[[#This Row],[Checking_Acct_Status]],Table3[Checking_Acct_Original],Table3[Category])</f>
        <v>Negative Balance</v>
      </c>
      <c r="P875" s="10" t="s">
        <v>32</v>
      </c>
      <c r="Q875" s="13" t="str">
        <f>_xlfn.XLOOKUP(Table1[[#This Row],[Saving_Acct_Status]],Table5[Saving_Acct_Original],Table5[Category])</f>
        <v>Low Savings</v>
      </c>
      <c r="R875" t="s">
        <v>27</v>
      </c>
      <c r="S875" s="2" t="str">
        <f>IF(
      OR(Table1[[#This Row],[Job_Type]] = "high qualif/self emp/mgmt", Table1[[#This Row],[Job_Type]] = "skilled"),
      "Skilled", "Unskilled")</f>
        <v>Unskilled</v>
      </c>
      <c r="T875" t="str">
        <f>IF(Table1[[#This Row],[Job_Type]] = "unemp/unskilled non res", "Unemployed", "Employed")</f>
        <v>Employed</v>
      </c>
      <c r="U875" t="s">
        <v>21</v>
      </c>
      <c r="V875" s="14" t="str" cm="1">
        <f t="array" ref="V87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75" t="s">
        <v>31</v>
      </c>
      <c r="X875" s="2" t="str">
        <f>_xlfn.XLOOKUP(Table1[[#This Row],[Loan_Credit_History]],Table4[Credit History],Table4[[ Category]])</f>
        <v>Existing Credits Paid</v>
      </c>
      <c r="Y875" s="3">
        <v>4</v>
      </c>
      <c r="Z875" s="3">
        <v>1</v>
      </c>
      <c r="AA875" s="5">
        <v>654</v>
      </c>
      <c r="AB875" t="s">
        <v>151</v>
      </c>
      <c r="AC875" s="2" t="str" cm="1">
        <f t="array" ref="AC875">_xlfn.IFS(Table1[[#This Row],[Others_Parties]] = "No", "None",
Table1[[#This Row],[Others_Parties]] = "co applicant", "Co-applicant",
Table1[[#This Row],[Others_Parties]] = "guarantor", "Guarantor")</f>
        <v>None</v>
      </c>
      <c r="AD875" s="13" t="s">
        <v>145</v>
      </c>
      <c r="AE875" s="2" t="s">
        <v>141</v>
      </c>
      <c r="AF875" s="28" t="str" cm="1">
        <f t="array" ref="AF87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75" s="21">
        <v>9</v>
      </c>
      <c r="AH875" s="2" t="s">
        <v>153</v>
      </c>
      <c r="AI875"/>
      <c r="AZ875"/>
      <c r="BC875"/>
      <c r="BE875"/>
      <c r="BL875"/>
      <c r="BZ875"/>
      <c r="CA875"/>
      <c r="CF875"/>
      <c r="CG875"/>
      <c r="CH875"/>
      <c r="CI875"/>
      <c r="CK875"/>
      <c r="CN875"/>
    </row>
    <row r="876" spans="1:92" x14ac:dyDescent="0.3">
      <c r="A876" s="4">
        <v>874</v>
      </c>
      <c r="B876" s="11">
        <v>28</v>
      </c>
      <c r="C876" s="2" t="str">
        <f>_xlfn.XLOOKUP(Table1[[#This Row],[Age]],Table7[Start_Age],Table7[Age_Range],,-1)</f>
        <v>19-29</v>
      </c>
      <c r="D876" t="s">
        <v>136</v>
      </c>
      <c r="E876" s="2" t="s">
        <v>131</v>
      </c>
      <c r="F876" s="2" t="s">
        <v>137</v>
      </c>
      <c r="G876" s="3">
        <v>1</v>
      </c>
      <c r="H876" s="13" t="s">
        <v>152</v>
      </c>
      <c r="I876" s="2" t="str" cm="1">
        <f t="array" ref="I876">_xlfn.IFS(Table1[[#This Row],[Job_Type]] = "unskilled resident", "Resident",
Table1[[#This Row],[Job_Type]] = "unemp/unskilled non res", "Non-resident",
TRUE, "Unknown")</f>
        <v>Resident</v>
      </c>
      <c r="J876" s="2" t="s">
        <v>148</v>
      </c>
      <c r="K876" s="3">
        <v>2</v>
      </c>
      <c r="L876" s="2" t="s">
        <v>144</v>
      </c>
      <c r="M876" s="13" t="s">
        <v>151</v>
      </c>
      <c r="N876" t="s">
        <v>50</v>
      </c>
      <c r="O876" s="2" t="str">
        <f>_xlfn.XLOOKUP(Table1[[#This Row],[Checking_Acct_Status]],Table3[Checking_Acct_Original],Table3[Category])</f>
        <v>High Balance</v>
      </c>
      <c r="P876" s="10" t="s">
        <v>32</v>
      </c>
      <c r="Q876" s="13" t="str">
        <f>_xlfn.XLOOKUP(Table1[[#This Row],[Saving_Acct_Status]],Table5[Saving_Acct_Original],Table5[Category])</f>
        <v>Low Savings</v>
      </c>
      <c r="R876" t="s">
        <v>27</v>
      </c>
      <c r="S876" s="2" t="str">
        <f>IF(
      OR(Table1[[#This Row],[Job_Type]] = "high qualif/self emp/mgmt", Table1[[#This Row],[Job_Type]] = "skilled"),
      "Skilled", "Unskilled")</f>
        <v>Unskilled</v>
      </c>
      <c r="T876" t="str">
        <f>IF(Table1[[#This Row],[Job_Type]] = "unemp/unskilled non res", "Unemployed", "Employed")</f>
        <v>Employed</v>
      </c>
      <c r="U876" t="s">
        <v>21</v>
      </c>
      <c r="V876" s="14" t="str" cm="1">
        <f t="array" ref="V87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76" t="s">
        <v>31</v>
      </c>
      <c r="X876" s="2" t="str">
        <f>_xlfn.XLOOKUP(Table1[[#This Row],[Loan_Credit_History]],Table4[Credit History],Table4[[ Category]])</f>
        <v>Existing Credits Paid</v>
      </c>
      <c r="Y876" s="3">
        <v>3</v>
      </c>
      <c r="Z876" s="3">
        <v>1</v>
      </c>
      <c r="AA876" s="5">
        <v>745</v>
      </c>
      <c r="AB876" t="s">
        <v>151</v>
      </c>
      <c r="AC876" s="2" t="str" cm="1">
        <f t="array" ref="AC876">_xlfn.IFS(Table1[[#This Row],[Others_Parties]] = "No", "None",
Table1[[#This Row],[Others_Parties]] = "co applicant", "Co-applicant",
Table1[[#This Row],[Others_Parties]] = "guarantor", "Guarantor")</f>
        <v>None</v>
      </c>
      <c r="AD876" s="13" t="s">
        <v>145</v>
      </c>
      <c r="AE876" s="2" t="s">
        <v>111</v>
      </c>
      <c r="AF876" s="28" t="str" cm="1">
        <f t="array" ref="AF87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76" s="21">
        <v>9</v>
      </c>
      <c r="AH876" s="2" t="s">
        <v>153</v>
      </c>
      <c r="AI876"/>
      <c r="AZ876"/>
      <c r="BC876"/>
      <c r="BE876"/>
      <c r="BL876"/>
      <c r="BZ876"/>
      <c r="CA876"/>
      <c r="CF876"/>
      <c r="CG876"/>
      <c r="CH876"/>
      <c r="CI876"/>
      <c r="CK876"/>
      <c r="CN876"/>
    </row>
    <row r="877" spans="1:92" x14ac:dyDescent="0.3">
      <c r="A877" s="4">
        <v>875</v>
      </c>
      <c r="B877" s="11">
        <v>66</v>
      </c>
      <c r="C877" s="2" t="str">
        <f>_xlfn.XLOOKUP(Table1[[#This Row],[Age]],Table7[Start_Age],Table7[Age_Range],,-1)</f>
        <v>59-69</v>
      </c>
      <c r="D877" t="s">
        <v>136</v>
      </c>
      <c r="E877" s="2" t="s">
        <v>131</v>
      </c>
      <c r="F877" s="2" t="s">
        <v>137</v>
      </c>
      <c r="G877" s="3">
        <v>1</v>
      </c>
      <c r="H877" s="13" t="s">
        <v>152</v>
      </c>
      <c r="I877" s="2" t="str" cm="1">
        <f t="array" ref="I877">_xlfn.IFS(Table1[[#This Row],[Job_Type]] = "unskilled resident", "Resident",
Table1[[#This Row],[Job_Type]] = "unemp/unskilled non res", "Non-resident",
TRUE, "Unknown")</f>
        <v>Resident</v>
      </c>
      <c r="J877" s="2" t="s">
        <v>148</v>
      </c>
      <c r="K877" s="3">
        <v>3</v>
      </c>
      <c r="L877" s="2" t="s">
        <v>144</v>
      </c>
      <c r="M877" s="13" t="s">
        <v>151</v>
      </c>
      <c r="N877" t="s">
        <v>30</v>
      </c>
      <c r="O877" s="2" t="str">
        <f>_xlfn.XLOOKUP(Table1[[#This Row],[Checking_Acct_Status]],Table3[Checking_Acct_Original],Table3[Category])</f>
        <v>Low Balance</v>
      </c>
      <c r="P877" s="10" t="s">
        <v>37</v>
      </c>
      <c r="Q877" s="13" t="str">
        <f>_xlfn.XLOOKUP(Table1[[#This Row],[Saving_Acct_Status]],Table5[Saving_Acct_Original],Table5[Category])</f>
        <v>High Savings</v>
      </c>
      <c r="R877" t="s">
        <v>27</v>
      </c>
      <c r="S877" s="2" t="str">
        <f>IF(
      OR(Table1[[#This Row],[Job_Type]] = "high qualif/self emp/mgmt", Table1[[#This Row],[Job_Type]] = "skilled"),
      "Skilled", "Unskilled")</f>
        <v>Unskilled</v>
      </c>
      <c r="T877" t="str">
        <f>IF(Table1[[#This Row],[Job_Type]] = "unemp/unskilled non res", "Unemployed", "Employed")</f>
        <v>Employed</v>
      </c>
      <c r="U877" t="s">
        <v>21</v>
      </c>
      <c r="V877" s="14" t="str" cm="1">
        <f t="array" ref="V87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77" t="s">
        <v>31</v>
      </c>
      <c r="X877" s="2" t="str">
        <f>_xlfn.XLOOKUP(Table1[[#This Row],[Loan_Credit_History]],Table4[Credit History],Table4[[ Category]])</f>
        <v>Existing Credits Paid</v>
      </c>
      <c r="Y877" s="3">
        <v>4</v>
      </c>
      <c r="Z877" s="3">
        <v>1</v>
      </c>
      <c r="AA877" s="5">
        <v>790</v>
      </c>
      <c r="AB877" t="s">
        <v>151</v>
      </c>
      <c r="AC877" s="2" t="str" cm="1">
        <f t="array" ref="AC877">_xlfn.IFS(Table1[[#This Row],[Others_Parties]] = "No", "None",
Table1[[#This Row],[Others_Parties]] = "co applicant", "Co-applicant",
Table1[[#This Row],[Others_Parties]] = "guarantor", "Guarantor")</f>
        <v>None</v>
      </c>
      <c r="AD877" s="13" t="s">
        <v>145</v>
      </c>
      <c r="AE877" s="2" t="s">
        <v>111</v>
      </c>
      <c r="AF877" s="28" t="str" cm="1">
        <f t="array" ref="AF87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77" s="21">
        <v>9</v>
      </c>
      <c r="AH877" s="2" t="s">
        <v>154</v>
      </c>
      <c r="AI877"/>
      <c r="AZ877"/>
      <c r="BC877"/>
      <c r="BE877"/>
      <c r="BL877"/>
      <c r="BZ877"/>
      <c r="CA877"/>
      <c r="CF877"/>
      <c r="CG877"/>
      <c r="CH877"/>
      <c r="CI877"/>
      <c r="CK877"/>
      <c r="CN877"/>
    </row>
    <row r="878" spans="1:92" x14ac:dyDescent="0.3">
      <c r="A878" s="4">
        <v>876</v>
      </c>
      <c r="B878" s="11">
        <v>30</v>
      </c>
      <c r="C878" s="2" t="str">
        <f>_xlfn.XLOOKUP(Table1[[#This Row],[Age]],Table7[Start_Age],Table7[Age_Range],,-1)</f>
        <v>29-39</v>
      </c>
      <c r="D878" t="s">
        <v>136</v>
      </c>
      <c r="E878" s="2" t="s">
        <v>131</v>
      </c>
      <c r="F878" s="2" t="s">
        <v>137</v>
      </c>
      <c r="G878" s="3">
        <v>1</v>
      </c>
      <c r="H878" s="13" t="s">
        <v>152</v>
      </c>
      <c r="I878" s="2" t="str" cm="1">
        <f t="array" ref="I878">_xlfn.IFS(Table1[[#This Row],[Job_Type]] = "unskilled resident", "Resident",
Table1[[#This Row],[Job_Type]] = "unemp/unskilled non res", "Non-resident",
TRUE, "Unknown")</f>
        <v>Unknown</v>
      </c>
      <c r="J878" s="2" t="s">
        <v>148</v>
      </c>
      <c r="K878" s="3">
        <v>1</v>
      </c>
      <c r="L878" s="2" t="s">
        <v>143</v>
      </c>
      <c r="M878" s="13" t="s">
        <v>151</v>
      </c>
      <c r="N878" t="s">
        <v>30</v>
      </c>
      <c r="O878" s="2" t="str">
        <f>_xlfn.XLOOKUP(Table1[[#This Row],[Checking_Acct_Status]],Table3[Checking_Acct_Original],Table3[Category])</f>
        <v>Low Balance</v>
      </c>
      <c r="P878" s="10" t="s">
        <v>32</v>
      </c>
      <c r="Q878" s="13" t="str">
        <f>_xlfn.XLOOKUP(Table1[[#This Row],[Saving_Acct_Status]],Table5[Saving_Acct_Original],Table5[Category])</f>
        <v>Low Savings</v>
      </c>
      <c r="R878" t="s">
        <v>41</v>
      </c>
      <c r="S878" s="2" t="str">
        <f>IF(
      OR(Table1[[#This Row],[Job_Type]] = "high qualif/self emp/mgmt", Table1[[#This Row],[Job_Type]] = "skilled"),
      "Skilled", "Unskilled")</f>
        <v>Skilled</v>
      </c>
      <c r="T878" t="str">
        <f>IF(Table1[[#This Row],[Job_Type]] = "unemp/unskilled non res", "Unemployed", "Employed")</f>
        <v>Employed</v>
      </c>
      <c r="U878" t="s">
        <v>21</v>
      </c>
      <c r="V878" s="14" t="str" cm="1">
        <f t="array" ref="V87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78" t="s">
        <v>31</v>
      </c>
      <c r="X878" s="2" t="str">
        <f>_xlfn.XLOOKUP(Table1[[#This Row],[Loan_Credit_History]],Table4[Credit History],Table4[[ Category]])</f>
        <v>Existing Credits Paid</v>
      </c>
      <c r="Y878" s="3">
        <v>4</v>
      </c>
      <c r="Z878" s="3">
        <v>1</v>
      </c>
      <c r="AA878" s="5">
        <v>918</v>
      </c>
      <c r="AB878" t="s">
        <v>151</v>
      </c>
      <c r="AC878" s="2" t="str" cm="1">
        <f t="array" ref="AC878">_xlfn.IFS(Table1[[#This Row],[Others_Parties]] = "No", "None",
Table1[[#This Row],[Others_Parties]] = "co applicant", "Co-applicant",
Table1[[#This Row],[Others_Parties]] = "guarantor", "Guarantor")</f>
        <v>None</v>
      </c>
      <c r="AD878" s="13" t="s">
        <v>145</v>
      </c>
      <c r="AE878" s="2" t="s">
        <v>108</v>
      </c>
      <c r="AF878" s="28" t="str" cm="1">
        <f t="array" ref="AF87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78" s="21">
        <v>9</v>
      </c>
      <c r="AH878" s="2" t="s">
        <v>153</v>
      </c>
      <c r="AI878"/>
      <c r="AZ878"/>
      <c r="BC878"/>
      <c r="BE878"/>
      <c r="BL878"/>
      <c r="BZ878"/>
      <c r="CA878"/>
      <c r="CF878"/>
      <c r="CG878"/>
      <c r="CH878"/>
      <c r="CI878"/>
      <c r="CK878"/>
      <c r="CN878"/>
    </row>
    <row r="879" spans="1:92" x14ac:dyDescent="0.3">
      <c r="A879" s="4">
        <v>877</v>
      </c>
      <c r="B879" s="11">
        <v>52</v>
      </c>
      <c r="C879" s="2" t="str">
        <f>_xlfn.XLOOKUP(Table1[[#This Row],[Age]],Table7[Start_Age],Table7[Age_Range],,-1)</f>
        <v>49-59</v>
      </c>
      <c r="D879" t="s">
        <v>130</v>
      </c>
      <c r="E879" s="2" t="s">
        <v>129</v>
      </c>
      <c r="F879" s="2" t="s">
        <v>133</v>
      </c>
      <c r="G879" s="3">
        <v>1</v>
      </c>
      <c r="H879" s="13" t="s">
        <v>152</v>
      </c>
      <c r="I879" s="2" t="str" cm="1">
        <f t="array" ref="I879">_xlfn.IFS(Table1[[#This Row],[Job_Type]] = "unskilled resident", "Resident",
Table1[[#This Row],[Job_Type]] = "unemp/unskilled non res", "Non-resident",
TRUE, "Unknown")</f>
        <v>Unknown</v>
      </c>
      <c r="J879" s="2" t="s">
        <v>148</v>
      </c>
      <c r="K879" s="3">
        <v>2</v>
      </c>
      <c r="L879" s="2" t="s">
        <v>140</v>
      </c>
      <c r="M879" s="13" t="s">
        <v>152</v>
      </c>
      <c r="N879" t="s">
        <v>17</v>
      </c>
      <c r="O879" s="2" t="str">
        <f>_xlfn.XLOOKUP(Table1[[#This Row],[Checking_Acct_Status]],Table3[Checking_Acct_Original],Table3[Category])</f>
        <v>No Account</v>
      </c>
      <c r="P879" s="10" t="s">
        <v>37</v>
      </c>
      <c r="Q879" s="13" t="str">
        <f>_xlfn.XLOOKUP(Table1[[#This Row],[Saving_Acct_Status]],Table5[Saving_Acct_Original],Table5[Category])</f>
        <v>High Savings</v>
      </c>
      <c r="R879" t="s">
        <v>41</v>
      </c>
      <c r="S879" s="2" t="str">
        <f>IF(
      OR(Table1[[#This Row],[Job_Type]] = "high qualif/self emp/mgmt", Table1[[#This Row],[Job_Type]] = "skilled"),
      "Skilled", "Unskilled")</f>
        <v>Skilled</v>
      </c>
      <c r="T879" t="str">
        <f>IF(Table1[[#This Row],[Job_Type]] = "unemp/unskilled non res", "Unemployed", "Employed")</f>
        <v>Employed</v>
      </c>
      <c r="U879" t="s">
        <v>38</v>
      </c>
      <c r="V879" s="14" t="str" cm="1">
        <f t="array" ref="V87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79" t="s">
        <v>103</v>
      </c>
      <c r="X879" s="2" t="str">
        <f>_xlfn.XLOOKUP(Table1[[#This Row],[Loan_Credit_History]],Table4[Credit History],Table4[[ Category]])</f>
        <v>Critical Credit History</v>
      </c>
      <c r="Y879" s="3">
        <v>4</v>
      </c>
      <c r="Z879" s="3">
        <v>2</v>
      </c>
      <c r="AA879" s="5">
        <v>936</v>
      </c>
      <c r="AB879" t="s">
        <v>151</v>
      </c>
      <c r="AC879" s="2" t="str" cm="1">
        <f t="array" ref="AC879">_xlfn.IFS(Table1[[#This Row],[Others_Parties]] = "No", "None",
Table1[[#This Row],[Others_Parties]] = "co applicant", "Co-applicant",
Table1[[#This Row],[Others_Parties]] = "guarantor", "Guarantor")</f>
        <v>None</v>
      </c>
      <c r="AD879" s="13" t="s">
        <v>145</v>
      </c>
      <c r="AE879" s="2" t="s">
        <v>100</v>
      </c>
      <c r="AF879" s="28" t="str" cm="1">
        <f t="array" ref="AF87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79" s="21">
        <v>9</v>
      </c>
      <c r="AH879" s="2" t="s">
        <v>154</v>
      </c>
      <c r="AI879"/>
      <c r="AZ879"/>
      <c r="BC879"/>
      <c r="BE879"/>
      <c r="BL879"/>
      <c r="BZ879"/>
      <c r="CA879"/>
      <c r="CF879"/>
      <c r="CG879"/>
      <c r="CH879"/>
      <c r="CI879"/>
      <c r="CK879"/>
      <c r="CN879"/>
    </row>
    <row r="880" spans="1:92" x14ac:dyDescent="0.3">
      <c r="A880" s="4">
        <v>878</v>
      </c>
      <c r="B880" s="11">
        <v>27</v>
      </c>
      <c r="C880" s="2" t="str">
        <f>_xlfn.XLOOKUP(Table1[[#This Row],[Age]],Table7[Start_Age],Table7[Age_Range],,-1)</f>
        <v>19-29</v>
      </c>
      <c r="D880" t="s">
        <v>130</v>
      </c>
      <c r="E880" s="2" t="s">
        <v>129</v>
      </c>
      <c r="F880" s="2" t="s">
        <v>133</v>
      </c>
      <c r="G880" s="3">
        <v>1</v>
      </c>
      <c r="H880" s="13" t="s">
        <v>152</v>
      </c>
      <c r="I880" s="2" t="str" cm="1">
        <f t="array" ref="I880">_xlfn.IFS(Table1[[#This Row],[Job_Type]] = "unskilled resident", "Resident",
Table1[[#This Row],[Job_Type]] = "unemp/unskilled non res", "Non-resident",
TRUE, "Unknown")</f>
        <v>Resident</v>
      </c>
      <c r="J880" s="2" t="s">
        <v>148</v>
      </c>
      <c r="K880" s="3">
        <v>4</v>
      </c>
      <c r="L880" s="2" t="s">
        <v>140</v>
      </c>
      <c r="M880" s="13" t="s">
        <v>151</v>
      </c>
      <c r="N880" t="s">
        <v>30</v>
      </c>
      <c r="O880" s="2" t="str">
        <f>_xlfn.XLOOKUP(Table1[[#This Row],[Checking_Acct_Status]],Table3[Checking_Acct_Original],Table3[Category])</f>
        <v>Low Balance</v>
      </c>
      <c r="P880" s="10" t="s">
        <v>32</v>
      </c>
      <c r="Q880" s="13" t="str">
        <f>_xlfn.XLOOKUP(Table1[[#This Row],[Saving_Acct_Status]],Table5[Saving_Acct_Original],Table5[Category])</f>
        <v>Low Savings</v>
      </c>
      <c r="R880" t="s">
        <v>27</v>
      </c>
      <c r="S880" s="2" t="str">
        <f>IF(
      OR(Table1[[#This Row],[Job_Type]] = "high qualif/self emp/mgmt", Table1[[#This Row],[Job_Type]] = "skilled"),
      "Skilled", "Unskilled")</f>
        <v>Unskilled</v>
      </c>
      <c r="T880" t="str">
        <f>IF(Table1[[#This Row],[Job_Type]] = "unemp/unskilled non res", "Unemployed", "Employed")</f>
        <v>Employed</v>
      </c>
      <c r="U880" t="s">
        <v>38</v>
      </c>
      <c r="V880" s="14" t="str" cm="1">
        <f t="array" ref="V88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80" t="s">
        <v>31</v>
      </c>
      <c r="X880" s="2" t="str">
        <f>_xlfn.XLOOKUP(Table1[[#This Row],[Loan_Credit_History]],Table4[Credit History],Table4[[ Category]])</f>
        <v>Existing Credits Paid</v>
      </c>
      <c r="Y880" s="3">
        <v>4</v>
      </c>
      <c r="Z880" s="3">
        <v>2</v>
      </c>
      <c r="AA880" s="5">
        <v>1082</v>
      </c>
      <c r="AB880" t="s">
        <v>151</v>
      </c>
      <c r="AC880" s="2" t="str" cm="1">
        <f t="array" ref="AC880">_xlfn.IFS(Table1[[#This Row],[Others_Parties]] = "No", "None",
Table1[[#This Row],[Others_Parties]] = "co applicant", "Co-applicant",
Table1[[#This Row],[Others_Parties]] = "guarantor", "Guarantor")</f>
        <v>None</v>
      </c>
      <c r="AD880" s="13" t="s">
        <v>145</v>
      </c>
      <c r="AE880" s="2" t="s">
        <v>111</v>
      </c>
      <c r="AF880" s="28" t="str" cm="1">
        <f t="array" ref="AF88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80" s="21">
        <v>9</v>
      </c>
      <c r="AH880" s="2" t="s">
        <v>154</v>
      </c>
      <c r="AI880"/>
      <c r="AZ880"/>
      <c r="BC880"/>
      <c r="BE880"/>
      <c r="BL880"/>
      <c r="BZ880"/>
      <c r="CA880"/>
      <c r="CF880"/>
      <c r="CG880"/>
      <c r="CH880"/>
      <c r="CI880"/>
      <c r="CK880"/>
      <c r="CN880"/>
    </row>
    <row r="881" spans="1:92" x14ac:dyDescent="0.3">
      <c r="A881" s="4">
        <v>879</v>
      </c>
      <c r="B881" s="11">
        <v>49</v>
      </c>
      <c r="C881" s="2" t="str">
        <f>_xlfn.XLOOKUP(Table1[[#This Row],[Age]],Table7[Start_Age],Table7[Age_Range],,-1)</f>
        <v>49-59</v>
      </c>
      <c r="D881" t="s">
        <v>138</v>
      </c>
      <c r="E881" s="2" t="s">
        <v>129</v>
      </c>
      <c r="F881" s="2" t="s">
        <v>178</v>
      </c>
      <c r="G881" s="3">
        <v>1</v>
      </c>
      <c r="H881" s="13" t="s">
        <v>152</v>
      </c>
      <c r="I881" s="2" t="str" cm="1">
        <f t="array" ref="I881">_xlfn.IFS(Table1[[#This Row],[Job_Type]] = "unskilled resident", "Resident",
Table1[[#This Row],[Job_Type]] = "unemp/unskilled non res", "Non-resident",
TRUE, "Unknown")</f>
        <v>Unknown</v>
      </c>
      <c r="J881" s="2" t="s">
        <v>148</v>
      </c>
      <c r="K881" s="3">
        <v>4</v>
      </c>
      <c r="L881" s="2" t="s">
        <v>144</v>
      </c>
      <c r="M881" s="13" t="s">
        <v>151</v>
      </c>
      <c r="N881" t="s">
        <v>50</v>
      </c>
      <c r="O881" s="2" t="str">
        <f>_xlfn.XLOOKUP(Table1[[#This Row],[Checking_Acct_Status]],Table3[Checking_Acct_Original],Table3[Category])</f>
        <v>High Balance</v>
      </c>
      <c r="P881" s="10" t="s">
        <v>46</v>
      </c>
      <c r="Q881" s="13" t="str">
        <f>_xlfn.XLOOKUP(Table1[[#This Row],[Saving_Acct_Status]],Table5[Saving_Acct_Original],Table5[Category])</f>
        <v>Medium Savings</v>
      </c>
      <c r="R881" t="s">
        <v>41</v>
      </c>
      <c r="S881" s="2" t="str">
        <f>IF(
      OR(Table1[[#This Row],[Job_Type]] = "high qualif/self emp/mgmt", Table1[[#This Row],[Job_Type]] = "skilled"),
      "Skilled", "Unskilled")</f>
        <v>Skilled</v>
      </c>
      <c r="T881" t="str">
        <f>IF(Table1[[#This Row],[Job_Type]] = "unemp/unskilled non res", "Unemployed", "Employed")</f>
        <v>Employed</v>
      </c>
      <c r="U881" t="s">
        <v>38</v>
      </c>
      <c r="V881" s="14" t="str" cm="1">
        <f t="array" ref="V88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81" t="s">
        <v>31</v>
      </c>
      <c r="X881" s="2" t="str">
        <f>_xlfn.XLOOKUP(Table1[[#This Row],[Loan_Credit_History]],Table4[Credit History],Table4[[ Category]])</f>
        <v>Existing Credits Paid</v>
      </c>
      <c r="Y881" s="3">
        <v>2</v>
      </c>
      <c r="Z881" s="3">
        <v>1</v>
      </c>
      <c r="AA881" s="5">
        <v>1126</v>
      </c>
      <c r="AB881" t="s">
        <v>151</v>
      </c>
      <c r="AC881" s="2" t="str" cm="1">
        <f t="array" ref="AC881">_xlfn.IFS(Table1[[#This Row],[Others_Parties]] = "No", "None",
Table1[[#This Row],[Others_Parties]] = "co applicant", "Co-applicant",
Table1[[#This Row],[Others_Parties]] = "guarantor", "Guarantor")</f>
        <v>None</v>
      </c>
      <c r="AD881" s="13" t="s">
        <v>145</v>
      </c>
      <c r="AE881" s="2" t="s">
        <v>111</v>
      </c>
      <c r="AF881" s="28" t="str" cm="1">
        <f t="array" ref="AF88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81" s="21">
        <v>9</v>
      </c>
      <c r="AH881" s="2" t="s">
        <v>154</v>
      </c>
      <c r="AI881"/>
      <c r="AZ881"/>
      <c r="BC881"/>
      <c r="BE881"/>
      <c r="BL881"/>
      <c r="BZ881"/>
      <c r="CA881"/>
      <c r="CF881"/>
      <c r="CG881"/>
      <c r="CH881"/>
      <c r="CI881"/>
      <c r="CK881"/>
      <c r="CN881"/>
    </row>
    <row r="882" spans="1:92" x14ac:dyDescent="0.3">
      <c r="A882" s="4">
        <v>880</v>
      </c>
      <c r="B882" s="11">
        <v>32</v>
      </c>
      <c r="C882" s="2" t="str">
        <f>_xlfn.XLOOKUP(Table1[[#This Row],[Age]],Table7[Start_Age],Table7[Age_Range],,-1)</f>
        <v>29-39</v>
      </c>
      <c r="D882" t="s">
        <v>130</v>
      </c>
      <c r="E882" s="2" t="s">
        <v>129</v>
      </c>
      <c r="F882" s="2" t="s">
        <v>133</v>
      </c>
      <c r="G882" s="3">
        <v>2</v>
      </c>
      <c r="H882" s="13" t="s">
        <v>152</v>
      </c>
      <c r="I882" s="2" t="str" cm="1">
        <f t="array" ref="I882">_xlfn.IFS(Table1[[#This Row],[Job_Type]] = "unskilled resident", "Resident",
Table1[[#This Row],[Job_Type]] = "unemp/unskilled non res", "Non-resident",
TRUE, "Unknown")</f>
        <v>Unknown</v>
      </c>
      <c r="J882" s="2" t="s">
        <v>150</v>
      </c>
      <c r="K882" s="3">
        <v>3</v>
      </c>
      <c r="L882" s="2" t="s">
        <v>142</v>
      </c>
      <c r="M882" s="13" t="s">
        <v>151</v>
      </c>
      <c r="N882" t="s">
        <v>30</v>
      </c>
      <c r="O882" s="2" t="str">
        <f>_xlfn.XLOOKUP(Table1[[#This Row],[Checking_Acct_Status]],Table3[Checking_Acct_Original],Table3[Category])</f>
        <v>Low Balance</v>
      </c>
      <c r="P882" s="10" t="s">
        <v>20</v>
      </c>
      <c r="Q882" s="13" t="str">
        <f>_xlfn.XLOOKUP(Table1[[#This Row],[Saving_Acct_Status]],Table5[Saving_Acct_Original],Table5[Category])</f>
        <v>Very High Savings</v>
      </c>
      <c r="R882" t="s">
        <v>41</v>
      </c>
      <c r="S882" s="2" t="str">
        <f>IF(
      OR(Table1[[#This Row],[Job_Type]] = "high qualif/self emp/mgmt", Table1[[#This Row],[Job_Type]] = "skilled"),
      "Skilled", "Unskilled")</f>
        <v>Skilled</v>
      </c>
      <c r="T882" t="str">
        <f>IF(Table1[[#This Row],[Job_Type]] = "unemp/unskilled non res", "Unemployed", "Employed")</f>
        <v>Employed</v>
      </c>
      <c r="U882" t="s">
        <v>38</v>
      </c>
      <c r="V882" s="14" t="str" cm="1">
        <f t="array" ref="V88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82" t="s">
        <v>103</v>
      </c>
      <c r="X882" s="2" t="str">
        <f>_xlfn.XLOOKUP(Table1[[#This Row],[Loan_Credit_History]],Table4[Credit History],Table4[[ Category]])</f>
        <v>Critical Credit History</v>
      </c>
      <c r="Y882" s="3">
        <v>4</v>
      </c>
      <c r="Z882" s="3">
        <v>2</v>
      </c>
      <c r="AA882" s="5">
        <v>1136</v>
      </c>
      <c r="AB882" t="s">
        <v>151</v>
      </c>
      <c r="AC882" s="2" t="str" cm="1">
        <f t="array" ref="AC882">_xlfn.IFS(Table1[[#This Row],[Others_Parties]] = "No", "None",
Table1[[#This Row],[Others_Parties]] = "co applicant", "Co-applicant",
Table1[[#This Row],[Others_Parties]] = "guarantor", "Guarantor")</f>
        <v>None</v>
      </c>
      <c r="AD882" s="13" t="s">
        <v>145</v>
      </c>
      <c r="AE882" s="2" t="s">
        <v>100</v>
      </c>
      <c r="AF882" s="28" t="str" cm="1">
        <f t="array" ref="AF88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82" s="21">
        <v>9</v>
      </c>
      <c r="AH882" s="2" t="s">
        <v>153</v>
      </c>
      <c r="AI882"/>
      <c r="AZ882"/>
      <c r="BC882"/>
      <c r="BE882"/>
      <c r="BL882"/>
      <c r="BZ882"/>
      <c r="CA882"/>
      <c r="CF882"/>
      <c r="CG882"/>
      <c r="CH882"/>
      <c r="CI882"/>
      <c r="CK882"/>
      <c r="CN882"/>
    </row>
    <row r="883" spans="1:92" x14ac:dyDescent="0.3">
      <c r="A883" s="4">
        <v>881</v>
      </c>
      <c r="B883" s="11">
        <v>25</v>
      </c>
      <c r="C883" s="2" t="str">
        <f>_xlfn.XLOOKUP(Table1[[#This Row],[Age]],Table7[Start_Age],Table7[Age_Range],,-1)</f>
        <v>19-29</v>
      </c>
      <c r="D883" t="s">
        <v>130</v>
      </c>
      <c r="E883" s="2" t="s">
        <v>129</v>
      </c>
      <c r="F883" s="2" t="s">
        <v>133</v>
      </c>
      <c r="G883" s="3">
        <v>1</v>
      </c>
      <c r="H883" s="13" t="s">
        <v>152</v>
      </c>
      <c r="I883" s="2" t="str" cm="1">
        <f t="array" ref="I883">_xlfn.IFS(Table1[[#This Row],[Job_Type]] = "unskilled resident", "Resident",
Table1[[#This Row],[Job_Type]] = "unemp/unskilled non res", "Non-resident",
TRUE, "Unknown")</f>
        <v>Resident</v>
      </c>
      <c r="J883" s="2" t="s">
        <v>148</v>
      </c>
      <c r="K883" s="3">
        <v>4</v>
      </c>
      <c r="L883" s="2" t="s">
        <v>144</v>
      </c>
      <c r="M883" s="13" t="s">
        <v>151</v>
      </c>
      <c r="N883" t="s">
        <v>35</v>
      </c>
      <c r="O883" s="2" t="str">
        <f>_xlfn.XLOOKUP(Table1[[#This Row],[Checking_Acct_Status]],Table3[Checking_Acct_Original],Table3[Category])</f>
        <v>Negative Balance</v>
      </c>
      <c r="P883" s="10" t="s">
        <v>32</v>
      </c>
      <c r="Q883" s="13" t="str">
        <f>_xlfn.XLOOKUP(Table1[[#This Row],[Saving_Acct_Status]],Table5[Saving_Acct_Original],Table5[Category])</f>
        <v>Low Savings</v>
      </c>
      <c r="R883" t="s">
        <v>27</v>
      </c>
      <c r="S883" s="2" t="str">
        <f>IF(
      OR(Table1[[#This Row],[Job_Type]] = "high qualif/self emp/mgmt", Table1[[#This Row],[Job_Type]] = "skilled"),
      "Skilled", "Unskilled")</f>
        <v>Unskilled</v>
      </c>
      <c r="T883" t="str">
        <f>IF(Table1[[#This Row],[Job_Type]] = "unemp/unskilled non res", "Unemployed", "Employed")</f>
        <v>Employed</v>
      </c>
      <c r="U883" t="s">
        <v>21</v>
      </c>
      <c r="V883" s="14" t="str" cm="1">
        <f t="array" ref="V88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83" t="s">
        <v>103</v>
      </c>
      <c r="X883" s="2" t="str">
        <f>_xlfn.XLOOKUP(Table1[[#This Row],[Loan_Credit_History]],Table4[Credit History],Table4[[ Category]])</f>
        <v>Critical Credit History</v>
      </c>
      <c r="Y883" s="3">
        <v>4</v>
      </c>
      <c r="Z883" s="3">
        <v>2</v>
      </c>
      <c r="AA883" s="5">
        <v>1138</v>
      </c>
      <c r="AB883" t="s">
        <v>151</v>
      </c>
      <c r="AC883" s="2" t="str" cm="1">
        <f t="array" ref="AC883">_xlfn.IFS(Table1[[#This Row],[Others_Parties]] = "No", "None",
Table1[[#This Row],[Others_Parties]] = "co applicant", "Co-applicant",
Table1[[#This Row],[Others_Parties]] = "guarantor", "Guarantor")</f>
        <v>None</v>
      </c>
      <c r="AD883" s="13" t="s">
        <v>145</v>
      </c>
      <c r="AE883" s="2" t="s">
        <v>111</v>
      </c>
      <c r="AF883" s="28" t="str" cm="1">
        <f t="array" ref="AF88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83" s="21">
        <v>9</v>
      </c>
      <c r="AH883" s="2" t="s">
        <v>154</v>
      </c>
      <c r="AI883"/>
      <c r="AZ883"/>
      <c r="BC883"/>
      <c r="BE883"/>
      <c r="BL883"/>
      <c r="BZ883"/>
      <c r="CA883"/>
      <c r="CF883"/>
      <c r="CG883"/>
      <c r="CH883"/>
      <c r="CI883"/>
      <c r="CK883"/>
      <c r="CN883"/>
    </row>
    <row r="884" spans="1:92" x14ac:dyDescent="0.3">
      <c r="A884" s="4">
        <v>882</v>
      </c>
      <c r="B884" s="11">
        <v>37</v>
      </c>
      <c r="C884" s="2" t="str">
        <f>_xlfn.XLOOKUP(Table1[[#This Row],[Age]],Table7[Start_Age],Table7[Age_Range],,-1)</f>
        <v>29-39</v>
      </c>
      <c r="D884" t="s">
        <v>130</v>
      </c>
      <c r="E884" s="2" t="s">
        <v>129</v>
      </c>
      <c r="F884" s="2" t="s">
        <v>133</v>
      </c>
      <c r="G884" s="3">
        <v>1</v>
      </c>
      <c r="H884" s="13" t="s">
        <v>152</v>
      </c>
      <c r="I884" s="2" t="str" cm="1">
        <f t="array" ref="I884">_xlfn.IFS(Table1[[#This Row],[Job_Type]] = "unskilled resident", "Resident",
Table1[[#This Row],[Job_Type]] = "unemp/unskilled non res", "Non-resident",
TRUE, "Unknown")</f>
        <v>Resident</v>
      </c>
      <c r="J884" s="2" t="s">
        <v>148</v>
      </c>
      <c r="K884" s="3">
        <v>4</v>
      </c>
      <c r="L884" s="2" t="s">
        <v>144</v>
      </c>
      <c r="M884" s="13" t="s">
        <v>151</v>
      </c>
      <c r="N884" t="s">
        <v>30</v>
      </c>
      <c r="O884" s="2" t="str">
        <f>_xlfn.XLOOKUP(Table1[[#This Row],[Checking_Acct_Status]],Table3[Checking_Acct_Original],Table3[Category])</f>
        <v>Low Balance</v>
      </c>
      <c r="P884" s="10" t="s">
        <v>32</v>
      </c>
      <c r="Q884" s="13" t="str">
        <f>_xlfn.XLOOKUP(Table1[[#This Row],[Saving_Acct_Status]],Table5[Saving_Acct_Original],Table5[Category])</f>
        <v>Low Savings</v>
      </c>
      <c r="R884" t="s">
        <v>27</v>
      </c>
      <c r="S884" s="2" t="str">
        <f>IF(
      OR(Table1[[#This Row],[Job_Type]] = "high qualif/self emp/mgmt", Table1[[#This Row],[Job_Type]] = "skilled"),
      "Skilled", "Unskilled")</f>
        <v>Unskilled</v>
      </c>
      <c r="T884" t="str">
        <f>IF(Table1[[#This Row],[Job_Type]] = "unemp/unskilled non res", "Unemployed", "Employed")</f>
        <v>Employed</v>
      </c>
      <c r="U884" t="s">
        <v>38</v>
      </c>
      <c r="V884" s="14" t="str" cm="1">
        <f t="array" ref="V88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84" t="s">
        <v>103</v>
      </c>
      <c r="X884" s="2" t="str">
        <f>_xlfn.XLOOKUP(Table1[[#This Row],[Loan_Credit_History]],Table4[Credit History],Table4[[ Category]])</f>
        <v>Critical Credit History</v>
      </c>
      <c r="Y884" s="3">
        <v>2</v>
      </c>
      <c r="Z884" s="3">
        <v>3</v>
      </c>
      <c r="AA884" s="5">
        <v>1154</v>
      </c>
      <c r="AB884" t="s">
        <v>151</v>
      </c>
      <c r="AC884" s="2" t="str" cm="1">
        <f t="array" ref="AC884">_xlfn.IFS(Table1[[#This Row],[Others_Parties]] = "No", "None",
Table1[[#This Row],[Others_Parties]] = "co applicant", "Co-applicant",
Table1[[#This Row],[Others_Parties]] = "guarantor", "Guarantor")</f>
        <v>None</v>
      </c>
      <c r="AD884" s="13" t="s">
        <v>145</v>
      </c>
      <c r="AE884" s="2" t="s">
        <v>111</v>
      </c>
      <c r="AF884" s="28" t="str" cm="1">
        <f t="array" ref="AF88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84" s="21">
        <v>9</v>
      </c>
      <c r="AH884" s="2" t="s">
        <v>154</v>
      </c>
      <c r="AI884"/>
      <c r="AZ884"/>
      <c r="BC884"/>
      <c r="BE884"/>
      <c r="BL884"/>
      <c r="BZ884"/>
      <c r="CA884"/>
      <c r="CF884"/>
      <c r="CG884"/>
      <c r="CH884"/>
      <c r="CI884"/>
      <c r="CK884"/>
      <c r="CN884"/>
    </row>
    <row r="885" spans="1:92" x14ac:dyDescent="0.3">
      <c r="A885" s="4">
        <v>883</v>
      </c>
      <c r="B885" s="11">
        <v>67</v>
      </c>
      <c r="C885" s="2" t="str">
        <f>_xlfn.XLOOKUP(Table1[[#This Row],[Age]],Table7[Start_Age],Table7[Age_Range],,-1)</f>
        <v>59-69</v>
      </c>
      <c r="D885" t="s">
        <v>136</v>
      </c>
      <c r="E885" s="2" t="s">
        <v>131</v>
      </c>
      <c r="F885" s="2" t="s">
        <v>137</v>
      </c>
      <c r="G885" s="3">
        <v>1</v>
      </c>
      <c r="H885" s="13" t="s">
        <v>152</v>
      </c>
      <c r="I885" s="2" t="str" cm="1">
        <f t="array" ref="I885">_xlfn.IFS(Table1[[#This Row],[Job_Type]] = "unskilled resident", "Resident",
Table1[[#This Row],[Job_Type]] = "unemp/unskilled non res", "Non-resident",
TRUE, "Unknown")</f>
        <v>Unknown</v>
      </c>
      <c r="J885" s="2" t="s">
        <v>148</v>
      </c>
      <c r="K885" s="3">
        <v>4</v>
      </c>
      <c r="L885" s="2" t="s">
        <v>143</v>
      </c>
      <c r="M885" s="13" t="s">
        <v>152</v>
      </c>
      <c r="N885" t="s">
        <v>30</v>
      </c>
      <c r="O885" s="2" t="str">
        <f>_xlfn.XLOOKUP(Table1[[#This Row],[Checking_Acct_Status]],Table3[Checking_Acct_Original],Table3[Category])</f>
        <v>Low Balance</v>
      </c>
      <c r="P885" s="10" t="s">
        <v>32</v>
      </c>
      <c r="Q885" s="13" t="str">
        <f>_xlfn.XLOOKUP(Table1[[#This Row],[Saving_Acct_Status]],Table5[Saving_Acct_Original],Table5[Category])</f>
        <v>Low Savings</v>
      </c>
      <c r="R885" t="s">
        <v>63</v>
      </c>
      <c r="S885" s="2" t="str">
        <f>IF(
      OR(Table1[[#This Row],[Job_Type]] = "high qualif/self emp/mgmt", Table1[[#This Row],[Job_Type]] = "skilled"),
      "Skilled", "Unskilled")</f>
        <v>Skilled</v>
      </c>
      <c r="T885" t="str">
        <f>IF(Table1[[#This Row],[Job_Type]] = "unemp/unskilled non res", "Unemployed", "Employed")</f>
        <v>Employed</v>
      </c>
      <c r="U885" t="s">
        <v>49</v>
      </c>
      <c r="V885" s="14" t="str" cm="1">
        <f t="array" ref="V88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85" t="s">
        <v>31</v>
      </c>
      <c r="X885" s="2" t="str">
        <f>_xlfn.XLOOKUP(Table1[[#This Row],[Loan_Credit_History]],Table4[Credit History],Table4[[ Category]])</f>
        <v>Existing Credits Paid</v>
      </c>
      <c r="Y885" s="3">
        <v>4</v>
      </c>
      <c r="Z885" s="3">
        <v>2</v>
      </c>
      <c r="AA885" s="5">
        <v>1199</v>
      </c>
      <c r="AB885" t="s">
        <v>151</v>
      </c>
      <c r="AC885" s="2" t="str" cm="1">
        <f t="array" ref="AC885">_xlfn.IFS(Table1[[#This Row],[Others_Parties]] = "No", "None",
Table1[[#This Row],[Others_Parties]] = "co applicant", "Co-applicant",
Table1[[#This Row],[Others_Parties]] = "guarantor", "Guarantor")</f>
        <v>None</v>
      </c>
      <c r="AD885" s="13" t="s">
        <v>145</v>
      </c>
      <c r="AE885" s="2" t="s">
        <v>100</v>
      </c>
      <c r="AF885" s="28" t="str" cm="1">
        <f t="array" ref="AF88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85" s="21">
        <v>9</v>
      </c>
      <c r="AH885" s="2" t="s">
        <v>154</v>
      </c>
      <c r="AI885"/>
      <c r="AZ885"/>
      <c r="BC885"/>
      <c r="BE885"/>
      <c r="BL885"/>
      <c r="BZ885"/>
      <c r="CA885"/>
      <c r="CF885"/>
      <c r="CG885"/>
      <c r="CH885"/>
      <c r="CI885"/>
      <c r="CK885"/>
      <c r="CN885"/>
    </row>
    <row r="886" spans="1:92" x14ac:dyDescent="0.3">
      <c r="A886" s="4">
        <v>884</v>
      </c>
      <c r="B886" s="11">
        <v>25</v>
      </c>
      <c r="C886" s="2" t="str">
        <f>_xlfn.XLOOKUP(Table1[[#This Row],[Age]],Table7[Start_Age],Table7[Age_Range],,-1)</f>
        <v>19-29</v>
      </c>
      <c r="D886" t="s">
        <v>136</v>
      </c>
      <c r="E886" s="2" t="s">
        <v>131</v>
      </c>
      <c r="F886" s="2" t="s">
        <v>137</v>
      </c>
      <c r="G886" s="3">
        <v>1</v>
      </c>
      <c r="H886" s="13" t="s">
        <v>152</v>
      </c>
      <c r="I886" s="2" t="str" cm="1">
        <f t="array" ref="I886">_xlfn.IFS(Table1[[#This Row],[Job_Type]] = "unskilled resident", "Resident",
Table1[[#This Row],[Job_Type]] = "unemp/unskilled non res", "Non-resident",
TRUE, "Unknown")</f>
        <v>Unknown</v>
      </c>
      <c r="J886" s="2" t="s">
        <v>148</v>
      </c>
      <c r="K886" s="3">
        <v>4</v>
      </c>
      <c r="L886" s="2" t="s">
        <v>144</v>
      </c>
      <c r="M886" s="13" t="s">
        <v>151</v>
      </c>
      <c r="N886" t="s">
        <v>30</v>
      </c>
      <c r="O886" s="2" t="str">
        <f>_xlfn.XLOOKUP(Table1[[#This Row],[Checking_Acct_Status]],Table3[Checking_Acct_Original],Table3[Category])</f>
        <v>Low Balance</v>
      </c>
      <c r="P886" s="10" t="s">
        <v>32</v>
      </c>
      <c r="Q886" s="13" t="str">
        <f>_xlfn.XLOOKUP(Table1[[#This Row],[Saving_Acct_Status]],Table5[Saving_Acct_Original],Table5[Category])</f>
        <v>Low Savings</v>
      </c>
      <c r="R886" t="s">
        <v>41</v>
      </c>
      <c r="S886" s="2" t="str">
        <f>IF(
      OR(Table1[[#This Row],[Job_Type]] = "high qualif/self emp/mgmt", Table1[[#This Row],[Job_Type]] = "skilled"),
      "Skilled", "Unskilled")</f>
        <v>Skilled</v>
      </c>
      <c r="T886" t="str">
        <f>IF(Table1[[#This Row],[Job_Type]] = "unemp/unskilled non res", "Unemployed", "Employed")</f>
        <v>Employed</v>
      </c>
      <c r="U886" t="s">
        <v>38</v>
      </c>
      <c r="V886" s="14" t="str" cm="1">
        <f t="array" ref="V88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86" t="s">
        <v>31</v>
      </c>
      <c r="X886" s="2" t="str">
        <f>_xlfn.XLOOKUP(Table1[[#This Row],[Loan_Credit_History]],Table4[Credit History],Table4[[ Category]])</f>
        <v>Existing Credits Paid</v>
      </c>
      <c r="Y886" s="3">
        <v>4</v>
      </c>
      <c r="Z886" s="3">
        <v>1</v>
      </c>
      <c r="AA886" s="5">
        <v>1206</v>
      </c>
      <c r="AB886" t="s">
        <v>151</v>
      </c>
      <c r="AC886" s="2" t="str" cm="1">
        <f t="array" ref="AC886">_xlfn.IFS(Table1[[#This Row],[Others_Parties]] = "No", "None",
Table1[[#This Row],[Others_Parties]] = "co applicant", "Co-applicant",
Table1[[#This Row],[Others_Parties]] = "guarantor", "Guarantor")</f>
        <v>None</v>
      </c>
      <c r="AD886" s="13" t="s">
        <v>145</v>
      </c>
      <c r="AE886" s="2" t="s">
        <v>111</v>
      </c>
      <c r="AF886" s="28" t="str" cm="1">
        <f t="array" ref="AF88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86" s="21">
        <v>9</v>
      </c>
      <c r="AH886" s="2" t="s">
        <v>154</v>
      </c>
      <c r="AI886"/>
      <c r="AZ886"/>
      <c r="BC886"/>
      <c r="BE886"/>
      <c r="BL886"/>
      <c r="BZ886"/>
      <c r="CA886"/>
      <c r="CF886"/>
      <c r="CG886"/>
      <c r="CH886"/>
      <c r="CI886"/>
      <c r="CK886"/>
      <c r="CN886"/>
    </row>
    <row r="887" spans="1:92" x14ac:dyDescent="0.3">
      <c r="A887" s="4">
        <v>885</v>
      </c>
      <c r="B887" s="11">
        <v>30</v>
      </c>
      <c r="C887" s="2" t="str">
        <f>_xlfn.XLOOKUP(Table1[[#This Row],[Age]],Table7[Start_Age],Table7[Age_Range],,-1)</f>
        <v>29-39</v>
      </c>
      <c r="D887" t="s">
        <v>130</v>
      </c>
      <c r="E887" s="2" t="s">
        <v>129</v>
      </c>
      <c r="F887" s="2" t="s">
        <v>133</v>
      </c>
      <c r="G887" s="3">
        <v>1</v>
      </c>
      <c r="H887" s="13" t="s">
        <v>152</v>
      </c>
      <c r="I887" s="2" t="str" cm="1">
        <f t="array" ref="I887">_xlfn.IFS(Table1[[#This Row],[Job_Type]] = "unskilled resident", "Resident",
Table1[[#This Row],[Job_Type]] = "unemp/unskilled non res", "Non-resident",
TRUE, "Unknown")</f>
        <v>Unknown</v>
      </c>
      <c r="J887" s="2" t="s">
        <v>148</v>
      </c>
      <c r="K887" s="3">
        <v>1</v>
      </c>
      <c r="L887" s="2" t="s">
        <v>144</v>
      </c>
      <c r="M887" s="13" t="s">
        <v>151</v>
      </c>
      <c r="N887" t="s">
        <v>17</v>
      </c>
      <c r="O887" s="2" t="str">
        <f>_xlfn.XLOOKUP(Table1[[#This Row],[Checking_Acct_Status]],Table3[Checking_Acct_Original],Table3[Category])</f>
        <v>No Account</v>
      </c>
      <c r="P887" s="10" t="s">
        <v>32</v>
      </c>
      <c r="Q887" s="13" t="str">
        <f>_xlfn.XLOOKUP(Table1[[#This Row],[Saving_Acct_Status]],Table5[Saving_Acct_Original],Table5[Category])</f>
        <v>Low Savings</v>
      </c>
      <c r="R887" t="s">
        <v>41</v>
      </c>
      <c r="S887" s="2" t="str">
        <f>IF(
      OR(Table1[[#This Row],[Job_Type]] = "high qualif/self emp/mgmt", Table1[[#This Row],[Job_Type]] = "skilled"),
      "Skilled", "Unskilled")</f>
        <v>Skilled</v>
      </c>
      <c r="T887" t="str">
        <f>IF(Table1[[#This Row],[Job_Type]] = "unemp/unskilled non res", "Unemployed", "Employed")</f>
        <v>Employed</v>
      </c>
      <c r="U887" t="s">
        <v>21</v>
      </c>
      <c r="V887" s="14" t="str" cm="1">
        <f t="array" ref="V88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87" t="s">
        <v>103</v>
      </c>
      <c r="X887" s="2" t="str">
        <f>_xlfn.XLOOKUP(Table1[[#This Row],[Loan_Credit_History]],Table4[Credit History],Table4[[ Category]])</f>
        <v>Critical Credit History</v>
      </c>
      <c r="Y887" s="3">
        <v>3</v>
      </c>
      <c r="Z887" s="3">
        <v>2</v>
      </c>
      <c r="AA887" s="5">
        <v>1224</v>
      </c>
      <c r="AB887" t="s">
        <v>151</v>
      </c>
      <c r="AC887" s="2" t="str" cm="1">
        <f t="array" ref="AC887">_xlfn.IFS(Table1[[#This Row],[Others_Parties]] = "No", "None",
Table1[[#This Row],[Others_Parties]] = "co applicant", "Co-applicant",
Table1[[#This Row],[Others_Parties]] = "guarantor", "Guarantor")</f>
        <v>None</v>
      </c>
      <c r="AD887" s="13" t="s">
        <v>145</v>
      </c>
      <c r="AE887" s="2" t="s">
        <v>141</v>
      </c>
      <c r="AF887" s="28" t="str" cm="1">
        <f t="array" ref="AF88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87" s="21">
        <v>9</v>
      </c>
      <c r="AH887" s="2" t="s">
        <v>154</v>
      </c>
      <c r="AI887"/>
      <c r="AZ887"/>
      <c r="BC887"/>
      <c r="BE887"/>
      <c r="BL887"/>
      <c r="BZ887"/>
      <c r="CA887"/>
      <c r="CF887"/>
      <c r="CG887"/>
      <c r="CH887"/>
      <c r="CI887"/>
      <c r="CK887"/>
      <c r="CN887"/>
    </row>
    <row r="888" spans="1:92" x14ac:dyDescent="0.3">
      <c r="A888" s="4">
        <v>886</v>
      </c>
      <c r="B888" s="11">
        <v>23</v>
      </c>
      <c r="C888" s="2" t="str">
        <f>_xlfn.XLOOKUP(Table1[[#This Row],[Age]],Table7[Start_Age],Table7[Age_Range],,-1)</f>
        <v>19-29</v>
      </c>
      <c r="D888" t="s">
        <v>136</v>
      </c>
      <c r="E888" s="2" t="s">
        <v>131</v>
      </c>
      <c r="F888" s="2" t="s">
        <v>137</v>
      </c>
      <c r="G888" s="3">
        <v>1</v>
      </c>
      <c r="H888" s="13" t="s">
        <v>152</v>
      </c>
      <c r="I888" s="2" t="str" cm="1">
        <f t="array" ref="I888">_xlfn.IFS(Table1[[#This Row],[Job_Type]] = "unskilled resident", "Resident",
Table1[[#This Row],[Job_Type]] = "unemp/unskilled non res", "Non-resident",
TRUE, "Unknown")</f>
        <v>Unknown</v>
      </c>
      <c r="J888" s="2" t="s">
        <v>149</v>
      </c>
      <c r="K888" s="3">
        <v>4</v>
      </c>
      <c r="L888" s="2" t="s">
        <v>144</v>
      </c>
      <c r="M888" s="13" t="s">
        <v>152</v>
      </c>
      <c r="N888" t="s">
        <v>17</v>
      </c>
      <c r="O888" s="2" t="str">
        <f>_xlfn.XLOOKUP(Table1[[#This Row],[Checking_Acct_Status]],Table3[Checking_Acct_Original],Table3[Category])</f>
        <v>No Account</v>
      </c>
      <c r="P888" s="10" t="s">
        <v>32</v>
      </c>
      <c r="Q888" s="13" t="str">
        <f>_xlfn.XLOOKUP(Table1[[#This Row],[Saving_Acct_Status]],Table5[Saving_Acct_Original],Table5[Category])</f>
        <v>Low Savings</v>
      </c>
      <c r="R888" t="s">
        <v>41</v>
      </c>
      <c r="S888" s="2" t="str">
        <f>IF(
      OR(Table1[[#This Row],[Job_Type]] = "high qualif/self emp/mgmt", Table1[[#This Row],[Job_Type]] = "skilled"),
      "Skilled", "Unskilled")</f>
        <v>Skilled</v>
      </c>
      <c r="T888" t="str">
        <f>IF(Table1[[#This Row],[Job_Type]] = "unemp/unskilled non res", "Unemployed", "Employed")</f>
        <v>Employed</v>
      </c>
      <c r="U888" t="s">
        <v>45</v>
      </c>
      <c r="V888" s="14" t="str" cm="1">
        <f t="array" ref="V88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88" t="s">
        <v>31</v>
      </c>
      <c r="X888" s="2" t="str">
        <f>_xlfn.XLOOKUP(Table1[[#This Row],[Loan_Credit_History]],Table4[Credit History],Table4[[ Category]])</f>
        <v>Existing Credits Paid</v>
      </c>
      <c r="Y888" s="3">
        <v>1</v>
      </c>
      <c r="Z888" s="3">
        <v>1</v>
      </c>
      <c r="AA888" s="5">
        <v>1236</v>
      </c>
      <c r="AB888" t="s">
        <v>151</v>
      </c>
      <c r="AC888" s="2" t="str" cm="1">
        <f t="array" ref="AC888">_xlfn.IFS(Table1[[#This Row],[Others_Parties]] = "No", "None",
Table1[[#This Row],[Others_Parties]] = "co applicant", "Co-applicant",
Table1[[#This Row],[Others_Parties]] = "guarantor", "Guarantor")</f>
        <v>None</v>
      </c>
      <c r="AD888" s="13" t="s">
        <v>145</v>
      </c>
      <c r="AE888" s="2" t="s">
        <v>106</v>
      </c>
      <c r="AF888" s="28" t="str" cm="1">
        <f t="array" ref="AF88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88" s="21">
        <v>9</v>
      </c>
      <c r="AH888" s="2" t="s">
        <v>154</v>
      </c>
      <c r="AI888"/>
      <c r="AZ888"/>
      <c r="BC888"/>
      <c r="BE888"/>
      <c r="BL888"/>
      <c r="BZ888"/>
      <c r="CA888"/>
      <c r="CF888"/>
      <c r="CG888"/>
      <c r="CH888"/>
      <c r="CI888"/>
      <c r="CK888"/>
      <c r="CN888"/>
    </row>
    <row r="889" spans="1:92" x14ac:dyDescent="0.3">
      <c r="A889" s="4">
        <v>887</v>
      </c>
      <c r="B889" s="11">
        <v>41</v>
      </c>
      <c r="C889" s="2" t="str">
        <f>_xlfn.XLOOKUP(Table1[[#This Row],[Age]],Table7[Start_Age],Table7[Age_Range],,-1)</f>
        <v>39-49</v>
      </c>
      <c r="D889" t="s">
        <v>136</v>
      </c>
      <c r="E889" s="2" t="s">
        <v>131</v>
      </c>
      <c r="F889" s="2" t="s">
        <v>137</v>
      </c>
      <c r="G889" s="3">
        <v>1</v>
      </c>
      <c r="H889" s="13" t="s">
        <v>152</v>
      </c>
      <c r="I889" s="2" t="str" cm="1">
        <f t="array" ref="I889">_xlfn.IFS(Table1[[#This Row],[Job_Type]] = "unskilled resident", "Resident",
Table1[[#This Row],[Job_Type]] = "unemp/unskilled non res", "Non-resident",
TRUE, "Unknown")</f>
        <v>Resident</v>
      </c>
      <c r="J889" s="2" t="s">
        <v>149</v>
      </c>
      <c r="K889" s="3">
        <v>4</v>
      </c>
      <c r="L889" s="2" t="s">
        <v>143</v>
      </c>
      <c r="M889" s="13" t="s">
        <v>151</v>
      </c>
      <c r="N889" t="s">
        <v>17</v>
      </c>
      <c r="O889" s="2" t="str">
        <f>_xlfn.XLOOKUP(Table1[[#This Row],[Checking_Acct_Status]],Table3[Checking_Acct_Original],Table3[Category])</f>
        <v>No Account</v>
      </c>
      <c r="P889" s="10" t="s">
        <v>47</v>
      </c>
      <c r="Q889" s="13" t="str">
        <f>_xlfn.XLOOKUP(Table1[[#This Row],[Saving_Acct_Status]],Table5[Saving_Acct_Original],Table5[Category])</f>
        <v>No Savings</v>
      </c>
      <c r="R889" t="s">
        <v>27</v>
      </c>
      <c r="S889" s="2" t="str">
        <f>IF(
      OR(Table1[[#This Row],[Job_Type]] = "high qualif/self emp/mgmt", Table1[[#This Row],[Job_Type]] = "skilled"),
      "Skilled", "Unskilled")</f>
        <v>Unskilled</v>
      </c>
      <c r="T889" t="str">
        <f>IF(Table1[[#This Row],[Job_Type]] = "unemp/unskilled non res", "Unemployed", "Employed")</f>
        <v>Employed</v>
      </c>
      <c r="U889" t="s">
        <v>38</v>
      </c>
      <c r="V889" s="14" t="str" cm="1">
        <f t="array" ref="V88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89" t="s">
        <v>103</v>
      </c>
      <c r="X889" s="2" t="str">
        <f>_xlfn.XLOOKUP(Table1[[#This Row],[Loan_Credit_History]],Table4[Credit History],Table4[[ Category]])</f>
        <v>Critical Credit History</v>
      </c>
      <c r="Y889" s="3">
        <v>4</v>
      </c>
      <c r="Z889" s="3">
        <v>2</v>
      </c>
      <c r="AA889" s="5">
        <v>1244</v>
      </c>
      <c r="AB889" t="s">
        <v>151</v>
      </c>
      <c r="AC889" s="2" t="str" cm="1">
        <f t="array" ref="AC889">_xlfn.IFS(Table1[[#This Row],[Others_Parties]] = "No", "None",
Table1[[#This Row],[Others_Parties]] = "co applicant", "Co-applicant",
Table1[[#This Row],[Others_Parties]] = "guarantor", "Guarantor")</f>
        <v>None</v>
      </c>
      <c r="AD889" s="13" t="s">
        <v>145</v>
      </c>
      <c r="AE889" s="2" t="s">
        <v>100</v>
      </c>
      <c r="AF889" s="28" t="str" cm="1">
        <f t="array" ref="AF88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89" s="21">
        <v>9</v>
      </c>
      <c r="AH889" s="2" t="s">
        <v>154</v>
      </c>
      <c r="AI889"/>
      <c r="AZ889"/>
      <c r="BC889"/>
      <c r="BE889"/>
      <c r="BL889"/>
      <c r="BZ889"/>
      <c r="CA889"/>
      <c r="CF889"/>
      <c r="CG889"/>
      <c r="CH889"/>
      <c r="CI889"/>
      <c r="CK889"/>
      <c r="CN889"/>
    </row>
    <row r="890" spans="1:92" x14ac:dyDescent="0.3">
      <c r="A890" s="4">
        <v>888</v>
      </c>
      <c r="B890" s="11">
        <v>20</v>
      </c>
      <c r="C890" s="2" t="str">
        <f>_xlfn.XLOOKUP(Table1[[#This Row],[Age]],Table7[Start_Age],Table7[Age_Range],,-1)</f>
        <v>19-29</v>
      </c>
      <c r="D890" t="s">
        <v>130</v>
      </c>
      <c r="E890" s="2" t="s">
        <v>129</v>
      </c>
      <c r="F890" s="2" t="s">
        <v>133</v>
      </c>
      <c r="G890" s="3">
        <v>1</v>
      </c>
      <c r="H890" s="13" t="s">
        <v>152</v>
      </c>
      <c r="I890" s="2" t="str" cm="1">
        <f t="array" ref="I890">_xlfn.IFS(Table1[[#This Row],[Job_Type]] = "unskilled resident", "Resident",
Table1[[#This Row],[Job_Type]] = "unemp/unskilled non res", "Non-resident",
TRUE, "Unknown")</f>
        <v>Unknown</v>
      </c>
      <c r="J890" s="2" t="s">
        <v>148</v>
      </c>
      <c r="K890" s="3">
        <v>4</v>
      </c>
      <c r="L890" s="2" t="s">
        <v>140</v>
      </c>
      <c r="M890" s="13" t="s">
        <v>151</v>
      </c>
      <c r="N890" t="s">
        <v>17</v>
      </c>
      <c r="O890" s="2" t="str">
        <f>_xlfn.XLOOKUP(Table1[[#This Row],[Checking_Acct_Status]],Table3[Checking_Acct_Original],Table3[Category])</f>
        <v>No Account</v>
      </c>
      <c r="P890" s="10" t="s">
        <v>32</v>
      </c>
      <c r="Q890" s="13" t="str">
        <f>_xlfn.XLOOKUP(Table1[[#This Row],[Saving_Acct_Status]],Table5[Saving_Acct_Original],Table5[Category])</f>
        <v>Low Savings</v>
      </c>
      <c r="R890" t="s">
        <v>41</v>
      </c>
      <c r="S890" s="2" t="str">
        <f>IF(
      OR(Table1[[#This Row],[Job_Type]] = "high qualif/self emp/mgmt", Table1[[#This Row],[Job_Type]] = "skilled"),
      "Skilled", "Unskilled")</f>
        <v>Skilled</v>
      </c>
      <c r="T890" t="str">
        <f>IF(Table1[[#This Row],[Job_Type]] = "unemp/unskilled non res", "Unemployed", "Employed")</f>
        <v>Employed</v>
      </c>
      <c r="U890" t="s">
        <v>38</v>
      </c>
      <c r="V890" s="14" t="str" cm="1">
        <f t="array" ref="V89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890" t="s">
        <v>31</v>
      </c>
      <c r="X890" s="2" t="str">
        <f>_xlfn.XLOOKUP(Table1[[#This Row],[Loan_Credit_History]],Table4[Credit History],Table4[[ Category]])</f>
        <v>Existing Credits Paid</v>
      </c>
      <c r="Y890" s="3">
        <v>1</v>
      </c>
      <c r="Z890" s="3">
        <v>1</v>
      </c>
      <c r="AA890" s="5">
        <v>1313</v>
      </c>
      <c r="AB890" t="s">
        <v>151</v>
      </c>
      <c r="AC890" s="2" t="str" cm="1">
        <f t="array" ref="AC890">_xlfn.IFS(Table1[[#This Row],[Others_Parties]] = "No", "None",
Table1[[#This Row],[Others_Parties]] = "co applicant", "Co-applicant",
Table1[[#This Row],[Others_Parties]] = "guarantor", "Guarantor")</f>
        <v>None</v>
      </c>
      <c r="AD890" s="13" t="s">
        <v>145</v>
      </c>
      <c r="AE890" s="2" t="s">
        <v>108</v>
      </c>
      <c r="AF890" s="28" t="str" cm="1">
        <f t="array" ref="AF89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90" s="21">
        <v>9</v>
      </c>
      <c r="AH890" s="2" t="s">
        <v>154</v>
      </c>
      <c r="AI890"/>
      <c r="AZ890"/>
      <c r="BC890"/>
      <c r="BE890"/>
      <c r="BL890"/>
      <c r="BZ890"/>
      <c r="CA890"/>
      <c r="CF890"/>
      <c r="CG890"/>
      <c r="CH890"/>
      <c r="CI890"/>
      <c r="CK890"/>
      <c r="CN890"/>
    </row>
    <row r="891" spans="1:92" x14ac:dyDescent="0.3">
      <c r="A891" s="4">
        <v>889</v>
      </c>
      <c r="B891" s="11">
        <v>34</v>
      </c>
      <c r="C891" s="2" t="str">
        <f>_xlfn.XLOOKUP(Table1[[#This Row],[Age]],Table7[Start_Age],Table7[Age_Range],,-1)</f>
        <v>29-39</v>
      </c>
      <c r="D891" t="s">
        <v>130</v>
      </c>
      <c r="E891" s="2" t="s">
        <v>129</v>
      </c>
      <c r="F891" s="2" t="s">
        <v>133</v>
      </c>
      <c r="G891" s="3">
        <v>1</v>
      </c>
      <c r="H891" s="13" t="s">
        <v>152</v>
      </c>
      <c r="I891" s="2" t="str" cm="1">
        <f t="array" ref="I891">_xlfn.IFS(Table1[[#This Row],[Job_Type]] = "unskilled resident", "Resident",
Table1[[#This Row],[Job_Type]] = "unemp/unskilled non res", "Non-resident",
TRUE, "Unknown")</f>
        <v>Unknown</v>
      </c>
      <c r="J891" s="2" t="s">
        <v>148</v>
      </c>
      <c r="K891" s="3">
        <v>2</v>
      </c>
      <c r="L891" s="2" t="s">
        <v>140</v>
      </c>
      <c r="M891" s="13" t="s">
        <v>152</v>
      </c>
      <c r="N891" t="s">
        <v>50</v>
      </c>
      <c r="O891" s="2" t="str">
        <f>_xlfn.XLOOKUP(Table1[[#This Row],[Checking_Acct_Status]],Table3[Checking_Acct_Original],Table3[Category])</f>
        <v>High Balance</v>
      </c>
      <c r="P891" s="10" t="s">
        <v>32</v>
      </c>
      <c r="Q891" s="13" t="str">
        <f>_xlfn.XLOOKUP(Table1[[#This Row],[Saving_Acct_Status]],Table5[Saving_Acct_Original],Table5[Category])</f>
        <v>Low Savings</v>
      </c>
      <c r="R891" t="s">
        <v>63</v>
      </c>
      <c r="S891" s="2" t="str">
        <f>IF(
      OR(Table1[[#This Row],[Job_Type]] = "high qualif/self emp/mgmt", Table1[[#This Row],[Job_Type]] = "skilled"),
      "Skilled", "Unskilled")</f>
        <v>Skilled</v>
      </c>
      <c r="T891" t="str">
        <f>IF(Table1[[#This Row],[Job_Type]] = "unemp/unskilled non res", "Unemployed", "Employed")</f>
        <v>Employed</v>
      </c>
      <c r="U891" t="s">
        <v>45</v>
      </c>
      <c r="V891" s="14" t="str" cm="1">
        <f t="array" ref="V89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91" t="s">
        <v>52</v>
      </c>
      <c r="X891" s="2" t="str">
        <f>_xlfn.XLOOKUP(Table1[[#This Row],[Loan_Credit_History]],Table4[Credit History],Table4[[ Category]])</f>
        <v>No Credit History</v>
      </c>
      <c r="Y891" s="3">
        <v>4</v>
      </c>
      <c r="Z891" s="3">
        <v>2</v>
      </c>
      <c r="AA891" s="5">
        <v>1337</v>
      </c>
      <c r="AB891" t="s">
        <v>151</v>
      </c>
      <c r="AC891" s="2" t="str" cm="1">
        <f t="array" ref="AC891">_xlfn.IFS(Table1[[#This Row],[Others_Parties]] = "No", "None",
Table1[[#This Row],[Others_Parties]] = "co applicant", "Co-applicant",
Table1[[#This Row],[Others_Parties]] = "guarantor", "Guarantor")</f>
        <v>None</v>
      </c>
      <c r="AD891" s="13" t="s">
        <v>145</v>
      </c>
      <c r="AE891" s="2" t="s">
        <v>111</v>
      </c>
      <c r="AF891" s="28" t="str" cm="1">
        <f t="array" ref="AF89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91" s="21">
        <v>9</v>
      </c>
      <c r="AH891" s="2" t="s">
        <v>153</v>
      </c>
      <c r="AI891"/>
      <c r="AZ891"/>
      <c r="BC891"/>
      <c r="BE891"/>
      <c r="BL891"/>
      <c r="BZ891"/>
      <c r="CA891"/>
      <c r="CF891"/>
      <c r="CG891"/>
      <c r="CH891"/>
      <c r="CI891"/>
      <c r="CK891"/>
      <c r="CN891"/>
    </row>
    <row r="892" spans="1:92" x14ac:dyDescent="0.3">
      <c r="A892" s="4">
        <v>890</v>
      </c>
      <c r="B892" s="11">
        <v>59</v>
      </c>
      <c r="C892" s="2" t="str">
        <f>_xlfn.XLOOKUP(Table1[[#This Row],[Age]],Table7[Start_Age],Table7[Age_Range],,-1)</f>
        <v>59-69</v>
      </c>
      <c r="D892" t="s">
        <v>130</v>
      </c>
      <c r="E892" s="2" t="s">
        <v>129</v>
      </c>
      <c r="F892" s="2" t="s">
        <v>133</v>
      </c>
      <c r="G892" s="3">
        <v>1</v>
      </c>
      <c r="H892" s="13" t="s">
        <v>152</v>
      </c>
      <c r="I892" s="2" t="str" cm="1">
        <f t="array" ref="I892">_xlfn.IFS(Table1[[#This Row],[Job_Type]] = "unskilled resident", "Resident",
Table1[[#This Row],[Job_Type]] = "unemp/unskilled non res", "Non-resident",
TRUE, "Unknown")</f>
        <v>Unknown</v>
      </c>
      <c r="J892" s="2" t="s">
        <v>148</v>
      </c>
      <c r="K892" s="3">
        <v>4</v>
      </c>
      <c r="L892" s="2" t="s">
        <v>144</v>
      </c>
      <c r="M892" s="13" t="s">
        <v>151</v>
      </c>
      <c r="N892" t="s">
        <v>35</v>
      </c>
      <c r="O892" s="2" t="str">
        <f>_xlfn.XLOOKUP(Table1[[#This Row],[Checking_Acct_Status]],Table3[Checking_Acct_Original],Table3[Category])</f>
        <v>Negative Balance</v>
      </c>
      <c r="P892" s="10" t="s">
        <v>32</v>
      </c>
      <c r="Q892" s="13" t="str">
        <f>_xlfn.XLOOKUP(Table1[[#This Row],[Saving_Acct_Status]],Table5[Saving_Acct_Original],Table5[Category])</f>
        <v>Low Savings</v>
      </c>
      <c r="R892" t="s">
        <v>41</v>
      </c>
      <c r="S892" s="2" t="str">
        <f>IF(
      OR(Table1[[#This Row],[Job_Type]] = "high qualif/self emp/mgmt", Table1[[#This Row],[Job_Type]] = "skilled"),
      "Skilled", "Unskilled")</f>
        <v>Skilled</v>
      </c>
      <c r="T892" t="str">
        <f>IF(Table1[[#This Row],[Job_Type]] = "unemp/unskilled non res", "Unemployed", "Employed")</f>
        <v>Employed</v>
      </c>
      <c r="U892" t="s">
        <v>49</v>
      </c>
      <c r="V892" s="14" t="str" cm="1">
        <f t="array" ref="V89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92" t="s">
        <v>31</v>
      </c>
      <c r="X892" s="2" t="str">
        <f>_xlfn.XLOOKUP(Table1[[#This Row],[Loan_Credit_History]],Table4[Credit History],Table4[[ Category]])</f>
        <v>Existing Credits Paid</v>
      </c>
      <c r="Y892" s="3">
        <v>3</v>
      </c>
      <c r="Z892" s="3">
        <v>1</v>
      </c>
      <c r="AA892" s="5">
        <v>1364</v>
      </c>
      <c r="AB892" t="s">
        <v>151</v>
      </c>
      <c r="AC892" s="2" t="str" cm="1">
        <f t="array" ref="AC892">_xlfn.IFS(Table1[[#This Row],[Others_Parties]] = "No", "None",
Table1[[#This Row],[Others_Parties]] = "co applicant", "Co-applicant",
Table1[[#This Row],[Others_Parties]] = "guarantor", "Guarantor")</f>
        <v>None</v>
      </c>
      <c r="AD892" s="13" t="s">
        <v>145</v>
      </c>
      <c r="AE892" s="2" t="s">
        <v>111</v>
      </c>
      <c r="AF892" s="28" t="str" cm="1">
        <f t="array" ref="AF89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92" s="21">
        <v>9</v>
      </c>
      <c r="AH892" s="2" t="s">
        <v>154</v>
      </c>
      <c r="AI892"/>
      <c r="AZ892"/>
      <c r="BC892"/>
      <c r="BE892"/>
      <c r="BL892"/>
      <c r="BZ892"/>
      <c r="CA892"/>
      <c r="CF892"/>
      <c r="CG892"/>
      <c r="CH892"/>
      <c r="CI892"/>
      <c r="CK892"/>
      <c r="CN892"/>
    </row>
    <row r="893" spans="1:92" x14ac:dyDescent="0.3">
      <c r="A893" s="4">
        <v>891</v>
      </c>
      <c r="B893" s="11">
        <v>22</v>
      </c>
      <c r="C893" s="2" t="str">
        <f>_xlfn.XLOOKUP(Table1[[#This Row],[Age]],Table7[Start_Age],Table7[Age_Range],,-1)</f>
        <v>19-29</v>
      </c>
      <c r="D893" t="s">
        <v>136</v>
      </c>
      <c r="E893" s="2" t="s">
        <v>131</v>
      </c>
      <c r="F893" s="2" t="s">
        <v>137</v>
      </c>
      <c r="G893" s="3">
        <v>1</v>
      </c>
      <c r="H893" s="13" t="s">
        <v>152</v>
      </c>
      <c r="I893" s="2" t="str" cm="1">
        <f t="array" ref="I893">_xlfn.IFS(Table1[[#This Row],[Job_Type]] = "unskilled resident", "Resident",
Table1[[#This Row],[Job_Type]] = "unemp/unskilled non res", "Non-resident",
TRUE, "Unknown")</f>
        <v>Unknown</v>
      </c>
      <c r="J893" s="2" t="s">
        <v>149</v>
      </c>
      <c r="K893" s="3">
        <v>4</v>
      </c>
      <c r="L893" s="2" t="s">
        <v>143</v>
      </c>
      <c r="M893" s="13" t="s">
        <v>151</v>
      </c>
      <c r="N893" t="s">
        <v>35</v>
      </c>
      <c r="O893" s="2" t="str">
        <f>_xlfn.XLOOKUP(Table1[[#This Row],[Checking_Acct_Status]],Table3[Checking_Acct_Original],Table3[Category])</f>
        <v>Negative Balance</v>
      </c>
      <c r="P893" s="10" t="s">
        <v>32</v>
      </c>
      <c r="Q893" s="13" t="str">
        <f>_xlfn.XLOOKUP(Table1[[#This Row],[Saving_Acct_Status]],Table5[Saving_Acct_Original],Table5[Category])</f>
        <v>Low Savings</v>
      </c>
      <c r="R893" t="s">
        <v>41</v>
      </c>
      <c r="S893" s="2" t="str">
        <f>IF(
      OR(Table1[[#This Row],[Job_Type]] = "high qualif/self emp/mgmt", Table1[[#This Row],[Job_Type]] = "skilled"),
      "Skilled", "Unskilled")</f>
        <v>Skilled</v>
      </c>
      <c r="T893" t="str">
        <f>IF(Table1[[#This Row],[Job_Type]] = "unemp/unskilled non res", "Unemployed", "Employed")</f>
        <v>Employed</v>
      </c>
      <c r="U893" t="s">
        <v>45</v>
      </c>
      <c r="V893" s="14" t="str" cm="1">
        <f t="array" ref="V89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93" t="s">
        <v>31</v>
      </c>
      <c r="X893" s="2" t="str">
        <f>_xlfn.XLOOKUP(Table1[[#This Row],[Loan_Credit_History]],Table4[Credit History],Table4[[ Category]])</f>
        <v>Existing Credits Paid</v>
      </c>
      <c r="Y893" s="3">
        <v>3</v>
      </c>
      <c r="Z893" s="3">
        <v>1</v>
      </c>
      <c r="AA893" s="5">
        <v>1366</v>
      </c>
      <c r="AB893" t="s">
        <v>151</v>
      </c>
      <c r="AC893" s="2" t="str" cm="1">
        <f t="array" ref="AC893">_xlfn.IFS(Table1[[#This Row],[Others_Parties]] = "No", "None",
Table1[[#This Row],[Others_Parties]] = "co applicant", "Co-applicant",
Table1[[#This Row],[Others_Parties]] = "guarantor", "Guarantor")</f>
        <v>None</v>
      </c>
      <c r="AD893" s="13" t="s">
        <v>145</v>
      </c>
      <c r="AE893" s="2" t="s">
        <v>111</v>
      </c>
      <c r="AF893" s="28" t="str" cm="1">
        <f t="array" ref="AF89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93" s="21">
        <v>9</v>
      </c>
      <c r="AH893" s="2" t="s">
        <v>153</v>
      </c>
      <c r="AI893"/>
      <c r="AZ893"/>
      <c r="BC893"/>
      <c r="BE893"/>
      <c r="BL893"/>
      <c r="BZ893"/>
      <c r="CA893"/>
      <c r="CF893"/>
      <c r="CG893"/>
      <c r="CH893"/>
      <c r="CI893"/>
      <c r="CK893"/>
      <c r="CN893"/>
    </row>
    <row r="894" spans="1:92" x14ac:dyDescent="0.3">
      <c r="A894" s="4">
        <v>892</v>
      </c>
      <c r="B894" s="11">
        <v>26</v>
      </c>
      <c r="C894" s="2" t="str">
        <f>_xlfn.XLOOKUP(Table1[[#This Row],[Age]],Table7[Start_Age],Table7[Age_Range],,-1)</f>
        <v>19-29</v>
      </c>
      <c r="D894" t="s">
        <v>136</v>
      </c>
      <c r="E894" s="2" t="s">
        <v>131</v>
      </c>
      <c r="F894" s="2" t="s">
        <v>137</v>
      </c>
      <c r="G894" s="3">
        <v>1</v>
      </c>
      <c r="H894" s="13" t="s">
        <v>152</v>
      </c>
      <c r="I894" s="2" t="str" cm="1">
        <f t="array" ref="I894">_xlfn.IFS(Table1[[#This Row],[Job_Type]] = "unskilled resident", "Resident",
Table1[[#This Row],[Job_Type]] = "unemp/unskilled non res", "Non-resident",
TRUE, "Unknown")</f>
        <v>Unknown</v>
      </c>
      <c r="J894" s="2" t="s">
        <v>149</v>
      </c>
      <c r="K894" s="3">
        <v>2</v>
      </c>
      <c r="L894" s="2" t="s">
        <v>144</v>
      </c>
      <c r="M894" s="13" t="s">
        <v>151</v>
      </c>
      <c r="N894" t="s">
        <v>17</v>
      </c>
      <c r="O894" s="2" t="str">
        <f>_xlfn.XLOOKUP(Table1[[#This Row],[Checking_Acct_Status]],Table3[Checking_Acct_Original],Table3[Category])</f>
        <v>No Account</v>
      </c>
      <c r="P894" s="10" t="s">
        <v>32</v>
      </c>
      <c r="Q894" s="13" t="str">
        <f>_xlfn.XLOOKUP(Table1[[#This Row],[Saving_Acct_Status]],Table5[Saving_Acct_Original],Table5[Category])</f>
        <v>Low Savings</v>
      </c>
      <c r="R894" t="s">
        <v>41</v>
      </c>
      <c r="S894" s="2" t="str">
        <f>IF(
      OR(Table1[[#This Row],[Job_Type]] = "high qualif/self emp/mgmt", Table1[[#This Row],[Job_Type]] = "skilled"),
      "Skilled", "Unskilled")</f>
        <v>Skilled</v>
      </c>
      <c r="T894" t="str">
        <f>IF(Table1[[#This Row],[Job_Type]] = "unemp/unskilled non res", "Unemployed", "Employed")</f>
        <v>Employed</v>
      </c>
      <c r="U894" t="s">
        <v>21</v>
      </c>
      <c r="V894" s="14" t="str" cm="1">
        <f t="array" ref="V89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94" t="s">
        <v>31</v>
      </c>
      <c r="X894" s="2" t="str">
        <f>_xlfn.XLOOKUP(Table1[[#This Row],[Loan_Credit_History]],Table4[Credit History],Table4[[ Category]])</f>
        <v>Existing Credits Paid</v>
      </c>
      <c r="Y894" s="3">
        <v>4</v>
      </c>
      <c r="Z894" s="3">
        <v>1</v>
      </c>
      <c r="AA894" s="5">
        <v>1388</v>
      </c>
      <c r="AB894" t="s">
        <v>151</v>
      </c>
      <c r="AC894" s="2" t="str" cm="1">
        <f t="array" ref="AC894">_xlfn.IFS(Table1[[#This Row],[Others_Parties]] = "No", "None",
Table1[[#This Row],[Others_Parties]] = "co applicant", "Co-applicant",
Table1[[#This Row],[Others_Parties]] = "guarantor", "Guarantor")</f>
        <v>None</v>
      </c>
      <c r="AD894" s="13" t="s">
        <v>145</v>
      </c>
      <c r="AE894" s="2" t="s">
        <v>108</v>
      </c>
      <c r="AF894" s="28" t="str" cm="1">
        <f t="array" ref="AF89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94" s="21">
        <v>9</v>
      </c>
      <c r="AH894" s="2" t="s">
        <v>154</v>
      </c>
      <c r="AI894"/>
      <c r="AZ894"/>
      <c r="BC894"/>
      <c r="BE894"/>
      <c r="BL894"/>
      <c r="BZ894"/>
      <c r="CA894"/>
      <c r="CF894"/>
      <c r="CG894"/>
      <c r="CH894"/>
      <c r="CI894"/>
      <c r="CK894"/>
      <c r="CN894"/>
    </row>
    <row r="895" spans="1:92" x14ac:dyDescent="0.3">
      <c r="A895" s="4">
        <v>893</v>
      </c>
      <c r="B895" s="11">
        <v>27</v>
      </c>
      <c r="C895" s="2" t="str">
        <f>_xlfn.XLOOKUP(Table1[[#This Row],[Age]],Table7[Start_Age],Table7[Age_Range],,-1)</f>
        <v>19-29</v>
      </c>
      <c r="D895" t="s">
        <v>134</v>
      </c>
      <c r="E895" s="2" t="s">
        <v>129</v>
      </c>
      <c r="F895" s="2" t="s">
        <v>135</v>
      </c>
      <c r="G895" s="3">
        <v>1</v>
      </c>
      <c r="H895" s="13" t="s">
        <v>152</v>
      </c>
      <c r="I895" s="2" t="str" cm="1">
        <f t="array" ref="I895">_xlfn.IFS(Table1[[#This Row],[Job_Type]] = "unskilled resident", "Resident",
Table1[[#This Row],[Job_Type]] = "unemp/unskilled non res", "Non-resident",
TRUE, "Unknown")</f>
        <v>Unknown</v>
      </c>
      <c r="J895" s="2" t="s">
        <v>148</v>
      </c>
      <c r="K895" s="3">
        <v>1</v>
      </c>
      <c r="L895" s="2" t="s">
        <v>144</v>
      </c>
      <c r="M895" s="13" t="s">
        <v>152</v>
      </c>
      <c r="N895" t="s">
        <v>30</v>
      </c>
      <c r="O895" s="2" t="str">
        <f>_xlfn.XLOOKUP(Table1[[#This Row],[Checking_Acct_Status]],Table3[Checking_Acct_Original],Table3[Category])</f>
        <v>Low Balance</v>
      </c>
      <c r="P895" s="10" t="s">
        <v>32</v>
      </c>
      <c r="Q895" s="13" t="str">
        <f>_xlfn.XLOOKUP(Table1[[#This Row],[Saving_Acct_Status]],Table5[Saving_Acct_Original],Table5[Category])</f>
        <v>Low Savings</v>
      </c>
      <c r="R895" t="s">
        <v>41</v>
      </c>
      <c r="S895" s="2" t="str">
        <f>IF(
      OR(Table1[[#This Row],[Job_Type]] = "high qualif/self emp/mgmt", Table1[[#This Row],[Job_Type]] = "skilled"),
      "Skilled", "Unskilled")</f>
        <v>Skilled</v>
      </c>
      <c r="T895" t="str">
        <f>IF(Table1[[#This Row],[Job_Type]] = "unemp/unskilled non res", "Unemployed", "Employed")</f>
        <v>Employed</v>
      </c>
      <c r="U895" t="s">
        <v>21</v>
      </c>
      <c r="V895" s="14" t="str" cm="1">
        <f t="array" ref="V89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895" t="s">
        <v>31</v>
      </c>
      <c r="X895" s="2" t="str">
        <f>_xlfn.XLOOKUP(Table1[[#This Row],[Loan_Credit_History]],Table4[Credit History],Table4[[ Category]])</f>
        <v>Existing Credits Paid</v>
      </c>
      <c r="Y895" s="3">
        <v>2</v>
      </c>
      <c r="Z895" s="3">
        <v>1</v>
      </c>
      <c r="AA895" s="5">
        <v>1391</v>
      </c>
      <c r="AB895" t="s">
        <v>151</v>
      </c>
      <c r="AC895" s="2" t="str" cm="1">
        <f t="array" ref="AC895">_xlfn.IFS(Table1[[#This Row],[Others_Parties]] = "No", "None",
Table1[[#This Row],[Others_Parties]] = "co applicant", "Co-applicant",
Table1[[#This Row],[Others_Parties]] = "guarantor", "Guarantor")</f>
        <v>None</v>
      </c>
      <c r="AD895" s="13" t="s">
        <v>146</v>
      </c>
      <c r="AE895" s="2" t="s">
        <v>105</v>
      </c>
      <c r="AF895" s="28" t="str" cm="1">
        <f t="array" ref="AF89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95" s="21">
        <v>9</v>
      </c>
      <c r="AH895" s="2" t="s">
        <v>154</v>
      </c>
      <c r="AI895"/>
      <c r="AZ895"/>
      <c r="BC895"/>
      <c r="BE895"/>
      <c r="BL895"/>
      <c r="BZ895"/>
      <c r="CA895"/>
      <c r="CF895"/>
      <c r="CG895"/>
      <c r="CH895"/>
      <c r="CI895"/>
      <c r="CK895"/>
      <c r="CN895"/>
    </row>
    <row r="896" spans="1:92" x14ac:dyDescent="0.3">
      <c r="A896" s="4">
        <v>894</v>
      </c>
      <c r="B896" s="11">
        <v>27</v>
      </c>
      <c r="C896" s="2" t="str">
        <f>_xlfn.XLOOKUP(Table1[[#This Row],[Age]],Table7[Start_Age],Table7[Age_Range],,-1)</f>
        <v>19-29</v>
      </c>
      <c r="D896" t="s">
        <v>130</v>
      </c>
      <c r="E896" s="2" t="s">
        <v>129</v>
      </c>
      <c r="F896" s="2" t="s">
        <v>133</v>
      </c>
      <c r="G896" s="3">
        <v>1</v>
      </c>
      <c r="H896" s="13" t="s">
        <v>152</v>
      </c>
      <c r="I896" s="2" t="str" cm="1">
        <f t="array" ref="I896">_xlfn.IFS(Table1[[#This Row],[Job_Type]] = "unskilled resident", "Resident",
Table1[[#This Row],[Job_Type]] = "unemp/unskilled non res", "Non-resident",
TRUE, "Unknown")</f>
        <v>Unknown</v>
      </c>
      <c r="J896" s="2" t="s">
        <v>150</v>
      </c>
      <c r="K896" s="3">
        <v>2</v>
      </c>
      <c r="L896" s="2" t="s">
        <v>142</v>
      </c>
      <c r="M896" s="13" t="s">
        <v>152</v>
      </c>
      <c r="N896" t="s">
        <v>35</v>
      </c>
      <c r="O896" s="2" t="str">
        <f>_xlfn.XLOOKUP(Table1[[#This Row],[Checking_Acct_Status]],Table3[Checking_Acct_Original],Table3[Category])</f>
        <v>Negative Balance</v>
      </c>
      <c r="P896" s="10" t="s">
        <v>32</v>
      </c>
      <c r="Q896" s="13" t="str">
        <f>_xlfn.XLOOKUP(Table1[[#This Row],[Saving_Acct_Status]],Table5[Saving_Acct_Original],Table5[Category])</f>
        <v>Low Savings</v>
      </c>
      <c r="R896" t="s">
        <v>63</v>
      </c>
      <c r="S896" s="2" t="str">
        <f>IF(
      OR(Table1[[#This Row],[Job_Type]] = "high qualif/self emp/mgmt", Table1[[#This Row],[Job_Type]] = "skilled"),
      "Skilled", "Unskilled")</f>
        <v>Skilled</v>
      </c>
      <c r="T896" t="str">
        <f>IF(Table1[[#This Row],[Job_Type]] = "unemp/unskilled non res", "Unemployed", "Employed")</f>
        <v>Employed</v>
      </c>
      <c r="U896" t="s">
        <v>45</v>
      </c>
      <c r="V896" s="14" t="str" cm="1">
        <f t="array" ref="V89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896" t="s">
        <v>31</v>
      </c>
      <c r="X896" s="2" t="str">
        <f>_xlfn.XLOOKUP(Table1[[#This Row],[Loan_Credit_History]],Table4[Credit History],Table4[[ Category]])</f>
        <v>Existing Credits Paid</v>
      </c>
      <c r="Y896" s="3">
        <v>3</v>
      </c>
      <c r="Z896" s="3">
        <v>1</v>
      </c>
      <c r="AA896" s="5">
        <v>1422</v>
      </c>
      <c r="AB896" t="s">
        <v>151</v>
      </c>
      <c r="AC896" s="2" t="str" cm="1">
        <f t="array" ref="AC896">_xlfn.IFS(Table1[[#This Row],[Others_Parties]] = "No", "None",
Table1[[#This Row],[Others_Parties]] = "co applicant", "Co-applicant",
Table1[[#This Row],[Others_Parties]] = "guarantor", "Guarantor")</f>
        <v>None</v>
      </c>
      <c r="AD896" s="13" t="s">
        <v>145</v>
      </c>
      <c r="AE896" s="2" t="s">
        <v>141</v>
      </c>
      <c r="AF896" s="28" t="str" cm="1">
        <f t="array" ref="AF89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96" s="21">
        <v>9</v>
      </c>
      <c r="AH896" s="2" t="s">
        <v>153</v>
      </c>
      <c r="AI896"/>
      <c r="AZ896"/>
      <c r="BC896"/>
      <c r="BE896"/>
      <c r="BL896"/>
      <c r="BZ896"/>
      <c r="CA896"/>
      <c r="CF896"/>
      <c r="CG896"/>
      <c r="CH896"/>
      <c r="CI896"/>
      <c r="CK896"/>
      <c r="CN896"/>
    </row>
    <row r="897" spans="1:92" x14ac:dyDescent="0.3">
      <c r="A897" s="4">
        <v>895</v>
      </c>
      <c r="B897" s="11">
        <v>29</v>
      </c>
      <c r="C897" s="2" t="str">
        <f>_xlfn.XLOOKUP(Table1[[#This Row],[Age]],Table7[Start_Age],Table7[Age_Range],,-1)</f>
        <v>29-39</v>
      </c>
      <c r="D897" t="s">
        <v>130</v>
      </c>
      <c r="E897" s="2" t="s">
        <v>129</v>
      </c>
      <c r="F897" s="2" t="s">
        <v>133</v>
      </c>
      <c r="G897" s="3">
        <v>1</v>
      </c>
      <c r="H897" s="13" t="s">
        <v>152</v>
      </c>
      <c r="I897" s="2" t="str" cm="1">
        <f t="array" ref="I897">_xlfn.IFS(Table1[[#This Row],[Job_Type]] = "unskilled resident", "Resident",
Table1[[#This Row],[Job_Type]] = "unemp/unskilled non res", "Non-resident",
TRUE, "Unknown")</f>
        <v>Unknown</v>
      </c>
      <c r="J897" s="2" t="s">
        <v>148</v>
      </c>
      <c r="K897" s="3">
        <v>3</v>
      </c>
      <c r="L897" s="2" t="s">
        <v>142</v>
      </c>
      <c r="M897" s="13" t="s">
        <v>151</v>
      </c>
      <c r="N897" t="s">
        <v>30</v>
      </c>
      <c r="O897" s="2" t="str">
        <f>_xlfn.XLOOKUP(Table1[[#This Row],[Checking_Acct_Status]],Table3[Checking_Acct_Original],Table3[Category])</f>
        <v>Low Balance</v>
      </c>
      <c r="P897" s="10" t="s">
        <v>46</v>
      </c>
      <c r="Q897" s="13" t="str">
        <f>_xlfn.XLOOKUP(Table1[[#This Row],[Saving_Acct_Status]],Table5[Saving_Acct_Original],Table5[Category])</f>
        <v>Medium Savings</v>
      </c>
      <c r="R897" t="s">
        <v>41</v>
      </c>
      <c r="S897" s="2" t="str">
        <f>IF(
      OR(Table1[[#This Row],[Job_Type]] = "high qualif/self emp/mgmt", Table1[[#This Row],[Job_Type]] = "skilled"),
      "Skilled", "Unskilled")</f>
        <v>Skilled</v>
      </c>
      <c r="T897" t="str">
        <f>IF(Table1[[#This Row],[Job_Type]] = "unemp/unskilled non res", "Unemployed", "Employed")</f>
        <v>Employed</v>
      </c>
      <c r="U897" t="s">
        <v>49</v>
      </c>
      <c r="V897" s="14" t="str" cm="1">
        <f t="array" ref="V89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97" t="s">
        <v>42</v>
      </c>
      <c r="X897" s="2" t="str">
        <f>_xlfn.XLOOKUP(Table1[[#This Row],[Loan_Credit_History]],Table4[Credit History],Table4[[ Category]])</f>
        <v>All Paid</v>
      </c>
      <c r="Y897" s="3">
        <v>2</v>
      </c>
      <c r="Z897" s="3">
        <v>1</v>
      </c>
      <c r="AA897" s="5">
        <v>1437</v>
      </c>
      <c r="AB897" t="s">
        <v>151</v>
      </c>
      <c r="AC897" s="2" t="str" cm="1">
        <f t="array" ref="AC897">_xlfn.IFS(Table1[[#This Row],[Others_Parties]] = "No", "None",
Table1[[#This Row],[Others_Parties]] = "co applicant", "Co-applicant",
Table1[[#This Row],[Others_Parties]] = "guarantor", "Guarantor")</f>
        <v>None</v>
      </c>
      <c r="AD897" s="13" t="s">
        <v>145</v>
      </c>
      <c r="AE897" s="2" t="s">
        <v>141</v>
      </c>
      <c r="AF897" s="28" t="str" cm="1">
        <f t="array" ref="AF89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97" s="21">
        <v>9</v>
      </c>
      <c r="AH897" s="2" t="s">
        <v>153</v>
      </c>
      <c r="AI897"/>
      <c r="AZ897"/>
      <c r="BC897"/>
      <c r="BE897"/>
      <c r="BL897"/>
      <c r="BZ897"/>
      <c r="CA897"/>
      <c r="CF897"/>
      <c r="CG897"/>
      <c r="CH897"/>
      <c r="CI897"/>
      <c r="CK897"/>
      <c r="CN897"/>
    </row>
    <row r="898" spans="1:92" x14ac:dyDescent="0.3">
      <c r="A898" s="4">
        <v>896</v>
      </c>
      <c r="B898" s="11">
        <v>27</v>
      </c>
      <c r="C898" s="2" t="str">
        <f>_xlfn.XLOOKUP(Table1[[#This Row],[Age]],Table7[Start_Age],Table7[Age_Range],,-1)</f>
        <v>19-29</v>
      </c>
      <c r="D898" t="s">
        <v>136</v>
      </c>
      <c r="E898" s="2" t="s">
        <v>131</v>
      </c>
      <c r="F898" s="2" t="s">
        <v>137</v>
      </c>
      <c r="G898" s="3">
        <v>1</v>
      </c>
      <c r="H898" s="13" t="s">
        <v>152</v>
      </c>
      <c r="I898" s="2" t="str" cm="1">
        <f t="array" ref="I898">_xlfn.IFS(Table1[[#This Row],[Job_Type]] = "unskilled resident", "Resident",
Table1[[#This Row],[Job_Type]] = "unemp/unskilled non res", "Non-resident",
TRUE, "Unknown")</f>
        <v>Unknown</v>
      </c>
      <c r="J898" s="2" t="s">
        <v>148</v>
      </c>
      <c r="K898" s="3">
        <v>2</v>
      </c>
      <c r="L898" s="2" t="s">
        <v>140</v>
      </c>
      <c r="M898" s="13" t="s">
        <v>151</v>
      </c>
      <c r="N898" t="s">
        <v>17</v>
      </c>
      <c r="O898" s="2" t="str">
        <f>_xlfn.XLOOKUP(Table1[[#This Row],[Checking_Acct_Status]],Table3[Checking_Acct_Original],Table3[Category])</f>
        <v>No Account</v>
      </c>
      <c r="P898" s="10" t="s">
        <v>32</v>
      </c>
      <c r="Q898" s="13" t="str">
        <f>_xlfn.XLOOKUP(Table1[[#This Row],[Saving_Acct_Status]],Table5[Saving_Acct_Original],Table5[Category])</f>
        <v>Low Savings</v>
      </c>
      <c r="R898" t="s">
        <v>41</v>
      </c>
      <c r="S898" s="2" t="str">
        <f>IF(
      OR(Table1[[#This Row],[Job_Type]] = "high qualif/self emp/mgmt", Table1[[#This Row],[Job_Type]] = "skilled"),
      "Skilled", "Unskilled")</f>
        <v>Skilled</v>
      </c>
      <c r="T898" t="str">
        <f>IF(Table1[[#This Row],[Job_Type]] = "unemp/unskilled non res", "Unemployed", "Employed")</f>
        <v>Employed</v>
      </c>
      <c r="U898" t="s">
        <v>49</v>
      </c>
      <c r="V898" s="14" t="str" cm="1">
        <f t="array" ref="V898">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98" t="s">
        <v>31</v>
      </c>
      <c r="X898" s="2" t="str">
        <f>_xlfn.XLOOKUP(Table1[[#This Row],[Loan_Credit_History]],Table4[Credit History],Table4[[ Category]])</f>
        <v>Existing Credits Paid</v>
      </c>
      <c r="Y898" s="3">
        <v>3</v>
      </c>
      <c r="Z898" s="3">
        <v>2</v>
      </c>
      <c r="AA898" s="5">
        <v>1449</v>
      </c>
      <c r="AB898" t="s">
        <v>151</v>
      </c>
      <c r="AC898" s="2" t="str" cm="1">
        <f t="array" ref="AC898">_xlfn.IFS(Table1[[#This Row],[Others_Parties]] = "No", "None",
Table1[[#This Row],[Others_Parties]] = "co applicant", "Co-applicant",
Table1[[#This Row],[Others_Parties]] = "guarantor", "Guarantor")</f>
        <v>None</v>
      </c>
      <c r="AD898" s="13" t="s">
        <v>145</v>
      </c>
      <c r="AE898" s="2" t="s">
        <v>105</v>
      </c>
      <c r="AF898" s="28" t="str" cm="1">
        <f t="array" ref="AF89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98" s="21">
        <v>9</v>
      </c>
      <c r="AH898" s="2" t="s">
        <v>154</v>
      </c>
      <c r="AI898"/>
      <c r="AZ898"/>
      <c r="BC898"/>
      <c r="BE898"/>
      <c r="BL898"/>
      <c r="BZ898"/>
      <c r="CA898"/>
      <c r="CF898"/>
      <c r="CG898"/>
      <c r="CH898"/>
      <c r="CI898"/>
      <c r="CK898"/>
      <c r="CN898"/>
    </row>
    <row r="899" spans="1:92" x14ac:dyDescent="0.3">
      <c r="A899" s="4">
        <v>897</v>
      </c>
      <c r="B899" s="11">
        <v>22</v>
      </c>
      <c r="C899" s="2" t="str">
        <f>_xlfn.XLOOKUP(Table1[[#This Row],[Age]],Table7[Start_Age],Table7[Age_Range],,-1)</f>
        <v>19-29</v>
      </c>
      <c r="D899" t="s">
        <v>130</v>
      </c>
      <c r="E899" s="2" t="s">
        <v>129</v>
      </c>
      <c r="F899" s="2" t="s">
        <v>133</v>
      </c>
      <c r="G899" s="3">
        <v>1</v>
      </c>
      <c r="H899" s="13" t="s">
        <v>152</v>
      </c>
      <c r="I899" s="2" t="str" cm="1">
        <f t="array" ref="I899">_xlfn.IFS(Table1[[#This Row],[Job_Type]] = "unskilled resident", "Resident",
Table1[[#This Row],[Job_Type]] = "unemp/unskilled non res", "Non-resident",
TRUE, "Unknown")</f>
        <v>Unknown</v>
      </c>
      <c r="J899" s="2" t="s">
        <v>148</v>
      </c>
      <c r="K899" s="3">
        <v>2</v>
      </c>
      <c r="L899" s="2" t="s">
        <v>140</v>
      </c>
      <c r="M899" s="13" t="s">
        <v>151</v>
      </c>
      <c r="N899" t="s">
        <v>17</v>
      </c>
      <c r="O899" s="2" t="str">
        <f>_xlfn.XLOOKUP(Table1[[#This Row],[Checking_Acct_Status]],Table3[Checking_Acct_Original],Table3[Category])</f>
        <v>No Account</v>
      </c>
      <c r="P899" s="10" t="s">
        <v>32</v>
      </c>
      <c r="Q899" s="13" t="str">
        <f>_xlfn.XLOOKUP(Table1[[#This Row],[Saving_Acct_Status]],Table5[Saving_Acct_Original],Table5[Category])</f>
        <v>Low Savings</v>
      </c>
      <c r="R899" t="s">
        <v>41</v>
      </c>
      <c r="S899" s="2" t="str">
        <f>IF(
      OR(Table1[[#This Row],[Job_Type]] = "high qualif/self emp/mgmt", Table1[[#This Row],[Job_Type]] = "skilled"),
      "Skilled", "Unskilled")</f>
        <v>Skilled</v>
      </c>
      <c r="T899" t="str">
        <f>IF(Table1[[#This Row],[Job_Type]] = "unemp/unskilled non res", "Unemployed", "Employed")</f>
        <v>Employed</v>
      </c>
      <c r="U899" t="s">
        <v>49</v>
      </c>
      <c r="V899" s="14" t="str" cm="1">
        <f t="array" ref="V89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899" t="s">
        <v>31</v>
      </c>
      <c r="X899" s="2" t="str">
        <f>_xlfn.XLOOKUP(Table1[[#This Row],[Loan_Credit_History]],Table4[Credit History],Table4[[ Category]])</f>
        <v>Existing Credits Paid</v>
      </c>
      <c r="Y899" s="3">
        <v>4</v>
      </c>
      <c r="Z899" s="3">
        <v>1</v>
      </c>
      <c r="AA899" s="5">
        <v>1478</v>
      </c>
      <c r="AB899" t="s">
        <v>151</v>
      </c>
      <c r="AC899" s="2" t="str" cm="1">
        <f t="array" ref="AC899">_xlfn.IFS(Table1[[#This Row],[Others_Parties]] = "No", "None",
Table1[[#This Row],[Others_Parties]] = "co applicant", "Co-applicant",
Table1[[#This Row],[Others_Parties]] = "guarantor", "Guarantor")</f>
        <v>None</v>
      </c>
      <c r="AD899" s="13" t="s">
        <v>145</v>
      </c>
      <c r="AE899" s="2" t="s">
        <v>111</v>
      </c>
      <c r="AF899" s="28" t="str" cm="1">
        <f t="array" ref="AF89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899" s="21">
        <v>9</v>
      </c>
      <c r="AH899" s="2" t="s">
        <v>153</v>
      </c>
      <c r="AI899"/>
      <c r="AZ899"/>
      <c r="BC899"/>
      <c r="BE899"/>
      <c r="BL899"/>
      <c r="BZ899"/>
      <c r="CA899"/>
      <c r="CF899"/>
      <c r="CG899"/>
      <c r="CH899"/>
      <c r="CI899"/>
      <c r="CK899"/>
      <c r="CN899"/>
    </row>
    <row r="900" spans="1:92" x14ac:dyDescent="0.3">
      <c r="A900" s="4">
        <v>898</v>
      </c>
      <c r="B900" s="11">
        <v>34</v>
      </c>
      <c r="C900" s="2" t="str">
        <f>_xlfn.XLOOKUP(Table1[[#This Row],[Age]],Table7[Start_Age],Table7[Age_Range],,-1)</f>
        <v>29-39</v>
      </c>
      <c r="D900" t="s">
        <v>136</v>
      </c>
      <c r="E900" s="2" t="s">
        <v>131</v>
      </c>
      <c r="F900" s="2" t="s">
        <v>137</v>
      </c>
      <c r="G900" s="3">
        <v>1</v>
      </c>
      <c r="H900" s="13" t="s">
        <v>152</v>
      </c>
      <c r="I900" s="2" t="str" cm="1">
        <f t="array" ref="I900">_xlfn.IFS(Table1[[#This Row],[Job_Type]] = "unskilled resident", "Resident",
Table1[[#This Row],[Job_Type]] = "unemp/unskilled non res", "Non-resident",
TRUE, "Unknown")</f>
        <v>Unknown</v>
      </c>
      <c r="J900" s="2" t="s">
        <v>148</v>
      </c>
      <c r="K900" s="3">
        <v>3</v>
      </c>
      <c r="L900" s="2" t="s">
        <v>140</v>
      </c>
      <c r="M900" s="13" t="s">
        <v>152</v>
      </c>
      <c r="N900" t="s">
        <v>30</v>
      </c>
      <c r="O900" s="2" t="str">
        <f>_xlfn.XLOOKUP(Table1[[#This Row],[Checking_Acct_Status]],Table3[Checking_Acct_Original],Table3[Category])</f>
        <v>Low Balance</v>
      </c>
      <c r="P900" s="10" t="s">
        <v>32</v>
      </c>
      <c r="Q900" s="13" t="str">
        <f>_xlfn.XLOOKUP(Table1[[#This Row],[Saving_Acct_Status]],Table5[Saving_Acct_Original],Table5[Category])</f>
        <v>Low Savings</v>
      </c>
      <c r="R900" t="s">
        <v>63</v>
      </c>
      <c r="S900" s="2" t="str">
        <f>IF(
      OR(Table1[[#This Row],[Job_Type]] = "high qualif/self emp/mgmt", Table1[[#This Row],[Job_Type]] = "skilled"),
      "Skilled", "Unskilled")</f>
        <v>Skilled</v>
      </c>
      <c r="T900" t="str">
        <f>IF(Table1[[#This Row],[Job_Type]] = "unemp/unskilled non res", "Unemployed", "Employed")</f>
        <v>Employed</v>
      </c>
      <c r="U900" t="s">
        <v>38</v>
      </c>
      <c r="V900" s="14" t="str" cm="1">
        <f t="array" ref="V90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00" t="s">
        <v>103</v>
      </c>
      <c r="X900" s="2" t="str">
        <f>_xlfn.XLOOKUP(Table1[[#This Row],[Loan_Credit_History]],Table4[Credit History],Table4[[ Category]])</f>
        <v>Critical Credit History</v>
      </c>
      <c r="Y900" s="3">
        <v>2</v>
      </c>
      <c r="Z900" s="3">
        <v>2</v>
      </c>
      <c r="AA900" s="5">
        <v>1501</v>
      </c>
      <c r="AB900" t="s">
        <v>151</v>
      </c>
      <c r="AC900" s="2" t="str" cm="1">
        <f t="array" ref="AC900">_xlfn.IFS(Table1[[#This Row],[Others_Parties]] = "No", "None",
Table1[[#This Row],[Others_Parties]] = "co applicant", "Co-applicant",
Table1[[#This Row],[Others_Parties]] = "guarantor", "Guarantor")</f>
        <v>None</v>
      </c>
      <c r="AD900" s="13" t="s">
        <v>145</v>
      </c>
      <c r="AE900" s="2" t="s">
        <v>100</v>
      </c>
      <c r="AF900" s="28" t="str" cm="1">
        <f t="array" ref="AF90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00" s="21">
        <v>9</v>
      </c>
      <c r="AH900" s="2" t="s">
        <v>153</v>
      </c>
      <c r="AI900"/>
      <c r="AZ900"/>
      <c r="BC900"/>
      <c r="BE900"/>
      <c r="BL900"/>
      <c r="BZ900"/>
      <c r="CA900"/>
      <c r="CF900"/>
      <c r="CG900"/>
      <c r="CH900"/>
      <c r="CI900"/>
      <c r="CK900"/>
      <c r="CN900"/>
    </row>
    <row r="901" spans="1:92" x14ac:dyDescent="0.3">
      <c r="A901" s="4">
        <v>899</v>
      </c>
      <c r="B901" s="11">
        <v>35</v>
      </c>
      <c r="C901" s="2" t="str">
        <f>_xlfn.XLOOKUP(Table1[[#This Row],[Age]],Table7[Start_Age],Table7[Age_Range],,-1)</f>
        <v>29-39</v>
      </c>
      <c r="D901" t="s">
        <v>130</v>
      </c>
      <c r="E901" s="2" t="s">
        <v>129</v>
      </c>
      <c r="F901" s="2" t="s">
        <v>133</v>
      </c>
      <c r="G901" s="3">
        <v>1</v>
      </c>
      <c r="H901" s="13" t="s">
        <v>152</v>
      </c>
      <c r="I901" s="2" t="str" cm="1">
        <f t="array" ref="I901">_xlfn.IFS(Table1[[#This Row],[Job_Type]] = "unskilled resident", "Resident",
Table1[[#This Row],[Job_Type]] = "unemp/unskilled non res", "Non-resident",
TRUE, "Unknown")</f>
        <v>Non-resident</v>
      </c>
      <c r="J901" s="2" t="s">
        <v>148</v>
      </c>
      <c r="K901" s="3">
        <v>2</v>
      </c>
      <c r="L901" s="2" t="s">
        <v>144</v>
      </c>
      <c r="M901" s="13" t="s">
        <v>151</v>
      </c>
      <c r="N901" t="s">
        <v>30</v>
      </c>
      <c r="O901" s="2" t="str">
        <f>_xlfn.XLOOKUP(Table1[[#This Row],[Checking_Acct_Status]],Table3[Checking_Acct_Original],Table3[Category])</f>
        <v>Low Balance</v>
      </c>
      <c r="P901" s="10" t="s">
        <v>47</v>
      </c>
      <c r="Q901" s="13" t="str">
        <f>_xlfn.XLOOKUP(Table1[[#This Row],[Saving_Acct_Status]],Table5[Saving_Acct_Original],Table5[Category])</f>
        <v>No Savings</v>
      </c>
      <c r="R901" t="s">
        <v>62</v>
      </c>
      <c r="S901" s="2" t="str">
        <f>IF(
      OR(Table1[[#This Row],[Job_Type]] = "high qualif/self emp/mgmt", Table1[[#This Row],[Job_Type]] = "skilled"),
      "Skilled", "Unskilled")</f>
        <v>Unskilled</v>
      </c>
      <c r="T901" t="str">
        <f>IF(Table1[[#This Row],[Job_Type]] = "unemp/unskilled non res", "Unemployed", "Employed")</f>
        <v>Unemployed</v>
      </c>
      <c r="U901" t="s">
        <v>45</v>
      </c>
      <c r="V901" s="14" t="str" cm="1">
        <f t="array" ref="V90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01" t="s">
        <v>31</v>
      </c>
      <c r="X901" s="2" t="str">
        <f>_xlfn.XLOOKUP(Table1[[#This Row],[Loan_Credit_History]],Table4[Credit History],Table4[[ Category]])</f>
        <v>Existing Credits Paid</v>
      </c>
      <c r="Y901" s="3">
        <v>4</v>
      </c>
      <c r="Z901" s="3">
        <v>1</v>
      </c>
      <c r="AA901" s="5">
        <v>1549</v>
      </c>
      <c r="AB901" t="s">
        <v>151</v>
      </c>
      <c r="AC901" s="2" t="str" cm="1">
        <f t="array" ref="AC901">_xlfn.IFS(Table1[[#This Row],[Others_Parties]] = "No", "None",
Table1[[#This Row],[Others_Parties]] = "co applicant", "Co-applicant",
Table1[[#This Row],[Others_Parties]] = "guarantor", "Guarantor")</f>
        <v>None</v>
      </c>
      <c r="AD901" s="13" t="s">
        <v>145</v>
      </c>
      <c r="AE901" s="2" t="s">
        <v>141</v>
      </c>
      <c r="AF901" s="28" t="str" cm="1">
        <f t="array" ref="AF90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01" s="21">
        <v>9</v>
      </c>
      <c r="AH901" s="2" t="s">
        <v>154</v>
      </c>
      <c r="AI901"/>
      <c r="AZ901"/>
      <c r="BC901"/>
      <c r="BE901"/>
      <c r="BL901"/>
      <c r="BZ901"/>
      <c r="CA901"/>
      <c r="CF901"/>
      <c r="CG901"/>
      <c r="CH901"/>
      <c r="CI901"/>
      <c r="CK901"/>
      <c r="CN901"/>
    </row>
    <row r="902" spans="1:92" x14ac:dyDescent="0.3">
      <c r="A902" s="4">
        <v>900</v>
      </c>
      <c r="B902" s="11">
        <v>22</v>
      </c>
      <c r="C902" s="2" t="str">
        <f>_xlfn.XLOOKUP(Table1[[#This Row],[Age]],Table7[Start_Age],Table7[Age_Range],,-1)</f>
        <v>19-29</v>
      </c>
      <c r="D902" t="s">
        <v>136</v>
      </c>
      <c r="E902" s="2" t="s">
        <v>131</v>
      </c>
      <c r="F902" s="2" t="s">
        <v>137</v>
      </c>
      <c r="G902" s="3">
        <v>1</v>
      </c>
      <c r="H902" s="13" t="s">
        <v>152</v>
      </c>
      <c r="I902" s="2" t="str" cm="1">
        <f t="array" ref="I902">_xlfn.IFS(Table1[[#This Row],[Job_Type]] = "unskilled resident", "Resident",
Table1[[#This Row],[Job_Type]] = "unemp/unskilled non res", "Non-resident",
TRUE, "Unknown")</f>
        <v>Unknown</v>
      </c>
      <c r="J902" s="2" t="s">
        <v>148</v>
      </c>
      <c r="K902" s="3">
        <v>2</v>
      </c>
      <c r="L902" s="2" t="s">
        <v>140</v>
      </c>
      <c r="M902" s="13" t="s">
        <v>152</v>
      </c>
      <c r="N902" t="s">
        <v>30</v>
      </c>
      <c r="O902" s="2" t="str">
        <f>_xlfn.XLOOKUP(Table1[[#This Row],[Checking_Acct_Status]],Table3[Checking_Acct_Original],Table3[Category])</f>
        <v>Low Balance</v>
      </c>
      <c r="P902" s="10" t="s">
        <v>32</v>
      </c>
      <c r="Q902" s="13" t="str">
        <f>_xlfn.XLOOKUP(Table1[[#This Row],[Saving_Acct_Status]],Table5[Saving_Acct_Original],Table5[Category])</f>
        <v>Low Savings</v>
      </c>
      <c r="R902" t="s">
        <v>41</v>
      </c>
      <c r="S902" s="2" t="str">
        <f>IF(
      OR(Table1[[#This Row],[Job_Type]] = "high qualif/self emp/mgmt", Table1[[#This Row],[Job_Type]] = "skilled"),
      "Skilled", "Unskilled")</f>
        <v>Skilled</v>
      </c>
      <c r="T902" t="str">
        <f>IF(Table1[[#This Row],[Job_Type]] = "unemp/unskilled non res", "Unemployed", "Employed")</f>
        <v>Employed</v>
      </c>
      <c r="U902" t="s">
        <v>45</v>
      </c>
      <c r="V902" s="14" t="str" cm="1">
        <f t="array" ref="V90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02" t="s">
        <v>31</v>
      </c>
      <c r="X902" s="2" t="str">
        <f>_xlfn.XLOOKUP(Table1[[#This Row],[Loan_Credit_History]],Table4[Credit History],Table4[[ Category]])</f>
        <v>Existing Credits Paid</v>
      </c>
      <c r="Y902" s="3">
        <v>4</v>
      </c>
      <c r="Z902" s="3">
        <v>1</v>
      </c>
      <c r="AA902" s="5">
        <v>1670</v>
      </c>
      <c r="AB902" t="s">
        <v>151</v>
      </c>
      <c r="AC902" s="2" t="str" cm="1">
        <f t="array" ref="AC902">_xlfn.IFS(Table1[[#This Row],[Others_Parties]] = "No", "None",
Table1[[#This Row],[Others_Parties]] = "co applicant", "Co-applicant",
Table1[[#This Row],[Others_Parties]] = "guarantor", "Guarantor")</f>
        <v>None</v>
      </c>
      <c r="AD902" s="13" t="s">
        <v>145</v>
      </c>
      <c r="AE902" s="2" t="s">
        <v>111</v>
      </c>
      <c r="AF902" s="28" t="str" cm="1">
        <f t="array" ref="AF90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02" s="21">
        <v>9</v>
      </c>
      <c r="AH902" s="2" t="s">
        <v>153</v>
      </c>
      <c r="AI902"/>
      <c r="AZ902"/>
      <c r="BC902"/>
      <c r="BE902"/>
      <c r="BL902"/>
      <c r="BZ902"/>
      <c r="CA902"/>
      <c r="CF902"/>
      <c r="CG902"/>
      <c r="CH902"/>
      <c r="CI902"/>
      <c r="CK902"/>
      <c r="CN902"/>
    </row>
    <row r="903" spans="1:92" x14ac:dyDescent="0.3">
      <c r="A903" s="4">
        <v>901</v>
      </c>
      <c r="B903" s="11">
        <v>35</v>
      </c>
      <c r="C903" s="2" t="str">
        <f>_xlfn.XLOOKUP(Table1[[#This Row],[Age]],Table7[Start_Age],Table7[Age_Range],,-1)</f>
        <v>29-39</v>
      </c>
      <c r="D903" t="s">
        <v>130</v>
      </c>
      <c r="E903" s="2" t="s">
        <v>129</v>
      </c>
      <c r="F903" s="2" t="s">
        <v>133</v>
      </c>
      <c r="G903" s="3">
        <v>1</v>
      </c>
      <c r="H903" s="13" t="s">
        <v>152</v>
      </c>
      <c r="I903" s="2" t="str" cm="1">
        <f t="array" ref="I903">_xlfn.IFS(Table1[[#This Row],[Job_Type]] = "unskilled resident", "Resident",
Table1[[#This Row],[Job_Type]] = "unemp/unskilled non res", "Non-resident",
TRUE, "Unknown")</f>
        <v>Unknown</v>
      </c>
      <c r="J903" s="2" t="s">
        <v>149</v>
      </c>
      <c r="K903" s="3">
        <v>3</v>
      </c>
      <c r="L903" s="2" t="s">
        <v>140</v>
      </c>
      <c r="M903" s="13" t="s">
        <v>152</v>
      </c>
      <c r="N903" t="s">
        <v>30</v>
      </c>
      <c r="O903" s="2" t="str">
        <f>_xlfn.XLOOKUP(Table1[[#This Row],[Checking_Acct_Status]],Table3[Checking_Acct_Original],Table3[Category])</f>
        <v>Low Balance</v>
      </c>
      <c r="P903" s="10" t="s">
        <v>32</v>
      </c>
      <c r="Q903" s="13" t="str">
        <f>_xlfn.XLOOKUP(Table1[[#This Row],[Saving_Acct_Status]],Table5[Saving_Acct_Original],Table5[Category])</f>
        <v>Low Savings</v>
      </c>
      <c r="R903" t="s">
        <v>41</v>
      </c>
      <c r="S903" s="2" t="str">
        <f>IF(
      OR(Table1[[#This Row],[Job_Type]] = "high qualif/self emp/mgmt", Table1[[#This Row],[Job_Type]] = "skilled"),
      "Skilled", "Unskilled")</f>
        <v>Skilled</v>
      </c>
      <c r="T903" t="str">
        <f>IF(Table1[[#This Row],[Job_Type]] = "unemp/unskilled non res", "Unemployed", "Employed")</f>
        <v>Employed</v>
      </c>
      <c r="U903" t="s">
        <v>49</v>
      </c>
      <c r="V903" s="14" t="str" cm="1">
        <f t="array" ref="V90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03" t="s">
        <v>103</v>
      </c>
      <c r="X903" s="2" t="str">
        <f>_xlfn.XLOOKUP(Table1[[#This Row],[Loan_Credit_History]],Table4[Credit History],Table4[[ Category]])</f>
        <v>Critical Credit History</v>
      </c>
      <c r="Y903" s="3">
        <v>4</v>
      </c>
      <c r="Z903" s="3">
        <v>1</v>
      </c>
      <c r="AA903" s="5">
        <v>1919</v>
      </c>
      <c r="AB903" t="s">
        <v>151</v>
      </c>
      <c r="AC903" s="2" t="str" cm="1">
        <f t="array" ref="AC903">_xlfn.IFS(Table1[[#This Row],[Others_Parties]] = "No", "None",
Table1[[#This Row],[Others_Parties]] = "co applicant", "Co-applicant",
Table1[[#This Row],[Others_Parties]] = "guarantor", "Guarantor")</f>
        <v>None</v>
      </c>
      <c r="AD903" s="13" t="s">
        <v>145</v>
      </c>
      <c r="AE903" s="2" t="s">
        <v>108</v>
      </c>
      <c r="AF903" s="28" t="str" cm="1">
        <f t="array" ref="AF90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03" s="21">
        <v>9</v>
      </c>
      <c r="AH903" s="2" t="s">
        <v>154</v>
      </c>
      <c r="AI903"/>
      <c r="AZ903"/>
      <c r="BC903"/>
      <c r="BE903"/>
      <c r="BL903"/>
      <c r="BZ903"/>
      <c r="CA903"/>
      <c r="CF903"/>
      <c r="CG903"/>
      <c r="CH903"/>
      <c r="CI903"/>
      <c r="CK903"/>
      <c r="CN903"/>
    </row>
    <row r="904" spans="1:92" x14ac:dyDescent="0.3">
      <c r="A904" s="4">
        <v>902</v>
      </c>
      <c r="B904" s="11">
        <v>19</v>
      </c>
      <c r="C904" s="2" t="str">
        <f>_xlfn.XLOOKUP(Table1[[#This Row],[Age]],Table7[Start_Age],Table7[Age_Range],,-1)</f>
        <v>19-29</v>
      </c>
      <c r="D904" t="s">
        <v>136</v>
      </c>
      <c r="E904" s="2" t="s">
        <v>131</v>
      </c>
      <c r="F904" s="2" t="s">
        <v>137</v>
      </c>
      <c r="G904" s="3">
        <v>1</v>
      </c>
      <c r="H904" s="13" t="s">
        <v>152</v>
      </c>
      <c r="I904" s="2" t="str" cm="1">
        <f t="array" ref="I904">_xlfn.IFS(Table1[[#This Row],[Job_Type]] = "unskilled resident", "Resident",
Table1[[#This Row],[Job_Type]] = "unemp/unskilled non res", "Non-resident",
TRUE, "Unknown")</f>
        <v>Unknown</v>
      </c>
      <c r="J904" s="2" t="s">
        <v>149</v>
      </c>
      <c r="K904" s="3">
        <v>2</v>
      </c>
      <c r="L904" s="2" t="s">
        <v>140</v>
      </c>
      <c r="M904" s="13" t="s">
        <v>151</v>
      </c>
      <c r="N904" t="s">
        <v>17</v>
      </c>
      <c r="O904" s="2" t="str">
        <f>_xlfn.XLOOKUP(Table1[[#This Row],[Checking_Acct_Status]],Table3[Checking_Acct_Original],Table3[Category])</f>
        <v>No Account</v>
      </c>
      <c r="P904" s="10" t="s">
        <v>32</v>
      </c>
      <c r="Q904" s="13" t="str">
        <f>_xlfn.XLOOKUP(Table1[[#This Row],[Saving_Acct_Status]],Table5[Saving_Acct_Original],Table5[Category])</f>
        <v>Low Savings</v>
      </c>
      <c r="R904" t="s">
        <v>41</v>
      </c>
      <c r="S904" s="2" t="str">
        <f>IF(
      OR(Table1[[#This Row],[Job_Type]] = "high qualif/self emp/mgmt", Table1[[#This Row],[Job_Type]] = "skilled"),
      "Skilled", "Unskilled")</f>
        <v>Skilled</v>
      </c>
      <c r="T904" t="str">
        <f>IF(Table1[[#This Row],[Job_Type]] = "unemp/unskilled non res", "Unemployed", "Employed")</f>
        <v>Employed</v>
      </c>
      <c r="U904" t="s">
        <v>45</v>
      </c>
      <c r="V904" s="14" t="str" cm="1">
        <f t="array" ref="V904">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04" t="s">
        <v>31</v>
      </c>
      <c r="X904" s="2" t="str">
        <f>_xlfn.XLOOKUP(Table1[[#This Row],[Loan_Credit_History]],Table4[Credit History],Table4[[ Category]])</f>
        <v>Existing Credits Paid</v>
      </c>
      <c r="Y904" s="3">
        <v>2</v>
      </c>
      <c r="Z904" s="3">
        <v>2</v>
      </c>
      <c r="AA904" s="5">
        <v>1980</v>
      </c>
      <c r="AB904" t="s">
        <v>55</v>
      </c>
      <c r="AC904" s="2" t="str" cm="1">
        <f t="array" ref="AC904">_xlfn.IFS(Table1[[#This Row],[Others_Parties]] = "No", "None",
Table1[[#This Row],[Others_Parties]] = "co applicant", "Co-applicant",
Table1[[#This Row],[Others_Parties]] = "guarantor", "Guarantor")</f>
        <v>Co-applicant</v>
      </c>
      <c r="AD904" s="13" t="s">
        <v>145</v>
      </c>
      <c r="AE904" s="2" t="s">
        <v>108</v>
      </c>
      <c r="AF904" s="28" t="str" cm="1">
        <f t="array" ref="AF90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04" s="21">
        <v>9</v>
      </c>
      <c r="AH904" s="2" t="s">
        <v>153</v>
      </c>
      <c r="AI904"/>
      <c r="AZ904"/>
      <c r="BC904"/>
      <c r="BE904"/>
      <c r="BL904"/>
      <c r="BZ904"/>
      <c r="CA904"/>
      <c r="CF904"/>
      <c r="CG904"/>
      <c r="CH904"/>
      <c r="CI904"/>
      <c r="CK904"/>
      <c r="CN904"/>
    </row>
    <row r="905" spans="1:92" x14ac:dyDescent="0.3">
      <c r="A905" s="4">
        <v>903</v>
      </c>
      <c r="B905" s="11">
        <v>24</v>
      </c>
      <c r="C905" s="2" t="str">
        <f>_xlfn.XLOOKUP(Table1[[#This Row],[Age]],Table7[Start_Age],Table7[Age_Range],,-1)</f>
        <v>19-29</v>
      </c>
      <c r="D905" t="s">
        <v>130</v>
      </c>
      <c r="E905" s="2" t="s">
        <v>129</v>
      </c>
      <c r="F905" s="2" t="s">
        <v>133</v>
      </c>
      <c r="G905" s="3">
        <v>1</v>
      </c>
      <c r="H905" s="13" t="s">
        <v>152</v>
      </c>
      <c r="I905" s="2" t="str" cm="1">
        <f t="array" ref="I905">_xlfn.IFS(Table1[[#This Row],[Job_Type]] = "unskilled resident", "Resident",
Table1[[#This Row],[Job_Type]] = "unemp/unskilled non res", "Non-resident",
TRUE, "Unknown")</f>
        <v>Unknown</v>
      </c>
      <c r="J905" s="2" t="s">
        <v>148</v>
      </c>
      <c r="K905" s="3">
        <v>1</v>
      </c>
      <c r="L905" s="2" t="s">
        <v>140</v>
      </c>
      <c r="M905" s="13" t="s">
        <v>152</v>
      </c>
      <c r="N905" t="s">
        <v>30</v>
      </c>
      <c r="O905" s="2" t="str">
        <f>_xlfn.XLOOKUP(Table1[[#This Row],[Checking_Acct_Status]],Table3[Checking_Acct_Original],Table3[Category])</f>
        <v>Low Balance</v>
      </c>
      <c r="P905" s="10" t="s">
        <v>47</v>
      </c>
      <c r="Q905" s="13" t="str">
        <f>_xlfn.XLOOKUP(Table1[[#This Row],[Saving_Acct_Status]],Table5[Saving_Acct_Original],Table5[Category])</f>
        <v>No Savings</v>
      </c>
      <c r="R905" t="s">
        <v>41</v>
      </c>
      <c r="S905" s="2" t="str">
        <f>IF(
      OR(Table1[[#This Row],[Job_Type]] = "high qualif/self emp/mgmt", Table1[[#This Row],[Job_Type]] = "skilled"),
      "Skilled", "Unskilled")</f>
        <v>Skilled</v>
      </c>
      <c r="T905" t="str">
        <f>IF(Table1[[#This Row],[Job_Type]] = "unemp/unskilled non res", "Unemployed", "Employed")</f>
        <v>Employed</v>
      </c>
      <c r="U905" t="s">
        <v>49</v>
      </c>
      <c r="V905" s="14" t="str" cm="1">
        <f t="array" ref="V90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05" t="s">
        <v>31</v>
      </c>
      <c r="X905" s="2" t="str">
        <f>_xlfn.XLOOKUP(Table1[[#This Row],[Loan_Credit_History]],Table4[Credit History],Table4[[ Category]])</f>
        <v>Existing Credits Paid</v>
      </c>
      <c r="Y905" s="3">
        <v>2</v>
      </c>
      <c r="Z905" s="3">
        <v>1</v>
      </c>
      <c r="AA905" s="5">
        <v>2030</v>
      </c>
      <c r="AB905" t="s">
        <v>151</v>
      </c>
      <c r="AC905" s="2" t="str" cm="1">
        <f t="array" ref="AC905">_xlfn.IFS(Table1[[#This Row],[Others_Parties]] = "No", "None",
Table1[[#This Row],[Others_Parties]] = "co applicant", "Co-applicant",
Table1[[#This Row],[Others_Parties]] = "guarantor", "Guarantor")</f>
        <v>None</v>
      </c>
      <c r="AD905" s="13" t="s">
        <v>145</v>
      </c>
      <c r="AE905" s="2" t="s">
        <v>108</v>
      </c>
      <c r="AF905" s="28" t="str" cm="1">
        <f t="array" ref="AF90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05" s="21">
        <v>9</v>
      </c>
      <c r="AH905" s="2" t="s">
        <v>154</v>
      </c>
      <c r="AI905"/>
      <c r="AZ905"/>
      <c r="BC905"/>
      <c r="BE905"/>
      <c r="BL905"/>
      <c r="BZ905"/>
      <c r="CA905"/>
      <c r="CF905"/>
      <c r="CG905"/>
      <c r="CH905"/>
      <c r="CI905"/>
      <c r="CK905"/>
      <c r="CN905"/>
    </row>
    <row r="906" spans="1:92" x14ac:dyDescent="0.3">
      <c r="A906" s="4">
        <v>904</v>
      </c>
      <c r="B906" s="11">
        <v>37</v>
      </c>
      <c r="C906" s="2" t="str">
        <f>_xlfn.XLOOKUP(Table1[[#This Row],[Age]],Table7[Start_Age],Table7[Age_Range],,-1)</f>
        <v>29-39</v>
      </c>
      <c r="D906" t="s">
        <v>130</v>
      </c>
      <c r="E906" s="2" t="s">
        <v>129</v>
      </c>
      <c r="F906" s="2" t="s">
        <v>133</v>
      </c>
      <c r="G906" s="3">
        <v>2</v>
      </c>
      <c r="H906" s="13" t="s">
        <v>152</v>
      </c>
      <c r="I906" s="2" t="str" cm="1">
        <f t="array" ref="I906">_xlfn.IFS(Table1[[#This Row],[Job_Type]] = "unskilled resident", "Resident",
Table1[[#This Row],[Job_Type]] = "unemp/unskilled non res", "Non-resident",
TRUE, "Unknown")</f>
        <v>Resident</v>
      </c>
      <c r="J906" s="2" t="s">
        <v>148</v>
      </c>
      <c r="K906" s="3">
        <v>2</v>
      </c>
      <c r="L906" s="2" t="s">
        <v>144</v>
      </c>
      <c r="M906" s="13" t="s">
        <v>151</v>
      </c>
      <c r="N906" t="s">
        <v>30</v>
      </c>
      <c r="O906" s="2" t="str">
        <f>_xlfn.XLOOKUP(Table1[[#This Row],[Checking_Acct_Status]],Table3[Checking_Acct_Original],Table3[Category])</f>
        <v>Low Balance</v>
      </c>
      <c r="P906" s="10" t="s">
        <v>32</v>
      </c>
      <c r="Q906" s="13" t="str">
        <f>_xlfn.XLOOKUP(Table1[[#This Row],[Saving_Acct_Status]],Table5[Saving_Acct_Original],Table5[Category])</f>
        <v>Low Savings</v>
      </c>
      <c r="R906" t="s">
        <v>27</v>
      </c>
      <c r="S906" s="2" t="str">
        <f>IF(
      OR(Table1[[#This Row],[Job_Type]] = "high qualif/self emp/mgmt", Table1[[#This Row],[Job_Type]] = "skilled"),
      "Skilled", "Unskilled")</f>
        <v>Unskilled</v>
      </c>
      <c r="T906" t="str">
        <f>IF(Table1[[#This Row],[Job_Type]] = "unemp/unskilled non res", "Unemployed", "Employed")</f>
        <v>Employed</v>
      </c>
      <c r="U906" t="s">
        <v>21</v>
      </c>
      <c r="V906" s="14" t="str" cm="1">
        <f t="array" ref="V90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06" t="s">
        <v>31</v>
      </c>
      <c r="X906" s="2" t="str">
        <f>_xlfn.XLOOKUP(Table1[[#This Row],[Loan_Credit_History]],Table4[Credit History],Table4[[ Category]])</f>
        <v>Existing Credits Paid</v>
      </c>
      <c r="Y906" s="3">
        <v>2</v>
      </c>
      <c r="Z906" s="3">
        <v>1</v>
      </c>
      <c r="AA906" s="5">
        <v>2118</v>
      </c>
      <c r="AB906" t="s">
        <v>151</v>
      </c>
      <c r="AC906" s="2" t="str" cm="1">
        <f t="array" ref="AC906">_xlfn.IFS(Table1[[#This Row],[Others_Parties]] = "No", "None",
Table1[[#This Row],[Others_Parties]] = "co applicant", "Co-applicant",
Table1[[#This Row],[Others_Parties]] = "guarantor", "Guarantor")</f>
        <v>None</v>
      </c>
      <c r="AD906" s="13" t="s">
        <v>145</v>
      </c>
      <c r="AE906" s="2" t="s">
        <v>111</v>
      </c>
      <c r="AF906" s="28" t="str" cm="1">
        <f t="array" ref="AF90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06" s="21">
        <v>9</v>
      </c>
      <c r="AH906" s="2" t="s">
        <v>154</v>
      </c>
      <c r="AI906"/>
      <c r="AZ906"/>
      <c r="BC906"/>
      <c r="BE906"/>
      <c r="BL906"/>
      <c r="BZ906"/>
      <c r="CA906"/>
      <c r="CF906"/>
      <c r="CG906"/>
      <c r="CH906"/>
      <c r="CI906"/>
      <c r="CK906"/>
      <c r="CN906"/>
    </row>
    <row r="907" spans="1:92" x14ac:dyDescent="0.3">
      <c r="A907" s="4">
        <v>905</v>
      </c>
      <c r="B907" s="11">
        <v>48</v>
      </c>
      <c r="C907" s="2" t="str">
        <f>_xlfn.XLOOKUP(Table1[[#This Row],[Age]],Table7[Start_Age],Table7[Age_Range],,-1)</f>
        <v>39-49</v>
      </c>
      <c r="D907" t="s">
        <v>130</v>
      </c>
      <c r="E907" s="2" t="s">
        <v>129</v>
      </c>
      <c r="F907" s="2" t="s">
        <v>133</v>
      </c>
      <c r="G907" s="3">
        <v>1</v>
      </c>
      <c r="H907" s="13" t="s">
        <v>152</v>
      </c>
      <c r="I907" s="2" t="str" cm="1">
        <f t="array" ref="I907">_xlfn.IFS(Table1[[#This Row],[Job_Type]] = "unskilled resident", "Resident",
Table1[[#This Row],[Job_Type]] = "unemp/unskilled non res", "Non-resident",
TRUE, "Unknown")</f>
        <v>Unknown</v>
      </c>
      <c r="J907" s="2" t="s">
        <v>148</v>
      </c>
      <c r="K907" s="3">
        <v>4</v>
      </c>
      <c r="L907" s="2" t="s">
        <v>140</v>
      </c>
      <c r="M907" s="13" t="s">
        <v>152</v>
      </c>
      <c r="N907" t="s">
        <v>17</v>
      </c>
      <c r="O907" s="2" t="str">
        <f>_xlfn.XLOOKUP(Table1[[#This Row],[Checking_Acct_Status]],Table3[Checking_Acct_Original],Table3[Category])</f>
        <v>No Account</v>
      </c>
      <c r="P907" s="10" t="s">
        <v>32</v>
      </c>
      <c r="Q907" s="13" t="str">
        <f>_xlfn.XLOOKUP(Table1[[#This Row],[Saving_Acct_Status]],Table5[Saving_Acct_Original],Table5[Category])</f>
        <v>Low Savings</v>
      </c>
      <c r="R907" t="s">
        <v>41</v>
      </c>
      <c r="S907" s="2" t="str">
        <f>IF(
      OR(Table1[[#This Row],[Job_Type]] = "high qualif/self emp/mgmt", Table1[[#This Row],[Job_Type]] = "skilled"),
      "Skilled", "Unskilled")</f>
        <v>Skilled</v>
      </c>
      <c r="T907" t="str">
        <f>IF(Table1[[#This Row],[Job_Type]] = "unemp/unskilled non res", "Unemployed", "Employed")</f>
        <v>Employed</v>
      </c>
      <c r="U907" t="s">
        <v>21</v>
      </c>
      <c r="V907" s="14" t="str" cm="1">
        <f t="array" ref="V90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07" t="s">
        <v>103</v>
      </c>
      <c r="X907" s="2" t="str">
        <f>_xlfn.XLOOKUP(Table1[[#This Row],[Loan_Credit_History]],Table4[Credit History],Table4[[ Category]])</f>
        <v>Critical Credit History</v>
      </c>
      <c r="Y907" s="3">
        <v>4</v>
      </c>
      <c r="Z907" s="3">
        <v>3</v>
      </c>
      <c r="AA907" s="5">
        <v>2134</v>
      </c>
      <c r="AB907" t="s">
        <v>151</v>
      </c>
      <c r="AC907" s="2" t="str" cm="1">
        <f t="array" ref="AC907">_xlfn.IFS(Table1[[#This Row],[Others_Parties]] = "No", "None",
Table1[[#This Row],[Others_Parties]] = "co applicant", "Co-applicant",
Table1[[#This Row],[Others_Parties]] = "guarantor", "Guarantor")</f>
        <v>None</v>
      </c>
      <c r="AD907" s="13" t="s">
        <v>145</v>
      </c>
      <c r="AE907" s="2" t="s">
        <v>141</v>
      </c>
      <c r="AF907" s="28" t="str" cm="1">
        <f t="array" ref="AF90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07" s="21">
        <v>9</v>
      </c>
      <c r="AH907" s="2" t="s">
        <v>154</v>
      </c>
      <c r="AI907"/>
      <c r="AZ907"/>
      <c r="BC907"/>
      <c r="BE907"/>
      <c r="BL907"/>
      <c r="BZ907"/>
      <c r="CA907"/>
      <c r="CF907"/>
      <c r="CG907"/>
      <c r="CH907"/>
      <c r="CI907"/>
      <c r="CK907"/>
      <c r="CN907"/>
    </row>
    <row r="908" spans="1:92" x14ac:dyDescent="0.3">
      <c r="A908" s="4">
        <v>906</v>
      </c>
      <c r="B908" s="11">
        <v>25</v>
      </c>
      <c r="C908" s="2" t="str">
        <f>_xlfn.XLOOKUP(Table1[[#This Row],[Age]],Table7[Start_Age],Table7[Age_Range],,-1)</f>
        <v>19-29</v>
      </c>
      <c r="D908" t="s">
        <v>130</v>
      </c>
      <c r="E908" s="2" t="s">
        <v>129</v>
      </c>
      <c r="F908" s="2" t="s">
        <v>133</v>
      </c>
      <c r="G908" s="3">
        <v>1</v>
      </c>
      <c r="H908" s="13" t="s">
        <v>152</v>
      </c>
      <c r="I908" s="2" t="str" cm="1">
        <f t="array" ref="I908">_xlfn.IFS(Table1[[#This Row],[Job_Type]] = "unskilled resident", "Resident",
Table1[[#This Row],[Job_Type]] = "unemp/unskilled non res", "Non-resident",
TRUE, "Unknown")</f>
        <v>Unknown</v>
      </c>
      <c r="J908" s="2" t="s">
        <v>148</v>
      </c>
      <c r="K908" s="3">
        <v>2</v>
      </c>
      <c r="L908" s="2" t="s">
        <v>144</v>
      </c>
      <c r="M908" s="13" t="s">
        <v>151</v>
      </c>
      <c r="N908" t="s">
        <v>35</v>
      </c>
      <c r="O908" s="2" t="str">
        <f>_xlfn.XLOOKUP(Table1[[#This Row],[Checking_Acct_Status]],Table3[Checking_Acct_Original],Table3[Category])</f>
        <v>Negative Balance</v>
      </c>
      <c r="P908" s="10" t="s">
        <v>32</v>
      </c>
      <c r="Q908" s="13" t="str">
        <f>_xlfn.XLOOKUP(Table1[[#This Row],[Saving_Acct_Status]],Table5[Saving_Acct_Original],Table5[Category])</f>
        <v>Low Savings</v>
      </c>
      <c r="R908" t="s">
        <v>41</v>
      </c>
      <c r="S908" s="2" t="str">
        <f>IF(
      OR(Table1[[#This Row],[Job_Type]] = "high qualif/self emp/mgmt", Table1[[#This Row],[Job_Type]] = "skilled"),
      "Skilled", "Unskilled")</f>
        <v>Skilled</v>
      </c>
      <c r="T908" t="str">
        <f>IF(Table1[[#This Row],[Job_Type]] = "unemp/unskilled non res", "Unemployed", "Employed")</f>
        <v>Employed</v>
      </c>
      <c r="U908" t="s">
        <v>21</v>
      </c>
      <c r="V908" s="14" t="str" cm="1">
        <f t="array" ref="V90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08" t="s">
        <v>31</v>
      </c>
      <c r="X908" s="2" t="str">
        <f>_xlfn.XLOOKUP(Table1[[#This Row],[Loan_Credit_History]],Table4[Credit History],Table4[[ Category]])</f>
        <v>Existing Credits Paid</v>
      </c>
      <c r="Y908" s="3">
        <v>3</v>
      </c>
      <c r="Z908" s="3">
        <v>1</v>
      </c>
      <c r="AA908" s="5">
        <v>2136</v>
      </c>
      <c r="AB908" t="s">
        <v>151</v>
      </c>
      <c r="AC908" s="2" t="str" cm="1">
        <f t="array" ref="AC908">_xlfn.IFS(Table1[[#This Row],[Others_Parties]] = "No", "None",
Table1[[#This Row],[Others_Parties]] = "co applicant", "Co-applicant",
Table1[[#This Row],[Others_Parties]] = "guarantor", "Guarantor")</f>
        <v>None</v>
      </c>
      <c r="AD908" s="13" t="s">
        <v>145</v>
      </c>
      <c r="AE908" s="2" t="s">
        <v>108</v>
      </c>
      <c r="AF908" s="28" t="str" cm="1">
        <f t="array" ref="AF90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08" s="21">
        <v>9</v>
      </c>
      <c r="AH908" s="2" t="s">
        <v>154</v>
      </c>
      <c r="AI908"/>
      <c r="AZ908"/>
      <c r="BC908"/>
      <c r="BE908"/>
      <c r="BL908"/>
      <c r="BZ908"/>
      <c r="CA908"/>
      <c r="CF908"/>
      <c r="CG908"/>
      <c r="CH908"/>
      <c r="CI908"/>
      <c r="CK908"/>
      <c r="CN908"/>
    </row>
    <row r="909" spans="1:92" x14ac:dyDescent="0.3">
      <c r="A909" s="4">
        <v>907</v>
      </c>
      <c r="B909" s="11">
        <v>22</v>
      </c>
      <c r="C909" s="2" t="str">
        <f>_xlfn.XLOOKUP(Table1[[#This Row],[Age]],Table7[Start_Age],Table7[Age_Range],,-1)</f>
        <v>19-29</v>
      </c>
      <c r="D909" t="s">
        <v>136</v>
      </c>
      <c r="E909" s="2" t="s">
        <v>131</v>
      </c>
      <c r="F909" s="2" t="s">
        <v>137</v>
      </c>
      <c r="G909" s="3">
        <v>1</v>
      </c>
      <c r="H909" s="13" t="s">
        <v>152</v>
      </c>
      <c r="I909" s="2" t="str" cm="1">
        <f t="array" ref="I909">_xlfn.IFS(Table1[[#This Row],[Job_Type]] = "unskilled resident", "Resident",
Table1[[#This Row],[Job_Type]] = "unemp/unskilled non res", "Non-resident",
TRUE, "Unknown")</f>
        <v>Unknown</v>
      </c>
      <c r="J909" s="2" t="s">
        <v>149</v>
      </c>
      <c r="K909" s="3">
        <v>4</v>
      </c>
      <c r="L909" s="2" t="s">
        <v>143</v>
      </c>
      <c r="M909" s="13" t="s">
        <v>151</v>
      </c>
      <c r="N909" t="s">
        <v>17</v>
      </c>
      <c r="O909" s="2" t="str">
        <f>_xlfn.XLOOKUP(Table1[[#This Row],[Checking_Acct_Status]],Table3[Checking_Acct_Original],Table3[Category])</f>
        <v>No Account</v>
      </c>
      <c r="P909" s="10" t="s">
        <v>46</v>
      </c>
      <c r="Q909" s="13" t="str">
        <f>_xlfn.XLOOKUP(Table1[[#This Row],[Saving_Acct_Status]],Table5[Saving_Acct_Original],Table5[Category])</f>
        <v>Medium Savings</v>
      </c>
      <c r="R909" t="s">
        <v>41</v>
      </c>
      <c r="S909" s="2" t="str">
        <f>IF(
      OR(Table1[[#This Row],[Job_Type]] = "high qualif/self emp/mgmt", Table1[[#This Row],[Job_Type]] = "skilled"),
      "Skilled", "Unskilled")</f>
        <v>Skilled</v>
      </c>
      <c r="T909" t="str">
        <f>IF(Table1[[#This Row],[Job_Type]] = "unemp/unskilled non res", "Unemployed", "Employed")</f>
        <v>Employed</v>
      </c>
      <c r="U909" t="s">
        <v>45</v>
      </c>
      <c r="V909" s="14" t="str" cm="1">
        <f t="array" ref="V909">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09" t="s">
        <v>31</v>
      </c>
      <c r="X909" s="2" t="str">
        <f>_xlfn.XLOOKUP(Table1[[#This Row],[Loan_Credit_History]],Table4[Credit History],Table4[[ Category]])</f>
        <v>Existing Credits Paid</v>
      </c>
      <c r="Y909" s="3">
        <v>2</v>
      </c>
      <c r="Z909" s="3">
        <v>1</v>
      </c>
      <c r="AA909" s="5">
        <v>2301</v>
      </c>
      <c r="AB909" t="s">
        <v>151</v>
      </c>
      <c r="AC909" s="2" t="str" cm="1">
        <f t="array" ref="AC909">_xlfn.IFS(Table1[[#This Row],[Others_Parties]] = "No", "None",
Table1[[#This Row],[Others_Parties]] = "co applicant", "Co-applicant",
Table1[[#This Row],[Others_Parties]] = "guarantor", "Guarantor")</f>
        <v>None</v>
      </c>
      <c r="AD909" s="13" t="s">
        <v>145</v>
      </c>
      <c r="AE909" s="2" t="s">
        <v>108</v>
      </c>
      <c r="AF909" s="28" t="str" cm="1">
        <f t="array" ref="AF90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09" s="21">
        <v>9</v>
      </c>
      <c r="AH909" s="2" t="s">
        <v>154</v>
      </c>
      <c r="AI909"/>
      <c r="AZ909"/>
      <c r="BC909"/>
      <c r="BE909"/>
      <c r="BL909"/>
      <c r="BZ909"/>
      <c r="CA909"/>
      <c r="CF909"/>
      <c r="CG909"/>
      <c r="CH909"/>
      <c r="CI909"/>
      <c r="CK909"/>
      <c r="CN909"/>
    </row>
    <row r="910" spans="1:92" x14ac:dyDescent="0.3">
      <c r="A910" s="4">
        <v>908</v>
      </c>
      <c r="B910" s="11">
        <v>31</v>
      </c>
      <c r="C910" s="2" t="str">
        <f>_xlfn.XLOOKUP(Table1[[#This Row],[Age]],Table7[Start_Age],Table7[Age_Range],,-1)</f>
        <v>29-39</v>
      </c>
      <c r="D910" t="s">
        <v>130</v>
      </c>
      <c r="E910" s="2" t="s">
        <v>129</v>
      </c>
      <c r="F910" s="2" t="s">
        <v>133</v>
      </c>
      <c r="G910" s="3">
        <v>1</v>
      </c>
      <c r="H910" s="13" t="s">
        <v>152</v>
      </c>
      <c r="I910" s="2" t="str" cm="1">
        <f t="array" ref="I910">_xlfn.IFS(Table1[[#This Row],[Job_Type]] = "unskilled resident", "Resident",
Table1[[#This Row],[Job_Type]] = "unemp/unskilled non res", "Non-resident",
TRUE, "Unknown")</f>
        <v>Unknown</v>
      </c>
      <c r="J910" s="2" t="s">
        <v>148</v>
      </c>
      <c r="K910" s="3">
        <v>3</v>
      </c>
      <c r="L910" s="2" t="s">
        <v>140</v>
      </c>
      <c r="M910" s="13" t="s">
        <v>151</v>
      </c>
      <c r="N910" t="s">
        <v>17</v>
      </c>
      <c r="O910" s="2" t="str">
        <f>_xlfn.XLOOKUP(Table1[[#This Row],[Checking_Acct_Status]],Table3[Checking_Acct_Original],Table3[Category])</f>
        <v>No Account</v>
      </c>
      <c r="P910" s="10" t="s">
        <v>32</v>
      </c>
      <c r="Q910" s="13" t="str">
        <f>_xlfn.XLOOKUP(Table1[[#This Row],[Saving_Acct_Status]],Table5[Saving_Acct_Original],Table5[Category])</f>
        <v>Low Savings</v>
      </c>
      <c r="R910" t="s">
        <v>63</v>
      </c>
      <c r="S910" s="2" t="str">
        <f>IF(
      OR(Table1[[#This Row],[Job_Type]] = "high qualif/self emp/mgmt", Table1[[#This Row],[Job_Type]] = "skilled"),
      "Skilled", "Unskilled")</f>
        <v>Skilled</v>
      </c>
      <c r="T910" t="str">
        <f>IF(Table1[[#This Row],[Job_Type]] = "unemp/unskilled non res", "Unemployed", "Employed")</f>
        <v>Employed</v>
      </c>
      <c r="U910" t="s">
        <v>54</v>
      </c>
      <c r="V910" s="14" t="str" cm="1">
        <f t="array" ref="V910">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910" t="s">
        <v>103</v>
      </c>
      <c r="X910" s="2" t="str">
        <f>_xlfn.XLOOKUP(Table1[[#This Row],[Loan_Credit_History]],Table4[Credit History],Table4[[ Category]])</f>
        <v>Critical Credit History</v>
      </c>
      <c r="Y910" s="3">
        <v>2</v>
      </c>
      <c r="Z910" s="3">
        <v>1</v>
      </c>
      <c r="AA910" s="5">
        <v>2406</v>
      </c>
      <c r="AB910" t="s">
        <v>151</v>
      </c>
      <c r="AC910" s="2" t="str" cm="1">
        <f t="array" ref="AC910">_xlfn.IFS(Table1[[#This Row],[Others_Parties]] = "No", "None",
Table1[[#This Row],[Others_Parties]] = "co applicant", "Co-applicant",
Table1[[#This Row],[Others_Parties]] = "guarantor", "Guarantor")</f>
        <v>None</v>
      </c>
      <c r="AD910" s="13" t="s">
        <v>145</v>
      </c>
      <c r="AE910" s="2" t="s">
        <v>108</v>
      </c>
      <c r="AF910" s="28" t="str" cm="1">
        <f t="array" ref="AF91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10" s="21">
        <v>9</v>
      </c>
      <c r="AH910" s="2" t="s">
        <v>154</v>
      </c>
      <c r="AI910"/>
      <c r="AZ910"/>
      <c r="BC910"/>
      <c r="BE910"/>
      <c r="BL910"/>
      <c r="BZ910"/>
      <c r="CA910"/>
      <c r="CF910"/>
      <c r="CG910"/>
      <c r="CH910"/>
      <c r="CI910"/>
      <c r="CK910"/>
      <c r="CN910"/>
    </row>
    <row r="911" spans="1:92" x14ac:dyDescent="0.3">
      <c r="A911" s="4">
        <v>909</v>
      </c>
      <c r="B911" s="11">
        <v>51</v>
      </c>
      <c r="C911" s="2" t="str">
        <f>_xlfn.XLOOKUP(Table1[[#This Row],[Age]],Table7[Start_Age],Table7[Age_Range],,-1)</f>
        <v>49-59</v>
      </c>
      <c r="D911" t="s">
        <v>130</v>
      </c>
      <c r="E911" s="2" t="s">
        <v>129</v>
      </c>
      <c r="F911" s="2" t="s">
        <v>133</v>
      </c>
      <c r="G911" s="3">
        <v>1</v>
      </c>
      <c r="H911" s="13" t="s">
        <v>152</v>
      </c>
      <c r="I911" s="2" t="str" cm="1">
        <f t="array" ref="I911">_xlfn.IFS(Table1[[#This Row],[Job_Type]] = "unskilled resident", "Resident",
Table1[[#This Row],[Job_Type]] = "unemp/unskilled non res", "Non-resident",
TRUE, "Unknown")</f>
        <v>Resident</v>
      </c>
      <c r="J911" s="2" t="s">
        <v>150</v>
      </c>
      <c r="K911" s="3">
        <v>4</v>
      </c>
      <c r="L911" s="2" t="s">
        <v>142</v>
      </c>
      <c r="M911" s="13" t="s">
        <v>151</v>
      </c>
      <c r="N911" t="s">
        <v>17</v>
      </c>
      <c r="O911" s="2" t="str">
        <f>_xlfn.XLOOKUP(Table1[[#This Row],[Checking_Acct_Status]],Table3[Checking_Acct_Original],Table3[Category])</f>
        <v>No Account</v>
      </c>
      <c r="P911" s="10" t="s">
        <v>37</v>
      </c>
      <c r="Q911" s="13" t="str">
        <f>_xlfn.XLOOKUP(Table1[[#This Row],[Saving_Acct_Status]],Table5[Saving_Acct_Original],Table5[Category])</f>
        <v>High Savings</v>
      </c>
      <c r="R911" t="s">
        <v>27</v>
      </c>
      <c r="S911" s="2" t="str">
        <f>IF(
      OR(Table1[[#This Row],[Job_Type]] = "high qualif/self emp/mgmt", Table1[[#This Row],[Job_Type]] = "skilled"),
      "Skilled", "Unskilled")</f>
        <v>Unskilled</v>
      </c>
      <c r="T911" t="str">
        <f>IF(Table1[[#This Row],[Job_Type]] = "unemp/unskilled non res", "Unemployed", "Employed")</f>
        <v>Employed</v>
      </c>
      <c r="U911" t="s">
        <v>38</v>
      </c>
      <c r="V911" s="14" t="str" cm="1">
        <f t="array" ref="V91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11" t="s">
        <v>31</v>
      </c>
      <c r="X911" s="2" t="str">
        <f>_xlfn.XLOOKUP(Table1[[#This Row],[Loan_Credit_History]],Table4[Credit History],Table4[[ Category]])</f>
        <v>Existing Credits Paid</v>
      </c>
      <c r="Y911" s="3">
        <v>2</v>
      </c>
      <c r="Z911" s="3">
        <v>1</v>
      </c>
      <c r="AA911" s="5">
        <v>2507</v>
      </c>
      <c r="AB911" t="s">
        <v>151</v>
      </c>
      <c r="AC911" s="2" t="str" cm="1">
        <f t="array" ref="AC911">_xlfn.IFS(Table1[[#This Row],[Others_Parties]] = "No", "None",
Table1[[#This Row],[Others_Parties]] = "co applicant", "Co-applicant",
Table1[[#This Row],[Others_Parties]] = "guarantor", "Guarantor")</f>
        <v>None</v>
      </c>
      <c r="AD911" s="13" t="s">
        <v>145</v>
      </c>
      <c r="AE911" s="2" t="s">
        <v>141</v>
      </c>
      <c r="AF911" s="28" t="str" cm="1">
        <f t="array" ref="AF91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11" s="21">
        <v>9</v>
      </c>
      <c r="AH911" s="2" t="s">
        <v>154</v>
      </c>
      <c r="AI911"/>
      <c r="AZ911"/>
      <c r="BC911"/>
      <c r="BE911"/>
      <c r="BL911"/>
      <c r="BZ911"/>
      <c r="CA911"/>
      <c r="CF911"/>
      <c r="CG911"/>
      <c r="CH911"/>
      <c r="CI911"/>
      <c r="CK911"/>
      <c r="CN911"/>
    </row>
    <row r="912" spans="1:92" x14ac:dyDescent="0.3">
      <c r="A912" s="4">
        <v>910</v>
      </c>
      <c r="B912" s="11">
        <v>32</v>
      </c>
      <c r="C912" s="2" t="str">
        <f>_xlfn.XLOOKUP(Table1[[#This Row],[Age]],Table7[Start_Age],Table7[Age_Range],,-1)</f>
        <v>29-39</v>
      </c>
      <c r="D912" t="s">
        <v>130</v>
      </c>
      <c r="E912" s="2" t="s">
        <v>129</v>
      </c>
      <c r="F912" s="2" t="s">
        <v>133</v>
      </c>
      <c r="G912" s="3">
        <v>2</v>
      </c>
      <c r="H912" s="13" t="s">
        <v>152</v>
      </c>
      <c r="I912" s="2" t="str" cm="1">
        <f t="array" ref="I912">_xlfn.IFS(Table1[[#This Row],[Job_Type]] = "unskilled resident", "Resident",
Table1[[#This Row],[Job_Type]] = "unemp/unskilled non res", "Non-resident",
TRUE, "Unknown")</f>
        <v>Unknown</v>
      </c>
      <c r="J912" s="2" t="s">
        <v>148</v>
      </c>
      <c r="K912" s="3">
        <v>2</v>
      </c>
      <c r="L912" s="2" t="s">
        <v>144</v>
      </c>
      <c r="M912" s="13" t="s">
        <v>151</v>
      </c>
      <c r="N912" t="s">
        <v>17</v>
      </c>
      <c r="O912" s="2" t="str">
        <f>_xlfn.XLOOKUP(Table1[[#This Row],[Checking_Acct_Status]],Table3[Checking_Acct_Original],Table3[Category])</f>
        <v>No Account</v>
      </c>
      <c r="P912" s="10" t="s">
        <v>32</v>
      </c>
      <c r="Q912" s="13" t="str">
        <f>_xlfn.XLOOKUP(Table1[[#This Row],[Saving_Acct_Status]],Table5[Saving_Acct_Original],Table5[Category])</f>
        <v>Low Savings</v>
      </c>
      <c r="R912" t="s">
        <v>41</v>
      </c>
      <c r="S912" s="2" t="str">
        <f>IF(
      OR(Table1[[#This Row],[Job_Type]] = "high qualif/self emp/mgmt", Table1[[#This Row],[Job_Type]] = "skilled"),
      "Skilled", "Unskilled")</f>
        <v>Skilled</v>
      </c>
      <c r="T912" t="str">
        <f>IF(Table1[[#This Row],[Job_Type]] = "unemp/unskilled non res", "Unemployed", "Employed")</f>
        <v>Employed</v>
      </c>
      <c r="U912" t="s">
        <v>21</v>
      </c>
      <c r="V912" s="14" t="str" cm="1">
        <f t="array" ref="V91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12" t="s">
        <v>31</v>
      </c>
      <c r="X912" s="2" t="str">
        <f>_xlfn.XLOOKUP(Table1[[#This Row],[Loan_Credit_History]],Table4[Credit History],Table4[[ Category]])</f>
        <v>Existing Credits Paid</v>
      </c>
      <c r="Y912" s="3">
        <v>1</v>
      </c>
      <c r="Z912" s="3">
        <v>1</v>
      </c>
      <c r="AA912" s="5">
        <v>2697</v>
      </c>
      <c r="AB912" t="s">
        <v>151</v>
      </c>
      <c r="AC912" s="2" t="str" cm="1">
        <f t="array" ref="AC912">_xlfn.IFS(Table1[[#This Row],[Others_Parties]] = "No", "None",
Table1[[#This Row],[Others_Parties]] = "co applicant", "Co-applicant",
Table1[[#This Row],[Others_Parties]] = "guarantor", "Guarantor")</f>
        <v>None</v>
      </c>
      <c r="AD912" s="13" t="s">
        <v>145</v>
      </c>
      <c r="AE912" s="2" t="s">
        <v>111</v>
      </c>
      <c r="AF912" s="28" t="str" cm="1">
        <f t="array" ref="AF91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12" s="21">
        <v>9</v>
      </c>
      <c r="AH912" s="2" t="s">
        <v>154</v>
      </c>
      <c r="AI912"/>
      <c r="AZ912"/>
      <c r="BC912"/>
      <c r="BE912"/>
      <c r="BL912"/>
      <c r="BZ912"/>
      <c r="CA912"/>
      <c r="CF912"/>
      <c r="CG912"/>
      <c r="CH912"/>
      <c r="CI912"/>
      <c r="CK912"/>
      <c r="CN912"/>
    </row>
    <row r="913" spans="1:92" x14ac:dyDescent="0.3">
      <c r="A913" s="4">
        <v>911</v>
      </c>
      <c r="B913" s="11">
        <v>35</v>
      </c>
      <c r="C913" s="2" t="str">
        <f>_xlfn.XLOOKUP(Table1[[#This Row],[Age]],Table7[Start_Age],Table7[Age_Range],,-1)</f>
        <v>29-39</v>
      </c>
      <c r="D913" t="s">
        <v>130</v>
      </c>
      <c r="E913" s="2" t="s">
        <v>129</v>
      </c>
      <c r="F913" s="2" t="s">
        <v>133</v>
      </c>
      <c r="G913" s="3">
        <v>1</v>
      </c>
      <c r="H913" s="13" t="s">
        <v>152</v>
      </c>
      <c r="I913" s="2" t="str" cm="1">
        <f t="array" ref="I913">_xlfn.IFS(Table1[[#This Row],[Job_Type]] = "unskilled resident", "Resident",
Table1[[#This Row],[Job_Type]] = "unemp/unskilled non res", "Non-resident",
TRUE, "Unknown")</f>
        <v>Unknown</v>
      </c>
      <c r="J913" s="2" t="s">
        <v>148</v>
      </c>
      <c r="K913" s="3">
        <v>4</v>
      </c>
      <c r="L913" s="2" t="s">
        <v>140</v>
      </c>
      <c r="M913" s="13" t="s">
        <v>152</v>
      </c>
      <c r="N913" t="s">
        <v>17</v>
      </c>
      <c r="O913" s="2" t="str">
        <f>_xlfn.XLOOKUP(Table1[[#This Row],[Checking_Acct_Status]],Table3[Checking_Acct_Original],Table3[Category])</f>
        <v>No Account</v>
      </c>
      <c r="P913" s="10" t="s">
        <v>46</v>
      </c>
      <c r="Q913" s="13" t="str">
        <f>_xlfn.XLOOKUP(Table1[[#This Row],[Saving_Acct_Status]],Table5[Saving_Acct_Original],Table5[Category])</f>
        <v>Medium Savings</v>
      </c>
      <c r="R913" t="s">
        <v>41</v>
      </c>
      <c r="S913" s="2" t="str">
        <f>IF(
      OR(Table1[[#This Row],[Job_Type]] = "high qualif/self emp/mgmt", Table1[[#This Row],[Job_Type]] = "skilled"),
      "Skilled", "Unskilled")</f>
        <v>Skilled</v>
      </c>
      <c r="T913" t="str">
        <f>IF(Table1[[#This Row],[Job_Type]] = "unemp/unskilled non res", "Unemployed", "Employed")</f>
        <v>Employed</v>
      </c>
      <c r="U913" t="s">
        <v>38</v>
      </c>
      <c r="V913" s="14" t="str" cm="1">
        <f t="array" ref="V91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13" t="s">
        <v>31</v>
      </c>
      <c r="X913" s="2" t="str">
        <f>_xlfn.XLOOKUP(Table1[[#This Row],[Loan_Credit_History]],Table4[Credit History],Table4[[ Category]])</f>
        <v>Existing Credits Paid</v>
      </c>
      <c r="Y913" s="3">
        <v>3</v>
      </c>
      <c r="Z913" s="3">
        <v>1</v>
      </c>
      <c r="AA913" s="5">
        <v>2753</v>
      </c>
      <c r="AB913" t="s">
        <v>55</v>
      </c>
      <c r="AC913" s="2" t="str" cm="1">
        <f t="array" ref="AC913">_xlfn.IFS(Table1[[#This Row],[Others_Parties]] = "No", "None",
Table1[[#This Row],[Others_Parties]] = "co applicant", "Co-applicant",
Table1[[#This Row],[Others_Parties]] = "guarantor", "Guarantor")</f>
        <v>Co-applicant</v>
      </c>
      <c r="AD913" s="13" t="s">
        <v>145</v>
      </c>
      <c r="AE913" s="2" t="s">
        <v>111</v>
      </c>
      <c r="AF913" s="28" t="str" cm="1">
        <f t="array" ref="AF91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13" s="21">
        <v>9</v>
      </c>
      <c r="AH913" s="2" t="s">
        <v>154</v>
      </c>
      <c r="AI913"/>
      <c r="AZ913"/>
      <c r="BC913"/>
      <c r="BE913"/>
      <c r="BL913"/>
      <c r="BZ913"/>
      <c r="CA913"/>
      <c r="CF913"/>
      <c r="CG913"/>
      <c r="CH913"/>
      <c r="CI913"/>
      <c r="CK913"/>
      <c r="CN913"/>
    </row>
    <row r="914" spans="1:92" x14ac:dyDescent="0.3">
      <c r="A914" s="4">
        <v>912</v>
      </c>
      <c r="B914" s="11">
        <v>36</v>
      </c>
      <c r="C914" s="2" t="str">
        <f>_xlfn.XLOOKUP(Table1[[#This Row],[Age]],Table7[Start_Age],Table7[Age_Range],,-1)</f>
        <v>29-39</v>
      </c>
      <c r="D914" t="s">
        <v>130</v>
      </c>
      <c r="E914" s="2" t="s">
        <v>129</v>
      </c>
      <c r="F914" s="2" t="s">
        <v>133</v>
      </c>
      <c r="G914" s="3">
        <v>2</v>
      </c>
      <c r="H914" s="13" t="s">
        <v>152</v>
      </c>
      <c r="I914" s="2" t="str" cm="1">
        <f t="array" ref="I914">_xlfn.IFS(Table1[[#This Row],[Job_Type]] = "unskilled resident", "Resident",
Table1[[#This Row],[Job_Type]] = "unemp/unskilled non res", "Non-resident",
TRUE, "Unknown")</f>
        <v>Unknown</v>
      </c>
      <c r="J914" s="2" t="s">
        <v>149</v>
      </c>
      <c r="K914" s="3">
        <v>2</v>
      </c>
      <c r="L914" s="2" t="s">
        <v>144</v>
      </c>
      <c r="M914" s="13" t="s">
        <v>151</v>
      </c>
      <c r="N914" t="s">
        <v>35</v>
      </c>
      <c r="O914" s="2" t="str">
        <f>_xlfn.XLOOKUP(Table1[[#This Row],[Checking_Acct_Status]],Table3[Checking_Acct_Original],Table3[Category])</f>
        <v>Negative Balance</v>
      </c>
      <c r="P914" s="10" t="s">
        <v>32</v>
      </c>
      <c r="Q914" s="13" t="str">
        <f>_xlfn.XLOOKUP(Table1[[#This Row],[Saving_Acct_Status]],Table5[Saving_Acct_Original],Table5[Category])</f>
        <v>Low Savings</v>
      </c>
      <c r="R914" t="s">
        <v>41</v>
      </c>
      <c r="S914" s="2" t="str">
        <f>IF(
      OR(Table1[[#This Row],[Job_Type]] = "high qualif/self emp/mgmt", Table1[[#This Row],[Job_Type]] = "skilled"),
      "Skilled", "Unskilled")</f>
        <v>Skilled</v>
      </c>
      <c r="T914" t="str">
        <f>IF(Table1[[#This Row],[Job_Type]] = "unemp/unskilled non res", "Unemployed", "Employed")</f>
        <v>Employed</v>
      </c>
      <c r="U914" t="s">
        <v>21</v>
      </c>
      <c r="V914" s="14" t="str" cm="1">
        <f t="array" ref="V91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14" t="s">
        <v>103</v>
      </c>
      <c r="X914" s="2" t="str">
        <f>_xlfn.XLOOKUP(Table1[[#This Row],[Loan_Credit_History]],Table4[Credit History],Table4[[ Category]])</f>
        <v>Critical Credit History</v>
      </c>
      <c r="Y914" s="3">
        <v>2</v>
      </c>
      <c r="Z914" s="3">
        <v>2</v>
      </c>
      <c r="AA914" s="5">
        <v>2799</v>
      </c>
      <c r="AB914" t="s">
        <v>151</v>
      </c>
      <c r="AC914" s="2" t="str" cm="1">
        <f t="array" ref="AC914">_xlfn.IFS(Table1[[#This Row],[Others_Parties]] = "No", "None",
Table1[[#This Row],[Others_Parties]] = "co applicant", "Co-applicant",
Table1[[#This Row],[Others_Parties]] = "guarantor", "Guarantor")</f>
        <v>None</v>
      </c>
      <c r="AD914" s="13" t="s">
        <v>145</v>
      </c>
      <c r="AE914" s="2" t="s">
        <v>141</v>
      </c>
      <c r="AF914" s="28" t="str" cm="1">
        <f t="array" ref="AF91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14" s="21">
        <v>9</v>
      </c>
      <c r="AH914" s="2" t="s">
        <v>154</v>
      </c>
      <c r="AI914"/>
      <c r="AZ914"/>
      <c r="BC914"/>
      <c r="BE914"/>
      <c r="BL914"/>
      <c r="BZ914"/>
      <c r="CA914"/>
      <c r="CF914"/>
      <c r="CG914"/>
      <c r="CH914"/>
      <c r="CI914"/>
      <c r="CK914"/>
      <c r="CN914"/>
    </row>
    <row r="915" spans="1:92" x14ac:dyDescent="0.3">
      <c r="A915" s="4">
        <v>913</v>
      </c>
      <c r="B915" s="11">
        <v>33</v>
      </c>
      <c r="C915" s="2" t="str">
        <f>_xlfn.XLOOKUP(Table1[[#This Row],[Age]],Table7[Start_Age],Table7[Age_Range],,-1)</f>
        <v>29-39</v>
      </c>
      <c r="D915" t="s">
        <v>130</v>
      </c>
      <c r="E915" s="2" t="s">
        <v>129</v>
      </c>
      <c r="F915" s="2" t="s">
        <v>133</v>
      </c>
      <c r="G915" s="3">
        <v>2</v>
      </c>
      <c r="H915" s="13" t="s">
        <v>152</v>
      </c>
      <c r="I915" s="2" t="str" cm="1">
        <f t="array" ref="I915">_xlfn.IFS(Table1[[#This Row],[Job_Type]] = "unskilled resident", "Resident",
Table1[[#This Row],[Job_Type]] = "unemp/unskilled non res", "Non-resident",
TRUE, "Unknown")</f>
        <v>Unknown</v>
      </c>
      <c r="J915" s="2" t="s">
        <v>148</v>
      </c>
      <c r="K915" s="3">
        <v>2</v>
      </c>
      <c r="L915" s="2" t="s">
        <v>144</v>
      </c>
      <c r="M915" s="13" t="s">
        <v>151</v>
      </c>
      <c r="N915" t="s">
        <v>17</v>
      </c>
      <c r="O915" s="2" t="str">
        <f>_xlfn.XLOOKUP(Table1[[#This Row],[Checking_Acct_Status]],Table3[Checking_Acct_Original],Table3[Category])</f>
        <v>No Account</v>
      </c>
      <c r="P915" s="10" t="s">
        <v>47</v>
      </c>
      <c r="Q915" s="13" t="str">
        <f>_xlfn.XLOOKUP(Table1[[#This Row],[Saving_Acct_Status]],Table5[Saving_Acct_Original],Table5[Category])</f>
        <v>No Savings</v>
      </c>
      <c r="R915" t="s">
        <v>41</v>
      </c>
      <c r="S915" s="2" t="str">
        <f>IF(
      OR(Table1[[#This Row],[Job_Type]] = "high qualif/self emp/mgmt", Table1[[#This Row],[Job_Type]] = "skilled"),
      "Skilled", "Unskilled")</f>
        <v>Skilled</v>
      </c>
      <c r="T915" t="str">
        <f>IF(Table1[[#This Row],[Job_Type]] = "unemp/unskilled non res", "Unemployed", "Employed")</f>
        <v>Employed</v>
      </c>
      <c r="U915" t="s">
        <v>21</v>
      </c>
      <c r="V915" s="14" t="str" cm="1">
        <f t="array" ref="V91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15" t="s">
        <v>103</v>
      </c>
      <c r="X915" s="2" t="str">
        <f>_xlfn.XLOOKUP(Table1[[#This Row],[Loan_Credit_History]],Table4[Credit History],Table4[[ Category]])</f>
        <v>Critical Credit History</v>
      </c>
      <c r="Y915" s="3">
        <v>1</v>
      </c>
      <c r="Z915" s="3">
        <v>2</v>
      </c>
      <c r="AA915" s="5">
        <v>3074</v>
      </c>
      <c r="AB915" t="s">
        <v>151</v>
      </c>
      <c r="AC915" s="2" t="str" cm="1">
        <f t="array" ref="AC915">_xlfn.IFS(Table1[[#This Row],[Others_Parties]] = "No", "None",
Table1[[#This Row],[Others_Parties]] = "co applicant", "Co-applicant",
Table1[[#This Row],[Others_Parties]] = "guarantor", "Guarantor")</f>
        <v>None</v>
      </c>
      <c r="AD915" s="13" t="s">
        <v>145</v>
      </c>
      <c r="AE915" s="2" t="s">
        <v>111</v>
      </c>
      <c r="AF915" s="28" t="str" cm="1">
        <f t="array" ref="AF91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15" s="21">
        <v>9</v>
      </c>
      <c r="AH915" s="2" t="s">
        <v>154</v>
      </c>
      <c r="AI915"/>
      <c r="AZ915"/>
      <c r="BC915"/>
      <c r="BE915"/>
      <c r="BL915"/>
      <c r="BZ915"/>
      <c r="CA915"/>
      <c r="CF915"/>
      <c r="CG915"/>
      <c r="CH915"/>
      <c r="CI915"/>
      <c r="CK915"/>
      <c r="CN915"/>
    </row>
    <row r="916" spans="1:92" x14ac:dyDescent="0.3">
      <c r="A916" s="4">
        <v>914</v>
      </c>
      <c r="B916" s="11">
        <v>33</v>
      </c>
      <c r="C916" s="2" t="str">
        <f>_xlfn.XLOOKUP(Table1[[#This Row],[Age]],Table7[Start_Age],Table7[Age_Range],,-1)</f>
        <v>29-39</v>
      </c>
      <c r="D916" t="s">
        <v>136</v>
      </c>
      <c r="E916" s="2" t="s">
        <v>131</v>
      </c>
      <c r="F916" s="2" t="s">
        <v>137</v>
      </c>
      <c r="G916" s="3">
        <v>1</v>
      </c>
      <c r="H916" s="13" t="s">
        <v>152</v>
      </c>
      <c r="I916" s="2" t="str" cm="1">
        <f t="array" ref="I916">_xlfn.IFS(Table1[[#This Row],[Job_Type]] = "unskilled resident", "Resident",
Table1[[#This Row],[Job_Type]] = "unemp/unskilled non res", "Non-resident",
TRUE, "Unknown")</f>
        <v>Resident</v>
      </c>
      <c r="J916" s="2" t="s">
        <v>148</v>
      </c>
      <c r="K916" s="3">
        <v>2</v>
      </c>
      <c r="L916" s="2" t="s">
        <v>144</v>
      </c>
      <c r="M916" s="13" t="s">
        <v>151</v>
      </c>
      <c r="N916" t="s">
        <v>30</v>
      </c>
      <c r="O916" s="2" t="str">
        <f>_xlfn.XLOOKUP(Table1[[#This Row],[Checking_Acct_Status]],Table3[Checking_Acct_Original],Table3[Category])</f>
        <v>Low Balance</v>
      </c>
      <c r="P916" s="10" t="s">
        <v>47</v>
      </c>
      <c r="Q916" s="13" t="str">
        <f>_xlfn.XLOOKUP(Table1[[#This Row],[Saving_Acct_Status]],Table5[Saving_Acct_Original],Table5[Category])</f>
        <v>No Savings</v>
      </c>
      <c r="R916" t="s">
        <v>27</v>
      </c>
      <c r="S916" s="2" t="str">
        <f>IF(
      OR(Table1[[#This Row],[Job_Type]] = "high qualif/self emp/mgmt", Table1[[#This Row],[Job_Type]] = "skilled"),
      "Skilled", "Unskilled")</f>
        <v>Unskilled</v>
      </c>
      <c r="T916" t="str">
        <f>IF(Table1[[#This Row],[Job_Type]] = "unemp/unskilled non res", "Unemployed", "Employed")</f>
        <v>Employed</v>
      </c>
      <c r="U916" t="s">
        <v>21</v>
      </c>
      <c r="V916" s="14" t="str" cm="1">
        <f t="array" ref="V91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16" t="s">
        <v>31</v>
      </c>
      <c r="X916" s="2" t="str">
        <f>_xlfn.XLOOKUP(Table1[[#This Row],[Loan_Credit_History]],Table4[Credit History],Table4[[ Category]])</f>
        <v>Existing Credits Paid</v>
      </c>
      <c r="Y916" s="3">
        <v>1</v>
      </c>
      <c r="Z916" s="3">
        <v>1</v>
      </c>
      <c r="AA916" s="5">
        <v>3195</v>
      </c>
      <c r="AB916" t="s">
        <v>151</v>
      </c>
      <c r="AC916" s="2" t="str" cm="1">
        <f t="array" ref="AC916">_xlfn.IFS(Table1[[#This Row],[Others_Parties]] = "No", "None",
Table1[[#This Row],[Others_Parties]] = "co applicant", "Co-applicant",
Table1[[#This Row],[Others_Parties]] = "guarantor", "Guarantor")</f>
        <v>None</v>
      </c>
      <c r="AD916" s="13" t="s">
        <v>145</v>
      </c>
      <c r="AE916" s="2" t="s">
        <v>141</v>
      </c>
      <c r="AF916" s="28" t="str" cm="1">
        <f t="array" ref="AF91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16" s="21">
        <v>9</v>
      </c>
      <c r="AH916" s="2" t="s">
        <v>154</v>
      </c>
      <c r="AI916"/>
      <c r="AZ916"/>
      <c r="BC916"/>
      <c r="BE916"/>
      <c r="BL916"/>
      <c r="BZ916"/>
      <c r="CA916"/>
      <c r="CF916"/>
      <c r="CG916"/>
      <c r="CH916"/>
      <c r="CI916"/>
      <c r="CK916"/>
      <c r="CN916"/>
    </row>
    <row r="917" spans="1:92" x14ac:dyDescent="0.3">
      <c r="A917" s="4">
        <v>915</v>
      </c>
      <c r="B917" s="11">
        <v>64</v>
      </c>
      <c r="C917" s="2" t="str">
        <f>_xlfn.XLOOKUP(Table1[[#This Row],[Age]],Table7[Start_Age],Table7[Age_Range],,-1)</f>
        <v>59-69</v>
      </c>
      <c r="D917" t="s">
        <v>130</v>
      </c>
      <c r="E917" s="2" t="s">
        <v>129</v>
      </c>
      <c r="F917" s="2" t="s">
        <v>133</v>
      </c>
      <c r="G917" s="3">
        <v>1</v>
      </c>
      <c r="H917" s="13" t="s">
        <v>152</v>
      </c>
      <c r="I917" s="2" t="str" cm="1">
        <f t="array" ref="I917">_xlfn.IFS(Table1[[#This Row],[Job_Type]] = "unskilled resident", "Resident",
Table1[[#This Row],[Job_Type]] = "unemp/unskilled non res", "Non-resident",
TRUE, "Unknown")</f>
        <v>Resident</v>
      </c>
      <c r="J917" s="2" t="s">
        <v>148</v>
      </c>
      <c r="K917" s="3">
        <v>4</v>
      </c>
      <c r="L917" s="2" t="s">
        <v>144</v>
      </c>
      <c r="M917" s="13" t="s">
        <v>151</v>
      </c>
      <c r="N917" t="s">
        <v>17</v>
      </c>
      <c r="O917" s="2" t="str">
        <f>_xlfn.XLOOKUP(Table1[[#This Row],[Checking_Acct_Status]],Table3[Checking_Acct_Original],Table3[Category])</f>
        <v>No Account</v>
      </c>
      <c r="P917" s="10" t="s">
        <v>47</v>
      </c>
      <c r="Q917" s="13" t="str">
        <f>_xlfn.XLOOKUP(Table1[[#This Row],[Saving_Acct_Status]],Table5[Saving_Acct_Original],Table5[Category])</f>
        <v>No Savings</v>
      </c>
      <c r="R917" t="s">
        <v>27</v>
      </c>
      <c r="S917" s="2" t="str">
        <f>IF(
      OR(Table1[[#This Row],[Job_Type]] = "high qualif/self emp/mgmt", Table1[[#This Row],[Job_Type]] = "skilled"),
      "Skilled", "Unskilled")</f>
        <v>Unskilled</v>
      </c>
      <c r="T917" t="str">
        <f>IF(Table1[[#This Row],[Job_Type]] = "unemp/unskilled non res", "Unemployed", "Employed")</f>
        <v>Employed</v>
      </c>
      <c r="U917" t="s">
        <v>38</v>
      </c>
      <c r="V917" s="14" t="str" cm="1">
        <f t="array" ref="V91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17" t="s">
        <v>31</v>
      </c>
      <c r="X917" s="2" t="str">
        <f>_xlfn.XLOOKUP(Table1[[#This Row],[Loan_Credit_History]],Table4[Credit History],Table4[[ Category]])</f>
        <v>Existing Credits Paid</v>
      </c>
      <c r="Y917" s="3">
        <v>1</v>
      </c>
      <c r="Z917" s="3">
        <v>1</v>
      </c>
      <c r="AA917" s="5">
        <v>3832</v>
      </c>
      <c r="AB917" t="s">
        <v>151</v>
      </c>
      <c r="AC917" s="2" t="str" cm="1">
        <f t="array" ref="AC917">_xlfn.IFS(Table1[[#This Row],[Others_Parties]] = "No", "None",
Table1[[#This Row],[Others_Parties]] = "co applicant", "Co-applicant",
Table1[[#This Row],[Others_Parties]] = "guarantor", "Guarantor")</f>
        <v>None</v>
      </c>
      <c r="AD917" s="13" t="s">
        <v>145</v>
      </c>
      <c r="AE917" s="2" t="s">
        <v>100</v>
      </c>
      <c r="AF917" s="28" t="str" cm="1">
        <f t="array" ref="AF91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17" s="21">
        <v>9</v>
      </c>
      <c r="AH917" s="2" t="s">
        <v>154</v>
      </c>
      <c r="AI917"/>
      <c r="AZ917"/>
      <c r="BC917"/>
      <c r="BE917"/>
      <c r="BL917"/>
      <c r="BZ917"/>
      <c r="CA917"/>
      <c r="CF917"/>
      <c r="CG917"/>
      <c r="CH917"/>
      <c r="CI917"/>
      <c r="CK917"/>
      <c r="CN917"/>
    </row>
    <row r="918" spans="1:92" x14ac:dyDescent="0.3">
      <c r="A918" s="4">
        <v>916</v>
      </c>
      <c r="B918" s="11">
        <v>74</v>
      </c>
      <c r="C918" s="2" t="str">
        <f>_xlfn.XLOOKUP(Table1[[#This Row],[Age]],Table7[Start_Age],Table7[Age_Range],,-1)</f>
        <v>69-76</v>
      </c>
      <c r="D918" t="s">
        <v>136</v>
      </c>
      <c r="E918" s="2" t="s">
        <v>131</v>
      </c>
      <c r="F918" s="2" t="s">
        <v>137</v>
      </c>
      <c r="G918" s="3">
        <v>2</v>
      </c>
      <c r="H918" s="13" t="s">
        <v>152</v>
      </c>
      <c r="I918" s="2" t="str" cm="1">
        <f t="array" ref="I918">_xlfn.IFS(Table1[[#This Row],[Job_Type]] = "unskilled resident", "Resident",
Table1[[#This Row],[Job_Type]] = "unemp/unskilled non res", "Non-resident",
TRUE, "Unknown")</f>
        <v>Unknown</v>
      </c>
      <c r="J918" s="2" t="s">
        <v>150</v>
      </c>
      <c r="K918" s="3">
        <v>4</v>
      </c>
      <c r="L918" s="2" t="s">
        <v>142</v>
      </c>
      <c r="M918" s="13" t="s">
        <v>152</v>
      </c>
      <c r="N918" t="s">
        <v>30</v>
      </c>
      <c r="O918" s="2" t="str">
        <f>_xlfn.XLOOKUP(Table1[[#This Row],[Checking_Acct_Status]],Table3[Checking_Acct_Original],Table3[Category])</f>
        <v>Low Balance</v>
      </c>
      <c r="P918" s="10" t="s">
        <v>32</v>
      </c>
      <c r="Q918" s="13" t="str">
        <f>_xlfn.XLOOKUP(Table1[[#This Row],[Saving_Acct_Status]],Table5[Saving_Acct_Original],Table5[Category])</f>
        <v>Low Savings</v>
      </c>
      <c r="R918" t="s">
        <v>63</v>
      </c>
      <c r="S918" s="2" t="str">
        <f>IF(
      OR(Table1[[#This Row],[Job_Type]] = "high qualif/self emp/mgmt", Table1[[#This Row],[Job_Type]] = "skilled"),
      "Skilled", "Unskilled")</f>
        <v>Skilled</v>
      </c>
      <c r="T918" t="str">
        <f>IF(Table1[[#This Row],[Job_Type]] = "unemp/unskilled non res", "Unemployed", "Employed")</f>
        <v>Employed</v>
      </c>
      <c r="U918" t="s">
        <v>38</v>
      </c>
      <c r="V918" s="14" t="str" cm="1">
        <f t="array" ref="V91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18" t="s">
        <v>42</v>
      </c>
      <c r="X918" s="2" t="str">
        <f>_xlfn.XLOOKUP(Table1[[#This Row],[Loan_Credit_History]],Table4[Credit History],Table4[[ Category]])</f>
        <v>All Paid</v>
      </c>
      <c r="Y918" s="3">
        <v>2</v>
      </c>
      <c r="Z918" s="3">
        <v>1</v>
      </c>
      <c r="AA918" s="5">
        <v>5129</v>
      </c>
      <c r="AB918" t="s">
        <v>151</v>
      </c>
      <c r="AC918" s="2" t="str" cm="1">
        <f t="array" ref="AC918">_xlfn.IFS(Table1[[#This Row],[Others_Parties]] = "No", "None",
Table1[[#This Row],[Others_Parties]] = "co applicant", "Co-applicant",
Table1[[#This Row],[Others_Parties]] = "guarantor", "Guarantor")</f>
        <v>None</v>
      </c>
      <c r="AD918" s="13" t="s">
        <v>146</v>
      </c>
      <c r="AE918" s="2" t="s">
        <v>107</v>
      </c>
      <c r="AF918" s="28" t="str" cm="1">
        <f t="array" ref="AF91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18" s="21">
        <v>9</v>
      </c>
      <c r="AH918" s="2" t="s">
        <v>153</v>
      </c>
      <c r="AI918"/>
      <c r="AZ918"/>
      <c r="BC918"/>
      <c r="BE918"/>
      <c r="BL918"/>
      <c r="BZ918"/>
      <c r="CA918"/>
      <c r="CF918"/>
      <c r="CG918"/>
      <c r="CH918"/>
      <c r="CI918"/>
      <c r="CK918"/>
      <c r="CN918"/>
    </row>
    <row r="919" spans="1:92" x14ac:dyDescent="0.3">
      <c r="A919" s="4">
        <v>917</v>
      </c>
      <c r="B919" s="11">
        <v>47</v>
      </c>
      <c r="C919" s="2" t="str">
        <f>_xlfn.XLOOKUP(Table1[[#This Row],[Age]],Table7[Start_Age],Table7[Age_Range],,-1)</f>
        <v>39-49</v>
      </c>
      <c r="D919" t="s">
        <v>130</v>
      </c>
      <c r="E919" s="2" t="s">
        <v>129</v>
      </c>
      <c r="F919" s="2" t="s">
        <v>133</v>
      </c>
      <c r="G919" s="3">
        <v>1</v>
      </c>
      <c r="H919" s="13" t="s">
        <v>152</v>
      </c>
      <c r="I919" s="2" t="str" cm="1">
        <f t="array" ref="I919">_xlfn.IFS(Table1[[#This Row],[Job_Type]] = "unskilled resident", "Resident",
Table1[[#This Row],[Job_Type]] = "unemp/unskilled non res", "Non-resident",
TRUE, "Unknown")</f>
        <v>Resident</v>
      </c>
      <c r="J919" s="2" t="s">
        <v>148</v>
      </c>
      <c r="K919" s="3">
        <v>4</v>
      </c>
      <c r="L919" s="2" t="s">
        <v>144</v>
      </c>
      <c r="M919" s="13" t="s">
        <v>151</v>
      </c>
      <c r="N919" t="s">
        <v>35</v>
      </c>
      <c r="O919" s="2" t="str">
        <f>_xlfn.XLOOKUP(Table1[[#This Row],[Checking_Acct_Status]],Table3[Checking_Acct_Original],Table3[Category])</f>
        <v>Negative Balance</v>
      </c>
      <c r="P919" s="10" t="s">
        <v>32</v>
      </c>
      <c r="Q919" s="13" t="str">
        <f>_xlfn.XLOOKUP(Table1[[#This Row],[Saving_Acct_Status]],Table5[Saving_Acct_Original],Table5[Category])</f>
        <v>Low Savings</v>
      </c>
      <c r="R919" t="s">
        <v>27</v>
      </c>
      <c r="S919" s="2" t="str">
        <f>IF(
      OR(Table1[[#This Row],[Job_Type]] = "high qualif/self emp/mgmt", Table1[[#This Row],[Job_Type]] = "skilled"),
      "Skilled", "Unskilled")</f>
        <v>Unskilled</v>
      </c>
      <c r="T919" t="str">
        <f>IF(Table1[[#This Row],[Job_Type]] = "unemp/unskilled non res", "Unemployed", "Employed")</f>
        <v>Employed</v>
      </c>
      <c r="U919" t="s">
        <v>38</v>
      </c>
      <c r="V919" s="14" t="str" cm="1">
        <f t="array" ref="V91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19" t="s">
        <v>103</v>
      </c>
      <c r="X919" s="2" t="str">
        <f>_xlfn.XLOOKUP(Table1[[#This Row],[Loan_Credit_History]],Table4[Credit History],Table4[[ Category]])</f>
        <v>Critical Credit History</v>
      </c>
      <c r="Y919" s="3">
        <v>4</v>
      </c>
      <c r="Z919" s="3">
        <v>2</v>
      </c>
      <c r="AA919" s="5">
        <v>731</v>
      </c>
      <c r="AB919" t="s">
        <v>151</v>
      </c>
      <c r="AC919" s="2" t="str" cm="1">
        <f t="array" ref="AC919">_xlfn.IFS(Table1[[#This Row],[Others_Parties]] = "No", "None",
Table1[[#This Row],[Others_Parties]] = "co applicant", "Co-applicant",
Table1[[#This Row],[Others_Parties]] = "guarantor", "Guarantor")</f>
        <v>None</v>
      </c>
      <c r="AD919" s="13" t="s">
        <v>145</v>
      </c>
      <c r="AE919" s="2" t="s">
        <v>141</v>
      </c>
      <c r="AF919" s="28" t="str" cm="1">
        <f t="array" ref="AF91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19" s="21">
        <v>8</v>
      </c>
      <c r="AH919" s="2" t="s">
        <v>154</v>
      </c>
      <c r="AI919"/>
      <c r="AZ919"/>
      <c r="BC919"/>
      <c r="BE919"/>
      <c r="BL919"/>
      <c r="BZ919"/>
      <c r="CA919"/>
      <c r="CF919"/>
      <c r="CG919"/>
      <c r="CH919"/>
      <c r="CI919"/>
      <c r="CK919"/>
      <c r="CN919"/>
    </row>
    <row r="920" spans="1:92" x14ac:dyDescent="0.3">
      <c r="A920" s="4">
        <v>918</v>
      </c>
      <c r="B920" s="11">
        <v>44</v>
      </c>
      <c r="C920" s="2" t="str">
        <f>_xlfn.XLOOKUP(Table1[[#This Row],[Age]],Table7[Start_Age],Table7[Age_Range],,-1)</f>
        <v>39-49</v>
      </c>
      <c r="D920" t="s">
        <v>136</v>
      </c>
      <c r="E920" s="2" t="s">
        <v>131</v>
      </c>
      <c r="F920" s="2" t="s">
        <v>137</v>
      </c>
      <c r="G920" s="3">
        <v>1</v>
      </c>
      <c r="H920" s="13" t="s">
        <v>152</v>
      </c>
      <c r="I920" s="2" t="str" cm="1">
        <f t="array" ref="I920">_xlfn.IFS(Table1[[#This Row],[Job_Type]] = "unskilled resident", "Resident",
Table1[[#This Row],[Job_Type]] = "unemp/unskilled non res", "Non-resident",
TRUE, "Unknown")</f>
        <v>Resident</v>
      </c>
      <c r="J920" s="2" t="s">
        <v>148</v>
      </c>
      <c r="K920" s="3">
        <v>2</v>
      </c>
      <c r="L920" s="2" t="s">
        <v>144</v>
      </c>
      <c r="M920" s="13" t="s">
        <v>151</v>
      </c>
      <c r="N920" t="s">
        <v>30</v>
      </c>
      <c r="O920" s="2" t="str">
        <f>_xlfn.XLOOKUP(Table1[[#This Row],[Checking_Acct_Status]],Table3[Checking_Acct_Original],Table3[Category])</f>
        <v>Low Balance</v>
      </c>
      <c r="P920" s="10" t="s">
        <v>32</v>
      </c>
      <c r="Q920" s="13" t="str">
        <f>_xlfn.XLOOKUP(Table1[[#This Row],[Saving_Acct_Status]],Table5[Saving_Acct_Original],Table5[Category])</f>
        <v>Low Savings</v>
      </c>
      <c r="R920" t="s">
        <v>27</v>
      </c>
      <c r="S920" s="2" t="str">
        <f>IF(
      OR(Table1[[#This Row],[Job_Type]] = "high qualif/self emp/mgmt", Table1[[#This Row],[Job_Type]] = "skilled"),
      "Skilled", "Unskilled")</f>
        <v>Unskilled</v>
      </c>
      <c r="T920" t="str">
        <f>IF(Table1[[#This Row],[Job_Type]] = "unemp/unskilled non res", "Unemployed", "Employed")</f>
        <v>Employed</v>
      </c>
      <c r="U920" t="s">
        <v>49</v>
      </c>
      <c r="V920" s="14" t="str" cm="1">
        <f t="array" ref="V92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20" t="s">
        <v>31</v>
      </c>
      <c r="X920" s="2" t="str">
        <f>_xlfn.XLOOKUP(Table1[[#This Row],[Loan_Credit_History]],Table4[Credit History],Table4[[ Category]])</f>
        <v>Existing Credits Paid</v>
      </c>
      <c r="Y920" s="3">
        <v>4</v>
      </c>
      <c r="Z920" s="3">
        <v>1</v>
      </c>
      <c r="AA920" s="5">
        <v>760</v>
      </c>
      <c r="AB920" t="s">
        <v>58</v>
      </c>
      <c r="AC920" s="2" t="str" cm="1">
        <f t="array" ref="AC920">_xlfn.IFS(Table1[[#This Row],[Others_Parties]] = "No", "None",
Table1[[#This Row],[Others_Parties]] = "co applicant", "Co-applicant",
Table1[[#This Row],[Others_Parties]] = "guarantor", "Guarantor")</f>
        <v>Guarantor</v>
      </c>
      <c r="AD920" s="13" t="s">
        <v>145</v>
      </c>
      <c r="AE920" s="2" t="s">
        <v>111</v>
      </c>
      <c r="AF920" s="28" t="str" cm="1">
        <f t="array" ref="AF92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20" s="21">
        <v>8</v>
      </c>
      <c r="AH920" s="2" t="s">
        <v>154</v>
      </c>
      <c r="AI920"/>
      <c r="AZ920"/>
      <c r="BC920"/>
      <c r="BE920"/>
      <c r="BL920"/>
      <c r="BZ920"/>
      <c r="CA920"/>
      <c r="CF920"/>
      <c r="CG920"/>
      <c r="CH920"/>
      <c r="CI920"/>
      <c r="CK920"/>
      <c r="CN920"/>
    </row>
    <row r="921" spans="1:92" x14ac:dyDescent="0.3">
      <c r="A921" s="4">
        <v>919</v>
      </c>
      <c r="B921" s="11">
        <v>26</v>
      </c>
      <c r="C921" s="2" t="str">
        <f>_xlfn.XLOOKUP(Table1[[#This Row],[Age]],Table7[Start_Age],Table7[Age_Range],,-1)</f>
        <v>19-29</v>
      </c>
      <c r="D921" t="s">
        <v>134</v>
      </c>
      <c r="E921" s="2" t="s">
        <v>129</v>
      </c>
      <c r="F921" s="2" t="s">
        <v>135</v>
      </c>
      <c r="G921" s="3">
        <v>1</v>
      </c>
      <c r="H921" s="13" t="s">
        <v>152</v>
      </c>
      <c r="I921" s="2" t="str" cm="1">
        <f t="array" ref="I921">_xlfn.IFS(Table1[[#This Row],[Job_Type]] = "unskilled resident", "Resident",
Table1[[#This Row],[Job_Type]] = "unemp/unskilled non res", "Non-resident",
TRUE, "Unknown")</f>
        <v>Unknown</v>
      </c>
      <c r="J921" s="2" t="s">
        <v>148</v>
      </c>
      <c r="K921" s="3">
        <v>2</v>
      </c>
      <c r="L921" s="2" t="s">
        <v>144</v>
      </c>
      <c r="M921" s="13" t="s">
        <v>152</v>
      </c>
      <c r="N921" t="s">
        <v>30</v>
      </c>
      <c r="O921" s="2" t="str">
        <f>_xlfn.XLOOKUP(Table1[[#This Row],[Checking_Acct_Status]],Table3[Checking_Acct_Original],Table3[Category])</f>
        <v>Low Balance</v>
      </c>
      <c r="P921" s="10" t="s">
        <v>32</v>
      </c>
      <c r="Q921" s="13" t="str">
        <f>_xlfn.XLOOKUP(Table1[[#This Row],[Saving_Acct_Status]],Table5[Saving_Acct_Original],Table5[Category])</f>
        <v>Low Savings</v>
      </c>
      <c r="R921" t="s">
        <v>41</v>
      </c>
      <c r="S921" s="2" t="str">
        <f>IF(
      OR(Table1[[#This Row],[Job_Type]] = "high qualif/self emp/mgmt", Table1[[#This Row],[Job_Type]] = "skilled"),
      "Skilled", "Unskilled")</f>
        <v>Skilled</v>
      </c>
      <c r="T921" t="str">
        <f>IF(Table1[[#This Row],[Job_Type]] = "unemp/unskilled non res", "Unemployed", "Employed")</f>
        <v>Employed</v>
      </c>
      <c r="U921" t="s">
        <v>45</v>
      </c>
      <c r="V921" s="14" t="str" cm="1">
        <f t="array" ref="V92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21" t="s">
        <v>31</v>
      </c>
      <c r="X921" s="2" t="str">
        <f>_xlfn.XLOOKUP(Table1[[#This Row],[Loan_Credit_History]],Table4[Credit History],Table4[[ Category]])</f>
        <v>Existing Credits Paid</v>
      </c>
      <c r="Y921" s="3">
        <v>3</v>
      </c>
      <c r="Z921" s="3">
        <v>1</v>
      </c>
      <c r="AA921" s="5">
        <v>907</v>
      </c>
      <c r="AB921" t="s">
        <v>151</v>
      </c>
      <c r="AC921" s="2" t="str" cm="1">
        <f t="array" ref="AC921">_xlfn.IFS(Table1[[#This Row],[Others_Parties]] = "No", "None",
Table1[[#This Row],[Others_Parties]] = "co applicant", "Co-applicant",
Table1[[#This Row],[Others_Parties]] = "guarantor", "Guarantor")</f>
        <v>None</v>
      </c>
      <c r="AD921" s="13" t="s">
        <v>145</v>
      </c>
      <c r="AE921" s="2" t="s">
        <v>105</v>
      </c>
      <c r="AF921" s="28" t="str" cm="1">
        <f t="array" ref="AF92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21" s="21">
        <v>8</v>
      </c>
      <c r="AH921" s="2" t="s">
        <v>154</v>
      </c>
      <c r="AI921"/>
      <c r="AZ921"/>
      <c r="BC921"/>
      <c r="BE921"/>
      <c r="BL921"/>
      <c r="BZ921"/>
      <c r="CA921"/>
      <c r="CF921"/>
      <c r="CG921"/>
      <c r="CH921"/>
      <c r="CI921"/>
      <c r="CK921"/>
      <c r="CN921"/>
    </row>
    <row r="922" spans="1:92" x14ac:dyDescent="0.3">
      <c r="A922" s="4">
        <v>920</v>
      </c>
      <c r="B922" s="11">
        <v>51</v>
      </c>
      <c r="C922" s="2" t="str">
        <f>_xlfn.XLOOKUP(Table1[[#This Row],[Age]],Table7[Start_Age],Table7[Age_Range],,-1)</f>
        <v>49-59</v>
      </c>
      <c r="D922" t="s">
        <v>130</v>
      </c>
      <c r="E922" s="2" t="s">
        <v>129</v>
      </c>
      <c r="F922" s="2" t="s">
        <v>133</v>
      </c>
      <c r="G922" s="3">
        <v>2</v>
      </c>
      <c r="H922" s="13" t="s">
        <v>152</v>
      </c>
      <c r="I922" s="2" t="str" cm="1">
        <f t="array" ref="I922">_xlfn.IFS(Table1[[#This Row],[Job_Type]] = "unskilled resident", "Resident",
Table1[[#This Row],[Job_Type]] = "unemp/unskilled non res", "Non-resident",
TRUE, "Unknown")</f>
        <v>Unknown</v>
      </c>
      <c r="J922" s="2" t="s">
        <v>150</v>
      </c>
      <c r="K922" s="3">
        <v>4</v>
      </c>
      <c r="L922" s="2" t="s">
        <v>142</v>
      </c>
      <c r="M922" s="13" t="s">
        <v>152</v>
      </c>
      <c r="N922" t="s">
        <v>35</v>
      </c>
      <c r="O922" s="2" t="str">
        <f>_xlfn.XLOOKUP(Table1[[#This Row],[Checking_Acct_Status]],Table3[Checking_Acct_Original],Table3[Category])</f>
        <v>Negative Balance</v>
      </c>
      <c r="P922" s="10" t="s">
        <v>32</v>
      </c>
      <c r="Q922" s="13" t="str">
        <f>_xlfn.XLOOKUP(Table1[[#This Row],[Saving_Acct_Status]],Table5[Saving_Acct_Original],Table5[Category])</f>
        <v>Low Savings</v>
      </c>
      <c r="R922" t="s">
        <v>63</v>
      </c>
      <c r="S922" s="2" t="str">
        <f>IF(
      OR(Table1[[#This Row],[Job_Type]] = "high qualif/self emp/mgmt", Table1[[#This Row],[Job_Type]] = "skilled"),
      "Skilled", "Unskilled")</f>
        <v>Skilled</v>
      </c>
      <c r="T922" t="str">
        <f>IF(Table1[[#This Row],[Job_Type]] = "unemp/unskilled non res", "Unemployed", "Employed")</f>
        <v>Employed</v>
      </c>
      <c r="U922" t="s">
        <v>38</v>
      </c>
      <c r="V922" s="14" t="str" cm="1">
        <f t="array" ref="V922">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22" t="s">
        <v>103</v>
      </c>
      <c r="X922" s="2" t="str">
        <f>_xlfn.XLOOKUP(Table1[[#This Row],[Loan_Credit_History]],Table4[Credit History],Table4[[ Category]])</f>
        <v>Critical Credit History</v>
      </c>
      <c r="Y922" s="3">
        <v>3</v>
      </c>
      <c r="Z922" s="3">
        <v>2</v>
      </c>
      <c r="AA922" s="5">
        <v>1164</v>
      </c>
      <c r="AB922" t="s">
        <v>151</v>
      </c>
      <c r="AC922" s="2" t="str" cm="1">
        <f t="array" ref="AC922">_xlfn.IFS(Table1[[#This Row],[Others_Parties]] = "No", "None",
Table1[[#This Row],[Others_Parties]] = "co applicant", "Co-applicant",
Table1[[#This Row],[Others_Parties]] = "guarantor", "Guarantor")</f>
        <v>None</v>
      </c>
      <c r="AD922" s="13" t="s">
        <v>146</v>
      </c>
      <c r="AE922" s="2" t="s">
        <v>104</v>
      </c>
      <c r="AF922" s="28" t="str" cm="1">
        <f t="array" ref="AF92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22" s="21">
        <v>8</v>
      </c>
      <c r="AH922" s="2" t="s">
        <v>154</v>
      </c>
      <c r="AI922"/>
      <c r="AZ922"/>
      <c r="BC922"/>
      <c r="BE922"/>
      <c r="BL922"/>
      <c r="BZ922"/>
      <c r="CA922"/>
      <c r="CF922"/>
      <c r="CG922"/>
      <c r="CH922"/>
      <c r="CI922"/>
      <c r="CK922"/>
      <c r="CN922"/>
    </row>
    <row r="923" spans="1:92" x14ac:dyDescent="0.3">
      <c r="A923" s="4">
        <v>921</v>
      </c>
      <c r="B923" s="11">
        <v>24</v>
      </c>
      <c r="C923" s="2" t="str">
        <f>_xlfn.XLOOKUP(Table1[[#This Row],[Age]],Table7[Start_Age],Table7[Age_Range],,-1)</f>
        <v>19-29</v>
      </c>
      <c r="D923" t="s">
        <v>136</v>
      </c>
      <c r="E923" s="2" t="s">
        <v>131</v>
      </c>
      <c r="F923" s="2" t="s">
        <v>137</v>
      </c>
      <c r="G923" s="3">
        <v>1</v>
      </c>
      <c r="H923" s="13" t="s">
        <v>152</v>
      </c>
      <c r="I923" s="2" t="str" cm="1">
        <f t="array" ref="I923">_xlfn.IFS(Table1[[#This Row],[Job_Type]] = "unskilled resident", "Resident",
Table1[[#This Row],[Job_Type]] = "unemp/unskilled non res", "Non-resident",
TRUE, "Unknown")</f>
        <v>Unknown</v>
      </c>
      <c r="J923" s="2" t="s">
        <v>148</v>
      </c>
      <c r="K923" s="3">
        <v>4</v>
      </c>
      <c r="L923" s="2" t="s">
        <v>144</v>
      </c>
      <c r="M923" s="13" t="s">
        <v>151</v>
      </c>
      <c r="N923" t="s">
        <v>30</v>
      </c>
      <c r="O923" s="2" t="str">
        <f>_xlfn.XLOOKUP(Table1[[#This Row],[Checking_Acct_Status]],Table3[Checking_Acct_Original],Table3[Category])</f>
        <v>Low Balance</v>
      </c>
      <c r="P923" s="10" t="s">
        <v>32</v>
      </c>
      <c r="Q923" s="13" t="str">
        <f>_xlfn.XLOOKUP(Table1[[#This Row],[Saving_Acct_Status]],Table5[Saving_Acct_Original],Table5[Category])</f>
        <v>Low Savings</v>
      </c>
      <c r="R923" t="s">
        <v>41</v>
      </c>
      <c r="S923" s="2" t="str">
        <f>IF(
      OR(Table1[[#This Row],[Job_Type]] = "high qualif/self emp/mgmt", Table1[[#This Row],[Job_Type]] = "skilled"),
      "Skilled", "Unskilled")</f>
        <v>Skilled</v>
      </c>
      <c r="T923" t="str">
        <f>IF(Table1[[#This Row],[Job_Type]] = "unemp/unskilled non res", "Unemployed", "Employed")</f>
        <v>Employed</v>
      </c>
      <c r="U923" t="s">
        <v>21</v>
      </c>
      <c r="V923" s="14" t="str" cm="1">
        <f t="array" ref="V92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23" t="s">
        <v>31</v>
      </c>
      <c r="X923" s="2" t="str">
        <f>_xlfn.XLOOKUP(Table1[[#This Row],[Loan_Credit_History]],Table4[Credit History],Table4[[ Category]])</f>
        <v>Existing Credits Paid</v>
      </c>
      <c r="Y923" s="3">
        <v>3</v>
      </c>
      <c r="Z923" s="3">
        <v>1</v>
      </c>
      <c r="AA923" s="5">
        <v>1237</v>
      </c>
      <c r="AB923" t="s">
        <v>151</v>
      </c>
      <c r="AC923" s="2" t="str" cm="1">
        <f t="array" ref="AC923">_xlfn.IFS(Table1[[#This Row],[Others_Parties]] = "No", "None",
Table1[[#This Row],[Others_Parties]] = "co applicant", "Co-applicant",
Table1[[#This Row],[Others_Parties]] = "guarantor", "Guarantor")</f>
        <v>None</v>
      </c>
      <c r="AD923" s="13" t="s">
        <v>145</v>
      </c>
      <c r="AE923" s="2" t="s">
        <v>108</v>
      </c>
      <c r="AF923" s="28" t="str" cm="1">
        <f t="array" ref="AF92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23" s="21">
        <v>8</v>
      </c>
      <c r="AH923" s="2" t="s">
        <v>153</v>
      </c>
      <c r="AI923"/>
      <c r="AZ923"/>
      <c r="BC923"/>
      <c r="BE923"/>
      <c r="BL923"/>
      <c r="BZ923"/>
      <c r="CA923"/>
      <c r="CF923"/>
      <c r="CG923"/>
      <c r="CH923"/>
      <c r="CI923"/>
      <c r="CK923"/>
      <c r="CN923"/>
    </row>
    <row r="924" spans="1:92" x14ac:dyDescent="0.3">
      <c r="A924" s="4">
        <v>922</v>
      </c>
      <c r="B924" s="11">
        <v>46</v>
      </c>
      <c r="C924" s="2" t="str">
        <f>_xlfn.XLOOKUP(Table1[[#This Row],[Age]],Table7[Start_Age],Table7[Age_Range],,-1)</f>
        <v>39-49</v>
      </c>
      <c r="D924" t="s">
        <v>130</v>
      </c>
      <c r="E924" s="2" t="s">
        <v>129</v>
      </c>
      <c r="F924" s="2" t="s">
        <v>133</v>
      </c>
      <c r="G924" s="3">
        <v>1</v>
      </c>
      <c r="H924" s="13" t="s">
        <v>152</v>
      </c>
      <c r="I924" s="2" t="str" cm="1">
        <f t="array" ref="I924">_xlfn.IFS(Table1[[#This Row],[Job_Type]] = "unskilled resident", "Resident",
Table1[[#This Row],[Job_Type]] = "unemp/unskilled non res", "Non-resident",
TRUE, "Unknown")</f>
        <v>Resident</v>
      </c>
      <c r="J924" s="2" t="s">
        <v>149</v>
      </c>
      <c r="K924" s="3">
        <v>2</v>
      </c>
      <c r="L924" s="2" t="s">
        <v>143</v>
      </c>
      <c r="M924" s="13" t="s">
        <v>152</v>
      </c>
      <c r="N924" t="s">
        <v>17</v>
      </c>
      <c r="O924" s="2" t="str">
        <f>_xlfn.XLOOKUP(Table1[[#This Row],[Checking_Acct_Status]],Table3[Checking_Acct_Original],Table3[Category])</f>
        <v>No Account</v>
      </c>
      <c r="P924" s="10" t="s">
        <v>47</v>
      </c>
      <c r="Q924" s="13" t="str">
        <f>_xlfn.XLOOKUP(Table1[[#This Row],[Saving_Acct_Status]],Table5[Saving_Acct_Original],Table5[Category])</f>
        <v>No Savings</v>
      </c>
      <c r="R924" t="s">
        <v>27</v>
      </c>
      <c r="S924" s="2" t="str">
        <f>IF(
      OR(Table1[[#This Row],[Job_Type]] = "high qualif/self emp/mgmt", Table1[[#This Row],[Job_Type]] = "skilled"),
      "Skilled", "Unskilled")</f>
        <v>Unskilled</v>
      </c>
      <c r="T924" t="str">
        <f>IF(Table1[[#This Row],[Job_Type]] = "unemp/unskilled non res", "Unemployed", "Employed")</f>
        <v>Employed</v>
      </c>
      <c r="U924" t="s">
        <v>38</v>
      </c>
      <c r="V924" s="14" t="str" cm="1">
        <f t="array" ref="V92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24" t="s">
        <v>103</v>
      </c>
      <c r="X924" s="2" t="str">
        <f>_xlfn.XLOOKUP(Table1[[#This Row],[Loan_Credit_History]],Table4[Credit History],Table4[[ Category]])</f>
        <v>Critical Credit History</v>
      </c>
      <c r="Y924" s="3">
        <v>4</v>
      </c>
      <c r="Z924" s="3">
        <v>2</v>
      </c>
      <c r="AA924" s="5">
        <v>730</v>
      </c>
      <c r="AB924" t="s">
        <v>151</v>
      </c>
      <c r="AC924" s="2" t="str" cm="1">
        <f t="array" ref="AC924">_xlfn.IFS(Table1[[#This Row],[Others_Parties]] = "No", "None",
Table1[[#This Row],[Others_Parties]] = "co applicant", "Co-applicant",
Table1[[#This Row],[Others_Parties]] = "guarantor", "Guarantor")</f>
        <v>None</v>
      </c>
      <c r="AD924" s="13" t="s">
        <v>145</v>
      </c>
      <c r="AE924" s="2" t="s">
        <v>111</v>
      </c>
      <c r="AF924" s="28" t="str" cm="1">
        <f t="array" ref="AF92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24" s="21">
        <v>7</v>
      </c>
      <c r="AH924" s="2" t="s">
        <v>154</v>
      </c>
      <c r="AI924"/>
      <c r="AZ924"/>
      <c r="BC924"/>
      <c r="BE924"/>
      <c r="BL924"/>
      <c r="BZ924"/>
      <c r="CA924"/>
      <c r="CF924"/>
      <c r="CG924"/>
      <c r="CH924"/>
      <c r="CI924"/>
      <c r="CK924"/>
      <c r="CN924"/>
    </row>
    <row r="925" spans="1:92" x14ac:dyDescent="0.3">
      <c r="A925" s="4">
        <v>923</v>
      </c>
      <c r="B925" s="11">
        <v>36</v>
      </c>
      <c r="C925" s="2" t="str">
        <f>_xlfn.XLOOKUP(Table1[[#This Row],[Age]],Table7[Start_Age],Table7[Age_Range],,-1)</f>
        <v>29-39</v>
      </c>
      <c r="D925" t="s">
        <v>130</v>
      </c>
      <c r="E925" s="2" t="s">
        <v>129</v>
      </c>
      <c r="F925" s="2" t="s">
        <v>133</v>
      </c>
      <c r="G925" s="3">
        <v>1</v>
      </c>
      <c r="H925" s="13" t="s">
        <v>152</v>
      </c>
      <c r="I925" s="2" t="str" cm="1">
        <f t="array" ref="I925">_xlfn.IFS(Table1[[#This Row],[Job_Type]] = "unskilled resident", "Resident",
Table1[[#This Row],[Job_Type]] = "unemp/unskilled non res", "Non-resident",
TRUE, "Unknown")</f>
        <v>Unknown</v>
      </c>
      <c r="J925" s="2" t="s">
        <v>150</v>
      </c>
      <c r="K925" s="3">
        <v>4</v>
      </c>
      <c r="L925" s="2" t="s">
        <v>142</v>
      </c>
      <c r="M925" s="13" t="s">
        <v>151</v>
      </c>
      <c r="N925" t="s">
        <v>17</v>
      </c>
      <c r="O925" s="2" t="str">
        <f>_xlfn.XLOOKUP(Table1[[#This Row],[Checking_Acct_Status]],Table3[Checking_Acct_Original],Table3[Category])</f>
        <v>No Account</v>
      </c>
      <c r="P925" s="10" t="s">
        <v>47</v>
      </c>
      <c r="Q925" s="13" t="str">
        <f>_xlfn.XLOOKUP(Table1[[#This Row],[Saving_Acct_Status]],Table5[Saving_Acct_Original],Table5[Category])</f>
        <v>No Savings</v>
      </c>
      <c r="R925" t="s">
        <v>41</v>
      </c>
      <c r="S925" s="2" t="str">
        <f>IF(
      OR(Table1[[#This Row],[Job_Type]] = "high qualif/self emp/mgmt", Table1[[#This Row],[Job_Type]] = "skilled"),
      "Skilled", "Unskilled")</f>
        <v>Skilled</v>
      </c>
      <c r="T925" t="str">
        <f>IF(Table1[[#This Row],[Job_Type]] = "unemp/unskilled non res", "Unemployed", "Employed")</f>
        <v>Employed</v>
      </c>
      <c r="U925" t="s">
        <v>38</v>
      </c>
      <c r="V925" s="14" t="str" cm="1">
        <f t="array" ref="V92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25" t="s">
        <v>59</v>
      </c>
      <c r="X925" s="2" t="str">
        <f>_xlfn.XLOOKUP(Table1[[#This Row],[Loan_Credit_History]],Table4[Credit History],Table4[[ Category]])</f>
        <v>Previously Delayed</v>
      </c>
      <c r="Y925" s="3">
        <v>3</v>
      </c>
      <c r="Z925" s="3">
        <v>1</v>
      </c>
      <c r="AA925" s="5">
        <v>846</v>
      </c>
      <c r="AB925" t="s">
        <v>151</v>
      </c>
      <c r="AC925" s="2" t="str" cm="1">
        <f t="array" ref="AC925">_xlfn.IFS(Table1[[#This Row],[Others_Parties]] = "No", "None",
Table1[[#This Row],[Others_Parties]] = "co applicant", "Co-applicant",
Table1[[#This Row],[Others_Parties]] = "guarantor", "Guarantor")</f>
        <v>None</v>
      </c>
      <c r="AD925" s="13" t="s">
        <v>145</v>
      </c>
      <c r="AE925" s="2" t="s">
        <v>111</v>
      </c>
      <c r="AF925" s="28" t="str" cm="1">
        <f t="array" ref="AF92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25" s="21">
        <v>7</v>
      </c>
      <c r="AH925" s="2" t="s">
        <v>154</v>
      </c>
      <c r="AI925"/>
      <c r="AZ925"/>
      <c r="BC925"/>
      <c r="BE925"/>
      <c r="BL925"/>
      <c r="BZ925"/>
      <c r="CA925"/>
      <c r="CF925"/>
      <c r="CG925"/>
      <c r="CH925"/>
      <c r="CI925"/>
      <c r="CK925"/>
      <c r="CN925"/>
    </row>
    <row r="926" spans="1:92" x14ac:dyDescent="0.3">
      <c r="A926" s="4">
        <v>924</v>
      </c>
      <c r="B926" s="11">
        <v>45</v>
      </c>
      <c r="C926" s="2" t="str">
        <f>_xlfn.XLOOKUP(Table1[[#This Row],[Age]],Table7[Start_Age],Table7[Age_Range],,-1)</f>
        <v>39-49</v>
      </c>
      <c r="D926" t="s">
        <v>136</v>
      </c>
      <c r="E926" s="2" t="s">
        <v>131</v>
      </c>
      <c r="F926" s="2" t="s">
        <v>137</v>
      </c>
      <c r="G926" s="3">
        <v>1</v>
      </c>
      <c r="H926" s="13" t="s">
        <v>152</v>
      </c>
      <c r="I926" s="2" t="str" cm="1">
        <f t="array" ref="I926">_xlfn.IFS(Table1[[#This Row],[Job_Type]] = "unskilled resident", "Resident",
Table1[[#This Row],[Job_Type]] = "unemp/unskilled non res", "Non-resident",
TRUE, "Unknown")</f>
        <v>Unknown</v>
      </c>
      <c r="J926" s="2" t="s">
        <v>148</v>
      </c>
      <c r="K926" s="3">
        <v>1</v>
      </c>
      <c r="L926" s="2" t="s">
        <v>144</v>
      </c>
      <c r="M926" s="13" t="s">
        <v>151</v>
      </c>
      <c r="N926" t="s">
        <v>30</v>
      </c>
      <c r="O926" s="2" t="str">
        <f>_xlfn.XLOOKUP(Table1[[#This Row],[Checking_Acct_Status]],Table3[Checking_Acct_Original],Table3[Category])</f>
        <v>Low Balance</v>
      </c>
      <c r="P926" s="10" t="s">
        <v>32</v>
      </c>
      <c r="Q926" s="13" t="str">
        <f>_xlfn.XLOOKUP(Table1[[#This Row],[Saving_Acct_Status]],Table5[Saving_Acct_Original],Table5[Category])</f>
        <v>Low Savings</v>
      </c>
      <c r="R926" t="s">
        <v>41</v>
      </c>
      <c r="S926" s="2" t="str">
        <f>IF(
      OR(Table1[[#This Row],[Job_Type]] = "high qualif/self emp/mgmt", Table1[[#This Row],[Job_Type]] = "skilled"),
      "Skilled", "Unskilled")</f>
        <v>Skilled</v>
      </c>
      <c r="T926" t="str">
        <f>IF(Table1[[#This Row],[Job_Type]] = "unemp/unskilled non res", "Unemployed", "Employed")</f>
        <v>Employed</v>
      </c>
      <c r="U926" t="s">
        <v>45</v>
      </c>
      <c r="V926" s="14" t="str" cm="1">
        <f t="array" ref="V92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26" t="s">
        <v>31</v>
      </c>
      <c r="X926" s="2" t="str">
        <f>_xlfn.XLOOKUP(Table1[[#This Row],[Loan_Credit_History]],Table4[Credit History],Table4[[ Category]])</f>
        <v>Existing Credits Paid</v>
      </c>
      <c r="Y926" s="3">
        <v>1</v>
      </c>
      <c r="Z926" s="3">
        <v>1</v>
      </c>
      <c r="AA926" s="5">
        <v>2329</v>
      </c>
      <c r="AB926" t="s">
        <v>58</v>
      </c>
      <c r="AC926" s="2" t="str" cm="1">
        <f t="array" ref="AC926">_xlfn.IFS(Table1[[#This Row],[Others_Parties]] = "No", "None",
Table1[[#This Row],[Others_Parties]] = "co applicant", "Co-applicant",
Table1[[#This Row],[Others_Parties]] = "guarantor", "Guarantor")</f>
        <v>Guarantor</v>
      </c>
      <c r="AD926" s="13" t="s">
        <v>145</v>
      </c>
      <c r="AE926" s="2" t="s">
        <v>111</v>
      </c>
      <c r="AF926" s="28" t="str" cm="1">
        <f t="array" ref="AF92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26" s="21">
        <v>7</v>
      </c>
      <c r="AH926" s="2" t="s">
        <v>154</v>
      </c>
      <c r="AI926"/>
      <c r="AZ926"/>
      <c r="BC926"/>
      <c r="BE926"/>
      <c r="BL926"/>
      <c r="BZ926"/>
      <c r="CA926"/>
      <c r="CF926"/>
      <c r="CG926"/>
      <c r="CH926"/>
      <c r="CI926"/>
      <c r="CK926"/>
      <c r="CN926"/>
    </row>
    <row r="927" spans="1:92" x14ac:dyDescent="0.3">
      <c r="A927" s="4">
        <v>925</v>
      </c>
      <c r="B927" s="11">
        <v>34</v>
      </c>
      <c r="C927" s="2" t="str">
        <f>_xlfn.XLOOKUP(Table1[[#This Row],[Age]],Table7[Start_Age],Table7[Age_Range],,-1)</f>
        <v>29-39</v>
      </c>
      <c r="D927" t="s">
        <v>130</v>
      </c>
      <c r="E927" s="2" t="s">
        <v>129</v>
      </c>
      <c r="F927" s="2" t="s">
        <v>133</v>
      </c>
      <c r="G927" s="3">
        <v>1</v>
      </c>
      <c r="H927" s="13" t="s">
        <v>152</v>
      </c>
      <c r="I927" s="2" t="str" cm="1">
        <f t="array" ref="I927">_xlfn.IFS(Table1[[#This Row],[Job_Type]] = "unskilled resident", "Resident",
Table1[[#This Row],[Job_Type]] = "unemp/unskilled non res", "Non-resident",
TRUE, "Unknown")</f>
        <v>Unknown</v>
      </c>
      <c r="J927" s="2" t="s">
        <v>148</v>
      </c>
      <c r="K927" s="3">
        <v>2</v>
      </c>
      <c r="L927" s="2" t="s">
        <v>144</v>
      </c>
      <c r="M927" s="13" t="s">
        <v>151</v>
      </c>
      <c r="N927" t="s">
        <v>30</v>
      </c>
      <c r="O927" s="2" t="str">
        <f>_xlfn.XLOOKUP(Table1[[#This Row],[Checking_Acct_Status]],Table3[Checking_Acct_Original],Table3[Category])</f>
        <v>Low Balance</v>
      </c>
      <c r="P927" s="10" t="s">
        <v>32</v>
      </c>
      <c r="Q927" s="13" t="str">
        <f>_xlfn.XLOOKUP(Table1[[#This Row],[Saving_Acct_Status]],Table5[Saving_Acct_Original],Table5[Category])</f>
        <v>Low Savings</v>
      </c>
      <c r="R927" t="s">
        <v>41</v>
      </c>
      <c r="S927" s="2" t="str">
        <f>IF(
      OR(Table1[[#This Row],[Job_Type]] = "high qualif/self emp/mgmt", Table1[[#This Row],[Job_Type]] = "skilled"),
      "Skilled", "Unskilled")</f>
        <v>Skilled</v>
      </c>
      <c r="T927" t="str">
        <f>IF(Table1[[#This Row],[Job_Type]] = "unemp/unskilled non res", "Unemployed", "Employed")</f>
        <v>Employed</v>
      </c>
      <c r="U927" t="s">
        <v>21</v>
      </c>
      <c r="V927" s="14" t="str" cm="1">
        <f t="array" ref="V92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27" t="s">
        <v>31</v>
      </c>
      <c r="X927" s="2" t="str">
        <f>_xlfn.XLOOKUP(Table1[[#This Row],[Loan_Credit_History]],Table4[Credit History],Table4[[ Category]])</f>
        <v>Existing Credits Paid</v>
      </c>
      <c r="Y927" s="3">
        <v>3</v>
      </c>
      <c r="Z927" s="3">
        <v>1</v>
      </c>
      <c r="AA927" s="5">
        <v>2415</v>
      </c>
      <c r="AB927" t="s">
        <v>58</v>
      </c>
      <c r="AC927" s="2" t="str" cm="1">
        <f t="array" ref="AC927">_xlfn.IFS(Table1[[#This Row],[Others_Parties]] = "No", "None",
Table1[[#This Row],[Others_Parties]] = "co applicant", "Co-applicant",
Table1[[#This Row],[Others_Parties]] = "guarantor", "Guarantor")</f>
        <v>Guarantor</v>
      </c>
      <c r="AD927" s="13" t="s">
        <v>145</v>
      </c>
      <c r="AE927" s="2" t="s">
        <v>111</v>
      </c>
      <c r="AF927" s="28" t="str" cm="1">
        <f t="array" ref="AF92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27" s="21">
        <v>7</v>
      </c>
      <c r="AH927" s="2" t="s">
        <v>154</v>
      </c>
      <c r="AI927"/>
      <c r="AZ927"/>
      <c r="BC927"/>
      <c r="BE927"/>
      <c r="BL927"/>
      <c r="BZ927"/>
      <c r="CA927"/>
      <c r="CF927"/>
      <c r="CG927"/>
      <c r="CH927"/>
      <c r="CI927"/>
      <c r="CK927"/>
      <c r="CN927"/>
    </row>
    <row r="928" spans="1:92" x14ac:dyDescent="0.3">
      <c r="A928" s="4">
        <v>926</v>
      </c>
      <c r="B928" s="11">
        <v>35</v>
      </c>
      <c r="C928" s="2" t="str">
        <f>_xlfn.XLOOKUP(Table1[[#This Row],[Age]],Table7[Start_Age],Table7[Age_Range],,-1)</f>
        <v>29-39</v>
      </c>
      <c r="D928" t="s">
        <v>130</v>
      </c>
      <c r="E928" s="2" t="s">
        <v>129</v>
      </c>
      <c r="F928" s="2" t="s">
        <v>133</v>
      </c>
      <c r="G928" s="3">
        <v>1</v>
      </c>
      <c r="H928" s="13" t="s">
        <v>152</v>
      </c>
      <c r="I928" s="2" t="str" cm="1">
        <f t="array" ref="I928">_xlfn.IFS(Table1[[#This Row],[Job_Type]] = "unskilled resident", "Resident",
Table1[[#This Row],[Job_Type]] = "unemp/unskilled non res", "Non-resident",
TRUE, "Unknown")</f>
        <v>Unknown</v>
      </c>
      <c r="J928" s="2" t="s">
        <v>148</v>
      </c>
      <c r="K928" s="3">
        <v>2</v>
      </c>
      <c r="L928" s="2" t="s">
        <v>144</v>
      </c>
      <c r="M928" s="13" t="s">
        <v>151</v>
      </c>
      <c r="N928" t="s">
        <v>30</v>
      </c>
      <c r="O928" s="2" t="str">
        <f>_xlfn.XLOOKUP(Table1[[#This Row],[Checking_Acct_Status]],Table3[Checking_Acct_Original],Table3[Category])</f>
        <v>Low Balance</v>
      </c>
      <c r="P928" s="10" t="s">
        <v>32</v>
      </c>
      <c r="Q928" s="13" t="str">
        <f>_xlfn.XLOOKUP(Table1[[#This Row],[Saving_Acct_Status]],Table5[Saving_Acct_Original],Table5[Category])</f>
        <v>Low Savings</v>
      </c>
      <c r="R928" t="s">
        <v>41</v>
      </c>
      <c r="S928" s="2" t="str">
        <f>IF(
      OR(Table1[[#This Row],[Job_Type]] = "high qualif/self emp/mgmt", Table1[[#This Row],[Job_Type]] = "skilled"),
      "Skilled", "Unskilled")</f>
        <v>Skilled</v>
      </c>
      <c r="T928" t="str">
        <f>IF(Table1[[#This Row],[Job_Type]] = "unemp/unskilled non res", "Unemployed", "Employed")</f>
        <v>Employed</v>
      </c>
      <c r="U928" t="s">
        <v>21</v>
      </c>
      <c r="V928" s="14" t="str" cm="1">
        <f t="array" ref="V92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28" t="s">
        <v>31</v>
      </c>
      <c r="X928" s="2" t="str">
        <f>_xlfn.XLOOKUP(Table1[[#This Row],[Loan_Credit_History]],Table4[Credit History],Table4[[ Category]])</f>
        <v>Existing Credits Paid</v>
      </c>
      <c r="Y928" s="3">
        <v>2</v>
      </c>
      <c r="Z928" s="3">
        <v>1</v>
      </c>
      <c r="AA928" s="5">
        <v>2576</v>
      </c>
      <c r="AB928" t="s">
        <v>58</v>
      </c>
      <c r="AC928" s="2" t="str" cm="1">
        <f t="array" ref="AC928">_xlfn.IFS(Table1[[#This Row],[Others_Parties]] = "No", "None",
Table1[[#This Row],[Others_Parties]] = "co applicant", "Co-applicant",
Table1[[#This Row],[Others_Parties]] = "guarantor", "Guarantor")</f>
        <v>Guarantor</v>
      </c>
      <c r="AD928" s="13" t="s">
        <v>145</v>
      </c>
      <c r="AE928" s="2" t="s">
        <v>111</v>
      </c>
      <c r="AF928" s="28" t="str" cm="1">
        <f t="array" ref="AF92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28" s="21">
        <v>7</v>
      </c>
      <c r="AH928" s="2" t="s">
        <v>154</v>
      </c>
      <c r="AI928"/>
      <c r="AZ928"/>
      <c r="BC928"/>
      <c r="BE928"/>
      <c r="BL928"/>
      <c r="BZ928"/>
      <c r="CA928"/>
      <c r="CF928"/>
      <c r="CG928"/>
      <c r="CH928"/>
      <c r="CI928"/>
      <c r="CK928"/>
      <c r="CN928"/>
    </row>
    <row r="929" spans="1:92" x14ac:dyDescent="0.3">
      <c r="A929" s="4">
        <v>927</v>
      </c>
      <c r="B929" s="11">
        <v>41</v>
      </c>
      <c r="C929" s="2" t="str">
        <f>_xlfn.XLOOKUP(Table1[[#This Row],[Age]],Table7[Start_Age],Table7[Age_Range],,-1)</f>
        <v>39-49</v>
      </c>
      <c r="D929" t="s">
        <v>136</v>
      </c>
      <c r="E929" s="2" t="s">
        <v>131</v>
      </c>
      <c r="F929" s="2" t="s">
        <v>137</v>
      </c>
      <c r="G929" s="3">
        <v>1</v>
      </c>
      <c r="H929" s="13" t="s">
        <v>152</v>
      </c>
      <c r="I929" s="2" t="str" cm="1">
        <f t="array" ref="I929">_xlfn.IFS(Table1[[#This Row],[Job_Type]] = "unskilled resident", "Resident",
Table1[[#This Row],[Job_Type]] = "unemp/unskilled non res", "Non-resident",
TRUE, "Unknown")</f>
        <v>Resident</v>
      </c>
      <c r="J929" s="2" t="s">
        <v>148</v>
      </c>
      <c r="K929" s="3">
        <v>2</v>
      </c>
      <c r="L929" s="2" t="s">
        <v>144</v>
      </c>
      <c r="M929" s="13" t="s">
        <v>151</v>
      </c>
      <c r="N929" t="s">
        <v>17</v>
      </c>
      <c r="O929" s="2" t="str">
        <f>_xlfn.XLOOKUP(Table1[[#This Row],[Checking_Acct_Status]],Table3[Checking_Acct_Original],Table3[Category])</f>
        <v>No Account</v>
      </c>
      <c r="P929" s="10" t="s">
        <v>20</v>
      </c>
      <c r="Q929" s="13" t="str">
        <f>_xlfn.XLOOKUP(Table1[[#This Row],[Saving_Acct_Status]],Table5[Saving_Acct_Original],Table5[Category])</f>
        <v>Very High Savings</v>
      </c>
      <c r="R929" t="s">
        <v>27</v>
      </c>
      <c r="S929" s="2" t="str">
        <f>IF(
      OR(Table1[[#This Row],[Job_Type]] = "high qualif/self emp/mgmt", Table1[[#This Row],[Job_Type]] = "skilled"),
      "Skilled", "Unskilled")</f>
        <v>Unskilled</v>
      </c>
      <c r="T929" t="str">
        <f>IF(Table1[[#This Row],[Job_Type]] = "unemp/unskilled non res", "Unemployed", "Employed")</f>
        <v>Employed</v>
      </c>
      <c r="U929" t="s">
        <v>21</v>
      </c>
      <c r="V929" s="14" t="str" cm="1">
        <f t="array" ref="V92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29" t="s">
        <v>103</v>
      </c>
      <c r="X929" s="2" t="str">
        <f>_xlfn.XLOOKUP(Table1[[#This Row],[Loan_Credit_History]],Table4[Credit History],Table4[[ Category]])</f>
        <v>Critical Credit History</v>
      </c>
      <c r="Y929" s="3">
        <v>2</v>
      </c>
      <c r="Z929" s="3">
        <v>2</v>
      </c>
      <c r="AA929" s="5">
        <v>250</v>
      </c>
      <c r="AB929" t="s">
        <v>151</v>
      </c>
      <c r="AC929" s="2" t="str" cm="1">
        <f t="array" ref="AC929">_xlfn.IFS(Table1[[#This Row],[Others_Parties]] = "No", "None",
Table1[[#This Row],[Others_Parties]] = "co applicant", "Co-applicant",
Table1[[#This Row],[Others_Parties]] = "guarantor", "Guarantor")</f>
        <v>None</v>
      </c>
      <c r="AD929" s="13" t="s">
        <v>146</v>
      </c>
      <c r="AE929" s="2" t="s">
        <v>141</v>
      </c>
      <c r="AF929" s="28" t="str" cm="1">
        <f t="array" ref="AF92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29" s="21">
        <v>6</v>
      </c>
      <c r="AH929" s="2" t="s">
        <v>154</v>
      </c>
      <c r="AI929"/>
      <c r="AZ929"/>
      <c r="BC929"/>
      <c r="BE929"/>
      <c r="BL929"/>
      <c r="BZ929"/>
      <c r="CA929"/>
      <c r="CF929"/>
      <c r="CG929"/>
      <c r="CH929"/>
      <c r="CI929"/>
      <c r="CK929"/>
      <c r="CN929"/>
    </row>
    <row r="930" spans="1:92" x14ac:dyDescent="0.3">
      <c r="A930" s="4">
        <v>928</v>
      </c>
      <c r="B930" s="11">
        <v>52</v>
      </c>
      <c r="C930" s="2" t="str">
        <f>_xlfn.XLOOKUP(Table1[[#This Row],[Age]],Table7[Start_Age],Table7[Age_Range],,-1)</f>
        <v>49-59</v>
      </c>
      <c r="D930" t="s">
        <v>130</v>
      </c>
      <c r="E930" s="2" t="s">
        <v>129</v>
      </c>
      <c r="F930" s="2" t="s">
        <v>133</v>
      </c>
      <c r="G930" s="3">
        <v>1</v>
      </c>
      <c r="H930" s="13" t="s">
        <v>152</v>
      </c>
      <c r="I930" s="2" t="str" cm="1">
        <f t="array" ref="I930">_xlfn.IFS(Table1[[#This Row],[Job_Type]] = "unskilled resident", "Resident",
Table1[[#This Row],[Job_Type]] = "unemp/unskilled non res", "Non-resident",
TRUE, "Unknown")</f>
        <v>Unknown</v>
      </c>
      <c r="J930" s="2" t="s">
        <v>148</v>
      </c>
      <c r="K930" s="3">
        <v>4</v>
      </c>
      <c r="L930" s="2" t="s">
        <v>140</v>
      </c>
      <c r="M930" s="13" t="s">
        <v>151</v>
      </c>
      <c r="N930" t="s">
        <v>35</v>
      </c>
      <c r="O930" s="2" t="str">
        <f>_xlfn.XLOOKUP(Table1[[#This Row],[Checking_Acct_Status]],Table3[Checking_Acct_Original],Table3[Category])</f>
        <v>Negative Balance</v>
      </c>
      <c r="P930" s="10" t="s">
        <v>37</v>
      </c>
      <c r="Q930" s="13" t="str">
        <f>_xlfn.XLOOKUP(Table1[[#This Row],[Saving_Acct_Status]],Table5[Saving_Acct_Original],Table5[Category])</f>
        <v>High Savings</v>
      </c>
      <c r="R930" t="s">
        <v>41</v>
      </c>
      <c r="S930" s="2" t="str">
        <f>IF(
      OR(Table1[[#This Row],[Job_Type]] = "high qualif/self emp/mgmt", Table1[[#This Row],[Job_Type]] = "skilled"),
      "Skilled", "Unskilled")</f>
        <v>Skilled</v>
      </c>
      <c r="T930" t="str">
        <f>IF(Table1[[#This Row],[Job_Type]] = "unemp/unskilled non res", "Unemployed", "Employed")</f>
        <v>Employed</v>
      </c>
      <c r="U930" t="s">
        <v>38</v>
      </c>
      <c r="V930" s="14" t="str" cm="1">
        <f t="array" ref="V930">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30" t="s">
        <v>103</v>
      </c>
      <c r="X930" s="2" t="str">
        <f>_xlfn.XLOOKUP(Table1[[#This Row],[Loan_Credit_History]],Table4[Credit History],Table4[[ Category]])</f>
        <v>Critical Credit History</v>
      </c>
      <c r="Y930" s="3">
        <v>4</v>
      </c>
      <c r="Z930" s="3">
        <v>2</v>
      </c>
      <c r="AA930" s="5">
        <v>338</v>
      </c>
      <c r="AB930" t="s">
        <v>151</v>
      </c>
      <c r="AC930" s="2" t="str" cm="1">
        <f t="array" ref="AC930">_xlfn.IFS(Table1[[#This Row],[Others_Parties]] = "No", "None",
Table1[[#This Row],[Others_Parties]] = "co applicant", "Co-applicant",
Table1[[#This Row],[Others_Parties]] = "guarantor", "Guarantor")</f>
        <v>None</v>
      </c>
      <c r="AD930" s="13" t="s">
        <v>145</v>
      </c>
      <c r="AE930" s="2" t="s">
        <v>111</v>
      </c>
      <c r="AF930" s="28" t="str" cm="1">
        <f t="array" ref="AF93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30" s="21">
        <v>6</v>
      </c>
      <c r="AH930" s="2" t="s">
        <v>154</v>
      </c>
      <c r="AI930"/>
      <c r="AZ930"/>
      <c r="BC930"/>
      <c r="BE930"/>
      <c r="BL930"/>
      <c r="BZ930"/>
      <c r="CA930"/>
      <c r="CF930"/>
      <c r="CG930"/>
      <c r="CH930"/>
      <c r="CI930"/>
      <c r="CK930"/>
      <c r="CN930"/>
    </row>
    <row r="931" spans="1:92" x14ac:dyDescent="0.3">
      <c r="A931" s="4">
        <v>929</v>
      </c>
      <c r="B931" s="11">
        <v>27</v>
      </c>
      <c r="C931" s="2" t="str">
        <f>_xlfn.XLOOKUP(Table1[[#This Row],[Age]],Table7[Start_Age],Table7[Age_Range],,-1)</f>
        <v>19-29</v>
      </c>
      <c r="D931" t="s">
        <v>136</v>
      </c>
      <c r="E931" s="2" t="s">
        <v>131</v>
      </c>
      <c r="F931" s="2" t="s">
        <v>137</v>
      </c>
      <c r="G931" s="3">
        <v>1</v>
      </c>
      <c r="H931" s="13" t="s">
        <v>152</v>
      </c>
      <c r="I931" s="2" t="str" cm="1">
        <f t="array" ref="I931">_xlfn.IFS(Table1[[#This Row],[Job_Type]] = "unskilled resident", "Resident",
Table1[[#This Row],[Job_Type]] = "unemp/unskilled non res", "Non-resident",
TRUE, "Unknown")</f>
        <v>Unknown</v>
      </c>
      <c r="J931" s="2" t="s">
        <v>148</v>
      </c>
      <c r="K931" s="3">
        <v>1</v>
      </c>
      <c r="L931" s="2" t="s">
        <v>144</v>
      </c>
      <c r="M931" s="13" t="s">
        <v>151</v>
      </c>
      <c r="N931" t="s">
        <v>35</v>
      </c>
      <c r="O931" s="2" t="str">
        <f>_xlfn.XLOOKUP(Table1[[#This Row],[Checking_Acct_Status]],Table3[Checking_Acct_Original],Table3[Category])</f>
        <v>Negative Balance</v>
      </c>
      <c r="P931" s="10" t="s">
        <v>32</v>
      </c>
      <c r="Q931" s="13" t="str">
        <f>_xlfn.XLOOKUP(Table1[[#This Row],[Saving_Acct_Status]],Table5[Saving_Acct_Original],Table5[Category])</f>
        <v>Low Savings</v>
      </c>
      <c r="R931" t="s">
        <v>41</v>
      </c>
      <c r="S931" s="2" t="str">
        <f>IF(
      OR(Table1[[#This Row],[Job_Type]] = "high qualif/self emp/mgmt", Table1[[#This Row],[Job_Type]] = "skilled"),
      "Skilled", "Unskilled")</f>
        <v>Skilled</v>
      </c>
      <c r="T931" t="str">
        <f>IF(Table1[[#This Row],[Job_Type]] = "unemp/unskilled non res", "Unemployed", "Employed")</f>
        <v>Employed</v>
      </c>
      <c r="U931" t="s">
        <v>45</v>
      </c>
      <c r="V931" s="14" t="str" cm="1">
        <f t="array" ref="V931">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31" t="s">
        <v>31</v>
      </c>
      <c r="X931" s="2" t="str">
        <f>_xlfn.XLOOKUP(Table1[[#This Row],[Loan_Credit_History]],Table4[Credit History],Table4[[ Category]])</f>
        <v>Existing Credits Paid</v>
      </c>
      <c r="Y931" s="3">
        <v>4</v>
      </c>
      <c r="Z931" s="3">
        <v>1</v>
      </c>
      <c r="AA931" s="5">
        <v>343</v>
      </c>
      <c r="AB931" t="s">
        <v>151</v>
      </c>
      <c r="AC931" s="2" t="str" cm="1">
        <f t="array" ref="AC931">_xlfn.IFS(Table1[[#This Row],[Others_Parties]] = "No", "None",
Table1[[#This Row],[Others_Parties]] = "co applicant", "Co-applicant",
Table1[[#This Row],[Others_Parties]] = "guarantor", "Guarantor")</f>
        <v>None</v>
      </c>
      <c r="AD931" s="13" t="s">
        <v>145</v>
      </c>
      <c r="AE931" s="2" t="s">
        <v>106</v>
      </c>
      <c r="AF931" s="28" t="str" cm="1">
        <f t="array" ref="AF93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31" s="21">
        <v>6</v>
      </c>
      <c r="AH931" s="2" t="s">
        <v>154</v>
      </c>
      <c r="AI931"/>
      <c r="AZ931"/>
      <c r="BC931"/>
      <c r="BE931"/>
      <c r="BL931"/>
      <c r="BZ931"/>
      <c r="CA931"/>
      <c r="CF931"/>
      <c r="CG931"/>
      <c r="CH931"/>
      <c r="CI931"/>
      <c r="CK931"/>
      <c r="CN931"/>
    </row>
    <row r="932" spans="1:92" x14ac:dyDescent="0.3">
      <c r="A932" s="4">
        <v>930</v>
      </c>
      <c r="B932" s="11">
        <v>52</v>
      </c>
      <c r="C932" s="2" t="str">
        <f>_xlfn.XLOOKUP(Table1[[#This Row],[Age]],Table7[Start_Age],Table7[Age_Range],,-1)</f>
        <v>49-59</v>
      </c>
      <c r="D932" t="s">
        <v>136</v>
      </c>
      <c r="E932" s="2" t="s">
        <v>131</v>
      </c>
      <c r="F932" s="2" t="s">
        <v>137</v>
      </c>
      <c r="G932" s="3">
        <v>1</v>
      </c>
      <c r="H932" s="13" t="s">
        <v>152</v>
      </c>
      <c r="I932" s="2" t="str" cm="1">
        <f t="array" ref="I932">_xlfn.IFS(Table1[[#This Row],[Job_Type]] = "unskilled resident", "Resident",
Table1[[#This Row],[Job_Type]] = "unemp/unskilled non res", "Non-resident",
TRUE, "Unknown")</f>
        <v>Resident</v>
      </c>
      <c r="J932" s="2" t="s">
        <v>148</v>
      </c>
      <c r="K932" s="3">
        <v>4</v>
      </c>
      <c r="L932" s="2" t="s">
        <v>140</v>
      </c>
      <c r="M932" s="13" t="s">
        <v>151</v>
      </c>
      <c r="N932" t="s">
        <v>17</v>
      </c>
      <c r="O932" s="2" t="str">
        <f>_xlfn.XLOOKUP(Table1[[#This Row],[Checking_Acct_Status]],Table3[Checking_Acct_Original],Table3[Category])</f>
        <v>No Account</v>
      </c>
      <c r="P932" s="10" t="s">
        <v>46</v>
      </c>
      <c r="Q932" s="13" t="str">
        <f>_xlfn.XLOOKUP(Table1[[#This Row],[Saving_Acct_Status]],Table5[Saving_Acct_Original],Table5[Category])</f>
        <v>Medium Savings</v>
      </c>
      <c r="R932" t="s">
        <v>27</v>
      </c>
      <c r="S932" s="2" t="str">
        <f>IF(
      OR(Table1[[#This Row],[Job_Type]] = "high qualif/self emp/mgmt", Table1[[#This Row],[Job_Type]] = "skilled"),
      "Skilled", "Unskilled")</f>
        <v>Unskilled</v>
      </c>
      <c r="T932" t="str">
        <f>IF(Table1[[#This Row],[Job_Type]] = "unemp/unskilled non res", "Unemployed", "Employed")</f>
        <v>Employed</v>
      </c>
      <c r="U932" t="s">
        <v>21</v>
      </c>
      <c r="V932" s="14" t="str" cm="1">
        <f t="array" ref="V93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32" t="s">
        <v>103</v>
      </c>
      <c r="X932" s="2" t="str">
        <f>_xlfn.XLOOKUP(Table1[[#This Row],[Loan_Credit_History]],Table4[Credit History],Table4[[ Category]])</f>
        <v>Critical Credit History</v>
      </c>
      <c r="Y932" s="3">
        <v>4</v>
      </c>
      <c r="Z932" s="3">
        <v>2</v>
      </c>
      <c r="AA932" s="5">
        <v>362</v>
      </c>
      <c r="AB932" t="s">
        <v>151</v>
      </c>
      <c r="AC932" s="2" t="str" cm="1">
        <f t="array" ref="AC932">_xlfn.IFS(Table1[[#This Row],[Others_Parties]] = "No", "None",
Table1[[#This Row],[Others_Parties]] = "co applicant", "Co-applicant",
Table1[[#This Row],[Others_Parties]] = "guarantor", "Guarantor")</f>
        <v>None</v>
      </c>
      <c r="AD932" s="13" t="s">
        <v>145</v>
      </c>
      <c r="AE932" s="2" t="s">
        <v>141</v>
      </c>
      <c r="AF932" s="28" t="str" cm="1">
        <f t="array" ref="AF93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32" s="21">
        <v>6</v>
      </c>
      <c r="AH932" s="2" t="s">
        <v>154</v>
      </c>
      <c r="AI932"/>
      <c r="AZ932"/>
      <c r="BC932"/>
      <c r="BE932"/>
      <c r="BL932"/>
      <c r="BZ932"/>
      <c r="CA932"/>
      <c r="CF932"/>
      <c r="CG932"/>
      <c r="CH932"/>
      <c r="CI932"/>
      <c r="CK932"/>
      <c r="CN932"/>
    </row>
    <row r="933" spans="1:92" x14ac:dyDescent="0.3">
      <c r="A933" s="4">
        <v>931</v>
      </c>
      <c r="B933" s="11">
        <v>38</v>
      </c>
      <c r="C933" s="2" t="str">
        <f>_xlfn.XLOOKUP(Table1[[#This Row],[Age]],Table7[Start_Age],Table7[Age_Range],,-1)</f>
        <v>29-39</v>
      </c>
      <c r="D933" t="s">
        <v>130</v>
      </c>
      <c r="E933" s="2" t="s">
        <v>129</v>
      </c>
      <c r="F933" s="2" t="s">
        <v>133</v>
      </c>
      <c r="G933" s="3">
        <v>1</v>
      </c>
      <c r="H933" s="13" t="s">
        <v>152</v>
      </c>
      <c r="I933" s="2" t="str" cm="1">
        <f t="array" ref="I933">_xlfn.IFS(Table1[[#This Row],[Job_Type]] = "unskilled resident", "Resident",
Table1[[#This Row],[Job_Type]] = "unemp/unskilled non res", "Non-resident",
TRUE, "Unknown")</f>
        <v>Unknown</v>
      </c>
      <c r="J933" s="2" t="s">
        <v>148</v>
      </c>
      <c r="K933" s="3">
        <v>4</v>
      </c>
      <c r="L933" s="2" t="s">
        <v>143</v>
      </c>
      <c r="M933" s="13" t="s">
        <v>151</v>
      </c>
      <c r="N933" t="s">
        <v>30</v>
      </c>
      <c r="O933" s="2" t="str">
        <f>_xlfn.XLOOKUP(Table1[[#This Row],[Checking_Acct_Status]],Table3[Checking_Acct_Original],Table3[Category])</f>
        <v>Low Balance</v>
      </c>
      <c r="P933" s="10" t="s">
        <v>47</v>
      </c>
      <c r="Q933" s="13" t="str">
        <f>_xlfn.XLOOKUP(Table1[[#This Row],[Saving_Acct_Status]],Table5[Saving_Acct_Original],Table5[Category])</f>
        <v>No Savings</v>
      </c>
      <c r="R933" t="s">
        <v>41</v>
      </c>
      <c r="S933" s="2" t="str">
        <f>IF(
      OR(Table1[[#This Row],[Job_Type]] = "high qualif/self emp/mgmt", Table1[[#This Row],[Job_Type]] = "skilled"),
      "Skilled", "Unskilled")</f>
        <v>Skilled</v>
      </c>
      <c r="T933" t="str">
        <f>IF(Table1[[#This Row],[Job_Type]] = "unemp/unskilled non res", "Unemployed", "Employed")</f>
        <v>Employed</v>
      </c>
      <c r="U933" t="s">
        <v>38</v>
      </c>
      <c r="V933" s="14" t="str" cm="1">
        <f t="array" ref="V933">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33" t="s">
        <v>31</v>
      </c>
      <c r="X933" s="2" t="str">
        <f>_xlfn.XLOOKUP(Table1[[#This Row],[Loan_Credit_History]],Table4[Credit History],Table4[[ Category]])</f>
        <v>Existing Credits Paid</v>
      </c>
      <c r="Y933" s="3">
        <v>4</v>
      </c>
      <c r="Z933" s="3">
        <v>1</v>
      </c>
      <c r="AA933" s="5">
        <v>368</v>
      </c>
      <c r="AB933" t="s">
        <v>151</v>
      </c>
      <c r="AC933" s="2" t="str" cm="1">
        <f t="array" ref="AC933">_xlfn.IFS(Table1[[#This Row],[Others_Parties]] = "No", "None",
Table1[[#This Row],[Others_Parties]] = "co applicant", "Co-applicant",
Table1[[#This Row],[Others_Parties]] = "guarantor", "Guarantor")</f>
        <v>None</v>
      </c>
      <c r="AD933" s="13" t="s">
        <v>145</v>
      </c>
      <c r="AE933" s="2" t="s">
        <v>111</v>
      </c>
      <c r="AF933" s="28" t="str" cm="1">
        <f t="array" ref="AF93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33" s="21">
        <v>6</v>
      </c>
      <c r="AH933" s="2" t="s">
        <v>154</v>
      </c>
      <c r="AI933"/>
      <c r="AZ933"/>
      <c r="BC933"/>
      <c r="BE933"/>
      <c r="BL933"/>
      <c r="BZ933"/>
      <c r="CA933"/>
      <c r="CF933"/>
      <c r="CG933"/>
      <c r="CH933"/>
      <c r="CI933"/>
      <c r="CK933"/>
      <c r="CN933"/>
    </row>
    <row r="934" spans="1:92" x14ac:dyDescent="0.3">
      <c r="A934" s="4">
        <v>932</v>
      </c>
      <c r="B934" s="11">
        <v>39</v>
      </c>
      <c r="C934" s="2" t="str">
        <f>_xlfn.XLOOKUP(Table1[[#This Row],[Age]],Table7[Start_Age],Table7[Age_Range],,-1)</f>
        <v>39-49</v>
      </c>
      <c r="D934" t="s">
        <v>134</v>
      </c>
      <c r="E934" s="2" t="s">
        <v>129</v>
      </c>
      <c r="F934" s="2" t="s">
        <v>135</v>
      </c>
      <c r="G934" s="3">
        <v>1</v>
      </c>
      <c r="H934" s="13" t="s">
        <v>152</v>
      </c>
      <c r="I934" s="2" t="str" cm="1">
        <f t="array" ref="I934">_xlfn.IFS(Table1[[#This Row],[Job_Type]] = "unskilled resident", "Resident",
Table1[[#This Row],[Job_Type]] = "unemp/unskilled non res", "Non-resident",
TRUE, "Unknown")</f>
        <v>Resident</v>
      </c>
      <c r="J934" s="2" t="s">
        <v>148</v>
      </c>
      <c r="K934" s="3">
        <v>4</v>
      </c>
      <c r="L934" s="2" t="s">
        <v>140</v>
      </c>
      <c r="M934" s="13" t="s">
        <v>151</v>
      </c>
      <c r="N934" t="s">
        <v>17</v>
      </c>
      <c r="O934" s="2" t="str">
        <f>_xlfn.XLOOKUP(Table1[[#This Row],[Checking_Acct_Status]],Table3[Checking_Acct_Original],Table3[Category])</f>
        <v>No Account</v>
      </c>
      <c r="P934" s="10" t="s">
        <v>32</v>
      </c>
      <c r="Q934" s="13" t="str">
        <f>_xlfn.XLOOKUP(Table1[[#This Row],[Saving_Acct_Status]],Table5[Saving_Acct_Original],Table5[Category])</f>
        <v>Low Savings</v>
      </c>
      <c r="R934" t="s">
        <v>27</v>
      </c>
      <c r="S934" s="2" t="str">
        <f>IF(
      OR(Table1[[#This Row],[Job_Type]] = "high qualif/self emp/mgmt", Table1[[#This Row],[Job_Type]] = "skilled"),
      "Skilled", "Unskilled")</f>
        <v>Unskilled</v>
      </c>
      <c r="T934" t="str">
        <f>IF(Table1[[#This Row],[Job_Type]] = "unemp/unskilled non res", "Unemployed", "Employed")</f>
        <v>Employed</v>
      </c>
      <c r="U934" t="s">
        <v>38</v>
      </c>
      <c r="V934" s="14" t="str" cm="1">
        <f t="array" ref="V93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34" t="s">
        <v>52</v>
      </c>
      <c r="X934" s="2" t="str">
        <f>_xlfn.XLOOKUP(Table1[[#This Row],[Loan_Credit_History]],Table4[Credit History],Table4[[ Category]])</f>
        <v>No Credit History</v>
      </c>
      <c r="Y934" s="3">
        <v>4</v>
      </c>
      <c r="Z934" s="3">
        <v>1</v>
      </c>
      <c r="AA934" s="5">
        <v>426</v>
      </c>
      <c r="AB934" t="s">
        <v>151</v>
      </c>
      <c r="AC934" s="2" t="str" cm="1">
        <f t="array" ref="AC934">_xlfn.IFS(Table1[[#This Row],[Others_Parties]] = "No", "None",
Table1[[#This Row],[Others_Parties]] = "co applicant", "Co-applicant",
Table1[[#This Row],[Others_Parties]] = "guarantor", "Guarantor")</f>
        <v>None</v>
      </c>
      <c r="AD934" s="13" t="s">
        <v>145</v>
      </c>
      <c r="AE934" s="2" t="s">
        <v>111</v>
      </c>
      <c r="AF934" s="28" t="str" cm="1">
        <f t="array" ref="AF93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34" s="21">
        <v>6</v>
      </c>
      <c r="AH934" s="2" t="s">
        <v>154</v>
      </c>
      <c r="AI934"/>
      <c r="AZ934"/>
      <c r="BC934"/>
      <c r="BE934"/>
      <c r="BL934"/>
      <c r="BZ934"/>
      <c r="CA934"/>
      <c r="CF934"/>
      <c r="CG934"/>
      <c r="CH934"/>
      <c r="CI934"/>
      <c r="CK934"/>
      <c r="CN934"/>
    </row>
    <row r="935" spans="1:92" x14ac:dyDescent="0.3">
      <c r="A935" s="4">
        <v>933</v>
      </c>
      <c r="B935" s="11">
        <v>49</v>
      </c>
      <c r="C935" s="2" t="str">
        <f>_xlfn.XLOOKUP(Table1[[#This Row],[Age]],Table7[Start_Age],Table7[Age_Range],,-1)</f>
        <v>49-59</v>
      </c>
      <c r="D935" t="s">
        <v>136</v>
      </c>
      <c r="E935" s="2" t="s">
        <v>131</v>
      </c>
      <c r="F935" s="2" t="s">
        <v>137</v>
      </c>
      <c r="G935" s="3">
        <v>1</v>
      </c>
      <c r="H935" s="13" t="s">
        <v>152</v>
      </c>
      <c r="I935" s="2" t="str" cm="1">
        <f t="array" ref="I935">_xlfn.IFS(Table1[[#This Row],[Job_Type]] = "unskilled resident", "Resident",
Table1[[#This Row],[Job_Type]] = "unemp/unskilled non res", "Non-resident",
TRUE, "Unknown")</f>
        <v>Unknown</v>
      </c>
      <c r="J935" s="2" t="s">
        <v>148</v>
      </c>
      <c r="K935" s="3">
        <v>1</v>
      </c>
      <c r="L935" s="2" t="s">
        <v>143</v>
      </c>
      <c r="M935" s="13" t="s">
        <v>152</v>
      </c>
      <c r="N935" t="s">
        <v>35</v>
      </c>
      <c r="O935" s="2" t="str">
        <f>_xlfn.XLOOKUP(Table1[[#This Row],[Checking_Acct_Status]],Table3[Checking_Acct_Original],Table3[Category])</f>
        <v>Negative Balance</v>
      </c>
      <c r="P935" s="10" t="s">
        <v>32</v>
      </c>
      <c r="Q935" s="13" t="str">
        <f>_xlfn.XLOOKUP(Table1[[#This Row],[Saving_Acct_Status]],Table5[Saving_Acct_Original],Table5[Category])</f>
        <v>Low Savings</v>
      </c>
      <c r="R935" t="s">
        <v>41</v>
      </c>
      <c r="S935" s="2" t="str">
        <f>IF(
      OR(Table1[[#This Row],[Job_Type]] = "high qualif/self emp/mgmt", Table1[[#This Row],[Job_Type]] = "skilled"),
      "Skilled", "Unskilled")</f>
        <v>Skilled</v>
      </c>
      <c r="T935" t="str">
        <f>IF(Table1[[#This Row],[Job_Type]] = "unemp/unskilled non res", "Unemployed", "Employed")</f>
        <v>Employed</v>
      </c>
      <c r="U935" t="s">
        <v>38</v>
      </c>
      <c r="V935" s="14" t="str" cm="1">
        <f t="array" ref="V93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35" t="s">
        <v>31</v>
      </c>
      <c r="X935" s="2" t="str">
        <f>_xlfn.XLOOKUP(Table1[[#This Row],[Loan_Credit_History]],Table4[Credit History],Table4[[ Category]])</f>
        <v>Existing Credits Paid</v>
      </c>
      <c r="Y935" s="3">
        <v>2</v>
      </c>
      <c r="Z935" s="3">
        <v>1</v>
      </c>
      <c r="AA935" s="5">
        <v>428</v>
      </c>
      <c r="AB935" t="s">
        <v>151</v>
      </c>
      <c r="AC935" s="2" t="str" cm="1">
        <f t="array" ref="AC935">_xlfn.IFS(Table1[[#This Row],[Others_Parties]] = "No", "None",
Table1[[#This Row],[Others_Parties]] = "co applicant", "Co-applicant",
Table1[[#This Row],[Others_Parties]] = "guarantor", "Guarantor")</f>
        <v>None</v>
      </c>
      <c r="AD935" s="13" t="s">
        <v>146</v>
      </c>
      <c r="AE935" s="2" t="s">
        <v>108</v>
      </c>
      <c r="AF935" s="28" t="str" cm="1">
        <f t="array" ref="AF93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35" s="21">
        <v>6</v>
      </c>
      <c r="AH935" s="2" t="s">
        <v>154</v>
      </c>
      <c r="AI935"/>
      <c r="AZ935"/>
      <c r="BC935"/>
      <c r="BE935"/>
      <c r="BL935"/>
      <c r="BZ935"/>
      <c r="CA935"/>
      <c r="CF935"/>
      <c r="CG935"/>
      <c r="CH935"/>
      <c r="CI935"/>
      <c r="CK935"/>
      <c r="CN935"/>
    </row>
    <row r="936" spans="1:92" x14ac:dyDescent="0.3">
      <c r="A936" s="4">
        <v>934</v>
      </c>
      <c r="B936" s="11">
        <v>24</v>
      </c>
      <c r="C936" s="2" t="str">
        <f>_xlfn.XLOOKUP(Table1[[#This Row],[Age]],Table7[Start_Age],Table7[Age_Range],,-1)</f>
        <v>19-29</v>
      </c>
      <c r="D936" t="s">
        <v>136</v>
      </c>
      <c r="E936" s="2" t="s">
        <v>131</v>
      </c>
      <c r="F936" s="2" t="s">
        <v>137</v>
      </c>
      <c r="G936" s="3">
        <v>2</v>
      </c>
      <c r="H936" s="13" t="s">
        <v>152</v>
      </c>
      <c r="I936" s="2" t="str" cm="1">
        <f t="array" ref="I936">_xlfn.IFS(Table1[[#This Row],[Job_Type]] = "unskilled resident", "Resident",
Table1[[#This Row],[Job_Type]] = "unemp/unskilled non res", "Non-resident",
TRUE, "Unknown")</f>
        <v>Unknown</v>
      </c>
      <c r="J936" s="2" t="s">
        <v>149</v>
      </c>
      <c r="K936" s="3">
        <v>2</v>
      </c>
      <c r="L936" s="2" t="s">
        <v>143</v>
      </c>
      <c r="M936" s="13" t="s">
        <v>151</v>
      </c>
      <c r="N936" t="s">
        <v>30</v>
      </c>
      <c r="O936" s="2" t="str">
        <f>_xlfn.XLOOKUP(Table1[[#This Row],[Checking_Acct_Status]],Table3[Checking_Acct_Original],Table3[Category])</f>
        <v>Low Balance</v>
      </c>
      <c r="P936" s="10" t="s">
        <v>20</v>
      </c>
      <c r="Q936" s="13" t="str">
        <f>_xlfn.XLOOKUP(Table1[[#This Row],[Saving_Acct_Status]],Table5[Saving_Acct_Original],Table5[Category])</f>
        <v>Very High Savings</v>
      </c>
      <c r="R936" t="s">
        <v>41</v>
      </c>
      <c r="S936" s="2" t="str">
        <f>IF(
      OR(Table1[[#This Row],[Job_Type]] = "high qualif/self emp/mgmt", Table1[[#This Row],[Job_Type]] = "skilled"),
      "Skilled", "Unskilled")</f>
        <v>Skilled</v>
      </c>
      <c r="T936" t="str">
        <f>IF(Table1[[#This Row],[Job_Type]] = "unemp/unskilled non res", "Unemployed", "Employed")</f>
        <v>Employed</v>
      </c>
      <c r="U936" t="s">
        <v>45</v>
      </c>
      <c r="V936" s="14" t="str" cm="1">
        <f t="array" ref="V936">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36" t="s">
        <v>42</v>
      </c>
      <c r="X936" s="2" t="str">
        <f>_xlfn.XLOOKUP(Table1[[#This Row],[Loan_Credit_History]],Table4[Credit History],Table4[[ Category]])</f>
        <v>All Paid</v>
      </c>
      <c r="Y936" s="3">
        <v>4</v>
      </c>
      <c r="Z936" s="3">
        <v>1</v>
      </c>
      <c r="AA936" s="5">
        <v>433</v>
      </c>
      <c r="AB936" t="s">
        <v>151</v>
      </c>
      <c r="AC936" s="2" t="str" cm="1">
        <f t="array" ref="AC936">_xlfn.IFS(Table1[[#This Row],[Others_Parties]] = "No", "None",
Table1[[#This Row],[Others_Parties]] = "co applicant", "Co-applicant",
Table1[[#This Row],[Others_Parties]] = "guarantor", "Guarantor")</f>
        <v>None</v>
      </c>
      <c r="AD936" s="13" t="s">
        <v>146</v>
      </c>
      <c r="AE936" s="2" t="s">
        <v>100</v>
      </c>
      <c r="AF936" s="28" t="str" cm="1">
        <f t="array" ref="AF93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36" s="21">
        <v>6</v>
      </c>
      <c r="AH936" s="2" t="s">
        <v>153</v>
      </c>
      <c r="AI936"/>
      <c r="AZ936"/>
      <c r="BC936"/>
      <c r="BE936"/>
      <c r="BL936"/>
      <c r="BZ936"/>
      <c r="CA936"/>
      <c r="CF936"/>
      <c r="CG936"/>
      <c r="CH936"/>
      <c r="CI936"/>
      <c r="CK936"/>
      <c r="CN936"/>
    </row>
    <row r="937" spans="1:92" x14ac:dyDescent="0.3">
      <c r="A937" s="4">
        <v>935</v>
      </c>
      <c r="B937" s="11">
        <v>23</v>
      </c>
      <c r="C937" s="2" t="str">
        <f>_xlfn.XLOOKUP(Table1[[#This Row],[Age]],Table7[Start_Age],Table7[Age_Range],,-1)</f>
        <v>19-29</v>
      </c>
      <c r="D937" t="s">
        <v>136</v>
      </c>
      <c r="E937" s="2" t="s">
        <v>131</v>
      </c>
      <c r="F937" s="2" t="s">
        <v>137</v>
      </c>
      <c r="G937" s="3">
        <v>1</v>
      </c>
      <c r="H937" s="13" t="s">
        <v>152</v>
      </c>
      <c r="I937" s="2" t="str" cm="1">
        <f t="array" ref="I937">_xlfn.IFS(Table1[[#This Row],[Job_Type]] = "unskilled resident", "Resident",
Table1[[#This Row],[Job_Type]] = "unemp/unskilled non res", "Non-resident",
TRUE, "Unknown")</f>
        <v>Unknown</v>
      </c>
      <c r="J937" s="2" t="s">
        <v>148</v>
      </c>
      <c r="K937" s="3">
        <v>4</v>
      </c>
      <c r="L937" s="2" t="s">
        <v>143</v>
      </c>
      <c r="M937" s="13" t="s">
        <v>151</v>
      </c>
      <c r="N937" t="s">
        <v>35</v>
      </c>
      <c r="O937" s="2" t="str">
        <f>_xlfn.XLOOKUP(Table1[[#This Row],[Checking_Acct_Status]],Table3[Checking_Acct_Original],Table3[Category])</f>
        <v>Negative Balance</v>
      </c>
      <c r="P937" s="10" t="s">
        <v>32</v>
      </c>
      <c r="Q937" s="13" t="str">
        <f>_xlfn.XLOOKUP(Table1[[#This Row],[Saving_Acct_Status]],Table5[Saving_Acct_Original],Table5[Category])</f>
        <v>Low Savings</v>
      </c>
      <c r="R937" t="s">
        <v>41</v>
      </c>
      <c r="S937" s="2" t="str">
        <f>IF(
      OR(Table1[[#This Row],[Job_Type]] = "high qualif/self emp/mgmt", Table1[[#This Row],[Job_Type]] = "skilled"),
      "Skilled", "Unskilled")</f>
        <v>Skilled</v>
      </c>
      <c r="T937" t="str">
        <f>IF(Table1[[#This Row],[Job_Type]] = "unemp/unskilled non res", "Unemployed", "Employed")</f>
        <v>Employed</v>
      </c>
      <c r="U937" t="s">
        <v>45</v>
      </c>
      <c r="V937" s="14" t="str" cm="1">
        <f t="array" ref="V937">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37" t="s">
        <v>31</v>
      </c>
      <c r="X937" s="2" t="str">
        <f>_xlfn.XLOOKUP(Table1[[#This Row],[Loan_Credit_History]],Table4[Credit History],Table4[[ Category]])</f>
        <v>Existing Credits Paid</v>
      </c>
      <c r="Y937" s="3">
        <v>4</v>
      </c>
      <c r="Z937" s="3">
        <v>1</v>
      </c>
      <c r="AA937" s="5">
        <v>448</v>
      </c>
      <c r="AB937" t="s">
        <v>151</v>
      </c>
      <c r="AC937" s="2" t="str" cm="1">
        <f t="array" ref="AC937">_xlfn.IFS(Table1[[#This Row],[Others_Parties]] = "No", "None",
Table1[[#This Row],[Others_Parties]] = "co applicant", "Co-applicant",
Table1[[#This Row],[Others_Parties]] = "guarantor", "Guarantor")</f>
        <v>None</v>
      </c>
      <c r="AD937" s="13" t="s">
        <v>145</v>
      </c>
      <c r="AE937" s="2" t="s">
        <v>100</v>
      </c>
      <c r="AF937" s="28" t="str" cm="1">
        <f t="array" ref="AF93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37" s="21">
        <v>6</v>
      </c>
      <c r="AH937" s="2" t="s">
        <v>153</v>
      </c>
      <c r="AI937"/>
      <c r="AZ937"/>
      <c r="BC937"/>
      <c r="BE937"/>
      <c r="BL937"/>
      <c r="BZ937"/>
      <c r="CA937"/>
      <c r="CF937"/>
      <c r="CG937"/>
      <c r="CH937"/>
      <c r="CI937"/>
      <c r="CK937"/>
      <c r="CN937"/>
    </row>
    <row r="938" spans="1:92" x14ac:dyDescent="0.3">
      <c r="A938" s="4">
        <v>936</v>
      </c>
      <c r="B938" s="11">
        <v>22</v>
      </c>
      <c r="C938" s="2" t="str">
        <f>_xlfn.XLOOKUP(Table1[[#This Row],[Age]],Table7[Start_Age],Table7[Age_Range],,-1)</f>
        <v>19-29</v>
      </c>
      <c r="D938" t="s">
        <v>134</v>
      </c>
      <c r="E938" s="2" t="s">
        <v>129</v>
      </c>
      <c r="F938" s="2" t="s">
        <v>135</v>
      </c>
      <c r="G938" s="3">
        <v>1</v>
      </c>
      <c r="H938" s="13" t="s">
        <v>152</v>
      </c>
      <c r="I938" s="2" t="str" cm="1">
        <f t="array" ref="I938">_xlfn.IFS(Table1[[#This Row],[Job_Type]] = "unskilled resident", "Resident",
Table1[[#This Row],[Job_Type]] = "unemp/unskilled non res", "Non-resident",
TRUE, "Unknown")</f>
        <v>Resident</v>
      </c>
      <c r="J938" s="2" t="s">
        <v>148</v>
      </c>
      <c r="K938" s="3">
        <v>1</v>
      </c>
      <c r="L938" s="2" t="s">
        <v>143</v>
      </c>
      <c r="M938" s="13" t="s">
        <v>151</v>
      </c>
      <c r="N938" t="s">
        <v>30</v>
      </c>
      <c r="O938" s="2" t="str">
        <f>_xlfn.XLOOKUP(Table1[[#This Row],[Checking_Acct_Status]],Table3[Checking_Acct_Original],Table3[Category])</f>
        <v>Low Balance</v>
      </c>
      <c r="P938" s="10" t="s">
        <v>32</v>
      </c>
      <c r="Q938" s="13" t="str">
        <f>_xlfn.XLOOKUP(Table1[[#This Row],[Saving_Acct_Status]],Table5[Saving_Acct_Original],Table5[Category])</f>
        <v>Low Savings</v>
      </c>
      <c r="R938" t="s">
        <v>27</v>
      </c>
      <c r="S938" s="2" t="str">
        <f>IF(
      OR(Table1[[#This Row],[Job_Type]] = "high qualif/self emp/mgmt", Table1[[#This Row],[Job_Type]] = "skilled"),
      "Skilled", "Unskilled")</f>
        <v>Unskilled</v>
      </c>
      <c r="T938" t="str">
        <f>IF(Table1[[#This Row],[Job_Type]] = "unemp/unskilled non res", "Unemployed", "Employed")</f>
        <v>Employed</v>
      </c>
      <c r="U938" t="s">
        <v>45</v>
      </c>
      <c r="V938" s="14" t="str" cm="1">
        <f t="array" ref="V93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38" t="s">
        <v>31</v>
      </c>
      <c r="X938" s="2" t="str">
        <f>_xlfn.XLOOKUP(Table1[[#This Row],[Loan_Credit_History]],Table4[Credit History],Table4[[ Category]])</f>
        <v>Existing Credits Paid</v>
      </c>
      <c r="Y938" s="3">
        <v>3</v>
      </c>
      <c r="Z938" s="3">
        <v>1</v>
      </c>
      <c r="AA938" s="5">
        <v>454</v>
      </c>
      <c r="AB938" t="s">
        <v>151</v>
      </c>
      <c r="AC938" s="2" t="str" cm="1">
        <f t="array" ref="AC938">_xlfn.IFS(Table1[[#This Row],[Others_Parties]] = "No", "None",
Table1[[#This Row],[Others_Parties]] = "co applicant", "Co-applicant",
Table1[[#This Row],[Others_Parties]] = "guarantor", "Guarantor")</f>
        <v>None</v>
      </c>
      <c r="AD938" s="13" t="s">
        <v>145</v>
      </c>
      <c r="AE938" s="2" t="s">
        <v>109</v>
      </c>
      <c r="AF938" s="28" t="str" cm="1">
        <f t="array" ref="AF93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38" s="21">
        <v>6</v>
      </c>
      <c r="AH938" s="2" t="s">
        <v>154</v>
      </c>
      <c r="AI938"/>
      <c r="AZ938"/>
      <c r="BC938"/>
      <c r="BE938"/>
      <c r="BL938"/>
      <c r="BZ938"/>
      <c r="CA938"/>
      <c r="CF938"/>
      <c r="CG938"/>
      <c r="CH938"/>
      <c r="CI938"/>
      <c r="CK938"/>
      <c r="CN938"/>
    </row>
    <row r="939" spans="1:92" x14ac:dyDescent="0.3">
      <c r="A939" s="4">
        <v>937</v>
      </c>
      <c r="B939" s="11">
        <v>28</v>
      </c>
      <c r="C939" s="2" t="str">
        <f>_xlfn.XLOOKUP(Table1[[#This Row],[Age]],Table7[Start_Age],Table7[Age_Range],,-1)</f>
        <v>19-29</v>
      </c>
      <c r="D939" t="s">
        <v>134</v>
      </c>
      <c r="E939" s="2" t="s">
        <v>129</v>
      </c>
      <c r="F939" s="2" t="s">
        <v>135</v>
      </c>
      <c r="G939" s="3">
        <v>1</v>
      </c>
      <c r="H939" s="13" t="s">
        <v>152</v>
      </c>
      <c r="I939" s="2" t="str" cm="1">
        <f t="array" ref="I939">_xlfn.IFS(Table1[[#This Row],[Job_Type]] = "unskilled resident", "Resident",
Table1[[#This Row],[Job_Type]] = "unemp/unskilled non res", "Non-resident",
TRUE, "Unknown")</f>
        <v>Resident</v>
      </c>
      <c r="J939" s="2" t="s">
        <v>148</v>
      </c>
      <c r="K939" s="3">
        <v>3</v>
      </c>
      <c r="L939" s="2" t="s">
        <v>144</v>
      </c>
      <c r="M939" s="13" t="s">
        <v>151</v>
      </c>
      <c r="N939" t="s">
        <v>30</v>
      </c>
      <c r="O939" s="2" t="str">
        <f>_xlfn.XLOOKUP(Table1[[#This Row],[Checking_Acct_Status]],Table3[Checking_Acct_Original],Table3[Category])</f>
        <v>Low Balance</v>
      </c>
      <c r="P939" s="10" t="s">
        <v>32</v>
      </c>
      <c r="Q939" s="13" t="str">
        <f>_xlfn.XLOOKUP(Table1[[#This Row],[Saving_Acct_Status]],Table5[Saving_Acct_Original],Table5[Category])</f>
        <v>Low Savings</v>
      </c>
      <c r="R939" t="s">
        <v>27</v>
      </c>
      <c r="S939" s="2" t="str">
        <f>IF(
      OR(Table1[[#This Row],[Job_Type]] = "high qualif/self emp/mgmt", Table1[[#This Row],[Job_Type]] = "skilled"),
      "Skilled", "Unskilled")</f>
        <v>Unskilled</v>
      </c>
      <c r="T939" t="str">
        <f>IF(Table1[[#This Row],[Job_Type]] = "unemp/unskilled non res", "Unemployed", "Employed")</f>
        <v>Employed</v>
      </c>
      <c r="U939" t="s">
        <v>49</v>
      </c>
      <c r="V939" s="14" t="str" cm="1">
        <f t="array" ref="V93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39" t="s">
        <v>31</v>
      </c>
      <c r="X939" s="2" t="str">
        <f>_xlfn.XLOOKUP(Table1[[#This Row],[Loan_Credit_History]],Table4[Credit History],Table4[[ Category]])</f>
        <v>Existing Credits Paid</v>
      </c>
      <c r="Y939" s="3">
        <v>3</v>
      </c>
      <c r="Z939" s="3">
        <v>1</v>
      </c>
      <c r="AA939" s="5">
        <v>484</v>
      </c>
      <c r="AB939" t="s">
        <v>58</v>
      </c>
      <c r="AC939" s="2" t="str" cm="1">
        <f t="array" ref="AC939">_xlfn.IFS(Table1[[#This Row],[Others_Parties]] = "No", "None",
Table1[[#This Row],[Others_Parties]] = "co applicant", "Co-applicant",
Table1[[#This Row],[Others_Parties]] = "guarantor", "Guarantor")</f>
        <v>Guarantor</v>
      </c>
      <c r="AD939" s="13" t="s">
        <v>146</v>
      </c>
      <c r="AE939" s="2" t="s">
        <v>111</v>
      </c>
      <c r="AF939" s="28" t="str" cm="1">
        <f t="array" ref="AF93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39" s="21">
        <v>6</v>
      </c>
      <c r="AH939" s="2" t="s">
        <v>154</v>
      </c>
      <c r="AI939"/>
      <c r="AZ939"/>
      <c r="BC939"/>
      <c r="BE939"/>
      <c r="BL939"/>
      <c r="BZ939"/>
      <c r="CA939"/>
      <c r="CF939"/>
      <c r="CG939"/>
      <c r="CH939"/>
      <c r="CI939"/>
      <c r="CK939"/>
      <c r="CN939"/>
    </row>
    <row r="940" spans="1:92" x14ac:dyDescent="0.3">
      <c r="A940" s="4">
        <v>938</v>
      </c>
      <c r="B940" s="11">
        <v>29</v>
      </c>
      <c r="C940" s="2" t="str">
        <f>_xlfn.XLOOKUP(Table1[[#This Row],[Age]],Table7[Start_Age],Table7[Age_Range],,-1)</f>
        <v>29-39</v>
      </c>
      <c r="D940" t="s">
        <v>136</v>
      </c>
      <c r="E940" s="2" t="s">
        <v>131</v>
      </c>
      <c r="F940" s="2" t="s">
        <v>137</v>
      </c>
      <c r="G940" s="3">
        <v>1</v>
      </c>
      <c r="H940" s="13" t="s">
        <v>152</v>
      </c>
      <c r="I940" s="2" t="str" cm="1">
        <f t="array" ref="I940">_xlfn.IFS(Table1[[#This Row],[Job_Type]] = "unskilled resident", "Resident",
Table1[[#This Row],[Job_Type]] = "unemp/unskilled non res", "Non-resident",
TRUE, "Unknown")</f>
        <v>Unknown</v>
      </c>
      <c r="J940" s="2" t="s">
        <v>148</v>
      </c>
      <c r="K940" s="3">
        <v>1</v>
      </c>
      <c r="L940" s="2" t="s">
        <v>144</v>
      </c>
      <c r="M940" s="13" t="s">
        <v>151</v>
      </c>
      <c r="N940" t="s">
        <v>17</v>
      </c>
      <c r="O940" s="2" t="str">
        <f>_xlfn.XLOOKUP(Table1[[#This Row],[Checking_Acct_Status]],Table3[Checking_Acct_Original],Table3[Category])</f>
        <v>No Account</v>
      </c>
      <c r="P940" s="10" t="s">
        <v>32</v>
      </c>
      <c r="Q940" s="13" t="str">
        <f>_xlfn.XLOOKUP(Table1[[#This Row],[Saving_Acct_Status]],Table5[Saving_Acct_Original],Table5[Category])</f>
        <v>Low Savings</v>
      </c>
      <c r="R940" t="s">
        <v>41</v>
      </c>
      <c r="S940" s="2" t="str">
        <f>IF(
      OR(Table1[[#This Row],[Job_Type]] = "high qualif/self emp/mgmt", Table1[[#This Row],[Job_Type]] = "skilled"),
      "Skilled", "Unskilled")</f>
        <v>Skilled</v>
      </c>
      <c r="T940" t="str">
        <f>IF(Table1[[#This Row],[Job_Type]] = "unemp/unskilled non res", "Unemployed", "Employed")</f>
        <v>Employed</v>
      </c>
      <c r="U940" t="s">
        <v>21</v>
      </c>
      <c r="V940" s="14" t="str" cm="1">
        <f t="array" ref="V94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40" t="s">
        <v>31</v>
      </c>
      <c r="X940" s="2" t="str">
        <f>_xlfn.XLOOKUP(Table1[[#This Row],[Loan_Credit_History]],Table4[Credit History],Table4[[ Category]])</f>
        <v>Existing Credits Paid</v>
      </c>
      <c r="Y940" s="3">
        <v>3</v>
      </c>
      <c r="Z940" s="3">
        <v>1</v>
      </c>
      <c r="AA940" s="5">
        <v>518</v>
      </c>
      <c r="AB940" t="s">
        <v>151</v>
      </c>
      <c r="AC940" s="2" t="str" cm="1">
        <f t="array" ref="AC940">_xlfn.IFS(Table1[[#This Row],[Others_Parties]] = "No", "None",
Table1[[#This Row],[Others_Parties]] = "co applicant", "Co-applicant",
Table1[[#This Row],[Others_Parties]] = "guarantor", "Guarantor")</f>
        <v>None</v>
      </c>
      <c r="AD940" s="13" t="s">
        <v>145</v>
      </c>
      <c r="AE940" s="2" t="s">
        <v>111</v>
      </c>
      <c r="AF940" s="28" t="str" cm="1">
        <f t="array" ref="AF94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40" s="21">
        <v>6</v>
      </c>
      <c r="AH940" s="2" t="s">
        <v>154</v>
      </c>
      <c r="AI940"/>
      <c r="AZ940"/>
      <c r="BC940"/>
      <c r="BE940"/>
      <c r="BL940"/>
      <c r="BZ940"/>
      <c r="CA940"/>
      <c r="CF940"/>
      <c r="CG940"/>
      <c r="CH940"/>
      <c r="CI940"/>
      <c r="CK940"/>
      <c r="CN940"/>
    </row>
    <row r="941" spans="1:92" x14ac:dyDescent="0.3">
      <c r="A941" s="4">
        <v>939</v>
      </c>
      <c r="B941" s="11">
        <v>23</v>
      </c>
      <c r="C941" s="2" t="str">
        <f>_xlfn.XLOOKUP(Table1[[#This Row],[Age]],Table7[Start_Age],Table7[Age_Range],,-1)</f>
        <v>19-29</v>
      </c>
      <c r="D941" t="s">
        <v>134</v>
      </c>
      <c r="E941" s="2" t="s">
        <v>129</v>
      </c>
      <c r="F941" s="2" t="s">
        <v>135</v>
      </c>
      <c r="G941" s="3">
        <v>1</v>
      </c>
      <c r="H941" s="13" t="s">
        <v>152</v>
      </c>
      <c r="I941" s="2" t="str" cm="1">
        <f t="array" ref="I941">_xlfn.IFS(Table1[[#This Row],[Job_Type]] = "unskilled resident", "Resident",
Table1[[#This Row],[Job_Type]] = "unemp/unskilled non res", "Non-resident",
TRUE, "Unknown")</f>
        <v>Resident</v>
      </c>
      <c r="J941" s="2" t="s">
        <v>149</v>
      </c>
      <c r="K941" s="3">
        <v>4</v>
      </c>
      <c r="L941" s="2" t="s">
        <v>144</v>
      </c>
      <c r="M941" s="13" t="s">
        <v>151</v>
      </c>
      <c r="N941" t="s">
        <v>17</v>
      </c>
      <c r="O941" s="2" t="str">
        <f>_xlfn.XLOOKUP(Table1[[#This Row],[Checking_Acct_Status]],Table3[Checking_Acct_Original],Table3[Category])</f>
        <v>No Account</v>
      </c>
      <c r="P941" s="10" t="s">
        <v>37</v>
      </c>
      <c r="Q941" s="13" t="str">
        <f>_xlfn.XLOOKUP(Table1[[#This Row],[Saving_Acct_Status]],Table5[Saving_Acct_Original],Table5[Category])</f>
        <v>High Savings</v>
      </c>
      <c r="R941" t="s">
        <v>27</v>
      </c>
      <c r="S941" s="2" t="str">
        <f>IF(
      OR(Table1[[#This Row],[Job_Type]] = "high qualif/self emp/mgmt", Table1[[#This Row],[Job_Type]] = "skilled"),
      "Skilled", "Unskilled")</f>
        <v>Unskilled</v>
      </c>
      <c r="T941" t="str">
        <f>IF(Table1[[#This Row],[Job_Type]] = "unemp/unskilled non res", "Unemployed", "Employed")</f>
        <v>Employed</v>
      </c>
      <c r="U941" t="s">
        <v>49</v>
      </c>
      <c r="V941" s="14" t="str" cm="1">
        <f t="array" ref="V94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41" t="s">
        <v>31</v>
      </c>
      <c r="X941" s="2" t="str">
        <f>_xlfn.XLOOKUP(Table1[[#This Row],[Loan_Credit_History]],Table4[Credit History],Table4[[ Category]])</f>
        <v>Existing Credits Paid</v>
      </c>
      <c r="Y941" s="3">
        <v>2</v>
      </c>
      <c r="Z941" s="3">
        <v>1</v>
      </c>
      <c r="AA941" s="5">
        <v>660</v>
      </c>
      <c r="AB941" t="s">
        <v>151</v>
      </c>
      <c r="AC941" s="2" t="str" cm="1">
        <f t="array" ref="AC941">_xlfn.IFS(Table1[[#This Row],[Others_Parties]] = "No", "None",
Table1[[#This Row],[Others_Parties]] = "co applicant", "Co-applicant",
Table1[[#This Row],[Others_Parties]] = "guarantor", "Guarantor")</f>
        <v>None</v>
      </c>
      <c r="AD941" s="13" t="s">
        <v>145</v>
      </c>
      <c r="AE941" s="2" t="s">
        <v>109</v>
      </c>
      <c r="AF941" s="28" t="str" cm="1">
        <f t="array" ref="AF94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41" s="21">
        <v>6</v>
      </c>
      <c r="AH941" s="2" t="s">
        <v>154</v>
      </c>
      <c r="AI941"/>
      <c r="AZ941"/>
      <c r="BC941"/>
      <c r="BE941"/>
      <c r="BL941"/>
      <c r="BZ941"/>
      <c r="CA941"/>
      <c r="CF941"/>
      <c r="CG941"/>
      <c r="CH941"/>
      <c r="CI941"/>
      <c r="CK941"/>
      <c r="CN941"/>
    </row>
    <row r="942" spans="1:92" x14ac:dyDescent="0.3">
      <c r="A942" s="4">
        <v>940</v>
      </c>
      <c r="B942" s="11">
        <v>41</v>
      </c>
      <c r="C942" s="2" t="str">
        <f>_xlfn.XLOOKUP(Table1[[#This Row],[Age]],Table7[Start_Age],Table7[Age_Range],,-1)</f>
        <v>39-49</v>
      </c>
      <c r="D942" t="s">
        <v>130</v>
      </c>
      <c r="E942" s="2" t="s">
        <v>129</v>
      </c>
      <c r="F942" s="2" t="s">
        <v>133</v>
      </c>
      <c r="G942" s="3">
        <v>2</v>
      </c>
      <c r="H942" s="13" t="s">
        <v>152</v>
      </c>
      <c r="I942" s="2" t="str" cm="1">
        <f t="array" ref="I942">_xlfn.IFS(Table1[[#This Row],[Job_Type]] = "unskilled resident", "Resident",
Table1[[#This Row],[Job_Type]] = "unemp/unskilled non res", "Non-resident",
TRUE, "Unknown")</f>
        <v>Resident</v>
      </c>
      <c r="J942" s="2" t="s">
        <v>148</v>
      </c>
      <c r="K942" s="3">
        <v>4</v>
      </c>
      <c r="L942" s="2" t="s">
        <v>144</v>
      </c>
      <c r="M942" s="13" t="s">
        <v>152</v>
      </c>
      <c r="N942" t="s">
        <v>35</v>
      </c>
      <c r="O942" s="2" t="str">
        <f>_xlfn.XLOOKUP(Table1[[#This Row],[Checking_Acct_Status]],Table3[Checking_Acct_Original],Table3[Category])</f>
        <v>Negative Balance</v>
      </c>
      <c r="P942" s="10" t="s">
        <v>32</v>
      </c>
      <c r="Q942" s="13" t="str">
        <f>_xlfn.XLOOKUP(Table1[[#This Row],[Saving_Acct_Status]],Table5[Saving_Acct_Original],Table5[Category])</f>
        <v>Low Savings</v>
      </c>
      <c r="R942" t="s">
        <v>27</v>
      </c>
      <c r="S942" s="2" t="str">
        <f>IF(
      OR(Table1[[#This Row],[Job_Type]] = "high qualif/self emp/mgmt", Table1[[#This Row],[Job_Type]] = "skilled"),
      "Skilled", "Unskilled")</f>
        <v>Unskilled</v>
      </c>
      <c r="T942" t="str">
        <f>IF(Table1[[#This Row],[Job_Type]] = "unemp/unskilled non res", "Unemployed", "Employed")</f>
        <v>Employed</v>
      </c>
      <c r="U942" t="s">
        <v>45</v>
      </c>
      <c r="V942" s="14" t="str" cm="1">
        <f t="array" ref="V94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42" t="s">
        <v>31</v>
      </c>
      <c r="X942" s="2" t="str">
        <f>_xlfn.XLOOKUP(Table1[[#This Row],[Loan_Credit_History]],Table4[Credit History],Table4[[ Category]])</f>
        <v>Existing Credits Paid</v>
      </c>
      <c r="Y942" s="3">
        <v>3</v>
      </c>
      <c r="Z942" s="3">
        <v>1</v>
      </c>
      <c r="AA942" s="5">
        <v>662</v>
      </c>
      <c r="AB942" t="s">
        <v>151</v>
      </c>
      <c r="AC942" s="2" t="str" cm="1">
        <f t="array" ref="AC942">_xlfn.IFS(Table1[[#This Row],[Others_Parties]] = "No", "None",
Table1[[#This Row],[Others_Parties]] = "co applicant", "Co-applicant",
Table1[[#This Row],[Others_Parties]] = "guarantor", "Guarantor")</f>
        <v>None</v>
      </c>
      <c r="AD942" s="13" t="s">
        <v>145</v>
      </c>
      <c r="AE942" s="2" t="s">
        <v>141</v>
      </c>
      <c r="AF942" s="28" t="str" cm="1">
        <f t="array" ref="AF94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42" s="21">
        <v>6</v>
      </c>
      <c r="AH942" s="2" t="s">
        <v>154</v>
      </c>
      <c r="AI942"/>
      <c r="AZ942"/>
      <c r="BC942"/>
      <c r="BE942"/>
      <c r="BL942"/>
      <c r="BZ942"/>
      <c r="CA942"/>
      <c r="CF942"/>
      <c r="CG942"/>
      <c r="CH942"/>
      <c r="CI942"/>
      <c r="CK942"/>
      <c r="CN942"/>
    </row>
    <row r="943" spans="1:92" x14ac:dyDescent="0.3">
      <c r="A943" s="4">
        <v>941</v>
      </c>
      <c r="B943" s="11">
        <v>39</v>
      </c>
      <c r="C943" s="2" t="str">
        <f>_xlfn.XLOOKUP(Table1[[#This Row],[Age]],Table7[Start_Age],Table7[Age_Range],,-1)</f>
        <v>39-49</v>
      </c>
      <c r="D943" t="s">
        <v>136</v>
      </c>
      <c r="E943" s="2" t="s">
        <v>131</v>
      </c>
      <c r="F943" s="2" t="s">
        <v>137</v>
      </c>
      <c r="G943" s="3">
        <v>1</v>
      </c>
      <c r="H943" s="13" t="s">
        <v>152</v>
      </c>
      <c r="I943" s="2" t="str" cm="1">
        <f t="array" ref="I943">_xlfn.IFS(Table1[[#This Row],[Job_Type]] = "unskilled resident", "Resident",
Table1[[#This Row],[Job_Type]] = "unemp/unskilled non res", "Non-resident",
TRUE, "Unknown")</f>
        <v>Resident</v>
      </c>
      <c r="J943" s="2" t="s">
        <v>148</v>
      </c>
      <c r="K943" s="3">
        <v>4</v>
      </c>
      <c r="L943" s="2" t="s">
        <v>144</v>
      </c>
      <c r="M943" s="13" t="s">
        <v>152</v>
      </c>
      <c r="N943" t="s">
        <v>35</v>
      </c>
      <c r="O943" s="2" t="str">
        <f>_xlfn.XLOOKUP(Table1[[#This Row],[Checking_Acct_Status]],Table3[Checking_Acct_Original],Table3[Category])</f>
        <v>Negative Balance</v>
      </c>
      <c r="P943" s="10" t="s">
        <v>20</v>
      </c>
      <c r="Q943" s="13" t="str">
        <f>_xlfn.XLOOKUP(Table1[[#This Row],[Saving_Acct_Status]],Table5[Saving_Acct_Original],Table5[Category])</f>
        <v>Very High Savings</v>
      </c>
      <c r="R943" t="s">
        <v>27</v>
      </c>
      <c r="S943" s="2" t="str">
        <f>IF(
      OR(Table1[[#This Row],[Job_Type]] = "high qualif/self emp/mgmt", Table1[[#This Row],[Job_Type]] = "skilled"),
      "Skilled", "Unskilled")</f>
        <v>Unskilled</v>
      </c>
      <c r="T943" t="str">
        <f>IF(Table1[[#This Row],[Job_Type]] = "unemp/unskilled non res", "Unemployed", "Employed")</f>
        <v>Employed</v>
      </c>
      <c r="U943" t="s">
        <v>49</v>
      </c>
      <c r="V943" s="14" t="str" cm="1">
        <f t="array" ref="V943">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43" t="s">
        <v>103</v>
      </c>
      <c r="X943" s="2" t="str">
        <f>_xlfn.XLOOKUP(Table1[[#This Row],[Loan_Credit_History]],Table4[Credit History],Table4[[ Category]])</f>
        <v>Critical Credit History</v>
      </c>
      <c r="Y943" s="3">
        <v>3</v>
      </c>
      <c r="Z943" s="3">
        <v>2</v>
      </c>
      <c r="AA943" s="5">
        <v>666</v>
      </c>
      <c r="AB943" t="s">
        <v>151</v>
      </c>
      <c r="AC943" s="2" t="str" cm="1">
        <f t="array" ref="AC943">_xlfn.IFS(Table1[[#This Row],[Others_Parties]] = "No", "None",
Table1[[#This Row],[Others_Parties]] = "co applicant", "Co-applicant",
Table1[[#This Row],[Others_Parties]] = "guarantor", "Guarantor")</f>
        <v>None</v>
      </c>
      <c r="AD943" s="13" t="s">
        <v>145</v>
      </c>
      <c r="AE943" s="2" t="s">
        <v>141</v>
      </c>
      <c r="AF943" s="28" t="str" cm="1">
        <f t="array" ref="AF94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43" s="21">
        <v>6</v>
      </c>
      <c r="AH943" s="2" t="s">
        <v>154</v>
      </c>
      <c r="AI943"/>
      <c r="AZ943"/>
      <c r="BC943"/>
      <c r="BE943"/>
      <c r="BL943"/>
      <c r="BZ943"/>
      <c r="CA943"/>
      <c r="CF943"/>
      <c r="CG943"/>
      <c r="CH943"/>
      <c r="CI943"/>
      <c r="CK943"/>
      <c r="CN943"/>
    </row>
    <row r="944" spans="1:92" x14ac:dyDescent="0.3">
      <c r="A944" s="4">
        <v>942</v>
      </c>
      <c r="B944" s="11">
        <v>54</v>
      </c>
      <c r="C944" s="2" t="str">
        <f>_xlfn.XLOOKUP(Table1[[#This Row],[Age]],Table7[Start_Age],Table7[Age_Range],,-1)</f>
        <v>49-59</v>
      </c>
      <c r="D944" t="s">
        <v>136</v>
      </c>
      <c r="E944" s="2" t="s">
        <v>131</v>
      </c>
      <c r="F944" s="2" t="s">
        <v>137</v>
      </c>
      <c r="G944" s="3">
        <v>1</v>
      </c>
      <c r="H944" s="13" t="s">
        <v>152</v>
      </c>
      <c r="I944" s="2" t="str" cm="1">
        <f t="array" ref="I944">_xlfn.IFS(Table1[[#This Row],[Job_Type]] = "unskilled resident", "Resident",
Table1[[#This Row],[Job_Type]] = "unemp/unskilled non res", "Non-resident",
TRUE, "Unknown")</f>
        <v>Non-resident</v>
      </c>
      <c r="J944" s="2" t="s">
        <v>148</v>
      </c>
      <c r="K944" s="3">
        <v>4</v>
      </c>
      <c r="L944" s="2" t="s">
        <v>144</v>
      </c>
      <c r="M944" s="13" t="s">
        <v>152</v>
      </c>
      <c r="N944" t="s">
        <v>17</v>
      </c>
      <c r="O944" s="2" t="str">
        <f>_xlfn.XLOOKUP(Table1[[#This Row],[Checking_Acct_Status]],Table3[Checking_Acct_Original],Table3[Category])</f>
        <v>No Account</v>
      </c>
      <c r="P944" s="10" t="s">
        <v>32</v>
      </c>
      <c r="Q944" s="13" t="str">
        <f>_xlfn.XLOOKUP(Table1[[#This Row],[Saving_Acct_Status]],Table5[Saving_Acct_Original],Table5[Category])</f>
        <v>Low Savings</v>
      </c>
      <c r="R944" t="s">
        <v>62</v>
      </c>
      <c r="S944" s="2" t="str">
        <f>IF(
      OR(Table1[[#This Row],[Job_Type]] = "high qualif/self emp/mgmt", Table1[[#This Row],[Job_Type]] = "skilled"),
      "Skilled", "Unskilled")</f>
        <v>Unskilled</v>
      </c>
      <c r="T944" t="str">
        <f>IF(Table1[[#This Row],[Job_Type]] = "unemp/unskilled non res", "Unemployed", "Employed")</f>
        <v>Unemployed</v>
      </c>
      <c r="U944" t="s">
        <v>54</v>
      </c>
      <c r="V944" s="14" t="str" cm="1">
        <f t="array" ref="V944">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944" t="s">
        <v>31</v>
      </c>
      <c r="X944" s="2" t="str">
        <f>_xlfn.XLOOKUP(Table1[[#This Row],[Loan_Credit_History]],Table4[Credit History],Table4[[ Category]])</f>
        <v>Existing Credits Paid</v>
      </c>
      <c r="Y944" s="3">
        <v>1</v>
      </c>
      <c r="Z944" s="3">
        <v>1</v>
      </c>
      <c r="AA944" s="5">
        <v>672</v>
      </c>
      <c r="AB944" t="s">
        <v>151</v>
      </c>
      <c r="AC944" s="2" t="str" cm="1">
        <f t="array" ref="AC944">_xlfn.IFS(Table1[[#This Row],[Others_Parties]] = "No", "None",
Table1[[#This Row],[Others_Parties]] = "co applicant", "Co-applicant",
Table1[[#This Row],[Others_Parties]] = "guarantor", "Guarantor")</f>
        <v>None</v>
      </c>
      <c r="AD944" s="13" t="s">
        <v>145</v>
      </c>
      <c r="AE944" s="2" t="s">
        <v>141</v>
      </c>
      <c r="AF944" s="28" t="str" cm="1">
        <f t="array" ref="AF94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44" s="21">
        <v>6</v>
      </c>
      <c r="AH944" s="2" t="s">
        <v>154</v>
      </c>
      <c r="AI944"/>
      <c r="AZ944"/>
      <c r="BC944"/>
      <c r="BE944"/>
      <c r="BL944"/>
      <c r="BZ944"/>
      <c r="CA944"/>
      <c r="CF944"/>
      <c r="CG944"/>
      <c r="CH944"/>
      <c r="CI944"/>
      <c r="CK944"/>
      <c r="CN944"/>
    </row>
    <row r="945" spans="1:92" x14ac:dyDescent="0.3">
      <c r="A945" s="4">
        <v>943</v>
      </c>
      <c r="B945" s="11">
        <v>29</v>
      </c>
      <c r="C945" s="2" t="str">
        <f>_xlfn.XLOOKUP(Table1[[#This Row],[Age]],Table7[Start_Age],Table7[Age_Range],,-1)</f>
        <v>29-39</v>
      </c>
      <c r="D945" t="s">
        <v>136</v>
      </c>
      <c r="E945" s="2" t="s">
        <v>131</v>
      </c>
      <c r="F945" s="2" t="s">
        <v>137</v>
      </c>
      <c r="G945" s="3">
        <v>1</v>
      </c>
      <c r="H945" s="13" t="s">
        <v>152</v>
      </c>
      <c r="I945" s="2" t="str" cm="1">
        <f t="array" ref="I945">_xlfn.IFS(Table1[[#This Row],[Job_Type]] = "unskilled resident", "Resident",
Table1[[#This Row],[Job_Type]] = "unemp/unskilled non res", "Non-resident",
TRUE, "Unknown")</f>
        <v>Unknown</v>
      </c>
      <c r="J945" s="2" t="s">
        <v>148</v>
      </c>
      <c r="K945" s="3">
        <v>1</v>
      </c>
      <c r="L945" s="2" t="s">
        <v>143</v>
      </c>
      <c r="M945" s="13" t="s">
        <v>151</v>
      </c>
      <c r="N945" t="s">
        <v>50</v>
      </c>
      <c r="O945" s="2" t="str">
        <f>_xlfn.XLOOKUP(Table1[[#This Row],[Checking_Acct_Status]],Table3[Checking_Acct_Original],Table3[Category])</f>
        <v>High Balance</v>
      </c>
      <c r="P945" s="10" t="s">
        <v>32</v>
      </c>
      <c r="Q945" s="13" t="str">
        <f>_xlfn.XLOOKUP(Table1[[#This Row],[Saving_Acct_Status]],Table5[Saving_Acct_Original],Table5[Category])</f>
        <v>Low Savings</v>
      </c>
      <c r="R945" t="s">
        <v>41</v>
      </c>
      <c r="S945" s="2" t="str">
        <f>IF(
      OR(Table1[[#This Row],[Job_Type]] = "high qualif/self emp/mgmt", Table1[[#This Row],[Job_Type]] = "skilled"),
      "Skilled", "Unskilled")</f>
        <v>Skilled</v>
      </c>
      <c r="T945" t="str">
        <f>IF(Table1[[#This Row],[Job_Type]] = "unemp/unskilled non res", "Unemployed", "Employed")</f>
        <v>Employed</v>
      </c>
      <c r="U945" t="s">
        <v>45</v>
      </c>
      <c r="V945" s="14" t="str" cm="1">
        <f t="array" ref="V945">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45" t="s">
        <v>59</v>
      </c>
      <c r="X945" s="2" t="str">
        <f>_xlfn.XLOOKUP(Table1[[#This Row],[Loan_Credit_History]],Table4[Credit History],Table4[[ Category]])</f>
        <v>Previously Delayed</v>
      </c>
      <c r="Y945" s="3">
        <v>2</v>
      </c>
      <c r="Z945" s="3">
        <v>1</v>
      </c>
      <c r="AA945" s="5">
        <v>683</v>
      </c>
      <c r="AB945" t="s">
        <v>151</v>
      </c>
      <c r="AC945" s="2" t="str" cm="1">
        <f t="array" ref="AC945">_xlfn.IFS(Table1[[#This Row],[Others_Parties]] = "No", "None",
Table1[[#This Row],[Others_Parties]] = "co applicant", "Co-applicant",
Table1[[#This Row],[Others_Parties]] = "guarantor", "Guarantor")</f>
        <v>None</v>
      </c>
      <c r="AD945" s="13" t="s">
        <v>146</v>
      </c>
      <c r="AE945" s="2" t="s">
        <v>111</v>
      </c>
      <c r="AF945" s="28" t="str" cm="1">
        <f t="array" ref="AF94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45" s="21">
        <v>6</v>
      </c>
      <c r="AH945" s="2" t="s">
        <v>154</v>
      </c>
      <c r="AI945"/>
      <c r="AZ945"/>
      <c r="BC945"/>
      <c r="BE945"/>
      <c r="BL945"/>
      <c r="BZ945"/>
      <c r="CA945"/>
      <c r="CF945"/>
      <c r="CG945"/>
      <c r="CH945"/>
      <c r="CI945"/>
      <c r="CK945"/>
      <c r="CN945"/>
    </row>
    <row r="946" spans="1:92" x14ac:dyDescent="0.3">
      <c r="A946" s="4">
        <v>944</v>
      </c>
      <c r="B946" s="11">
        <v>36</v>
      </c>
      <c r="C946" s="2" t="str">
        <f>_xlfn.XLOOKUP(Table1[[#This Row],[Age]],Table7[Start_Age],Table7[Age_Range],,-1)</f>
        <v>29-39</v>
      </c>
      <c r="D946" t="s">
        <v>130</v>
      </c>
      <c r="E946" s="2" t="s">
        <v>129</v>
      </c>
      <c r="F946" s="2" t="s">
        <v>133</v>
      </c>
      <c r="G946" s="3">
        <v>1</v>
      </c>
      <c r="H946" s="13" t="s">
        <v>152</v>
      </c>
      <c r="I946" s="2" t="str" cm="1">
        <f t="array" ref="I946">_xlfn.IFS(Table1[[#This Row],[Job_Type]] = "unskilled resident", "Resident",
Table1[[#This Row],[Job_Type]] = "unemp/unskilled non res", "Non-resident",
TRUE, "Unknown")</f>
        <v>Unknown</v>
      </c>
      <c r="J946" s="2" t="s">
        <v>150</v>
      </c>
      <c r="K946" s="3">
        <v>4</v>
      </c>
      <c r="L946" s="2" t="s">
        <v>142</v>
      </c>
      <c r="M946" s="13" t="s">
        <v>151</v>
      </c>
      <c r="N946" t="s">
        <v>17</v>
      </c>
      <c r="O946" s="2" t="str">
        <f>_xlfn.XLOOKUP(Table1[[#This Row],[Checking_Acct_Status]],Table3[Checking_Acct_Original],Table3[Category])</f>
        <v>No Account</v>
      </c>
      <c r="P946" s="10" t="s">
        <v>47</v>
      </c>
      <c r="Q946" s="13" t="str">
        <f>_xlfn.XLOOKUP(Table1[[#This Row],[Saving_Acct_Status]],Table5[Saving_Acct_Original],Table5[Category])</f>
        <v>No Savings</v>
      </c>
      <c r="R946" t="s">
        <v>41</v>
      </c>
      <c r="S946" s="2" t="str">
        <f>IF(
      OR(Table1[[#This Row],[Job_Type]] = "high qualif/self emp/mgmt", Table1[[#This Row],[Job_Type]] = "skilled"),
      "Skilled", "Unskilled")</f>
        <v>Skilled</v>
      </c>
      <c r="T946" t="str">
        <f>IF(Table1[[#This Row],[Job_Type]] = "unemp/unskilled non res", "Unemployed", "Employed")</f>
        <v>Employed</v>
      </c>
      <c r="U946" t="s">
        <v>38</v>
      </c>
      <c r="V946" s="14" t="str" cm="1">
        <f t="array" ref="V94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46" t="s">
        <v>103</v>
      </c>
      <c r="X946" s="2" t="str">
        <f>_xlfn.XLOOKUP(Table1[[#This Row],[Loan_Credit_History]],Table4[Credit History],Table4[[ Category]])</f>
        <v>Critical Credit History</v>
      </c>
      <c r="Y946" s="3">
        <v>4</v>
      </c>
      <c r="Z946" s="3">
        <v>2</v>
      </c>
      <c r="AA946" s="5">
        <v>700</v>
      </c>
      <c r="AB946" t="s">
        <v>151</v>
      </c>
      <c r="AC946" s="2" t="str" cm="1">
        <f t="array" ref="AC946">_xlfn.IFS(Table1[[#This Row],[Others_Parties]] = "No", "None",
Table1[[#This Row],[Others_Parties]] = "co applicant", "Co-applicant",
Table1[[#This Row],[Others_Parties]] = "guarantor", "Guarantor")</f>
        <v>None</v>
      </c>
      <c r="AD946" s="13" t="s">
        <v>145</v>
      </c>
      <c r="AE946" s="2" t="s">
        <v>111</v>
      </c>
      <c r="AF946" s="28" t="str" cm="1">
        <f t="array" ref="AF94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46" s="21">
        <v>6</v>
      </c>
      <c r="AH946" s="2" t="s">
        <v>154</v>
      </c>
      <c r="AI946"/>
      <c r="AZ946"/>
      <c r="BC946"/>
      <c r="BE946"/>
      <c r="BL946"/>
      <c r="BZ946"/>
      <c r="CA946"/>
      <c r="CF946"/>
      <c r="CG946"/>
      <c r="CH946"/>
      <c r="CI946"/>
      <c r="CK946"/>
      <c r="CN946"/>
    </row>
    <row r="947" spans="1:92" x14ac:dyDescent="0.3">
      <c r="A947" s="4">
        <v>945</v>
      </c>
      <c r="B947" s="11">
        <v>64</v>
      </c>
      <c r="C947" s="2" t="str">
        <f>_xlfn.XLOOKUP(Table1[[#This Row],[Age]],Table7[Start_Age],Table7[Age_Range],,-1)</f>
        <v>59-69</v>
      </c>
      <c r="D947" t="s">
        <v>136</v>
      </c>
      <c r="E947" s="2" t="s">
        <v>131</v>
      </c>
      <c r="F947" s="2" t="s">
        <v>137</v>
      </c>
      <c r="G947" s="3">
        <v>1</v>
      </c>
      <c r="H947" s="13" t="s">
        <v>152</v>
      </c>
      <c r="I947" s="2" t="str" cm="1">
        <f t="array" ref="I947">_xlfn.IFS(Table1[[#This Row],[Job_Type]] = "unskilled resident", "Resident",
Table1[[#This Row],[Job_Type]] = "unemp/unskilled non res", "Non-resident",
TRUE, "Unknown")</f>
        <v>Unknown</v>
      </c>
      <c r="J947" s="2" t="s">
        <v>148</v>
      </c>
      <c r="K947" s="3">
        <v>3</v>
      </c>
      <c r="L947" s="2" t="s">
        <v>144</v>
      </c>
      <c r="M947" s="13" t="s">
        <v>151</v>
      </c>
      <c r="N947" t="s">
        <v>30</v>
      </c>
      <c r="O947" s="2" t="str">
        <f>_xlfn.XLOOKUP(Table1[[#This Row],[Checking_Acct_Status]],Table3[Checking_Acct_Original],Table3[Category])</f>
        <v>Low Balance</v>
      </c>
      <c r="P947" s="10" t="s">
        <v>32</v>
      </c>
      <c r="Q947" s="13" t="str">
        <f>_xlfn.XLOOKUP(Table1[[#This Row],[Saving_Acct_Status]],Table5[Saving_Acct_Original],Table5[Category])</f>
        <v>Low Savings</v>
      </c>
      <c r="R947" t="s">
        <v>41</v>
      </c>
      <c r="S947" s="2" t="str">
        <f>IF(
      OR(Table1[[#This Row],[Job_Type]] = "high qualif/self emp/mgmt", Table1[[#This Row],[Job_Type]] = "skilled"),
      "Skilled", "Unskilled")</f>
        <v>Skilled</v>
      </c>
      <c r="T947" t="str">
        <f>IF(Table1[[#This Row],[Job_Type]] = "unemp/unskilled non res", "Unemployed", "Employed")</f>
        <v>Employed</v>
      </c>
      <c r="U947" t="s">
        <v>21</v>
      </c>
      <c r="V947" s="14" t="str" cm="1">
        <f t="array" ref="V94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47" t="s">
        <v>31</v>
      </c>
      <c r="X947" s="2" t="str">
        <f>_xlfn.XLOOKUP(Table1[[#This Row],[Loan_Credit_History]],Table4[Credit History],Table4[[ Category]])</f>
        <v>Existing Credits Paid</v>
      </c>
      <c r="Y947" s="3">
        <v>2</v>
      </c>
      <c r="Z947" s="3">
        <v>1</v>
      </c>
      <c r="AA947" s="5">
        <v>753</v>
      </c>
      <c r="AB947" t="s">
        <v>58</v>
      </c>
      <c r="AC947" s="2" t="str" cm="1">
        <f t="array" ref="AC947">_xlfn.IFS(Table1[[#This Row],[Others_Parties]] = "No", "None",
Table1[[#This Row],[Others_Parties]] = "co applicant", "Co-applicant",
Table1[[#This Row],[Others_Parties]] = "guarantor", "Guarantor")</f>
        <v>Guarantor</v>
      </c>
      <c r="AD947" s="13" t="s">
        <v>145</v>
      </c>
      <c r="AE947" s="2" t="s">
        <v>111</v>
      </c>
      <c r="AF947" s="28" t="str" cm="1">
        <f t="array" ref="AF94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47" s="21">
        <v>6</v>
      </c>
      <c r="AH947" s="2" t="s">
        <v>154</v>
      </c>
      <c r="AI947"/>
      <c r="AZ947"/>
      <c r="BC947"/>
      <c r="BE947"/>
      <c r="BL947"/>
      <c r="BZ947"/>
      <c r="CA947"/>
      <c r="CF947"/>
      <c r="CG947"/>
      <c r="CH947"/>
      <c r="CI947"/>
      <c r="CK947"/>
      <c r="CN947"/>
    </row>
    <row r="948" spans="1:92" x14ac:dyDescent="0.3">
      <c r="A948" s="4">
        <v>946</v>
      </c>
      <c r="B948" s="11">
        <v>26</v>
      </c>
      <c r="C948" s="2" t="str">
        <f>_xlfn.XLOOKUP(Table1[[#This Row],[Age]],Table7[Start_Age],Table7[Age_Range],,-1)</f>
        <v>19-29</v>
      </c>
      <c r="D948" t="s">
        <v>130</v>
      </c>
      <c r="E948" s="2" t="s">
        <v>129</v>
      </c>
      <c r="F948" s="2" t="s">
        <v>133</v>
      </c>
      <c r="G948" s="3">
        <v>2</v>
      </c>
      <c r="H948" s="13" t="s">
        <v>152</v>
      </c>
      <c r="I948" s="2" t="str" cm="1">
        <f t="array" ref="I948">_xlfn.IFS(Table1[[#This Row],[Job_Type]] = "unskilled resident", "Resident",
Table1[[#This Row],[Job_Type]] = "unemp/unskilled non res", "Non-resident",
TRUE, "Unknown")</f>
        <v>Resident</v>
      </c>
      <c r="J948" s="2" t="s">
        <v>148</v>
      </c>
      <c r="K948" s="3">
        <v>2</v>
      </c>
      <c r="L948" s="2" t="s">
        <v>144</v>
      </c>
      <c r="M948" s="13" t="s">
        <v>151</v>
      </c>
      <c r="N948" t="s">
        <v>17</v>
      </c>
      <c r="O948" s="2" t="str">
        <f>_xlfn.XLOOKUP(Table1[[#This Row],[Checking_Acct_Status]],Table3[Checking_Acct_Original],Table3[Category])</f>
        <v>No Account</v>
      </c>
      <c r="P948" s="10" t="s">
        <v>47</v>
      </c>
      <c r="Q948" s="13" t="str">
        <f>_xlfn.XLOOKUP(Table1[[#This Row],[Saving_Acct_Status]],Table5[Saving_Acct_Original],Table5[Category])</f>
        <v>No Savings</v>
      </c>
      <c r="R948" t="s">
        <v>27</v>
      </c>
      <c r="S948" s="2" t="str">
        <f>IF(
      OR(Table1[[#This Row],[Job_Type]] = "high qualif/self emp/mgmt", Table1[[#This Row],[Job_Type]] = "skilled"),
      "Skilled", "Unskilled")</f>
        <v>Unskilled</v>
      </c>
      <c r="T948" t="str">
        <f>IF(Table1[[#This Row],[Job_Type]] = "unemp/unskilled non res", "Unemployed", "Employed")</f>
        <v>Employed</v>
      </c>
      <c r="U948" t="s">
        <v>21</v>
      </c>
      <c r="V948" s="14" t="str" cm="1">
        <f t="array" ref="V94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48" t="s">
        <v>42</v>
      </c>
      <c r="X948" s="2" t="str">
        <f>_xlfn.XLOOKUP(Table1[[#This Row],[Loan_Credit_History]],Table4[Credit History],Table4[[ Category]])</f>
        <v>All Paid</v>
      </c>
      <c r="Y948" s="3">
        <v>1</v>
      </c>
      <c r="Z948" s="3">
        <v>1</v>
      </c>
      <c r="AA948" s="5">
        <v>783</v>
      </c>
      <c r="AB948" t="s">
        <v>58</v>
      </c>
      <c r="AC948" s="2" t="str" cm="1">
        <f t="array" ref="AC948">_xlfn.IFS(Table1[[#This Row],[Others_Parties]] = "No", "None",
Table1[[#This Row],[Others_Parties]] = "co applicant", "Co-applicant",
Table1[[#This Row],[Others_Parties]] = "guarantor", "Guarantor")</f>
        <v>Guarantor</v>
      </c>
      <c r="AD948" s="13" t="s">
        <v>147</v>
      </c>
      <c r="AE948" s="2" t="s">
        <v>141</v>
      </c>
      <c r="AF948" s="28" t="str" cm="1">
        <f t="array" ref="AF94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48" s="21">
        <v>6</v>
      </c>
      <c r="AH948" s="2" t="s">
        <v>154</v>
      </c>
      <c r="AI948"/>
      <c r="AZ948"/>
      <c r="BC948"/>
      <c r="BE948"/>
      <c r="BL948"/>
      <c r="BZ948"/>
      <c r="CA948"/>
      <c r="CF948"/>
      <c r="CG948"/>
      <c r="CH948"/>
      <c r="CI948"/>
      <c r="CK948"/>
      <c r="CN948"/>
    </row>
    <row r="949" spans="1:92" x14ac:dyDescent="0.3">
      <c r="A949" s="4">
        <v>947</v>
      </c>
      <c r="B949" s="11">
        <v>39</v>
      </c>
      <c r="C949" s="2" t="str">
        <f>_xlfn.XLOOKUP(Table1[[#This Row],[Age]],Table7[Start_Age],Table7[Age_Range],,-1)</f>
        <v>39-49</v>
      </c>
      <c r="D949" t="s">
        <v>136</v>
      </c>
      <c r="E949" s="2" t="s">
        <v>131</v>
      </c>
      <c r="F949" s="2" t="s">
        <v>137</v>
      </c>
      <c r="G949" s="3">
        <v>1</v>
      </c>
      <c r="H949" s="13" t="s">
        <v>152</v>
      </c>
      <c r="I949" s="2" t="str" cm="1">
        <f t="array" ref="I949">_xlfn.IFS(Table1[[#This Row],[Job_Type]] = "unskilled resident", "Resident",
Table1[[#This Row],[Job_Type]] = "unemp/unskilled non res", "Non-resident",
TRUE, "Unknown")</f>
        <v>Unknown</v>
      </c>
      <c r="J949" s="2" t="s">
        <v>148</v>
      </c>
      <c r="K949" s="3">
        <v>4</v>
      </c>
      <c r="L949" s="2" t="s">
        <v>142</v>
      </c>
      <c r="M949" s="13" t="s">
        <v>152</v>
      </c>
      <c r="N949" t="s">
        <v>35</v>
      </c>
      <c r="O949" s="2" t="str">
        <f>_xlfn.XLOOKUP(Table1[[#This Row],[Checking_Acct_Status]],Table3[Checking_Acct_Original],Table3[Category])</f>
        <v>Negative Balance</v>
      </c>
      <c r="P949" s="10" t="s">
        <v>32</v>
      </c>
      <c r="Q949" s="13" t="str">
        <f>_xlfn.XLOOKUP(Table1[[#This Row],[Saving_Acct_Status]],Table5[Saving_Acct_Original],Table5[Category])</f>
        <v>Low Savings</v>
      </c>
      <c r="R949" t="s">
        <v>41</v>
      </c>
      <c r="S949" s="2" t="str">
        <f>IF(
      OR(Table1[[#This Row],[Job_Type]] = "high qualif/self emp/mgmt", Table1[[#This Row],[Job_Type]] = "skilled"),
      "Skilled", "Unskilled")</f>
        <v>Skilled</v>
      </c>
      <c r="T949" t="str">
        <f>IF(Table1[[#This Row],[Job_Type]] = "unemp/unskilled non res", "Unemployed", "Employed")</f>
        <v>Employed</v>
      </c>
      <c r="U949" t="s">
        <v>38</v>
      </c>
      <c r="V949" s="14" t="str" cm="1">
        <f t="array" ref="V949">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49" t="s">
        <v>103</v>
      </c>
      <c r="X949" s="2" t="str">
        <f>_xlfn.XLOOKUP(Table1[[#This Row],[Loan_Credit_History]],Table4[Credit History],Table4[[ Category]])</f>
        <v>Critical Credit History</v>
      </c>
      <c r="Y949" s="3">
        <v>1</v>
      </c>
      <c r="Z949" s="3">
        <v>2</v>
      </c>
      <c r="AA949" s="5">
        <v>860</v>
      </c>
      <c r="AB949" t="s">
        <v>151</v>
      </c>
      <c r="AC949" s="2" t="str" cm="1">
        <f t="array" ref="AC949">_xlfn.IFS(Table1[[#This Row],[Others_Parties]] = "No", "None",
Table1[[#This Row],[Others_Parties]] = "co applicant", "Co-applicant",
Table1[[#This Row],[Others_Parties]] = "guarantor", "Guarantor")</f>
        <v>None</v>
      </c>
      <c r="AD949" s="13" t="s">
        <v>145</v>
      </c>
      <c r="AE949" s="2" t="s">
        <v>141</v>
      </c>
      <c r="AF949" s="28" t="str" cm="1">
        <f t="array" ref="AF94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49" s="21">
        <v>6</v>
      </c>
      <c r="AH949" s="2" t="s">
        <v>154</v>
      </c>
      <c r="AI949"/>
      <c r="AZ949"/>
      <c r="BC949"/>
      <c r="BE949"/>
      <c r="BL949"/>
      <c r="BZ949"/>
      <c r="CA949"/>
      <c r="CF949"/>
      <c r="CG949"/>
      <c r="CH949"/>
      <c r="CI949"/>
      <c r="CK949"/>
      <c r="CN949"/>
    </row>
    <row r="950" spans="1:92" x14ac:dyDescent="0.3">
      <c r="A950" s="4">
        <v>948</v>
      </c>
      <c r="B950" s="11">
        <v>32</v>
      </c>
      <c r="C950" s="2" t="str">
        <f>_xlfn.XLOOKUP(Table1[[#This Row],[Age]],Table7[Start_Age],Table7[Age_Range],,-1)</f>
        <v>29-39</v>
      </c>
      <c r="D950" t="s">
        <v>136</v>
      </c>
      <c r="E950" s="2" t="s">
        <v>131</v>
      </c>
      <c r="F950" s="2" t="s">
        <v>137</v>
      </c>
      <c r="G950" s="3">
        <v>1</v>
      </c>
      <c r="H950" s="13" t="s">
        <v>152</v>
      </c>
      <c r="I950" s="2" t="str" cm="1">
        <f t="array" ref="I950">_xlfn.IFS(Table1[[#This Row],[Job_Type]] = "unskilled resident", "Resident",
Table1[[#This Row],[Job_Type]] = "unemp/unskilled non res", "Non-resident",
TRUE, "Unknown")</f>
        <v>Resident</v>
      </c>
      <c r="J950" s="2" t="s">
        <v>148</v>
      </c>
      <c r="K950" s="3">
        <v>1</v>
      </c>
      <c r="L950" s="2" t="s">
        <v>143</v>
      </c>
      <c r="M950" s="13" t="s">
        <v>151</v>
      </c>
      <c r="N950" t="s">
        <v>30</v>
      </c>
      <c r="O950" s="2" t="str">
        <f>_xlfn.XLOOKUP(Table1[[#This Row],[Checking_Acct_Status]],Table3[Checking_Acct_Original],Table3[Category])</f>
        <v>Low Balance</v>
      </c>
      <c r="P950" s="10" t="s">
        <v>46</v>
      </c>
      <c r="Q950" s="13" t="str">
        <f>_xlfn.XLOOKUP(Table1[[#This Row],[Saving_Acct_Status]],Table5[Saving_Acct_Original],Table5[Category])</f>
        <v>Medium Savings</v>
      </c>
      <c r="R950" t="s">
        <v>27</v>
      </c>
      <c r="S950" s="2" t="str">
        <f>IF(
      OR(Table1[[#This Row],[Job_Type]] = "high qualif/self emp/mgmt", Table1[[#This Row],[Job_Type]] = "skilled"),
      "Skilled", "Unskilled")</f>
        <v>Unskilled</v>
      </c>
      <c r="T950" t="str">
        <f>IF(Table1[[#This Row],[Job_Type]] = "unemp/unskilled non res", "Unemployed", "Employed")</f>
        <v>Employed</v>
      </c>
      <c r="U950" t="s">
        <v>45</v>
      </c>
      <c r="V950" s="14" t="str" cm="1">
        <f t="array" ref="V950">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50" t="s">
        <v>42</v>
      </c>
      <c r="X950" s="2" t="str">
        <f>_xlfn.XLOOKUP(Table1[[#This Row],[Loan_Credit_History]],Table4[Credit History],Table4[[ Category]])</f>
        <v>All Paid</v>
      </c>
      <c r="Y950" s="3">
        <v>1</v>
      </c>
      <c r="Z950" s="3">
        <v>1</v>
      </c>
      <c r="AA950" s="5">
        <v>931</v>
      </c>
      <c r="AB950" t="s">
        <v>151</v>
      </c>
      <c r="AC950" s="2" t="str" cm="1">
        <f t="array" ref="AC950">_xlfn.IFS(Table1[[#This Row],[Others_Parties]] = "No", "None",
Table1[[#This Row],[Others_Parties]] = "co applicant", "Co-applicant",
Table1[[#This Row],[Others_Parties]] = "guarantor", "Guarantor")</f>
        <v>None</v>
      </c>
      <c r="AD950" s="13" t="s">
        <v>147</v>
      </c>
      <c r="AE950" s="2" t="s">
        <v>141</v>
      </c>
      <c r="AF950" s="28" t="str" cm="1">
        <f t="array" ref="AF95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50" s="21">
        <v>6</v>
      </c>
      <c r="AH950" s="2" t="s">
        <v>153</v>
      </c>
      <c r="AI950"/>
      <c r="AZ950"/>
      <c r="BC950"/>
      <c r="BE950"/>
      <c r="BL950"/>
      <c r="BZ950"/>
      <c r="CA950"/>
      <c r="CF950"/>
      <c r="CG950"/>
      <c r="CH950"/>
      <c r="CI950"/>
      <c r="CK950"/>
      <c r="CN950"/>
    </row>
    <row r="951" spans="1:92" x14ac:dyDescent="0.3">
      <c r="A951" s="4">
        <v>949</v>
      </c>
      <c r="B951" s="11">
        <v>24</v>
      </c>
      <c r="C951" s="2" t="str">
        <f>_xlfn.XLOOKUP(Table1[[#This Row],[Age]],Table7[Start_Age],Table7[Age_Range],,-1)</f>
        <v>19-29</v>
      </c>
      <c r="D951" t="s">
        <v>136</v>
      </c>
      <c r="E951" s="2" t="s">
        <v>131</v>
      </c>
      <c r="F951" s="2" t="s">
        <v>137</v>
      </c>
      <c r="G951" s="3">
        <v>1</v>
      </c>
      <c r="H951" s="13" t="s">
        <v>152</v>
      </c>
      <c r="I951" s="2" t="str" cm="1">
        <f t="array" ref="I951">_xlfn.IFS(Table1[[#This Row],[Job_Type]] = "unskilled resident", "Resident",
Table1[[#This Row],[Job_Type]] = "unemp/unskilled non res", "Non-resident",
TRUE, "Unknown")</f>
        <v>Unknown</v>
      </c>
      <c r="J951" s="2" t="s">
        <v>148</v>
      </c>
      <c r="K951" s="3">
        <v>2</v>
      </c>
      <c r="L951" s="2" t="s">
        <v>144</v>
      </c>
      <c r="M951" s="13" t="s">
        <v>151</v>
      </c>
      <c r="N951" t="s">
        <v>17</v>
      </c>
      <c r="O951" s="2" t="str">
        <f>_xlfn.XLOOKUP(Table1[[#This Row],[Checking_Acct_Status]],Table3[Checking_Acct_Original],Table3[Category])</f>
        <v>No Account</v>
      </c>
      <c r="P951" s="10" t="s">
        <v>32</v>
      </c>
      <c r="Q951" s="13" t="str">
        <f>_xlfn.XLOOKUP(Table1[[#This Row],[Saving_Acct_Status]],Table5[Saving_Acct_Original],Table5[Category])</f>
        <v>Low Savings</v>
      </c>
      <c r="R951" t="s">
        <v>41</v>
      </c>
      <c r="S951" s="2" t="str">
        <f>IF(
      OR(Table1[[#This Row],[Job_Type]] = "high qualif/self emp/mgmt", Table1[[#This Row],[Job_Type]] = "skilled"),
      "Skilled", "Unskilled")</f>
        <v>Skilled</v>
      </c>
      <c r="T951" t="str">
        <f>IF(Table1[[#This Row],[Job_Type]] = "unemp/unskilled non res", "Unemployed", "Employed")</f>
        <v>Employed</v>
      </c>
      <c r="U951" t="s">
        <v>21</v>
      </c>
      <c r="V951" s="14" t="str" cm="1">
        <f t="array" ref="V95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51" t="s">
        <v>59</v>
      </c>
      <c r="X951" s="2" t="str">
        <f>_xlfn.XLOOKUP(Table1[[#This Row],[Loan_Credit_History]],Table4[Credit History],Table4[[ Category]])</f>
        <v>Previously Delayed</v>
      </c>
      <c r="Y951" s="3">
        <v>3</v>
      </c>
      <c r="Z951" s="3">
        <v>1</v>
      </c>
      <c r="AA951" s="5">
        <v>932</v>
      </c>
      <c r="AB951" t="s">
        <v>151</v>
      </c>
      <c r="AC951" s="2" t="str" cm="1">
        <f t="array" ref="AC951">_xlfn.IFS(Table1[[#This Row],[Others_Parties]] = "No", "None",
Table1[[#This Row],[Others_Parties]] = "co applicant", "Co-applicant",
Table1[[#This Row],[Others_Parties]] = "guarantor", "Guarantor")</f>
        <v>None</v>
      </c>
      <c r="AD951" s="13" t="s">
        <v>145</v>
      </c>
      <c r="AE951" s="2" t="s">
        <v>111</v>
      </c>
      <c r="AF951" s="28" t="str" cm="1">
        <f t="array" ref="AF95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51" s="21">
        <v>6</v>
      </c>
      <c r="AH951" s="2" t="s">
        <v>154</v>
      </c>
      <c r="AI951"/>
      <c r="AZ951"/>
      <c r="BC951"/>
      <c r="BE951"/>
      <c r="BL951"/>
      <c r="BZ951"/>
      <c r="CA951"/>
      <c r="CF951"/>
      <c r="CG951"/>
      <c r="CH951"/>
      <c r="CI951"/>
      <c r="CK951"/>
      <c r="CN951"/>
    </row>
    <row r="952" spans="1:92" x14ac:dyDescent="0.3">
      <c r="A952" s="4">
        <v>950</v>
      </c>
      <c r="B952" s="11">
        <v>39</v>
      </c>
      <c r="C952" s="2" t="str">
        <f>_xlfn.XLOOKUP(Table1[[#This Row],[Age]],Table7[Start_Age],Table7[Age_Range],,-1)</f>
        <v>39-49</v>
      </c>
      <c r="D952" t="s">
        <v>136</v>
      </c>
      <c r="E952" s="2" t="s">
        <v>131</v>
      </c>
      <c r="F952" s="2" t="s">
        <v>137</v>
      </c>
      <c r="G952" s="3">
        <v>1</v>
      </c>
      <c r="H952" s="13" t="s">
        <v>152</v>
      </c>
      <c r="I952" s="2" t="str" cm="1">
        <f t="array" ref="I952">_xlfn.IFS(Table1[[#This Row],[Job_Type]] = "unskilled resident", "Resident",
Table1[[#This Row],[Job_Type]] = "unemp/unskilled non res", "Non-resident",
TRUE, "Unknown")</f>
        <v>Resident</v>
      </c>
      <c r="J952" s="2" t="s">
        <v>148</v>
      </c>
      <c r="K952" s="3">
        <v>3</v>
      </c>
      <c r="L952" s="2" t="s">
        <v>143</v>
      </c>
      <c r="M952" s="13" t="s">
        <v>151</v>
      </c>
      <c r="N952" t="s">
        <v>30</v>
      </c>
      <c r="O952" s="2" t="str">
        <f>_xlfn.XLOOKUP(Table1[[#This Row],[Checking_Acct_Status]],Table3[Checking_Acct_Original],Table3[Category])</f>
        <v>Low Balance</v>
      </c>
      <c r="P952" s="10" t="s">
        <v>47</v>
      </c>
      <c r="Q952" s="13" t="str">
        <f>_xlfn.XLOOKUP(Table1[[#This Row],[Saving_Acct_Status]],Table5[Saving_Acct_Original],Table5[Category])</f>
        <v>No Savings</v>
      </c>
      <c r="R952" t="s">
        <v>27</v>
      </c>
      <c r="S952" s="2" t="str">
        <f>IF(
      OR(Table1[[#This Row],[Job_Type]] = "high qualif/self emp/mgmt", Table1[[#This Row],[Job_Type]] = "skilled"),
      "Skilled", "Unskilled")</f>
        <v>Unskilled</v>
      </c>
      <c r="T952" t="str">
        <f>IF(Table1[[#This Row],[Job_Type]] = "unemp/unskilled non res", "Unemployed", "Employed")</f>
        <v>Employed</v>
      </c>
      <c r="U952" t="s">
        <v>49</v>
      </c>
      <c r="V952" s="14" t="str" cm="1">
        <f t="array" ref="V95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52" t="s">
        <v>103</v>
      </c>
      <c r="X952" s="2" t="str">
        <f>_xlfn.XLOOKUP(Table1[[#This Row],[Loan_Credit_History]],Table4[Credit History],Table4[[ Category]])</f>
        <v>Critical Credit History</v>
      </c>
      <c r="Y952" s="3">
        <v>1</v>
      </c>
      <c r="Z952" s="3">
        <v>2</v>
      </c>
      <c r="AA952" s="5">
        <v>932</v>
      </c>
      <c r="AB952" t="s">
        <v>151</v>
      </c>
      <c r="AC952" s="2" t="str" cm="1">
        <f t="array" ref="AC952">_xlfn.IFS(Table1[[#This Row],[Others_Parties]] = "No", "None",
Table1[[#This Row],[Others_Parties]] = "co applicant", "Co-applicant",
Table1[[#This Row],[Others_Parties]] = "guarantor", "Guarantor")</f>
        <v>None</v>
      </c>
      <c r="AD952" s="13" t="s">
        <v>145</v>
      </c>
      <c r="AE952" s="2" t="s">
        <v>110</v>
      </c>
      <c r="AF952" s="28" t="str" cm="1">
        <f t="array" ref="AF95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52" s="21">
        <v>6</v>
      </c>
      <c r="AH952" s="2" t="s">
        <v>154</v>
      </c>
      <c r="AI952"/>
      <c r="AZ952"/>
      <c r="BC952"/>
      <c r="BE952"/>
      <c r="BL952"/>
      <c r="BZ952"/>
      <c r="CA952"/>
      <c r="CF952"/>
      <c r="CG952"/>
      <c r="CH952"/>
      <c r="CI952"/>
      <c r="CK952"/>
      <c r="CN952"/>
    </row>
    <row r="953" spans="1:92" x14ac:dyDescent="0.3">
      <c r="A953" s="4">
        <v>951</v>
      </c>
      <c r="B953" s="11">
        <v>50</v>
      </c>
      <c r="C953" s="2" t="str">
        <f>_xlfn.XLOOKUP(Table1[[#This Row],[Age]],Table7[Start_Age],Table7[Age_Range],,-1)</f>
        <v>49-59</v>
      </c>
      <c r="D953" t="s">
        <v>136</v>
      </c>
      <c r="E953" s="2" t="s">
        <v>131</v>
      </c>
      <c r="F953" s="2" t="s">
        <v>137</v>
      </c>
      <c r="G953" s="3">
        <v>1</v>
      </c>
      <c r="H953" s="13" t="s">
        <v>152</v>
      </c>
      <c r="I953" s="2" t="str" cm="1">
        <f t="array" ref="I953">_xlfn.IFS(Table1[[#This Row],[Job_Type]] = "unskilled resident", "Resident",
Table1[[#This Row],[Job_Type]] = "unemp/unskilled non res", "Non-resident",
TRUE, "Unknown")</f>
        <v>Resident</v>
      </c>
      <c r="J953" s="2" t="s">
        <v>148</v>
      </c>
      <c r="K953" s="3">
        <v>4</v>
      </c>
      <c r="L953" s="2" t="s">
        <v>143</v>
      </c>
      <c r="M953" s="13" t="s">
        <v>151</v>
      </c>
      <c r="N953" t="s">
        <v>50</v>
      </c>
      <c r="O953" s="2" t="str">
        <f>_xlfn.XLOOKUP(Table1[[#This Row],[Checking_Acct_Status]],Table3[Checking_Acct_Original],Table3[Category])</f>
        <v>High Balance</v>
      </c>
      <c r="P953" s="10" t="s">
        <v>32</v>
      </c>
      <c r="Q953" s="13" t="str">
        <f>_xlfn.XLOOKUP(Table1[[#This Row],[Saving_Acct_Status]],Table5[Saving_Acct_Original],Table5[Category])</f>
        <v>Low Savings</v>
      </c>
      <c r="R953" t="s">
        <v>27</v>
      </c>
      <c r="S953" s="2" t="str">
        <f>IF(
      OR(Table1[[#This Row],[Job_Type]] = "high qualif/self emp/mgmt", Table1[[#This Row],[Job_Type]] = "skilled"),
      "Skilled", "Unskilled")</f>
        <v>Unskilled</v>
      </c>
      <c r="T953" t="str">
        <f>IF(Table1[[#This Row],[Job_Type]] = "unemp/unskilled non res", "Unemployed", "Employed")</f>
        <v>Employed</v>
      </c>
      <c r="U953" t="s">
        <v>21</v>
      </c>
      <c r="V953" s="14" t="str" cm="1">
        <f t="array" ref="V95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53" t="s">
        <v>103</v>
      </c>
      <c r="X953" s="2" t="str">
        <f>_xlfn.XLOOKUP(Table1[[#This Row],[Loan_Credit_History]],Table4[Credit History],Table4[[ Category]])</f>
        <v>Critical Credit History</v>
      </c>
      <c r="Y953" s="3">
        <v>2</v>
      </c>
      <c r="Z953" s="3">
        <v>1</v>
      </c>
      <c r="AA953" s="5">
        <v>1047</v>
      </c>
      <c r="AB953" t="s">
        <v>151</v>
      </c>
      <c r="AC953" s="2" t="str" cm="1">
        <f t="array" ref="AC953">_xlfn.IFS(Table1[[#This Row],[Others_Parties]] = "No", "None",
Table1[[#This Row],[Others_Parties]] = "co applicant", "Co-applicant",
Table1[[#This Row],[Others_Parties]] = "guarantor", "Guarantor")</f>
        <v>None</v>
      </c>
      <c r="AD953" s="13" t="s">
        <v>145</v>
      </c>
      <c r="AE953" s="2" t="s">
        <v>100</v>
      </c>
      <c r="AF953" s="28" t="str" cm="1">
        <f t="array" ref="AF95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53" s="21">
        <v>6</v>
      </c>
      <c r="AH953" s="2" t="s">
        <v>154</v>
      </c>
      <c r="AI953"/>
      <c r="AZ953"/>
      <c r="BC953"/>
      <c r="BE953"/>
      <c r="BL953"/>
      <c r="BZ953"/>
      <c r="CA953"/>
      <c r="CF953"/>
      <c r="CG953"/>
      <c r="CH953"/>
      <c r="CI953"/>
      <c r="CK953"/>
      <c r="CN953"/>
    </row>
    <row r="954" spans="1:92" x14ac:dyDescent="0.3">
      <c r="A954" s="4">
        <v>952</v>
      </c>
      <c r="B954" s="11">
        <v>35</v>
      </c>
      <c r="C954" s="2" t="str">
        <f>_xlfn.XLOOKUP(Table1[[#This Row],[Age]],Table7[Start_Age],Table7[Age_Range],,-1)</f>
        <v>29-39</v>
      </c>
      <c r="D954" t="s">
        <v>130</v>
      </c>
      <c r="E954" s="2" t="s">
        <v>129</v>
      </c>
      <c r="F954" s="2" t="s">
        <v>133</v>
      </c>
      <c r="G954" s="3">
        <v>1</v>
      </c>
      <c r="H954" s="13" t="s">
        <v>152</v>
      </c>
      <c r="I954" s="2" t="str" cm="1">
        <f t="array" ref="I954">_xlfn.IFS(Table1[[#This Row],[Job_Type]] = "unskilled resident", "Resident",
Table1[[#This Row],[Job_Type]] = "unemp/unskilled non res", "Non-resident",
TRUE, "Unknown")</f>
        <v>Unknown</v>
      </c>
      <c r="J954" s="2" t="s">
        <v>148</v>
      </c>
      <c r="K954" s="3">
        <v>1</v>
      </c>
      <c r="L954" s="2" t="s">
        <v>143</v>
      </c>
      <c r="M954" s="13" t="s">
        <v>152</v>
      </c>
      <c r="N954" t="s">
        <v>30</v>
      </c>
      <c r="O954" s="2" t="str">
        <f>_xlfn.XLOOKUP(Table1[[#This Row],[Checking_Acct_Status]],Table3[Checking_Acct_Original],Table3[Category])</f>
        <v>Low Balance</v>
      </c>
      <c r="P954" s="10" t="s">
        <v>32</v>
      </c>
      <c r="Q954" s="13" t="str">
        <f>_xlfn.XLOOKUP(Table1[[#This Row],[Saving_Acct_Status]],Table5[Saving_Acct_Original],Table5[Category])</f>
        <v>Low Savings</v>
      </c>
      <c r="R954" t="s">
        <v>63</v>
      </c>
      <c r="S954" s="2" t="str">
        <f>IF(
      OR(Table1[[#This Row],[Job_Type]] = "high qualif/self emp/mgmt", Table1[[#This Row],[Job_Type]] = "skilled"),
      "Skilled", "Unskilled")</f>
        <v>Skilled</v>
      </c>
      <c r="T954" t="str">
        <f>IF(Table1[[#This Row],[Job_Type]] = "unemp/unskilled non res", "Unemployed", "Employed")</f>
        <v>Employed</v>
      </c>
      <c r="U954" t="s">
        <v>54</v>
      </c>
      <c r="V954" s="14" t="str" cm="1">
        <f t="array" ref="V954">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954" t="s">
        <v>59</v>
      </c>
      <c r="X954" s="2" t="str">
        <f>_xlfn.XLOOKUP(Table1[[#This Row],[Loan_Credit_History]],Table4[Credit History],Table4[[ Category]])</f>
        <v>Previously Delayed</v>
      </c>
      <c r="Y954" s="3">
        <v>4</v>
      </c>
      <c r="Z954" s="3">
        <v>2</v>
      </c>
      <c r="AA954" s="5">
        <v>1050</v>
      </c>
      <c r="AB954" t="s">
        <v>151</v>
      </c>
      <c r="AC954" s="2" t="str" cm="1">
        <f t="array" ref="AC954">_xlfn.IFS(Table1[[#This Row],[Others_Parties]] = "No", "None",
Table1[[#This Row],[Others_Parties]] = "co applicant", "Co-applicant",
Table1[[#This Row],[Others_Parties]] = "guarantor", "Guarantor")</f>
        <v>None</v>
      </c>
      <c r="AD954" s="13" t="s">
        <v>147</v>
      </c>
      <c r="AE954" s="2" t="s">
        <v>108</v>
      </c>
      <c r="AF954" s="28" t="str" cm="1">
        <f t="array" ref="AF95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54" s="21">
        <v>6</v>
      </c>
      <c r="AH954" s="2" t="s">
        <v>154</v>
      </c>
      <c r="AI954"/>
      <c r="AZ954"/>
      <c r="BC954"/>
      <c r="BE954"/>
      <c r="BL954"/>
      <c r="BZ954"/>
      <c r="CA954"/>
      <c r="CF954"/>
      <c r="CG954"/>
      <c r="CH954"/>
      <c r="CI954"/>
      <c r="CK954"/>
      <c r="CN954"/>
    </row>
    <row r="955" spans="1:92" x14ac:dyDescent="0.3">
      <c r="A955" s="4">
        <v>953</v>
      </c>
      <c r="B955" s="11">
        <v>28</v>
      </c>
      <c r="C955" s="2" t="str">
        <f>_xlfn.XLOOKUP(Table1[[#This Row],[Age]],Table7[Start_Age],Table7[Age_Range],,-1)</f>
        <v>19-29</v>
      </c>
      <c r="D955" t="s">
        <v>130</v>
      </c>
      <c r="E955" s="2" t="s">
        <v>129</v>
      </c>
      <c r="F955" s="2" t="s">
        <v>133</v>
      </c>
      <c r="G955" s="3">
        <v>2</v>
      </c>
      <c r="H955" s="13" t="s">
        <v>152</v>
      </c>
      <c r="I955" s="2" t="str" cm="1">
        <f t="array" ref="I955">_xlfn.IFS(Table1[[#This Row],[Job_Type]] = "unskilled resident", "Resident",
Table1[[#This Row],[Job_Type]] = "unemp/unskilled non res", "Non-resident",
TRUE, "Unknown")</f>
        <v>Unknown</v>
      </c>
      <c r="J955" s="2" t="s">
        <v>148</v>
      </c>
      <c r="K955" s="3">
        <v>4</v>
      </c>
      <c r="L955" s="2" t="s">
        <v>140</v>
      </c>
      <c r="M955" s="13" t="s">
        <v>151</v>
      </c>
      <c r="N955" t="s">
        <v>30</v>
      </c>
      <c r="O955" s="2" t="str">
        <f>_xlfn.XLOOKUP(Table1[[#This Row],[Checking_Acct_Status]],Table3[Checking_Acct_Original],Table3[Category])</f>
        <v>Low Balance</v>
      </c>
      <c r="P955" s="10" t="s">
        <v>32</v>
      </c>
      <c r="Q955" s="13" t="str">
        <f>_xlfn.XLOOKUP(Table1[[#This Row],[Saving_Acct_Status]],Table5[Saving_Acct_Original],Table5[Category])</f>
        <v>Low Savings</v>
      </c>
      <c r="R955" t="s">
        <v>41</v>
      </c>
      <c r="S955" s="2" t="str">
        <f>IF(
      OR(Table1[[#This Row],[Job_Type]] = "high qualif/self emp/mgmt", Table1[[#This Row],[Job_Type]] = "skilled"),
      "Skilled", "Unskilled")</f>
        <v>Skilled</v>
      </c>
      <c r="T955" t="str">
        <f>IF(Table1[[#This Row],[Job_Type]] = "unemp/unskilled non res", "Unemployed", "Employed")</f>
        <v>Employed</v>
      </c>
      <c r="U955" t="s">
        <v>38</v>
      </c>
      <c r="V955" s="14" t="str" cm="1">
        <f t="array" ref="V955">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55" t="s">
        <v>31</v>
      </c>
      <c r="X955" s="2" t="str">
        <f>_xlfn.XLOOKUP(Table1[[#This Row],[Loan_Credit_History]],Table4[Credit History],Table4[[ Category]])</f>
        <v>Existing Credits Paid</v>
      </c>
      <c r="Y955" s="3">
        <v>4</v>
      </c>
      <c r="Z955" s="3">
        <v>1</v>
      </c>
      <c r="AA955" s="5">
        <v>1068</v>
      </c>
      <c r="AB955" t="s">
        <v>151</v>
      </c>
      <c r="AC955" s="2" t="str" cm="1">
        <f t="array" ref="AC955">_xlfn.IFS(Table1[[#This Row],[Others_Parties]] = "No", "None",
Table1[[#This Row],[Others_Parties]] = "co applicant", "Co-applicant",
Table1[[#This Row],[Others_Parties]] = "guarantor", "Guarantor")</f>
        <v>None</v>
      </c>
      <c r="AD955" s="13" t="s">
        <v>145</v>
      </c>
      <c r="AE955" s="2" t="s">
        <v>111</v>
      </c>
      <c r="AF955" s="28" t="str" cm="1">
        <f t="array" ref="AF95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55" s="21">
        <v>6</v>
      </c>
      <c r="AH955" s="2" t="s">
        <v>154</v>
      </c>
      <c r="AI955"/>
      <c r="AZ955"/>
      <c r="BC955"/>
      <c r="BE955"/>
      <c r="BL955"/>
      <c r="BZ955"/>
      <c r="CA955"/>
      <c r="CF955"/>
      <c r="CG955"/>
      <c r="CH955"/>
      <c r="CI955"/>
      <c r="CK955"/>
      <c r="CN955"/>
    </row>
    <row r="956" spans="1:92" x14ac:dyDescent="0.3">
      <c r="A956" s="4">
        <v>954</v>
      </c>
      <c r="B956" s="11">
        <v>67</v>
      </c>
      <c r="C956" s="2" t="str">
        <f>_xlfn.XLOOKUP(Table1[[#This Row],[Age]],Table7[Start_Age],Table7[Age_Range],,-1)</f>
        <v>59-69</v>
      </c>
      <c r="D956" t="s">
        <v>130</v>
      </c>
      <c r="E956" s="2" t="s">
        <v>129</v>
      </c>
      <c r="F956" s="2" t="s">
        <v>133</v>
      </c>
      <c r="G956" s="3">
        <v>1</v>
      </c>
      <c r="H956" s="13" t="s">
        <v>152</v>
      </c>
      <c r="I956" s="2" t="str" cm="1">
        <f t="array" ref="I956">_xlfn.IFS(Table1[[#This Row],[Job_Type]] = "unskilled resident", "Resident",
Table1[[#This Row],[Job_Type]] = "unemp/unskilled non res", "Non-resident",
TRUE, "Unknown")</f>
        <v>Unknown</v>
      </c>
      <c r="J956" s="2" t="s">
        <v>148</v>
      </c>
      <c r="K956" s="3">
        <v>4</v>
      </c>
      <c r="L956" s="2" t="s">
        <v>144</v>
      </c>
      <c r="M956" s="13" t="s">
        <v>152</v>
      </c>
      <c r="N956" t="s">
        <v>35</v>
      </c>
      <c r="O956" s="2" t="str">
        <f>_xlfn.XLOOKUP(Table1[[#This Row],[Checking_Acct_Status]],Table3[Checking_Acct_Original],Table3[Category])</f>
        <v>Negative Balance</v>
      </c>
      <c r="P956" s="10" t="s">
        <v>47</v>
      </c>
      <c r="Q956" s="13" t="str">
        <f>_xlfn.XLOOKUP(Table1[[#This Row],[Saving_Acct_Status]],Table5[Saving_Acct_Original],Table5[Category])</f>
        <v>No Savings</v>
      </c>
      <c r="R956" t="s">
        <v>41</v>
      </c>
      <c r="S956" s="2" t="str">
        <f>IF(
      OR(Table1[[#This Row],[Job_Type]] = "high qualif/self emp/mgmt", Table1[[#This Row],[Job_Type]] = "skilled"),
      "Skilled", "Unskilled")</f>
        <v>Skilled</v>
      </c>
      <c r="T956" t="str">
        <f>IF(Table1[[#This Row],[Job_Type]] = "unemp/unskilled non res", "Unemployed", "Employed")</f>
        <v>Employed</v>
      </c>
      <c r="U956" t="s">
        <v>38</v>
      </c>
      <c r="V956" s="14" t="str" cm="1">
        <f t="array" ref="V95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56" t="s">
        <v>103</v>
      </c>
      <c r="X956" s="2" t="str">
        <f>_xlfn.XLOOKUP(Table1[[#This Row],[Loan_Credit_History]],Table4[Credit History],Table4[[ Category]])</f>
        <v>Critical Credit History</v>
      </c>
      <c r="Y956" s="3">
        <v>4</v>
      </c>
      <c r="Z956" s="3">
        <v>2</v>
      </c>
      <c r="AA956" s="5">
        <v>1169</v>
      </c>
      <c r="AB956" t="s">
        <v>151</v>
      </c>
      <c r="AC956" s="2" t="str" cm="1">
        <f t="array" ref="AC956">_xlfn.IFS(Table1[[#This Row],[Others_Parties]] = "No", "None",
Table1[[#This Row],[Others_Parties]] = "co applicant", "Co-applicant",
Table1[[#This Row],[Others_Parties]] = "guarantor", "Guarantor")</f>
        <v>None</v>
      </c>
      <c r="AD956" s="13" t="s">
        <v>145</v>
      </c>
      <c r="AE956" s="2" t="s">
        <v>111</v>
      </c>
      <c r="AF956" s="28" t="str" cm="1">
        <f t="array" ref="AF95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56" s="21">
        <v>6</v>
      </c>
      <c r="AH956" s="2" t="s">
        <v>154</v>
      </c>
      <c r="AI956"/>
      <c r="AZ956"/>
      <c r="BC956"/>
      <c r="BE956"/>
      <c r="BL956"/>
      <c r="BZ956"/>
      <c r="CA956"/>
      <c r="CF956"/>
      <c r="CG956"/>
      <c r="CH956"/>
      <c r="CI956"/>
      <c r="CK956"/>
      <c r="CN956"/>
    </row>
    <row r="957" spans="1:92" x14ac:dyDescent="0.3">
      <c r="A957" s="4">
        <v>955</v>
      </c>
      <c r="B957" s="11">
        <v>35</v>
      </c>
      <c r="C957" s="2" t="str">
        <f>_xlfn.XLOOKUP(Table1[[#This Row],[Age]],Table7[Start_Age],Table7[Age_Range],,-1)</f>
        <v>29-39</v>
      </c>
      <c r="D957" t="s">
        <v>136</v>
      </c>
      <c r="E957" s="2" t="s">
        <v>131</v>
      </c>
      <c r="F957" s="2" t="s">
        <v>137</v>
      </c>
      <c r="G957" s="3">
        <v>1</v>
      </c>
      <c r="H957" s="13" t="s">
        <v>152</v>
      </c>
      <c r="I957" s="2" t="str" cm="1">
        <f t="array" ref="I957">_xlfn.IFS(Table1[[#This Row],[Job_Type]] = "unskilled resident", "Resident",
Table1[[#This Row],[Job_Type]] = "unemp/unskilled non res", "Non-resident",
TRUE, "Unknown")</f>
        <v>Unknown</v>
      </c>
      <c r="J957" s="2" t="s">
        <v>150</v>
      </c>
      <c r="K957" s="3">
        <v>4</v>
      </c>
      <c r="L957" s="2" t="s">
        <v>142</v>
      </c>
      <c r="M957" s="13" t="s">
        <v>151</v>
      </c>
      <c r="N957" t="s">
        <v>35</v>
      </c>
      <c r="O957" s="2" t="str">
        <f>_xlfn.XLOOKUP(Table1[[#This Row],[Checking_Acct_Status]],Table3[Checking_Acct_Original],Table3[Category])</f>
        <v>Negative Balance</v>
      </c>
      <c r="P957" s="10" t="s">
        <v>32</v>
      </c>
      <c r="Q957" s="13" t="str">
        <f>_xlfn.XLOOKUP(Table1[[#This Row],[Saving_Acct_Status]],Table5[Saving_Acct_Original],Table5[Category])</f>
        <v>Low Savings</v>
      </c>
      <c r="R957" t="s">
        <v>41</v>
      </c>
      <c r="S957" s="2" t="str">
        <f>IF(
      OR(Table1[[#This Row],[Job_Type]] = "high qualif/self emp/mgmt", Table1[[#This Row],[Job_Type]] = "skilled"),
      "Skilled", "Unskilled")</f>
        <v>Skilled</v>
      </c>
      <c r="T957" t="str">
        <f>IF(Table1[[#This Row],[Job_Type]] = "unemp/unskilled non res", "Unemployed", "Employed")</f>
        <v>Employed</v>
      </c>
      <c r="U957" t="s">
        <v>38</v>
      </c>
      <c r="V957" s="14" t="str" cm="1">
        <f t="array" ref="V957">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57" t="s">
        <v>42</v>
      </c>
      <c r="X957" s="2" t="str">
        <f>_xlfn.XLOOKUP(Table1[[#This Row],[Loan_Credit_History]],Table4[Credit History],Table4[[ Category]])</f>
        <v>All Paid</v>
      </c>
      <c r="Y957" s="3">
        <v>4</v>
      </c>
      <c r="Z957" s="3">
        <v>1</v>
      </c>
      <c r="AA957" s="5">
        <v>1198</v>
      </c>
      <c r="AB957" t="s">
        <v>151</v>
      </c>
      <c r="AC957" s="2" t="str" cm="1">
        <f t="array" ref="AC957">_xlfn.IFS(Table1[[#This Row],[Others_Parties]] = "No", "None",
Table1[[#This Row],[Others_Parties]] = "co applicant", "Co-applicant",
Table1[[#This Row],[Others_Parties]] = "guarantor", "Guarantor")</f>
        <v>None</v>
      </c>
      <c r="AD957" s="13" t="s">
        <v>145</v>
      </c>
      <c r="AE957" s="2" t="s">
        <v>100</v>
      </c>
      <c r="AF957" s="28" t="str" cm="1">
        <f t="array" ref="AF95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57" s="21">
        <v>6</v>
      </c>
      <c r="AH957" s="2" t="s">
        <v>153</v>
      </c>
      <c r="AI957"/>
      <c r="AZ957"/>
      <c r="BC957"/>
      <c r="BE957"/>
      <c r="BL957"/>
      <c r="BZ957"/>
      <c r="CA957"/>
      <c r="CF957"/>
      <c r="CG957"/>
      <c r="CH957"/>
      <c r="CI957"/>
      <c r="CK957"/>
      <c r="CN957"/>
    </row>
    <row r="958" spans="1:92" x14ac:dyDescent="0.3">
      <c r="A958" s="4">
        <v>956</v>
      </c>
      <c r="B958" s="11">
        <v>43</v>
      </c>
      <c r="C958" s="2" t="str">
        <f>_xlfn.XLOOKUP(Table1[[#This Row],[Age]],Table7[Start_Age],Table7[Age_Range],,-1)</f>
        <v>39-49</v>
      </c>
      <c r="D958" t="s">
        <v>130</v>
      </c>
      <c r="E958" s="2" t="s">
        <v>129</v>
      </c>
      <c r="F958" s="2" t="s">
        <v>133</v>
      </c>
      <c r="G958" s="3">
        <v>1</v>
      </c>
      <c r="H958" s="13" t="s">
        <v>152</v>
      </c>
      <c r="I958" s="2" t="str" cm="1">
        <f t="array" ref="I958">_xlfn.IFS(Table1[[#This Row],[Job_Type]] = "unskilled resident", "Resident",
Table1[[#This Row],[Job_Type]] = "unemp/unskilled non res", "Non-resident",
TRUE, "Unknown")</f>
        <v>Unknown</v>
      </c>
      <c r="J958" s="2" t="s">
        <v>148</v>
      </c>
      <c r="K958" s="3">
        <v>2</v>
      </c>
      <c r="L958" s="2" t="s">
        <v>143</v>
      </c>
      <c r="M958" s="13" t="s">
        <v>152</v>
      </c>
      <c r="N958" t="s">
        <v>35</v>
      </c>
      <c r="O958" s="2" t="str">
        <f>_xlfn.XLOOKUP(Table1[[#This Row],[Checking_Acct_Status]],Table3[Checking_Acct_Original],Table3[Category])</f>
        <v>Negative Balance</v>
      </c>
      <c r="P958" s="10" t="s">
        <v>46</v>
      </c>
      <c r="Q958" s="13" t="str">
        <f>_xlfn.XLOOKUP(Table1[[#This Row],[Saving_Acct_Status]],Table5[Saving_Acct_Original],Table5[Category])</f>
        <v>Medium Savings</v>
      </c>
      <c r="R958" t="s">
        <v>41</v>
      </c>
      <c r="S958" s="2" t="str">
        <f>IF(
      OR(Table1[[#This Row],[Job_Type]] = "high qualif/self emp/mgmt", Table1[[#This Row],[Job_Type]] = "skilled"),
      "Skilled", "Unskilled")</f>
        <v>Skilled</v>
      </c>
      <c r="T958" t="str">
        <f>IF(Table1[[#This Row],[Job_Type]] = "unemp/unskilled non res", "Unemployed", "Employed")</f>
        <v>Employed</v>
      </c>
      <c r="U958" t="s">
        <v>38</v>
      </c>
      <c r="V958" s="14" t="str" cm="1">
        <f t="array" ref="V95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58" t="s">
        <v>31</v>
      </c>
      <c r="X958" s="2" t="str">
        <f>_xlfn.XLOOKUP(Table1[[#This Row],[Loan_Credit_History]],Table4[Credit History],Table4[[ Category]])</f>
        <v>Existing Credits Paid</v>
      </c>
      <c r="Y958" s="3">
        <v>3</v>
      </c>
      <c r="Z958" s="3">
        <v>1</v>
      </c>
      <c r="AA958" s="5">
        <v>1203</v>
      </c>
      <c r="AB958" t="s">
        <v>151</v>
      </c>
      <c r="AC958" s="2" t="str" cm="1">
        <f t="array" ref="AC958">_xlfn.IFS(Table1[[#This Row],[Others_Parties]] = "No", "None",
Table1[[#This Row],[Others_Parties]] = "co applicant", "Co-applicant",
Table1[[#This Row],[Others_Parties]] = "guarantor", "Guarantor")</f>
        <v>None</v>
      </c>
      <c r="AD958" s="13" t="s">
        <v>145</v>
      </c>
      <c r="AE958" s="2" t="s">
        <v>141</v>
      </c>
      <c r="AF958" s="28" t="str" cm="1">
        <f t="array" ref="AF95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58" s="21">
        <v>6</v>
      </c>
      <c r="AH958" s="2" t="s">
        <v>154</v>
      </c>
      <c r="AI958"/>
      <c r="AZ958"/>
      <c r="BC958"/>
      <c r="BE958"/>
      <c r="BL958"/>
      <c r="BZ958"/>
      <c r="CA958"/>
      <c r="CF958"/>
      <c r="CG958"/>
      <c r="CH958"/>
      <c r="CI958"/>
      <c r="CK958"/>
      <c r="CN958"/>
    </row>
    <row r="959" spans="1:92" x14ac:dyDescent="0.3">
      <c r="A959" s="4">
        <v>957</v>
      </c>
      <c r="B959" s="11">
        <v>47</v>
      </c>
      <c r="C959" s="2" t="str">
        <f>_xlfn.XLOOKUP(Table1[[#This Row],[Age]],Table7[Start_Age],Table7[Age_Range],,-1)</f>
        <v>39-49</v>
      </c>
      <c r="D959" t="s">
        <v>130</v>
      </c>
      <c r="E959" s="2" t="s">
        <v>129</v>
      </c>
      <c r="F959" s="2" t="s">
        <v>133</v>
      </c>
      <c r="G959" s="3">
        <v>1</v>
      </c>
      <c r="H959" s="13" t="s">
        <v>152</v>
      </c>
      <c r="I959" s="2" t="str" cm="1">
        <f t="array" ref="I959">_xlfn.IFS(Table1[[#This Row],[Job_Type]] = "unskilled resident", "Resident",
Table1[[#This Row],[Job_Type]] = "unemp/unskilled non res", "Non-resident",
TRUE, "Unknown")</f>
        <v>Unknown</v>
      </c>
      <c r="J959" s="2" t="s">
        <v>148</v>
      </c>
      <c r="K959" s="3">
        <v>4</v>
      </c>
      <c r="L959" s="2" t="s">
        <v>143</v>
      </c>
      <c r="M959" s="13" t="s">
        <v>152</v>
      </c>
      <c r="N959" t="s">
        <v>30</v>
      </c>
      <c r="O959" s="2" t="str">
        <f>_xlfn.XLOOKUP(Table1[[#This Row],[Checking_Acct_Status]],Table3[Checking_Acct_Original],Table3[Category])</f>
        <v>Low Balance</v>
      </c>
      <c r="P959" s="10" t="s">
        <v>32</v>
      </c>
      <c r="Q959" s="13" t="str">
        <f>_xlfn.XLOOKUP(Table1[[#This Row],[Saving_Acct_Status]],Table5[Saving_Acct_Original],Table5[Category])</f>
        <v>Low Savings</v>
      </c>
      <c r="R959" t="s">
        <v>63</v>
      </c>
      <c r="S959" s="2" t="str">
        <f>IF(
      OR(Table1[[#This Row],[Job_Type]] = "high qualif/self emp/mgmt", Table1[[#This Row],[Job_Type]] = "skilled"),
      "Skilled", "Unskilled")</f>
        <v>Skilled</v>
      </c>
      <c r="T959" t="str">
        <f>IF(Table1[[#This Row],[Job_Type]] = "unemp/unskilled non res", "Unemployed", "Employed")</f>
        <v>Employed</v>
      </c>
      <c r="U959" t="s">
        <v>54</v>
      </c>
      <c r="V959" s="14" t="str" cm="1">
        <f t="array" ref="V959">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959" t="s">
        <v>59</v>
      </c>
      <c r="X959" s="2" t="str">
        <f>_xlfn.XLOOKUP(Table1[[#This Row],[Loan_Credit_History]],Table4[Credit History],Table4[[ Category]])</f>
        <v>Previously Delayed</v>
      </c>
      <c r="Y959" s="3">
        <v>4</v>
      </c>
      <c r="Z959" s="3">
        <v>1</v>
      </c>
      <c r="AA959" s="5">
        <v>1209</v>
      </c>
      <c r="AB959" t="s">
        <v>151</v>
      </c>
      <c r="AC959" s="2" t="str" cm="1">
        <f t="array" ref="AC959">_xlfn.IFS(Table1[[#This Row],[Others_Parties]] = "No", "None",
Table1[[#This Row],[Others_Parties]] = "co applicant", "Co-applicant",
Table1[[#This Row],[Others_Parties]] = "guarantor", "Guarantor")</f>
        <v>None</v>
      </c>
      <c r="AD959" s="13" t="s">
        <v>145</v>
      </c>
      <c r="AE959" s="2" t="s">
        <v>141</v>
      </c>
      <c r="AF959" s="28" t="str" cm="1">
        <f t="array" ref="AF95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59" s="21">
        <v>6</v>
      </c>
      <c r="AH959" s="2" t="s">
        <v>153</v>
      </c>
      <c r="AI959"/>
      <c r="AZ959"/>
      <c r="BC959"/>
      <c r="BE959"/>
      <c r="BL959"/>
      <c r="BZ959"/>
      <c r="CA959"/>
      <c r="CF959"/>
      <c r="CG959"/>
      <c r="CH959"/>
      <c r="CI959"/>
      <c r="CK959"/>
      <c r="CN959"/>
    </row>
    <row r="960" spans="1:92" x14ac:dyDescent="0.3">
      <c r="A960" s="4">
        <v>958</v>
      </c>
      <c r="B960" s="11">
        <v>27</v>
      </c>
      <c r="C960" s="2" t="str">
        <f>_xlfn.XLOOKUP(Table1[[#This Row],[Age]],Table7[Start_Age],Table7[Age_Range],,-1)</f>
        <v>19-29</v>
      </c>
      <c r="D960" t="s">
        <v>134</v>
      </c>
      <c r="E960" s="2" t="s">
        <v>129</v>
      </c>
      <c r="F960" s="2" t="s">
        <v>135</v>
      </c>
      <c r="G960" s="3">
        <v>1</v>
      </c>
      <c r="H960" s="13" t="s">
        <v>152</v>
      </c>
      <c r="I960" s="2" t="str" cm="1">
        <f t="array" ref="I960">_xlfn.IFS(Table1[[#This Row],[Job_Type]] = "unskilled resident", "Resident",
Table1[[#This Row],[Job_Type]] = "unemp/unskilled non res", "Non-resident",
TRUE, "Unknown")</f>
        <v>Unknown</v>
      </c>
      <c r="J960" s="2" t="s">
        <v>148</v>
      </c>
      <c r="K960" s="3">
        <v>2</v>
      </c>
      <c r="L960" s="2" t="s">
        <v>143</v>
      </c>
      <c r="M960" s="13" t="s">
        <v>151</v>
      </c>
      <c r="N960" t="s">
        <v>17</v>
      </c>
      <c r="O960" s="2" t="str">
        <f>_xlfn.XLOOKUP(Table1[[#This Row],[Checking_Acct_Status]],Table3[Checking_Acct_Original],Table3[Category])</f>
        <v>No Account</v>
      </c>
      <c r="P960" s="10" t="s">
        <v>47</v>
      </c>
      <c r="Q960" s="13" t="str">
        <f>_xlfn.XLOOKUP(Table1[[#This Row],[Saving_Acct_Status]],Table5[Saving_Acct_Original],Table5[Category])</f>
        <v>No Savings</v>
      </c>
      <c r="R960" t="s">
        <v>41</v>
      </c>
      <c r="S960" s="2" t="str">
        <f>IF(
      OR(Table1[[#This Row],[Job_Type]] = "high qualif/self emp/mgmt", Table1[[#This Row],[Job_Type]] = "skilled"),
      "Skilled", "Unskilled")</f>
        <v>Skilled</v>
      </c>
      <c r="T960" t="str">
        <f>IF(Table1[[#This Row],[Job_Type]] = "unemp/unskilled non res", "Unemployed", "Employed")</f>
        <v>Employed</v>
      </c>
      <c r="U960" t="s">
        <v>21</v>
      </c>
      <c r="V960" s="14" t="str" cm="1">
        <f t="array" ref="V96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60" t="s">
        <v>103</v>
      </c>
      <c r="X960" s="2" t="str">
        <f>_xlfn.XLOOKUP(Table1[[#This Row],[Loan_Credit_History]],Table4[Credit History],Table4[[ Category]])</f>
        <v>Critical Credit History</v>
      </c>
      <c r="Y960" s="3">
        <v>1</v>
      </c>
      <c r="Z960" s="3">
        <v>2</v>
      </c>
      <c r="AA960" s="5">
        <v>1221</v>
      </c>
      <c r="AB960" t="s">
        <v>151</v>
      </c>
      <c r="AC960" s="2" t="str" cm="1">
        <f t="array" ref="AC960">_xlfn.IFS(Table1[[#This Row],[Others_Parties]] = "No", "None",
Table1[[#This Row],[Others_Parties]] = "co applicant", "Co-applicant",
Table1[[#This Row],[Others_Parties]] = "guarantor", "Guarantor")</f>
        <v>None</v>
      </c>
      <c r="AD960" s="13" t="s">
        <v>145</v>
      </c>
      <c r="AE960" s="2" t="s">
        <v>108</v>
      </c>
      <c r="AF960" s="28" t="str" cm="1">
        <f t="array" ref="AF96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60" s="21">
        <v>6</v>
      </c>
      <c r="AH960" s="2" t="s">
        <v>154</v>
      </c>
      <c r="AI960"/>
      <c r="AZ960"/>
      <c r="BC960"/>
      <c r="BE960"/>
      <c r="BL960"/>
      <c r="BZ960"/>
      <c r="CA960"/>
      <c r="CF960"/>
      <c r="CG960"/>
      <c r="CH960"/>
      <c r="CI960"/>
      <c r="CK960"/>
      <c r="CN960"/>
    </row>
    <row r="961" spans="1:92" x14ac:dyDescent="0.3">
      <c r="A961" s="4">
        <v>959</v>
      </c>
      <c r="B961" s="11">
        <v>50</v>
      </c>
      <c r="C961" s="2" t="str">
        <f>_xlfn.XLOOKUP(Table1[[#This Row],[Age]],Table7[Start_Age],Table7[Age_Range],,-1)</f>
        <v>49-59</v>
      </c>
      <c r="D961" t="s">
        <v>130</v>
      </c>
      <c r="E961" s="2" t="s">
        <v>129</v>
      </c>
      <c r="F961" s="2" t="s">
        <v>133</v>
      </c>
      <c r="G961" s="3">
        <v>1</v>
      </c>
      <c r="H961" s="13" t="s">
        <v>152</v>
      </c>
      <c r="I961" s="2" t="str" cm="1">
        <f t="array" ref="I961">_xlfn.IFS(Table1[[#This Row],[Job_Type]] = "unskilled resident", "Resident",
Table1[[#This Row],[Job_Type]] = "unemp/unskilled non res", "Non-resident",
TRUE, "Unknown")</f>
        <v>Unknown</v>
      </c>
      <c r="J961" s="2" t="s">
        <v>149</v>
      </c>
      <c r="K961" s="3">
        <v>4</v>
      </c>
      <c r="L961" s="2" t="s">
        <v>143</v>
      </c>
      <c r="M961" s="13" t="s">
        <v>151</v>
      </c>
      <c r="N961" t="s">
        <v>17</v>
      </c>
      <c r="O961" s="2" t="str">
        <f>_xlfn.XLOOKUP(Table1[[#This Row],[Checking_Acct_Status]],Table3[Checking_Acct_Original],Table3[Category])</f>
        <v>No Account</v>
      </c>
      <c r="P961" s="10" t="s">
        <v>37</v>
      </c>
      <c r="Q961" s="13" t="str">
        <f>_xlfn.XLOOKUP(Table1[[#This Row],[Saving_Acct_Status]],Table5[Saving_Acct_Original],Table5[Category])</f>
        <v>High Savings</v>
      </c>
      <c r="R961" t="s">
        <v>41</v>
      </c>
      <c r="S961" s="2" t="str">
        <f>IF(
      OR(Table1[[#This Row],[Job_Type]] = "high qualif/self emp/mgmt", Table1[[#This Row],[Job_Type]] = "skilled"),
      "Skilled", "Unskilled")</f>
        <v>Skilled</v>
      </c>
      <c r="T961" t="str">
        <f>IF(Table1[[#This Row],[Job_Type]] = "unemp/unskilled non res", "Unemployed", "Employed")</f>
        <v>Employed</v>
      </c>
      <c r="U961" t="s">
        <v>21</v>
      </c>
      <c r="V961" s="14" t="str" cm="1">
        <f t="array" ref="V96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61" t="s">
        <v>31</v>
      </c>
      <c r="X961" s="2" t="str">
        <f>_xlfn.XLOOKUP(Table1[[#This Row],[Loan_Credit_History]],Table4[Credit History],Table4[[ Category]])</f>
        <v>Existing Credits Paid</v>
      </c>
      <c r="Y961" s="3">
        <v>2</v>
      </c>
      <c r="Z961" s="3">
        <v>1</v>
      </c>
      <c r="AA961" s="5">
        <v>1236</v>
      </c>
      <c r="AB961" t="s">
        <v>151</v>
      </c>
      <c r="AC961" s="2" t="str" cm="1">
        <f t="array" ref="AC961">_xlfn.IFS(Table1[[#This Row],[Others_Parties]] = "No", "None",
Table1[[#This Row],[Others_Parties]] = "co applicant", "Co-applicant",
Table1[[#This Row],[Others_Parties]] = "guarantor", "Guarantor")</f>
        <v>None</v>
      </c>
      <c r="AD961" s="13" t="s">
        <v>145</v>
      </c>
      <c r="AE961" s="2" t="s">
        <v>107</v>
      </c>
      <c r="AF961" s="28" t="str" cm="1">
        <f t="array" ref="AF96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61" s="21">
        <v>6</v>
      </c>
      <c r="AH961" s="2" t="s">
        <v>154</v>
      </c>
      <c r="AI961"/>
      <c r="AZ961"/>
      <c r="BC961"/>
      <c r="BE961"/>
      <c r="BL961"/>
      <c r="BZ961"/>
      <c r="CA961"/>
      <c r="CF961"/>
      <c r="CG961"/>
      <c r="CH961"/>
      <c r="CI961"/>
      <c r="CK961"/>
      <c r="CN961"/>
    </row>
    <row r="962" spans="1:92" x14ac:dyDescent="0.3">
      <c r="A962" s="4">
        <v>960</v>
      </c>
      <c r="B962" s="11">
        <v>27</v>
      </c>
      <c r="C962" s="2" t="str">
        <f>_xlfn.XLOOKUP(Table1[[#This Row],[Age]],Table7[Start_Age],Table7[Age_Range],,-1)</f>
        <v>19-29</v>
      </c>
      <c r="D962" t="s">
        <v>136</v>
      </c>
      <c r="E962" s="2" t="s">
        <v>131</v>
      </c>
      <c r="F962" s="2" t="s">
        <v>137</v>
      </c>
      <c r="G962" s="3">
        <v>1</v>
      </c>
      <c r="H962" s="13" t="s">
        <v>152</v>
      </c>
      <c r="I962" s="2" t="str" cm="1">
        <f t="array" ref="I962">_xlfn.IFS(Table1[[#This Row],[Job_Type]] = "unskilled resident", "Resident",
Table1[[#This Row],[Job_Type]] = "unemp/unskilled non res", "Non-resident",
TRUE, "Unknown")</f>
        <v>Unknown</v>
      </c>
      <c r="J962" s="2" t="s">
        <v>148</v>
      </c>
      <c r="K962" s="3">
        <v>1</v>
      </c>
      <c r="L962" s="2" t="s">
        <v>143</v>
      </c>
      <c r="M962" s="13" t="s">
        <v>151</v>
      </c>
      <c r="N962" t="s">
        <v>17</v>
      </c>
      <c r="O962" s="2" t="str">
        <f>_xlfn.XLOOKUP(Table1[[#This Row],[Checking_Acct_Status]],Table3[Checking_Acct_Original],Table3[Category])</f>
        <v>No Account</v>
      </c>
      <c r="P962" s="10" t="s">
        <v>46</v>
      </c>
      <c r="Q962" s="13" t="str">
        <f>_xlfn.XLOOKUP(Table1[[#This Row],[Saving_Acct_Status]],Table5[Saving_Acct_Original],Table5[Category])</f>
        <v>Medium Savings</v>
      </c>
      <c r="R962" t="s">
        <v>41</v>
      </c>
      <c r="S962" s="2" t="str">
        <f>IF(
      OR(Table1[[#This Row],[Job_Type]] = "high qualif/self emp/mgmt", Table1[[#This Row],[Job_Type]] = "skilled"),
      "Skilled", "Unskilled")</f>
        <v>Skilled</v>
      </c>
      <c r="T962" t="str">
        <f>IF(Table1[[#This Row],[Job_Type]] = "unemp/unskilled non res", "Unemployed", "Employed")</f>
        <v>Employed</v>
      </c>
      <c r="U962" t="s">
        <v>21</v>
      </c>
      <c r="V962" s="14" t="str" cm="1">
        <f t="array" ref="V962">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62" t="s">
        <v>103</v>
      </c>
      <c r="X962" s="2" t="str">
        <f>_xlfn.XLOOKUP(Table1[[#This Row],[Loan_Credit_History]],Table4[Credit History],Table4[[ Category]])</f>
        <v>Critical Credit History</v>
      </c>
      <c r="Y962" s="3">
        <v>1</v>
      </c>
      <c r="Z962" s="3">
        <v>2</v>
      </c>
      <c r="AA962" s="5">
        <v>1237</v>
      </c>
      <c r="AB962" t="s">
        <v>151</v>
      </c>
      <c r="AC962" s="2" t="str" cm="1">
        <f t="array" ref="AC962">_xlfn.IFS(Table1[[#This Row],[Others_Parties]] = "No", "None",
Table1[[#This Row],[Others_Parties]] = "co applicant", "Co-applicant",
Table1[[#This Row],[Others_Parties]] = "guarantor", "Guarantor")</f>
        <v>None</v>
      </c>
      <c r="AD962" s="13" t="s">
        <v>145</v>
      </c>
      <c r="AE962" s="2" t="s">
        <v>111</v>
      </c>
      <c r="AF962" s="28" t="str" cm="1">
        <f t="array" ref="AF96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62" s="21">
        <v>6</v>
      </c>
      <c r="AH962" s="2" t="s">
        <v>154</v>
      </c>
      <c r="AI962"/>
      <c r="AZ962"/>
      <c r="BC962"/>
      <c r="BE962"/>
      <c r="BL962"/>
      <c r="BZ962"/>
      <c r="CA962"/>
      <c r="CF962"/>
      <c r="CG962"/>
      <c r="CH962"/>
      <c r="CI962"/>
      <c r="CK962"/>
      <c r="CN962"/>
    </row>
    <row r="963" spans="1:92" x14ac:dyDescent="0.3">
      <c r="A963" s="4">
        <v>961</v>
      </c>
      <c r="B963" s="11">
        <v>36</v>
      </c>
      <c r="C963" s="2" t="str">
        <f>_xlfn.XLOOKUP(Table1[[#This Row],[Age]],Table7[Start_Age],Table7[Age_Range],,-1)</f>
        <v>29-39</v>
      </c>
      <c r="D963" t="s">
        <v>130</v>
      </c>
      <c r="E963" s="2" t="s">
        <v>129</v>
      </c>
      <c r="F963" s="2" t="s">
        <v>133</v>
      </c>
      <c r="G963" s="3">
        <v>2</v>
      </c>
      <c r="H963" s="13" t="s">
        <v>152</v>
      </c>
      <c r="I963" s="2" t="str" cm="1">
        <f t="array" ref="I963">_xlfn.IFS(Table1[[#This Row],[Job_Type]] = "unskilled resident", "Resident",
Table1[[#This Row],[Job_Type]] = "unemp/unskilled non res", "Non-resident",
TRUE, "Unknown")</f>
        <v>Unknown</v>
      </c>
      <c r="J963" s="2" t="s">
        <v>148</v>
      </c>
      <c r="K963" s="3">
        <v>4</v>
      </c>
      <c r="L963" s="2" t="s">
        <v>143</v>
      </c>
      <c r="M963" s="13" t="s">
        <v>152</v>
      </c>
      <c r="N963" t="s">
        <v>17</v>
      </c>
      <c r="O963" s="2" t="str">
        <f>_xlfn.XLOOKUP(Table1[[#This Row],[Checking_Acct_Status]],Table3[Checking_Acct_Original],Table3[Category])</f>
        <v>No Account</v>
      </c>
      <c r="P963" s="10" t="s">
        <v>47</v>
      </c>
      <c r="Q963" s="13" t="str">
        <f>_xlfn.XLOOKUP(Table1[[#This Row],[Saving_Acct_Status]],Table5[Saving_Acct_Original],Table5[Category])</f>
        <v>No Savings</v>
      </c>
      <c r="R963" t="s">
        <v>63</v>
      </c>
      <c r="S963" s="2" t="str">
        <f>IF(
      OR(Table1[[#This Row],[Job_Type]] = "high qualif/self emp/mgmt", Table1[[#This Row],[Job_Type]] = "skilled"),
      "Skilled", "Unskilled")</f>
        <v>Skilled</v>
      </c>
      <c r="T963" t="str">
        <f>IF(Table1[[#This Row],[Job_Type]] = "unemp/unskilled non res", "Unemployed", "Employed")</f>
        <v>Employed</v>
      </c>
      <c r="U963" t="s">
        <v>54</v>
      </c>
      <c r="V963" s="14" t="str" cm="1">
        <f t="array" ref="V963">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963" t="s">
        <v>31</v>
      </c>
      <c r="X963" s="2" t="str">
        <f>_xlfn.XLOOKUP(Table1[[#This Row],[Loan_Credit_History]],Table4[Credit History],Table4[[ Category]])</f>
        <v>Existing Credits Paid</v>
      </c>
      <c r="Y963" s="3">
        <v>4</v>
      </c>
      <c r="Z963" s="3">
        <v>1</v>
      </c>
      <c r="AA963" s="5">
        <v>1238</v>
      </c>
      <c r="AB963" t="s">
        <v>151</v>
      </c>
      <c r="AC963" s="2" t="str" cm="1">
        <f t="array" ref="AC963">_xlfn.IFS(Table1[[#This Row],[Others_Parties]] = "No", "None",
Table1[[#This Row],[Others_Parties]] = "co applicant", "Co-applicant",
Table1[[#This Row],[Others_Parties]] = "guarantor", "Guarantor")</f>
        <v>None</v>
      </c>
      <c r="AD963" s="13" t="s">
        <v>145</v>
      </c>
      <c r="AE963" s="2" t="s">
        <v>110</v>
      </c>
      <c r="AF963" s="28" t="str" cm="1">
        <f t="array" ref="AF96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63" s="21">
        <v>6</v>
      </c>
      <c r="AH963" s="2" t="s">
        <v>154</v>
      </c>
      <c r="AI963"/>
      <c r="AZ963"/>
      <c r="BC963"/>
      <c r="BE963"/>
      <c r="BL963"/>
      <c r="BZ963"/>
      <c r="CA963"/>
      <c r="CF963"/>
      <c r="CG963"/>
      <c r="CH963"/>
      <c r="CI963"/>
      <c r="CK963"/>
      <c r="CN963"/>
    </row>
    <row r="964" spans="1:92" x14ac:dyDescent="0.3">
      <c r="A964" s="4">
        <v>962</v>
      </c>
      <c r="B964" s="11">
        <v>28</v>
      </c>
      <c r="C964" s="2" t="str">
        <f>_xlfn.XLOOKUP(Table1[[#This Row],[Age]],Table7[Start_Age],Table7[Age_Range],,-1)</f>
        <v>19-29</v>
      </c>
      <c r="D964" t="s">
        <v>138</v>
      </c>
      <c r="E964" s="2" t="s">
        <v>129</v>
      </c>
      <c r="F964" s="2" t="s">
        <v>178</v>
      </c>
      <c r="G964" s="3">
        <v>2</v>
      </c>
      <c r="H964" s="13" t="s">
        <v>152</v>
      </c>
      <c r="I964" s="2" t="str" cm="1">
        <f t="array" ref="I964">_xlfn.IFS(Table1[[#This Row],[Job_Type]] = "unskilled resident", "Resident",
Table1[[#This Row],[Job_Type]] = "unemp/unskilled non res", "Non-resident",
TRUE, "Unknown")</f>
        <v>Unknown</v>
      </c>
      <c r="J964" s="2" t="s">
        <v>148</v>
      </c>
      <c r="K964" s="3">
        <v>4</v>
      </c>
      <c r="L964" s="2" t="s">
        <v>140</v>
      </c>
      <c r="M964" s="13" t="s">
        <v>152</v>
      </c>
      <c r="N964" t="s">
        <v>50</v>
      </c>
      <c r="O964" s="2" t="str">
        <f>_xlfn.XLOOKUP(Table1[[#This Row],[Checking_Acct_Status]],Table3[Checking_Acct_Original],Table3[Category])</f>
        <v>High Balance</v>
      </c>
      <c r="P964" s="10" t="s">
        <v>46</v>
      </c>
      <c r="Q964" s="13" t="str">
        <f>_xlfn.XLOOKUP(Table1[[#This Row],[Saving_Acct_Status]],Table5[Saving_Acct_Original],Table5[Category])</f>
        <v>Medium Savings</v>
      </c>
      <c r="R964" t="s">
        <v>41</v>
      </c>
      <c r="S964" s="2" t="str">
        <f>IF(
      OR(Table1[[#This Row],[Job_Type]] = "high qualif/self emp/mgmt", Table1[[#This Row],[Job_Type]] = "skilled"),
      "Skilled", "Unskilled")</f>
        <v>Skilled</v>
      </c>
      <c r="T964" t="str">
        <f>IF(Table1[[#This Row],[Job_Type]] = "unemp/unskilled non res", "Unemployed", "Employed")</f>
        <v>Employed</v>
      </c>
      <c r="U964" t="s">
        <v>38</v>
      </c>
      <c r="V964" s="14" t="str" cm="1">
        <f t="array" ref="V964">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64" t="s">
        <v>103</v>
      </c>
      <c r="X964" s="2" t="str">
        <f>_xlfn.XLOOKUP(Table1[[#This Row],[Loan_Credit_History]],Table4[Credit History],Table4[[ Category]])</f>
        <v>Critical Credit History</v>
      </c>
      <c r="Y964" s="3">
        <v>2</v>
      </c>
      <c r="Z964" s="3">
        <v>2</v>
      </c>
      <c r="AA964" s="5">
        <v>1323</v>
      </c>
      <c r="AB964" t="s">
        <v>151</v>
      </c>
      <c r="AC964" s="2" t="str" cm="1">
        <f t="array" ref="AC964">_xlfn.IFS(Table1[[#This Row],[Others_Parties]] = "No", "None",
Table1[[#This Row],[Others_Parties]] = "co applicant", "Co-applicant",
Table1[[#This Row],[Others_Parties]] = "guarantor", "Guarantor")</f>
        <v>None</v>
      </c>
      <c r="AD964" s="13" t="s">
        <v>145</v>
      </c>
      <c r="AE964" s="2" t="s">
        <v>141</v>
      </c>
      <c r="AF964" s="28" t="str" cm="1">
        <f t="array" ref="AF96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64" s="21">
        <v>6</v>
      </c>
      <c r="AH964" s="2" t="s">
        <v>154</v>
      </c>
      <c r="AI964"/>
      <c r="AZ964"/>
      <c r="BC964"/>
      <c r="BE964"/>
      <c r="BL964"/>
      <c r="BZ964"/>
      <c r="CA964"/>
      <c r="CF964"/>
      <c r="CG964"/>
      <c r="CH964"/>
      <c r="CI964"/>
      <c r="CK964"/>
      <c r="CN964"/>
    </row>
    <row r="965" spans="1:92" x14ac:dyDescent="0.3">
      <c r="A965" s="4">
        <v>963</v>
      </c>
      <c r="B965" s="11">
        <v>62</v>
      </c>
      <c r="C965" s="2" t="str">
        <f>_xlfn.XLOOKUP(Table1[[#This Row],[Age]],Table7[Start_Age],Table7[Age_Range],,-1)</f>
        <v>59-69</v>
      </c>
      <c r="D965" t="s">
        <v>138</v>
      </c>
      <c r="E965" s="2" t="s">
        <v>129</v>
      </c>
      <c r="F965" s="2" t="s">
        <v>178</v>
      </c>
      <c r="G965" s="3">
        <v>1</v>
      </c>
      <c r="H965" s="13" t="s">
        <v>152</v>
      </c>
      <c r="I965" s="2" t="str" cm="1">
        <f t="array" ref="I965">_xlfn.IFS(Table1[[#This Row],[Job_Type]] = "unskilled resident", "Resident",
Table1[[#This Row],[Job_Type]] = "unemp/unskilled non res", "Non-resident",
TRUE, "Unknown")</f>
        <v>Unknown</v>
      </c>
      <c r="J965" s="2" t="s">
        <v>148</v>
      </c>
      <c r="K965" s="3">
        <v>4</v>
      </c>
      <c r="L965" s="2" t="s">
        <v>144</v>
      </c>
      <c r="M965" s="13" t="s">
        <v>151</v>
      </c>
      <c r="N965" t="s">
        <v>17</v>
      </c>
      <c r="O965" s="2" t="str">
        <f>_xlfn.XLOOKUP(Table1[[#This Row],[Checking_Acct_Status]],Table3[Checking_Acct_Original],Table3[Category])</f>
        <v>No Account</v>
      </c>
      <c r="P965" s="10" t="s">
        <v>37</v>
      </c>
      <c r="Q965" s="13" t="str">
        <f>_xlfn.XLOOKUP(Table1[[#This Row],[Saving_Acct_Status]],Table5[Saving_Acct_Original],Table5[Category])</f>
        <v>High Savings</v>
      </c>
      <c r="R965" t="s">
        <v>41</v>
      </c>
      <c r="S965" s="2" t="str">
        <f>IF(
      OR(Table1[[#This Row],[Job_Type]] = "high qualif/self emp/mgmt", Table1[[#This Row],[Job_Type]] = "skilled"),
      "Skilled", "Unskilled")</f>
        <v>Skilled</v>
      </c>
      <c r="T965" t="str">
        <f>IF(Table1[[#This Row],[Job_Type]] = "unemp/unskilled non res", "Unemployed", "Employed")</f>
        <v>Employed</v>
      </c>
      <c r="U965" t="s">
        <v>21</v>
      </c>
      <c r="V965" s="14" t="str" cm="1">
        <f t="array" ref="V965">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65" t="s">
        <v>31</v>
      </c>
      <c r="X965" s="2" t="str">
        <f>_xlfn.XLOOKUP(Table1[[#This Row],[Loan_Credit_History]],Table4[Credit History],Table4[[ Category]])</f>
        <v>Existing Credits Paid</v>
      </c>
      <c r="Y965" s="3">
        <v>1</v>
      </c>
      <c r="Z965" s="3">
        <v>1</v>
      </c>
      <c r="AA965" s="5">
        <v>1338</v>
      </c>
      <c r="AB965" t="s">
        <v>151</v>
      </c>
      <c r="AC965" s="2" t="str" cm="1">
        <f t="array" ref="AC965">_xlfn.IFS(Table1[[#This Row],[Others_Parties]] = "No", "None",
Table1[[#This Row],[Others_Parties]] = "co applicant", "Co-applicant",
Table1[[#This Row],[Others_Parties]] = "guarantor", "Guarantor")</f>
        <v>None</v>
      </c>
      <c r="AD965" s="13" t="s">
        <v>145</v>
      </c>
      <c r="AE965" s="2" t="s">
        <v>106</v>
      </c>
      <c r="AF965" s="28" t="str" cm="1">
        <f t="array" ref="AF96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65" s="21">
        <v>6</v>
      </c>
      <c r="AH965" s="2" t="s">
        <v>154</v>
      </c>
      <c r="AI965"/>
      <c r="AZ965"/>
      <c r="BC965"/>
      <c r="BE965"/>
      <c r="BL965"/>
      <c r="BZ965"/>
      <c r="CA965"/>
      <c r="CF965"/>
      <c r="CG965"/>
      <c r="CH965"/>
      <c r="CI965"/>
      <c r="CK965"/>
      <c r="CN965"/>
    </row>
    <row r="966" spans="1:92" x14ac:dyDescent="0.3">
      <c r="A966" s="4">
        <v>964</v>
      </c>
      <c r="B966" s="11">
        <v>42</v>
      </c>
      <c r="C966" s="2" t="str">
        <f>_xlfn.XLOOKUP(Table1[[#This Row],[Age]],Table7[Start_Age],Table7[Age_Range],,-1)</f>
        <v>39-49</v>
      </c>
      <c r="D966" t="s">
        <v>130</v>
      </c>
      <c r="E966" s="2" t="s">
        <v>129</v>
      </c>
      <c r="F966" s="2" t="s">
        <v>133</v>
      </c>
      <c r="G966" s="3">
        <v>2</v>
      </c>
      <c r="H966" s="13" t="s">
        <v>152</v>
      </c>
      <c r="I966" s="2" t="str" cm="1">
        <f t="array" ref="I966">_xlfn.IFS(Table1[[#This Row],[Job_Type]] = "unskilled resident", "Resident",
Table1[[#This Row],[Job_Type]] = "unemp/unskilled non res", "Non-resident",
TRUE, "Unknown")</f>
        <v>Unknown</v>
      </c>
      <c r="J966" s="2" t="s">
        <v>150</v>
      </c>
      <c r="K966" s="3">
        <v>4</v>
      </c>
      <c r="L966" s="2" t="s">
        <v>142</v>
      </c>
      <c r="M966" s="13" t="s">
        <v>152</v>
      </c>
      <c r="N966" t="s">
        <v>17</v>
      </c>
      <c r="O966" s="2" t="str">
        <f>_xlfn.XLOOKUP(Table1[[#This Row],[Checking_Acct_Status]],Table3[Checking_Acct_Original],Table3[Category])</f>
        <v>No Account</v>
      </c>
      <c r="P966" s="10" t="s">
        <v>46</v>
      </c>
      <c r="Q966" s="13" t="str">
        <f>_xlfn.XLOOKUP(Table1[[#This Row],[Saving_Acct_Status]],Table5[Saving_Acct_Original],Table5[Category])</f>
        <v>Medium Savings</v>
      </c>
      <c r="R966" t="s">
        <v>41</v>
      </c>
      <c r="S966" s="2" t="str">
        <f>IF(
      OR(Table1[[#This Row],[Job_Type]] = "high qualif/self emp/mgmt", Table1[[#This Row],[Job_Type]] = "skilled"),
      "Skilled", "Unskilled")</f>
        <v>Skilled</v>
      </c>
      <c r="T966" t="str">
        <f>IF(Table1[[#This Row],[Job_Type]] = "unemp/unskilled non res", "Unemployed", "Employed")</f>
        <v>Employed</v>
      </c>
      <c r="U966" t="s">
        <v>38</v>
      </c>
      <c r="V966" s="14" t="str" cm="1">
        <f t="array" ref="V96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66" t="s">
        <v>31</v>
      </c>
      <c r="X966" s="2" t="str">
        <f>_xlfn.XLOOKUP(Table1[[#This Row],[Loan_Credit_History]],Table4[Credit History],Table4[[ Category]])</f>
        <v>Existing Credits Paid</v>
      </c>
      <c r="Y966" s="3">
        <v>2</v>
      </c>
      <c r="Z966" s="3">
        <v>1</v>
      </c>
      <c r="AA966" s="5">
        <v>1346</v>
      </c>
      <c r="AB966" t="s">
        <v>151</v>
      </c>
      <c r="AC966" s="2" t="str" cm="1">
        <f t="array" ref="AC966">_xlfn.IFS(Table1[[#This Row],[Others_Parties]] = "No", "None",
Table1[[#This Row],[Others_Parties]] = "co applicant", "Co-applicant",
Table1[[#This Row],[Others_Parties]] = "guarantor", "Guarantor")</f>
        <v>None</v>
      </c>
      <c r="AD966" s="13" t="s">
        <v>146</v>
      </c>
      <c r="AE966" s="2" t="s">
        <v>111</v>
      </c>
      <c r="AF966" s="28" t="str" cm="1">
        <f t="array" ref="AF96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66" s="21">
        <v>6</v>
      </c>
      <c r="AH966" s="2" t="s">
        <v>154</v>
      </c>
      <c r="AI966"/>
      <c r="AZ966"/>
      <c r="BC966"/>
      <c r="BE966"/>
      <c r="BL966"/>
      <c r="BZ966"/>
      <c r="CA966"/>
      <c r="CF966"/>
      <c r="CG966"/>
      <c r="CH966"/>
      <c r="CI966"/>
      <c r="CK966"/>
      <c r="CN966"/>
    </row>
    <row r="967" spans="1:92" x14ac:dyDescent="0.3">
      <c r="A967" s="4">
        <v>965</v>
      </c>
      <c r="B967" s="11">
        <v>23</v>
      </c>
      <c r="C967" s="2" t="str">
        <f>_xlfn.XLOOKUP(Table1[[#This Row],[Age]],Table7[Start_Age],Table7[Age_Range],,-1)</f>
        <v>19-29</v>
      </c>
      <c r="D967" t="s">
        <v>136</v>
      </c>
      <c r="E967" s="2" t="s">
        <v>131</v>
      </c>
      <c r="F967" s="2" t="s">
        <v>137</v>
      </c>
      <c r="G967" s="3">
        <v>1</v>
      </c>
      <c r="H967" s="13" t="s">
        <v>152</v>
      </c>
      <c r="I967" s="2" t="str" cm="1">
        <f t="array" ref="I967">_xlfn.IFS(Table1[[#This Row],[Job_Type]] = "unskilled resident", "Resident",
Table1[[#This Row],[Job_Type]] = "unemp/unskilled non res", "Non-resident",
TRUE, "Unknown")</f>
        <v>Non-resident</v>
      </c>
      <c r="J967" s="2" t="s">
        <v>149</v>
      </c>
      <c r="K967" s="3">
        <v>2</v>
      </c>
      <c r="L967" s="2" t="s">
        <v>143</v>
      </c>
      <c r="M967" s="13" t="s">
        <v>152</v>
      </c>
      <c r="N967" t="s">
        <v>35</v>
      </c>
      <c r="O967" s="2" t="str">
        <f>_xlfn.XLOOKUP(Table1[[#This Row],[Checking_Acct_Status]],Table3[Checking_Acct_Original],Table3[Category])</f>
        <v>Negative Balance</v>
      </c>
      <c r="P967" s="10" t="s">
        <v>37</v>
      </c>
      <c r="Q967" s="13" t="str">
        <f>_xlfn.XLOOKUP(Table1[[#This Row],[Saving_Acct_Status]],Table5[Saving_Acct_Original],Table5[Category])</f>
        <v>High Savings</v>
      </c>
      <c r="R967" t="s">
        <v>62</v>
      </c>
      <c r="S967" s="2" t="str">
        <f>IF(
      OR(Table1[[#This Row],[Job_Type]] = "high qualif/self emp/mgmt", Table1[[#This Row],[Job_Type]] = "skilled"),
      "Skilled", "Unskilled")</f>
        <v>Unskilled</v>
      </c>
      <c r="T967" t="str">
        <f>IF(Table1[[#This Row],[Job_Type]] = "unemp/unskilled non res", "Unemployed", "Employed")</f>
        <v>Unemployed</v>
      </c>
      <c r="U967" t="s">
        <v>54</v>
      </c>
      <c r="V967" s="14" t="str" cm="1">
        <f t="array" ref="V967">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967" t="s">
        <v>31</v>
      </c>
      <c r="X967" s="2" t="str">
        <f>_xlfn.XLOOKUP(Table1[[#This Row],[Loan_Credit_History]],Table4[Credit History],Table4[[ Category]])</f>
        <v>Existing Credits Paid</v>
      </c>
      <c r="Y967" s="3">
        <v>1</v>
      </c>
      <c r="Z967" s="3">
        <v>1</v>
      </c>
      <c r="AA967" s="5">
        <v>1352</v>
      </c>
      <c r="AB967" t="s">
        <v>151</v>
      </c>
      <c r="AC967" s="2" t="str" cm="1">
        <f t="array" ref="AC967">_xlfn.IFS(Table1[[#This Row],[Others_Parties]] = "No", "None",
Table1[[#This Row],[Others_Parties]] = "co applicant", "Co-applicant",
Table1[[#This Row],[Others_Parties]] = "guarantor", "Guarantor")</f>
        <v>None</v>
      </c>
      <c r="AD967" s="13" t="s">
        <v>145</v>
      </c>
      <c r="AE967" s="2" t="s">
        <v>107</v>
      </c>
      <c r="AF967" s="28" t="str" cm="1">
        <f t="array" ref="AF96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67" s="21">
        <v>6</v>
      </c>
      <c r="AH967" s="2" t="s">
        <v>154</v>
      </c>
      <c r="AI967"/>
      <c r="AZ967"/>
      <c r="BC967"/>
      <c r="BE967"/>
      <c r="BL967"/>
      <c r="BZ967"/>
      <c r="CA967"/>
      <c r="CF967"/>
      <c r="CG967"/>
      <c r="CH967"/>
      <c r="CI967"/>
      <c r="CK967"/>
      <c r="CN967"/>
    </row>
    <row r="968" spans="1:92" x14ac:dyDescent="0.3">
      <c r="A968" s="4">
        <v>966</v>
      </c>
      <c r="B968" s="11">
        <v>36</v>
      </c>
      <c r="C968" s="2" t="str">
        <f>_xlfn.XLOOKUP(Table1[[#This Row],[Age]],Table7[Start_Age],Table7[Age_Range],,-1)</f>
        <v>29-39</v>
      </c>
      <c r="D968" t="s">
        <v>130</v>
      </c>
      <c r="E968" s="2" t="s">
        <v>129</v>
      </c>
      <c r="F968" s="2" t="s">
        <v>133</v>
      </c>
      <c r="G968" s="3">
        <v>1</v>
      </c>
      <c r="H968" s="13" t="s">
        <v>152</v>
      </c>
      <c r="I968" s="2" t="str" cm="1">
        <f t="array" ref="I968">_xlfn.IFS(Table1[[#This Row],[Job_Type]] = "unskilled resident", "Resident",
Table1[[#This Row],[Job_Type]] = "unemp/unskilled non res", "Non-resident",
TRUE, "Unknown")</f>
        <v>Resident</v>
      </c>
      <c r="J968" s="2" t="s">
        <v>148</v>
      </c>
      <c r="K968" s="3">
        <v>2</v>
      </c>
      <c r="L968" s="2" t="s">
        <v>144</v>
      </c>
      <c r="M968" s="13" t="s">
        <v>152</v>
      </c>
      <c r="N968" t="s">
        <v>35</v>
      </c>
      <c r="O968" s="2" t="str">
        <f>_xlfn.XLOOKUP(Table1[[#This Row],[Checking_Acct_Status]],Table3[Checking_Acct_Original],Table3[Category])</f>
        <v>Negative Balance</v>
      </c>
      <c r="P968" s="10" t="s">
        <v>32</v>
      </c>
      <c r="Q968" s="13" t="str">
        <f>_xlfn.XLOOKUP(Table1[[#This Row],[Saving_Acct_Status]],Table5[Saving_Acct_Original],Table5[Category])</f>
        <v>Low Savings</v>
      </c>
      <c r="R968" t="s">
        <v>27</v>
      </c>
      <c r="S968" s="2" t="str">
        <f>IF(
      OR(Table1[[#This Row],[Job_Type]] = "high qualif/self emp/mgmt", Table1[[#This Row],[Job_Type]] = "skilled"),
      "Skilled", "Unskilled")</f>
        <v>Unskilled</v>
      </c>
      <c r="T968" t="str">
        <f>IF(Table1[[#This Row],[Job_Type]] = "unemp/unskilled non res", "Unemployed", "Employed")</f>
        <v>Employed</v>
      </c>
      <c r="U968" t="s">
        <v>21</v>
      </c>
      <c r="V968" s="14" t="str" cm="1">
        <f t="array" ref="V96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68" t="s">
        <v>31</v>
      </c>
      <c r="X968" s="2" t="str">
        <f>_xlfn.XLOOKUP(Table1[[#This Row],[Loan_Credit_History]],Table4[Credit History],Table4[[ Category]])</f>
        <v>Existing Credits Paid</v>
      </c>
      <c r="Y968" s="3">
        <v>1</v>
      </c>
      <c r="Z968" s="3">
        <v>1</v>
      </c>
      <c r="AA968" s="5">
        <v>1374</v>
      </c>
      <c r="AB968" t="s">
        <v>151</v>
      </c>
      <c r="AC968" s="2" t="str" cm="1">
        <f t="array" ref="AC968">_xlfn.IFS(Table1[[#This Row],[Others_Parties]] = "No", "None",
Table1[[#This Row],[Others_Parties]] = "co applicant", "Co-applicant",
Table1[[#This Row],[Others_Parties]] = "guarantor", "Guarantor")</f>
        <v>None</v>
      </c>
      <c r="AD968" s="13" t="s">
        <v>146</v>
      </c>
      <c r="AE968" s="2" t="s">
        <v>108</v>
      </c>
      <c r="AF968" s="28" t="str" cm="1">
        <f t="array" ref="AF96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68" s="21">
        <v>6</v>
      </c>
      <c r="AH968" s="2" t="s">
        <v>154</v>
      </c>
      <c r="AI968"/>
      <c r="AZ968"/>
      <c r="BC968"/>
      <c r="BE968"/>
      <c r="BL968"/>
      <c r="BZ968"/>
      <c r="CA968"/>
      <c r="CF968"/>
      <c r="CG968"/>
      <c r="CH968"/>
      <c r="CI968"/>
      <c r="CK968"/>
      <c r="CN968"/>
    </row>
    <row r="969" spans="1:92" x14ac:dyDescent="0.3">
      <c r="A969" s="4">
        <v>967</v>
      </c>
      <c r="B969" s="11">
        <v>75</v>
      </c>
      <c r="C969" s="2" t="str">
        <f>_xlfn.XLOOKUP(Table1[[#This Row],[Age]],Table7[Start_Age],Table7[Age_Range],,-1)</f>
        <v>69-76</v>
      </c>
      <c r="D969" t="s">
        <v>136</v>
      </c>
      <c r="E969" s="2" t="s">
        <v>131</v>
      </c>
      <c r="F969" s="2" t="s">
        <v>137</v>
      </c>
      <c r="G969" s="3">
        <v>1</v>
      </c>
      <c r="H969" s="13" t="s">
        <v>152</v>
      </c>
      <c r="I969" s="2" t="str" cm="1">
        <f t="array" ref="I969">_xlfn.IFS(Table1[[#This Row],[Job_Type]] = "unskilled resident", "Resident",
Table1[[#This Row],[Job_Type]] = "unemp/unskilled non res", "Non-resident",
TRUE, "Unknown")</f>
        <v>Unknown</v>
      </c>
      <c r="J969" s="2" t="s">
        <v>148</v>
      </c>
      <c r="K969" s="3">
        <v>3</v>
      </c>
      <c r="L969" s="2" t="s">
        <v>143</v>
      </c>
      <c r="M969" s="13" t="s">
        <v>152</v>
      </c>
      <c r="N969" t="s">
        <v>35</v>
      </c>
      <c r="O969" s="2" t="str">
        <f>_xlfn.XLOOKUP(Table1[[#This Row],[Checking_Acct_Status]],Table3[Checking_Acct_Original],Table3[Category])</f>
        <v>Negative Balance</v>
      </c>
      <c r="P969" s="10" t="s">
        <v>47</v>
      </c>
      <c r="Q969" s="13" t="str">
        <f>_xlfn.XLOOKUP(Table1[[#This Row],[Saving_Acct_Status]],Table5[Saving_Acct_Original],Table5[Category])</f>
        <v>No Savings</v>
      </c>
      <c r="R969" t="s">
        <v>63</v>
      </c>
      <c r="S969" s="2" t="str">
        <f>IF(
      OR(Table1[[#This Row],[Job_Type]] = "high qualif/self emp/mgmt", Table1[[#This Row],[Job_Type]] = "skilled"),
      "Skilled", "Unskilled")</f>
        <v>Skilled</v>
      </c>
      <c r="T969" t="str">
        <f>IF(Table1[[#This Row],[Job_Type]] = "unemp/unskilled non res", "Unemployed", "Employed")</f>
        <v>Employed</v>
      </c>
      <c r="U969" t="s">
        <v>54</v>
      </c>
      <c r="V969" s="14" t="str" cm="1">
        <f t="array" ref="V969">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969" t="s">
        <v>31</v>
      </c>
      <c r="X969" s="2" t="str">
        <f>_xlfn.XLOOKUP(Table1[[#This Row],[Loan_Credit_History]],Table4[Credit History],Table4[[ Category]])</f>
        <v>Existing Credits Paid</v>
      </c>
      <c r="Y969" s="3">
        <v>4</v>
      </c>
      <c r="Z969" s="3">
        <v>1</v>
      </c>
      <c r="AA969" s="5">
        <v>1374</v>
      </c>
      <c r="AB969" t="s">
        <v>151</v>
      </c>
      <c r="AC969" s="2" t="str" cm="1">
        <f t="array" ref="AC969">_xlfn.IFS(Table1[[#This Row],[Others_Parties]] = "No", "None",
Table1[[#This Row],[Others_Parties]] = "co applicant", "Co-applicant",
Table1[[#This Row],[Others_Parties]] = "guarantor", "Guarantor")</f>
        <v>None</v>
      </c>
      <c r="AD969" s="13" t="s">
        <v>145</v>
      </c>
      <c r="AE969" s="2" t="s">
        <v>141</v>
      </c>
      <c r="AF969" s="28" t="str" cm="1">
        <f t="array" ref="AF96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69" s="21">
        <v>6</v>
      </c>
      <c r="AH969" s="2" t="s">
        <v>154</v>
      </c>
      <c r="AI969"/>
      <c r="AZ969"/>
      <c r="BC969"/>
      <c r="BE969"/>
      <c r="BL969"/>
      <c r="BZ969"/>
      <c r="CA969"/>
      <c r="CF969"/>
      <c r="CG969"/>
      <c r="CH969"/>
      <c r="CI969"/>
      <c r="CK969"/>
      <c r="CN969"/>
    </row>
    <row r="970" spans="1:92" x14ac:dyDescent="0.3">
      <c r="A970" s="4">
        <v>968</v>
      </c>
      <c r="B970" s="11">
        <v>28</v>
      </c>
      <c r="C970" s="2" t="str">
        <f>_xlfn.XLOOKUP(Table1[[#This Row],[Age]],Table7[Start_Age],Table7[Age_Range],,-1)</f>
        <v>19-29</v>
      </c>
      <c r="D970" t="s">
        <v>136</v>
      </c>
      <c r="E970" s="2" t="s">
        <v>131</v>
      </c>
      <c r="F970" s="2" t="s">
        <v>137</v>
      </c>
      <c r="G970" s="3">
        <v>1</v>
      </c>
      <c r="H970" s="13" t="s">
        <v>152</v>
      </c>
      <c r="I970" s="2" t="str" cm="1">
        <f t="array" ref="I970">_xlfn.IFS(Table1[[#This Row],[Job_Type]] = "unskilled resident", "Resident",
Table1[[#This Row],[Job_Type]] = "unemp/unskilled non res", "Non-resident",
TRUE, "Unknown")</f>
        <v>Unknown</v>
      </c>
      <c r="J970" s="2" t="s">
        <v>148</v>
      </c>
      <c r="K970" s="3">
        <v>1</v>
      </c>
      <c r="L970" s="2" t="s">
        <v>140</v>
      </c>
      <c r="M970" s="13" t="s">
        <v>152</v>
      </c>
      <c r="N970" t="s">
        <v>17</v>
      </c>
      <c r="O970" s="2" t="str">
        <f>_xlfn.XLOOKUP(Table1[[#This Row],[Checking_Acct_Status]],Table3[Checking_Acct_Original],Table3[Category])</f>
        <v>No Account</v>
      </c>
      <c r="P970" s="10" t="s">
        <v>32</v>
      </c>
      <c r="Q970" s="13" t="str">
        <f>_xlfn.XLOOKUP(Table1[[#This Row],[Saving_Acct_Status]],Table5[Saving_Acct_Original],Table5[Category])</f>
        <v>Low Savings</v>
      </c>
      <c r="R970" t="s">
        <v>41</v>
      </c>
      <c r="S970" s="2" t="str">
        <f>IF(
      OR(Table1[[#This Row],[Job_Type]] = "high qualif/self emp/mgmt", Table1[[#This Row],[Job_Type]] = "skilled"),
      "Skilled", "Unskilled")</f>
        <v>Skilled</v>
      </c>
      <c r="T970" t="str">
        <f>IF(Table1[[#This Row],[Job_Type]] = "unemp/unskilled non res", "Unemployed", "Employed")</f>
        <v>Employed</v>
      </c>
      <c r="U970" t="s">
        <v>21</v>
      </c>
      <c r="V970" s="14" t="str" cm="1">
        <f t="array" ref="V97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70" t="s">
        <v>103</v>
      </c>
      <c r="X970" s="2" t="str">
        <f>_xlfn.XLOOKUP(Table1[[#This Row],[Loan_Credit_History]],Table4[Credit History],Table4[[ Category]])</f>
        <v>Critical Credit History</v>
      </c>
      <c r="Y970" s="3">
        <v>1</v>
      </c>
      <c r="Z970" s="3">
        <v>2</v>
      </c>
      <c r="AA970" s="5">
        <v>1382</v>
      </c>
      <c r="AB970" t="s">
        <v>151</v>
      </c>
      <c r="AC970" s="2" t="str" cm="1">
        <f t="array" ref="AC970">_xlfn.IFS(Table1[[#This Row],[Others_Parties]] = "No", "None",
Table1[[#This Row],[Others_Parties]] = "co applicant", "Co-applicant",
Table1[[#This Row],[Others_Parties]] = "guarantor", "Guarantor")</f>
        <v>None</v>
      </c>
      <c r="AD970" s="13" t="s">
        <v>145</v>
      </c>
      <c r="AE970" s="2" t="s">
        <v>111</v>
      </c>
      <c r="AF970" s="28" t="str" cm="1">
        <f t="array" ref="AF97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70" s="21">
        <v>6</v>
      </c>
      <c r="AH970" s="2" t="s">
        <v>154</v>
      </c>
      <c r="AI970"/>
      <c r="AZ970"/>
      <c r="BC970"/>
      <c r="BE970"/>
      <c r="BL970"/>
      <c r="BZ970"/>
      <c r="CA970"/>
      <c r="CF970"/>
      <c r="CG970"/>
      <c r="CH970"/>
      <c r="CI970"/>
      <c r="CK970"/>
      <c r="CN970"/>
    </row>
    <row r="971" spans="1:92" x14ac:dyDescent="0.3">
      <c r="A971" s="4">
        <v>969</v>
      </c>
      <c r="B971" s="11">
        <v>31</v>
      </c>
      <c r="C971" s="2" t="str">
        <f>_xlfn.XLOOKUP(Table1[[#This Row],[Age]],Table7[Start_Age],Table7[Age_Range],,-1)</f>
        <v>29-39</v>
      </c>
      <c r="D971" t="s">
        <v>138</v>
      </c>
      <c r="E971" s="2" t="s">
        <v>129</v>
      </c>
      <c r="F971" s="2" t="s">
        <v>178</v>
      </c>
      <c r="G971" s="3">
        <v>2</v>
      </c>
      <c r="H971" s="13" t="s">
        <v>152</v>
      </c>
      <c r="I971" s="2" t="str" cm="1">
        <f t="array" ref="I971">_xlfn.IFS(Table1[[#This Row],[Job_Type]] = "unskilled resident", "Resident",
Table1[[#This Row],[Job_Type]] = "unemp/unskilled non res", "Non-resident",
TRUE, "Unknown")</f>
        <v>Unknown</v>
      </c>
      <c r="J971" s="2" t="s">
        <v>148</v>
      </c>
      <c r="K971" s="3">
        <v>2</v>
      </c>
      <c r="L971" s="2" t="s">
        <v>140</v>
      </c>
      <c r="M971" s="13" t="s">
        <v>151</v>
      </c>
      <c r="N971" t="s">
        <v>30</v>
      </c>
      <c r="O971" s="2" t="str">
        <f>_xlfn.XLOOKUP(Table1[[#This Row],[Checking_Acct_Status]],Table3[Checking_Acct_Original],Table3[Category])</f>
        <v>Low Balance</v>
      </c>
      <c r="P971" s="10" t="s">
        <v>46</v>
      </c>
      <c r="Q971" s="13" t="str">
        <f>_xlfn.XLOOKUP(Table1[[#This Row],[Saving_Acct_Status]],Table5[Saving_Acct_Original],Table5[Category])</f>
        <v>Medium Savings</v>
      </c>
      <c r="R971" t="s">
        <v>41</v>
      </c>
      <c r="S971" s="2" t="str">
        <f>IF(
      OR(Table1[[#This Row],[Job_Type]] = "high qualif/self emp/mgmt", Table1[[#This Row],[Job_Type]] = "skilled"),
      "Skilled", "Unskilled")</f>
        <v>Skilled</v>
      </c>
      <c r="T971" t="str">
        <f>IF(Table1[[#This Row],[Job_Type]] = "unemp/unskilled non res", "Unemployed", "Employed")</f>
        <v>Employed</v>
      </c>
      <c r="U971" t="s">
        <v>38</v>
      </c>
      <c r="V971" s="14" t="str" cm="1">
        <f t="array" ref="V971">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71" t="s">
        <v>59</v>
      </c>
      <c r="X971" s="2" t="str">
        <f>_xlfn.XLOOKUP(Table1[[#This Row],[Loan_Credit_History]],Table4[Credit History],Table4[[ Category]])</f>
        <v>Previously Delayed</v>
      </c>
      <c r="Y971" s="3">
        <v>1</v>
      </c>
      <c r="Z971" s="3">
        <v>2</v>
      </c>
      <c r="AA971" s="5">
        <v>1449</v>
      </c>
      <c r="AB971" t="s">
        <v>151</v>
      </c>
      <c r="AC971" s="2" t="str" cm="1">
        <f t="array" ref="AC971">_xlfn.IFS(Table1[[#This Row],[Others_Parties]] = "No", "None",
Table1[[#This Row],[Others_Parties]] = "co applicant", "Co-applicant",
Table1[[#This Row],[Others_Parties]] = "guarantor", "Guarantor")</f>
        <v>None</v>
      </c>
      <c r="AD971" s="13" t="s">
        <v>146</v>
      </c>
      <c r="AE971" s="2" t="s">
        <v>105</v>
      </c>
      <c r="AF971" s="28" t="str" cm="1">
        <f t="array" ref="AF97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71" s="21">
        <v>6</v>
      </c>
      <c r="AH971" s="2" t="s">
        <v>154</v>
      </c>
      <c r="AI971"/>
      <c r="AZ971"/>
      <c r="BC971"/>
      <c r="BE971"/>
      <c r="BL971"/>
      <c r="BZ971"/>
      <c r="CA971"/>
      <c r="CF971"/>
      <c r="CG971"/>
      <c r="CH971"/>
      <c r="CI971"/>
      <c r="CK971"/>
      <c r="CN971"/>
    </row>
    <row r="972" spans="1:92" x14ac:dyDescent="0.3">
      <c r="A972" s="4">
        <v>970</v>
      </c>
      <c r="B972" s="11">
        <v>56</v>
      </c>
      <c r="C972" s="2" t="str">
        <f>_xlfn.XLOOKUP(Table1[[#This Row],[Age]],Table7[Start_Age],Table7[Age_Range],,-1)</f>
        <v>49-59</v>
      </c>
      <c r="D972" t="s">
        <v>136</v>
      </c>
      <c r="E972" s="2" t="s">
        <v>131</v>
      </c>
      <c r="F972" s="2" t="s">
        <v>137</v>
      </c>
      <c r="G972" s="3">
        <v>1</v>
      </c>
      <c r="H972" s="13" t="s">
        <v>152</v>
      </c>
      <c r="I972" s="2" t="str" cm="1">
        <f t="array" ref="I972">_xlfn.IFS(Table1[[#This Row],[Job_Type]] = "unskilled resident", "Resident",
Table1[[#This Row],[Job_Type]] = "unemp/unskilled non res", "Non-resident",
TRUE, "Unknown")</f>
        <v>Unknown</v>
      </c>
      <c r="J972" s="2" t="s">
        <v>148</v>
      </c>
      <c r="K972" s="3">
        <v>2</v>
      </c>
      <c r="L972" s="2" t="s">
        <v>142</v>
      </c>
      <c r="M972" s="13" t="s">
        <v>151</v>
      </c>
      <c r="N972" t="s">
        <v>17</v>
      </c>
      <c r="O972" s="2" t="str">
        <f>_xlfn.XLOOKUP(Table1[[#This Row],[Checking_Acct_Status]],Table3[Checking_Acct_Original],Table3[Category])</f>
        <v>No Account</v>
      </c>
      <c r="P972" s="10" t="s">
        <v>32</v>
      </c>
      <c r="Q972" s="13" t="str">
        <f>_xlfn.XLOOKUP(Table1[[#This Row],[Saving_Acct_Status]],Table5[Saving_Acct_Original],Table5[Category])</f>
        <v>Low Savings</v>
      </c>
      <c r="R972" t="s">
        <v>41</v>
      </c>
      <c r="S972" s="2" t="str">
        <f>IF(
      OR(Table1[[#This Row],[Job_Type]] = "high qualif/self emp/mgmt", Table1[[#This Row],[Job_Type]] = "skilled"),
      "Skilled", "Unskilled")</f>
        <v>Skilled</v>
      </c>
      <c r="T972" t="str">
        <f>IF(Table1[[#This Row],[Job_Type]] = "unemp/unskilled non res", "Unemployed", "Employed")</f>
        <v>Employed</v>
      </c>
      <c r="U972" t="s">
        <v>45</v>
      </c>
      <c r="V972" s="14" t="str" cm="1">
        <f t="array" ref="V97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72" t="s">
        <v>31</v>
      </c>
      <c r="X972" s="2" t="str">
        <f>_xlfn.XLOOKUP(Table1[[#This Row],[Loan_Credit_History]],Table4[Credit History],Table4[[ Category]])</f>
        <v>Existing Credits Paid</v>
      </c>
      <c r="Y972" s="3">
        <v>1</v>
      </c>
      <c r="Z972" s="3">
        <v>1</v>
      </c>
      <c r="AA972" s="5">
        <v>1538</v>
      </c>
      <c r="AB972" t="s">
        <v>151</v>
      </c>
      <c r="AC972" s="2" t="str" cm="1">
        <f t="array" ref="AC972">_xlfn.IFS(Table1[[#This Row],[Others_Parties]] = "No", "None",
Table1[[#This Row],[Others_Parties]] = "co applicant", "Co-applicant",
Table1[[#This Row],[Others_Parties]] = "guarantor", "Guarantor")</f>
        <v>None</v>
      </c>
      <c r="AD972" s="13" t="s">
        <v>145</v>
      </c>
      <c r="AE972" s="2" t="s">
        <v>100</v>
      </c>
      <c r="AF972" s="28" t="str" cm="1">
        <f t="array" ref="AF97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72" s="21">
        <v>6</v>
      </c>
      <c r="AH972" s="2" t="s">
        <v>154</v>
      </c>
      <c r="AI972"/>
      <c r="AZ972"/>
      <c r="BC972"/>
      <c r="BE972"/>
      <c r="BL972"/>
      <c r="BZ972"/>
      <c r="CA972"/>
      <c r="CF972"/>
      <c r="CG972"/>
      <c r="CH972"/>
      <c r="CI972"/>
      <c r="CK972"/>
      <c r="CN972"/>
    </row>
    <row r="973" spans="1:92" x14ac:dyDescent="0.3">
      <c r="A973" s="4">
        <v>971</v>
      </c>
      <c r="B973" s="11">
        <v>33</v>
      </c>
      <c r="C973" s="2" t="str">
        <f>_xlfn.XLOOKUP(Table1[[#This Row],[Age]],Table7[Start_Age],Table7[Age_Range],,-1)</f>
        <v>29-39</v>
      </c>
      <c r="D973" t="s">
        <v>138</v>
      </c>
      <c r="E973" s="2" t="s">
        <v>129</v>
      </c>
      <c r="F973" s="2" t="s">
        <v>178</v>
      </c>
      <c r="G973" s="3">
        <v>1</v>
      </c>
      <c r="H973" s="13" t="s">
        <v>152</v>
      </c>
      <c r="I973" s="2" t="str" cm="1">
        <f t="array" ref="I973">_xlfn.IFS(Table1[[#This Row],[Job_Type]] = "unskilled resident", "Resident",
Table1[[#This Row],[Job_Type]] = "unemp/unskilled non res", "Non-resident",
TRUE, "Unknown")</f>
        <v>Unknown</v>
      </c>
      <c r="J973" s="2" t="s">
        <v>148</v>
      </c>
      <c r="K973" s="3">
        <v>2</v>
      </c>
      <c r="L973" s="2" t="s">
        <v>144</v>
      </c>
      <c r="M973" s="13" t="s">
        <v>151</v>
      </c>
      <c r="N973" t="s">
        <v>17</v>
      </c>
      <c r="O973" s="2" t="str">
        <f>_xlfn.XLOOKUP(Table1[[#This Row],[Checking_Acct_Status]],Table3[Checking_Acct_Original],Table3[Category])</f>
        <v>No Account</v>
      </c>
      <c r="P973" s="10" t="s">
        <v>20</v>
      </c>
      <c r="Q973" s="13" t="str">
        <f>_xlfn.XLOOKUP(Table1[[#This Row],[Saving_Acct_Status]],Table5[Saving_Acct_Original],Table5[Category])</f>
        <v>Very High Savings</v>
      </c>
      <c r="R973" t="s">
        <v>41</v>
      </c>
      <c r="S973" s="2" t="str">
        <f>IF(
      OR(Table1[[#This Row],[Job_Type]] = "high qualif/self emp/mgmt", Table1[[#This Row],[Job_Type]] = "skilled"),
      "Skilled", "Unskilled")</f>
        <v>Skilled</v>
      </c>
      <c r="T973" t="str">
        <f>IF(Table1[[#This Row],[Job_Type]] = "unemp/unskilled non res", "Unemployed", "Employed")</f>
        <v>Employed</v>
      </c>
      <c r="U973" t="s">
        <v>21</v>
      </c>
      <c r="V973" s="14" t="str" cm="1">
        <f t="array" ref="V973">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73" t="s">
        <v>31</v>
      </c>
      <c r="X973" s="2" t="str">
        <f>_xlfn.XLOOKUP(Table1[[#This Row],[Loan_Credit_History]],Table4[Credit History],Table4[[ Category]])</f>
        <v>Existing Credits Paid</v>
      </c>
      <c r="Y973" s="3">
        <v>4</v>
      </c>
      <c r="Z973" s="3">
        <v>1</v>
      </c>
      <c r="AA973" s="5">
        <v>1543</v>
      </c>
      <c r="AB973" t="s">
        <v>151</v>
      </c>
      <c r="AC973" s="2" t="str" cm="1">
        <f t="array" ref="AC973">_xlfn.IFS(Table1[[#This Row],[Others_Parties]] = "No", "None",
Table1[[#This Row],[Others_Parties]] = "co applicant", "Co-applicant",
Table1[[#This Row],[Others_Parties]] = "guarantor", "Guarantor")</f>
        <v>None</v>
      </c>
      <c r="AD973" s="13" t="s">
        <v>145</v>
      </c>
      <c r="AE973" s="2" t="s">
        <v>108</v>
      </c>
      <c r="AF973" s="28" t="str" cm="1">
        <f t="array" ref="AF97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73" s="21">
        <v>6</v>
      </c>
      <c r="AH973" s="2" t="s">
        <v>154</v>
      </c>
      <c r="AI973"/>
      <c r="AZ973"/>
      <c r="BC973"/>
      <c r="BE973"/>
      <c r="BL973"/>
      <c r="BZ973"/>
      <c r="CA973"/>
      <c r="CF973"/>
      <c r="CG973"/>
      <c r="CH973"/>
      <c r="CI973"/>
      <c r="CK973"/>
      <c r="CN973"/>
    </row>
    <row r="974" spans="1:92" x14ac:dyDescent="0.3">
      <c r="A974" s="4">
        <v>972</v>
      </c>
      <c r="B974" s="11">
        <v>24</v>
      </c>
      <c r="C974" s="2" t="str">
        <f>_xlfn.XLOOKUP(Table1[[#This Row],[Age]],Table7[Start_Age],Table7[Age_Range],,-1)</f>
        <v>19-29</v>
      </c>
      <c r="D974" t="s">
        <v>136</v>
      </c>
      <c r="E974" s="2" t="s">
        <v>131</v>
      </c>
      <c r="F974" s="2" t="s">
        <v>137</v>
      </c>
      <c r="G974" s="3">
        <v>1</v>
      </c>
      <c r="H974" s="13" t="s">
        <v>152</v>
      </c>
      <c r="I974" s="2" t="str" cm="1">
        <f t="array" ref="I974">_xlfn.IFS(Table1[[#This Row],[Job_Type]] = "unskilled resident", "Resident",
Table1[[#This Row],[Job_Type]] = "unemp/unskilled non res", "Non-resident",
TRUE, "Unknown")</f>
        <v>Unknown</v>
      </c>
      <c r="J974" s="2" t="s">
        <v>149</v>
      </c>
      <c r="K974" s="3">
        <v>2</v>
      </c>
      <c r="L974" s="2" t="s">
        <v>140</v>
      </c>
      <c r="M974" s="13" t="s">
        <v>152</v>
      </c>
      <c r="N974" t="s">
        <v>17</v>
      </c>
      <c r="O974" s="2" t="str">
        <f>_xlfn.XLOOKUP(Table1[[#This Row],[Checking_Acct_Status]],Table3[Checking_Acct_Original],Table3[Category])</f>
        <v>No Account</v>
      </c>
      <c r="P974" s="10" t="s">
        <v>32</v>
      </c>
      <c r="Q974" s="13" t="str">
        <f>_xlfn.XLOOKUP(Table1[[#This Row],[Saving_Acct_Status]],Table5[Saving_Acct_Original],Table5[Category])</f>
        <v>Low Savings</v>
      </c>
      <c r="R974" t="s">
        <v>41</v>
      </c>
      <c r="S974" s="2" t="str">
        <f>IF(
      OR(Table1[[#This Row],[Job_Type]] = "high qualif/self emp/mgmt", Table1[[#This Row],[Job_Type]] = "skilled"),
      "Skilled", "Unskilled")</f>
        <v>Skilled</v>
      </c>
      <c r="T974" t="str">
        <f>IF(Table1[[#This Row],[Job_Type]] = "unemp/unskilled non res", "Unemployed", "Employed")</f>
        <v>Employed</v>
      </c>
      <c r="U974" t="s">
        <v>49</v>
      </c>
      <c r="V974" s="14" t="str" cm="1">
        <f t="array" ref="V97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74" t="s">
        <v>103</v>
      </c>
      <c r="X974" s="2" t="str">
        <f>_xlfn.XLOOKUP(Table1[[#This Row],[Loan_Credit_History]],Table4[Credit History],Table4[[ Category]])</f>
        <v>Critical Credit History</v>
      </c>
      <c r="Y974" s="3">
        <v>1</v>
      </c>
      <c r="Z974" s="3">
        <v>2</v>
      </c>
      <c r="AA974" s="5">
        <v>1554</v>
      </c>
      <c r="AB974" t="s">
        <v>151</v>
      </c>
      <c r="AC974" s="2" t="str" cm="1">
        <f t="array" ref="AC974">_xlfn.IFS(Table1[[#This Row],[Others_Parties]] = "No", "None",
Table1[[#This Row],[Others_Parties]] = "co applicant", "Co-applicant",
Table1[[#This Row],[Others_Parties]] = "guarantor", "Guarantor")</f>
        <v>None</v>
      </c>
      <c r="AD974" s="13" t="s">
        <v>145</v>
      </c>
      <c r="AE974" s="2" t="s">
        <v>111</v>
      </c>
      <c r="AF974" s="28" t="str" cm="1">
        <f t="array" ref="AF97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74" s="21">
        <v>6</v>
      </c>
      <c r="AH974" s="2" t="s">
        <v>154</v>
      </c>
      <c r="AI974"/>
      <c r="AZ974"/>
      <c r="BC974"/>
      <c r="BE974"/>
      <c r="BL974"/>
      <c r="BZ974"/>
      <c r="CA974"/>
      <c r="CF974"/>
      <c r="CG974"/>
      <c r="CH974"/>
      <c r="CI974"/>
      <c r="CK974"/>
      <c r="CN974"/>
    </row>
    <row r="975" spans="1:92" x14ac:dyDescent="0.3">
      <c r="A975" s="4">
        <v>973</v>
      </c>
      <c r="B975" s="11">
        <v>51</v>
      </c>
      <c r="C975" s="2" t="str">
        <f>_xlfn.XLOOKUP(Table1[[#This Row],[Age]],Table7[Start_Age],Table7[Age_Range],,-1)</f>
        <v>49-59</v>
      </c>
      <c r="D975" t="s">
        <v>130</v>
      </c>
      <c r="E975" s="2" t="s">
        <v>129</v>
      </c>
      <c r="F975" s="2" t="s">
        <v>133</v>
      </c>
      <c r="G975" s="3">
        <v>2</v>
      </c>
      <c r="H975" s="13" t="s">
        <v>152</v>
      </c>
      <c r="I975" s="2" t="str" cm="1">
        <f t="array" ref="I975">_xlfn.IFS(Table1[[#This Row],[Job_Type]] = "unskilled resident", "Resident",
Table1[[#This Row],[Job_Type]] = "unemp/unskilled non res", "Non-resident",
TRUE, "Unknown")</f>
        <v>Unknown</v>
      </c>
      <c r="J975" s="2" t="s">
        <v>148</v>
      </c>
      <c r="K975" s="3">
        <v>2</v>
      </c>
      <c r="L975" s="2" t="s">
        <v>143</v>
      </c>
      <c r="M975" s="13" t="s">
        <v>151</v>
      </c>
      <c r="N975" t="s">
        <v>17</v>
      </c>
      <c r="O975" s="2" t="str">
        <f>_xlfn.XLOOKUP(Table1[[#This Row],[Checking_Acct_Status]],Table3[Checking_Acct_Original],Table3[Category])</f>
        <v>No Account</v>
      </c>
      <c r="P975" s="10" t="s">
        <v>32</v>
      </c>
      <c r="Q975" s="13" t="str">
        <f>_xlfn.XLOOKUP(Table1[[#This Row],[Saving_Acct_Status]],Table5[Saving_Acct_Original],Table5[Category])</f>
        <v>Low Savings</v>
      </c>
      <c r="R975" t="s">
        <v>41</v>
      </c>
      <c r="S975" s="2" t="str">
        <f>IF(
      OR(Table1[[#This Row],[Job_Type]] = "high qualif/self emp/mgmt", Table1[[#This Row],[Job_Type]] = "skilled"),
      "Skilled", "Unskilled")</f>
        <v>Skilled</v>
      </c>
      <c r="T975" t="str">
        <f>IF(Table1[[#This Row],[Job_Type]] = "unemp/unskilled non res", "Unemployed", "Employed")</f>
        <v>Employed</v>
      </c>
      <c r="U975" t="s">
        <v>49</v>
      </c>
      <c r="V975" s="14" t="str" cm="1">
        <f t="array" ref="V97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75" t="s">
        <v>31</v>
      </c>
      <c r="X975" s="2" t="str">
        <f>_xlfn.XLOOKUP(Table1[[#This Row],[Loan_Credit_History]],Table4[Credit History],Table4[[ Category]])</f>
        <v>Existing Credits Paid</v>
      </c>
      <c r="Y975" s="3">
        <v>3</v>
      </c>
      <c r="Z975" s="3">
        <v>1</v>
      </c>
      <c r="AA975" s="5">
        <v>1595</v>
      </c>
      <c r="AB975" t="s">
        <v>151</v>
      </c>
      <c r="AC975" s="2" t="str" cm="1">
        <f t="array" ref="AC975">_xlfn.IFS(Table1[[#This Row],[Others_Parties]] = "No", "None",
Table1[[#This Row],[Others_Parties]] = "co applicant", "Co-applicant",
Table1[[#This Row],[Others_Parties]] = "guarantor", "Guarantor")</f>
        <v>None</v>
      </c>
      <c r="AD975" s="13" t="s">
        <v>145</v>
      </c>
      <c r="AE975" s="2" t="s">
        <v>111</v>
      </c>
      <c r="AF975" s="28" t="str" cm="1">
        <f t="array" ref="AF97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75" s="21">
        <v>6</v>
      </c>
      <c r="AH975" s="2" t="s">
        <v>154</v>
      </c>
      <c r="AI975"/>
      <c r="AZ975"/>
      <c r="BC975"/>
      <c r="BE975"/>
      <c r="BL975"/>
      <c r="BZ975"/>
      <c r="CA975"/>
      <c r="CF975"/>
      <c r="CG975"/>
      <c r="CH975"/>
      <c r="CI975"/>
      <c r="CK975"/>
      <c r="CN975"/>
    </row>
    <row r="976" spans="1:92" x14ac:dyDescent="0.3">
      <c r="A976" s="4">
        <v>974</v>
      </c>
      <c r="B976" s="11">
        <v>30</v>
      </c>
      <c r="C976" s="2" t="str">
        <f>_xlfn.XLOOKUP(Table1[[#This Row],[Age]],Table7[Start_Age],Table7[Age_Range],,-1)</f>
        <v>29-39</v>
      </c>
      <c r="D976" t="s">
        <v>134</v>
      </c>
      <c r="E976" s="2" t="s">
        <v>129</v>
      </c>
      <c r="F976" s="2" t="s">
        <v>135</v>
      </c>
      <c r="G976" s="3">
        <v>1</v>
      </c>
      <c r="H976" s="13" t="s">
        <v>152</v>
      </c>
      <c r="I976" s="2" t="str" cm="1">
        <f t="array" ref="I976">_xlfn.IFS(Table1[[#This Row],[Job_Type]] = "unskilled resident", "Resident",
Table1[[#This Row],[Job_Type]] = "unemp/unskilled non res", "Non-resident",
TRUE, "Unknown")</f>
        <v>Unknown</v>
      </c>
      <c r="J976" s="2" t="s">
        <v>149</v>
      </c>
      <c r="K976" s="3">
        <v>2</v>
      </c>
      <c r="L976" s="2" t="s">
        <v>144</v>
      </c>
      <c r="M976" s="13" t="s">
        <v>151</v>
      </c>
      <c r="N976" t="s">
        <v>17</v>
      </c>
      <c r="O976" s="2" t="str">
        <f>_xlfn.XLOOKUP(Table1[[#This Row],[Checking_Acct_Status]],Table3[Checking_Acct_Original],Table3[Category])</f>
        <v>No Account</v>
      </c>
      <c r="P976" s="10" t="s">
        <v>32</v>
      </c>
      <c r="Q976" s="13" t="str">
        <f>_xlfn.XLOOKUP(Table1[[#This Row],[Saving_Acct_Status]],Table5[Saving_Acct_Original],Table5[Category])</f>
        <v>Low Savings</v>
      </c>
      <c r="R976" t="s">
        <v>41</v>
      </c>
      <c r="S976" s="2" t="str">
        <f>IF(
      OR(Table1[[#This Row],[Job_Type]] = "high qualif/self emp/mgmt", Table1[[#This Row],[Job_Type]] = "skilled"),
      "Skilled", "Unskilled")</f>
        <v>Skilled</v>
      </c>
      <c r="T976" t="str">
        <f>IF(Table1[[#This Row],[Job_Type]] = "unemp/unskilled non res", "Unemployed", "Employed")</f>
        <v>Employed</v>
      </c>
      <c r="U976" t="s">
        <v>38</v>
      </c>
      <c r="V976" s="14" t="str" cm="1">
        <f t="array" ref="V97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76" t="s">
        <v>103</v>
      </c>
      <c r="X976" s="2" t="str">
        <f>_xlfn.XLOOKUP(Table1[[#This Row],[Loan_Credit_History]],Table4[Credit History],Table4[[ Category]])</f>
        <v>Critical Credit History</v>
      </c>
      <c r="Y976" s="3">
        <v>2</v>
      </c>
      <c r="Z976" s="3">
        <v>2</v>
      </c>
      <c r="AA976" s="5">
        <v>1740</v>
      </c>
      <c r="AB976" t="s">
        <v>151</v>
      </c>
      <c r="AC976" s="2" t="str" cm="1">
        <f t="array" ref="AC976">_xlfn.IFS(Table1[[#This Row],[Others_Parties]] = "No", "None",
Table1[[#This Row],[Others_Parties]] = "co applicant", "Co-applicant",
Table1[[#This Row],[Others_Parties]] = "guarantor", "Guarantor")</f>
        <v>None</v>
      </c>
      <c r="AD976" s="13" t="s">
        <v>145</v>
      </c>
      <c r="AE976" s="2" t="s">
        <v>111</v>
      </c>
      <c r="AF976" s="28" t="str" cm="1">
        <f t="array" ref="AF97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76" s="21">
        <v>6</v>
      </c>
      <c r="AH976" s="2" t="s">
        <v>154</v>
      </c>
      <c r="AI976"/>
      <c r="AZ976"/>
      <c r="BC976"/>
      <c r="BE976"/>
      <c r="BL976"/>
      <c r="BZ976"/>
      <c r="CA976"/>
      <c r="CF976"/>
      <c r="CG976"/>
      <c r="CH976"/>
      <c r="CI976"/>
      <c r="CK976"/>
      <c r="CN976"/>
    </row>
    <row r="977" spans="1:92" x14ac:dyDescent="0.3">
      <c r="A977" s="4">
        <v>975</v>
      </c>
      <c r="B977" s="11">
        <v>34</v>
      </c>
      <c r="C977" s="2" t="str">
        <f>_xlfn.XLOOKUP(Table1[[#This Row],[Age]],Table7[Start_Age],Table7[Age_Range],,-1)</f>
        <v>29-39</v>
      </c>
      <c r="D977" t="s">
        <v>130</v>
      </c>
      <c r="E977" s="2" t="s">
        <v>129</v>
      </c>
      <c r="F977" s="2" t="s">
        <v>133</v>
      </c>
      <c r="G977" s="3">
        <v>1</v>
      </c>
      <c r="H977" s="13" t="s">
        <v>152</v>
      </c>
      <c r="I977" s="2" t="str" cm="1">
        <f t="array" ref="I977">_xlfn.IFS(Table1[[#This Row],[Job_Type]] = "unskilled resident", "Resident",
Table1[[#This Row],[Job_Type]] = "unemp/unskilled non res", "Non-resident",
TRUE, "Unknown")</f>
        <v>Resident</v>
      </c>
      <c r="J977" s="2" t="s">
        <v>148</v>
      </c>
      <c r="K977" s="3">
        <v>2</v>
      </c>
      <c r="L977" s="2" t="s">
        <v>144</v>
      </c>
      <c r="M977" s="13" t="s">
        <v>151</v>
      </c>
      <c r="N977" t="s">
        <v>17</v>
      </c>
      <c r="O977" s="2" t="str">
        <f>_xlfn.XLOOKUP(Table1[[#This Row],[Checking_Acct_Status]],Table3[Checking_Acct_Original],Table3[Category])</f>
        <v>No Account</v>
      </c>
      <c r="P977" s="10" t="s">
        <v>46</v>
      </c>
      <c r="Q977" s="13" t="str">
        <f>_xlfn.XLOOKUP(Table1[[#This Row],[Saving_Acct_Status]],Table5[Saving_Acct_Original],Table5[Category])</f>
        <v>Medium Savings</v>
      </c>
      <c r="R977" t="s">
        <v>27</v>
      </c>
      <c r="S977" s="2" t="str">
        <f>IF(
      OR(Table1[[#This Row],[Job_Type]] = "high qualif/self emp/mgmt", Table1[[#This Row],[Job_Type]] = "skilled"),
      "Skilled", "Unskilled")</f>
        <v>Unskilled</v>
      </c>
      <c r="T977" t="str">
        <f>IF(Table1[[#This Row],[Job_Type]] = "unemp/unskilled non res", "Unemployed", "Employed")</f>
        <v>Employed</v>
      </c>
      <c r="U977" t="s">
        <v>21</v>
      </c>
      <c r="V977" s="14" t="str" cm="1">
        <f t="array" ref="V97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77" t="s">
        <v>59</v>
      </c>
      <c r="X977" s="2" t="str">
        <f>_xlfn.XLOOKUP(Table1[[#This Row],[Loan_Credit_History]],Table4[Credit History],Table4[[ Category]])</f>
        <v>Previously Delayed</v>
      </c>
      <c r="Y977" s="3">
        <v>1</v>
      </c>
      <c r="Z977" s="3">
        <v>2</v>
      </c>
      <c r="AA977" s="5">
        <v>1743</v>
      </c>
      <c r="AB977" t="s">
        <v>151</v>
      </c>
      <c r="AC977" s="2" t="str" cm="1">
        <f t="array" ref="AC977">_xlfn.IFS(Table1[[#This Row],[Others_Parties]] = "No", "None",
Table1[[#This Row],[Others_Parties]] = "co applicant", "Co-applicant",
Table1[[#This Row],[Others_Parties]] = "guarantor", "Guarantor")</f>
        <v>None</v>
      </c>
      <c r="AD977" s="13" t="s">
        <v>145</v>
      </c>
      <c r="AE977" s="2" t="s">
        <v>105</v>
      </c>
      <c r="AF977" s="28" t="str" cm="1">
        <f t="array" ref="AF97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77" s="21">
        <v>6</v>
      </c>
      <c r="AH977" s="2" t="s">
        <v>154</v>
      </c>
      <c r="AI977"/>
      <c r="AZ977"/>
      <c r="BC977"/>
      <c r="BE977"/>
      <c r="BL977"/>
      <c r="BZ977"/>
      <c r="CA977"/>
      <c r="CF977"/>
      <c r="CG977"/>
      <c r="CH977"/>
      <c r="CI977"/>
      <c r="CK977"/>
      <c r="CN977"/>
    </row>
    <row r="978" spans="1:92" x14ac:dyDescent="0.3">
      <c r="A978" s="4">
        <v>976</v>
      </c>
      <c r="B978" s="11">
        <v>45</v>
      </c>
      <c r="C978" s="2" t="str">
        <f>_xlfn.XLOOKUP(Table1[[#This Row],[Age]],Table7[Start_Age],Table7[Age_Range],,-1)</f>
        <v>39-49</v>
      </c>
      <c r="D978" t="s">
        <v>130</v>
      </c>
      <c r="E978" s="2" t="s">
        <v>129</v>
      </c>
      <c r="F978" s="2" t="s">
        <v>133</v>
      </c>
      <c r="G978" s="3">
        <v>2</v>
      </c>
      <c r="H978" s="13" t="s">
        <v>152</v>
      </c>
      <c r="I978" s="2" t="str" cm="1">
        <f t="array" ref="I978">_xlfn.IFS(Table1[[#This Row],[Job_Type]] = "unskilled resident", "Resident",
Table1[[#This Row],[Job_Type]] = "unemp/unskilled non res", "Non-resident",
TRUE, "Unknown")</f>
        <v>Resident</v>
      </c>
      <c r="J978" s="2" t="s">
        <v>148</v>
      </c>
      <c r="K978" s="3">
        <v>4</v>
      </c>
      <c r="L978" s="2" t="s">
        <v>143</v>
      </c>
      <c r="M978" s="13" t="s">
        <v>151</v>
      </c>
      <c r="N978" t="s">
        <v>17</v>
      </c>
      <c r="O978" s="2" t="str">
        <f>_xlfn.XLOOKUP(Table1[[#This Row],[Checking_Acct_Status]],Table3[Checking_Acct_Original],Table3[Category])</f>
        <v>No Account</v>
      </c>
      <c r="P978" s="10" t="s">
        <v>37</v>
      </c>
      <c r="Q978" s="13" t="str">
        <f>_xlfn.XLOOKUP(Table1[[#This Row],[Saving_Acct_Status]],Table5[Saving_Acct_Original],Table5[Category])</f>
        <v>High Savings</v>
      </c>
      <c r="R978" t="s">
        <v>27</v>
      </c>
      <c r="S978" s="2" t="str">
        <f>IF(
      OR(Table1[[#This Row],[Job_Type]] = "high qualif/self emp/mgmt", Table1[[#This Row],[Job_Type]] = "skilled"),
      "Skilled", "Unskilled")</f>
        <v>Unskilled</v>
      </c>
      <c r="T978" t="str">
        <f>IF(Table1[[#This Row],[Job_Type]] = "unemp/unskilled non res", "Unemployed", "Employed")</f>
        <v>Employed</v>
      </c>
      <c r="U978" t="s">
        <v>38</v>
      </c>
      <c r="V978" s="14" t="str" cm="1">
        <f t="array" ref="V978">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78" t="s">
        <v>42</v>
      </c>
      <c r="X978" s="2" t="str">
        <f>_xlfn.XLOOKUP(Table1[[#This Row],[Loan_Credit_History]],Table4[Credit History],Table4[[ Category]])</f>
        <v>All Paid</v>
      </c>
      <c r="Y978" s="3">
        <v>2</v>
      </c>
      <c r="Z978" s="3">
        <v>1</v>
      </c>
      <c r="AA978" s="5">
        <v>1750</v>
      </c>
      <c r="AB978" t="s">
        <v>151</v>
      </c>
      <c r="AC978" s="2" t="str" cm="1">
        <f t="array" ref="AC978">_xlfn.IFS(Table1[[#This Row],[Others_Parties]] = "No", "None",
Table1[[#This Row],[Others_Parties]] = "co applicant", "Co-applicant",
Table1[[#This Row],[Others_Parties]] = "guarantor", "Guarantor")</f>
        <v>None</v>
      </c>
      <c r="AD978" s="13" t="s">
        <v>146</v>
      </c>
      <c r="AE978" s="2" t="s">
        <v>111</v>
      </c>
      <c r="AF978" s="28" t="str" cm="1">
        <f t="array" ref="AF97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78" s="21">
        <v>6</v>
      </c>
      <c r="AH978" s="2" t="s">
        <v>154</v>
      </c>
      <c r="AI978"/>
      <c r="AZ978"/>
      <c r="BC978"/>
      <c r="BE978"/>
      <c r="BL978"/>
      <c r="BZ978"/>
      <c r="CA978"/>
      <c r="CF978"/>
      <c r="CG978"/>
      <c r="CH978"/>
      <c r="CI978"/>
      <c r="CK978"/>
      <c r="CN978"/>
    </row>
    <row r="979" spans="1:92" x14ac:dyDescent="0.3">
      <c r="A979" s="4">
        <v>977</v>
      </c>
      <c r="B979" s="11">
        <v>21</v>
      </c>
      <c r="C979" s="2" t="str">
        <f>_xlfn.XLOOKUP(Table1[[#This Row],[Age]],Table7[Start_Age],Table7[Age_Range],,-1)</f>
        <v>19-29</v>
      </c>
      <c r="D979" t="s">
        <v>134</v>
      </c>
      <c r="E979" s="2" t="s">
        <v>129</v>
      </c>
      <c r="F979" s="2" t="s">
        <v>135</v>
      </c>
      <c r="G979" s="3">
        <v>1</v>
      </c>
      <c r="H979" s="13" t="s">
        <v>152</v>
      </c>
      <c r="I979" s="2" t="str" cm="1">
        <f t="array" ref="I979">_xlfn.IFS(Table1[[#This Row],[Job_Type]] = "unskilled resident", "Resident",
Table1[[#This Row],[Job_Type]] = "unemp/unskilled non res", "Non-resident",
TRUE, "Unknown")</f>
        <v>Unknown</v>
      </c>
      <c r="J979" s="2" t="s">
        <v>149</v>
      </c>
      <c r="K979" s="3">
        <v>2</v>
      </c>
      <c r="L979" s="2" t="s">
        <v>143</v>
      </c>
      <c r="M979" s="13" t="s">
        <v>151</v>
      </c>
      <c r="N979" t="s">
        <v>17</v>
      </c>
      <c r="O979" s="2" t="str">
        <f>_xlfn.XLOOKUP(Table1[[#This Row],[Checking_Acct_Status]],Table3[Checking_Acct_Original],Table3[Category])</f>
        <v>No Account</v>
      </c>
      <c r="P979" s="10" t="s">
        <v>32</v>
      </c>
      <c r="Q979" s="13" t="str">
        <f>_xlfn.XLOOKUP(Table1[[#This Row],[Saving_Acct_Status]],Table5[Saving_Acct_Original],Table5[Category])</f>
        <v>Low Savings</v>
      </c>
      <c r="R979" t="s">
        <v>41</v>
      </c>
      <c r="S979" s="2" t="str">
        <f>IF(
      OR(Table1[[#This Row],[Job_Type]] = "high qualif/self emp/mgmt", Table1[[#This Row],[Job_Type]] = "skilled"),
      "Skilled", "Unskilled")</f>
        <v>Skilled</v>
      </c>
      <c r="T979" t="str">
        <f>IF(Table1[[#This Row],[Job_Type]] = "unemp/unskilled non res", "Unemployed", "Employed")</f>
        <v>Employed</v>
      </c>
      <c r="U979" t="s">
        <v>21</v>
      </c>
      <c r="V979" s="14" t="str" cm="1">
        <f t="array" ref="V97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79" t="s">
        <v>31</v>
      </c>
      <c r="X979" s="2" t="str">
        <f>_xlfn.XLOOKUP(Table1[[#This Row],[Loan_Credit_History]],Table4[Credit History],Table4[[ Category]])</f>
        <v>Existing Credits Paid</v>
      </c>
      <c r="Y979" s="3">
        <v>1</v>
      </c>
      <c r="Z979" s="3">
        <v>1</v>
      </c>
      <c r="AA979" s="5">
        <v>1766</v>
      </c>
      <c r="AB979" t="s">
        <v>151</v>
      </c>
      <c r="AC979" s="2" t="str" cm="1">
        <f t="array" ref="AC979">_xlfn.IFS(Table1[[#This Row],[Others_Parties]] = "No", "None",
Table1[[#This Row],[Others_Parties]] = "co applicant", "Co-applicant",
Table1[[#This Row],[Others_Parties]] = "guarantor", "Guarantor")</f>
        <v>None</v>
      </c>
      <c r="AD979" s="13" t="s">
        <v>145</v>
      </c>
      <c r="AE979" s="2" t="s">
        <v>108</v>
      </c>
      <c r="AF979" s="28" t="str" cm="1">
        <f t="array" ref="AF97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79" s="21">
        <v>6</v>
      </c>
      <c r="AH979" s="2" t="s">
        <v>154</v>
      </c>
      <c r="AI979"/>
      <c r="AZ979"/>
      <c r="BC979"/>
      <c r="BE979"/>
      <c r="BL979"/>
      <c r="BZ979"/>
      <c r="CA979"/>
      <c r="CF979"/>
      <c r="CG979"/>
      <c r="CH979"/>
      <c r="CI979"/>
      <c r="CK979"/>
      <c r="CN979"/>
    </row>
    <row r="980" spans="1:92" x14ac:dyDescent="0.3">
      <c r="A980" s="4">
        <v>978</v>
      </c>
      <c r="B980" s="11">
        <v>36</v>
      </c>
      <c r="C980" s="2" t="str">
        <f>_xlfn.XLOOKUP(Table1[[#This Row],[Age]],Table7[Start_Age],Table7[Age_Range],,-1)</f>
        <v>29-39</v>
      </c>
      <c r="D980" t="s">
        <v>130</v>
      </c>
      <c r="E980" s="2" t="s">
        <v>129</v>
      </c>
      <c r="F980" s="2" t="s">
        <v>133</v>
      </c>
      <c r="G980" s="3">
        <v>1</v>
      </c>
      <c r="H980" s="13" t="s">
        <v>152</v>
      </c>
      <c r="I980" s="2" t="str" cm="1">
        <f t="array" ref="I980">_xlfn.IFS(Table1[[#This Row],[Job_Type]] = "unskilled resident", "Resident",
Table1[[#This Row],[Job_Type]] = "unemp/unskilled non res", "Non-resident",
TRUE, "Unknown")</f>
        <v>Unknown</v>
      </c>
      <c r="J980" s="2" t="s">
        <v>150</v>
      </c>
      <c r="K980" s="3">
        <v>4</v>
      </c>
      <c r="L980" s="2" t="s">
        <v>142</v>
      </c>
      <c r="M980" s="13" t="s">
        <v>152</v>
      </c>
      <c r="N980" t="s">
        <v>35</v>
      </c>
      <c r="O980" s="2" t="str">
        <f>_xlfn.XLOOKUP(Table1[[#This Row],[Checking_Acct_Status]],Table3[Checking_Acct_Original],Table3[Category])</f>
        <v>Negative Balance</v>
      </c>
      <c r="P980" s="10" t="s">
        <v>32</v>
      </c>
      <c r="Q980" s="13" t="str">
        <f>_xlfn.XLOOKUP(Table1[[#This Row],[Saving_Acct_Status]],Table5[Saving_Acct_Original],Table5[Category])</f>
        <v>Low Savings</v>
      </c>
      <c r="R980" t="s">
        <v>63</v>
      </c>
      <c r="S980" s="2" t="str">
        <f>IF(
      OR(Table1[[#This Row],[Job_Type]] = "high qualif/self emp/mgmt", Table1[[#This Row],[Job_Type]] = "skilled"),
      "Skilled", "Unskilled")</f>
        <v>Skilled</v>
      </c>
      <c r="T980" t="str">
        <f>IF(Table1[[#This Row],[Job_Type]] = "unemp/unskilled non res", "Unemployed", "Employed")</f>
        <v>Employed</v>
      </c>
      <c r="U980" t="s">
        <v>54</v>
      </c>
      <c r="V980" s="14" t="str" cm="1">
        <f t="array" ref="V980">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980" t="s">
        <v>103</v>
      </c>
      <c r="X980" s="2" t="str">
        <f>_xlfn.XLOOKUP(Table1[[#This Row],[Loan_Credit_History]],Table4[Credit History],Table4[[ Category]])</f>
        <v>Critical Credit History</v>
      </c>
      <c r="Y980" s="3">
        <v>4</v>
      </c>
      <c r="Z980" s="3">
        <v>3</v>
      </c>
      <c r="AA980" s="5">
        <v>1872</v>
      </c>
      <c r="AB980" t="s">
        <v>151</v>
      </c>
      <c r="AC980" s="2" t="str" cm="1">
        <f t="array" ref="AC980">_xlfn.IFS(Table1[[#This Row],[Others_Parties]] = "No", "None",
Table1[[#This Row],[Others_Parties]] = "co applicant", "Co-applicant",
Table1[[#This Row],[Others_Parties]] = "guarantor", "Guarantor")</f>
        <v>None</v>
      </c>
      <c r="AD980" s="13" t="s">
        <v>145</v>
      </c>
      <c r="AE980" s="2" t="s">
        <v>108</v>
      </c>
      <c r="AF980" s="28" t="str" cm="1">
        <f t="array" ref="AF98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80" s="21">
        <v>6</v>
      </c>
      <c r="AH980" s="2" t="s">
        <v>154</v>
      </c>
      <c r="AI980"/>
      <c r="AZ980"/>
      <c r="BC980"/>
      <c r="BE980"/>
      <c r="BL980"/>
      <c r="BZ980"/>
      <c r="CA980"/>
      <c r="CF980"/>
      <c r="CG980"/>
      <c r="CH980"/>
      <c r="CI980"/>
      <c r="CK980"/>
      <c r="CN980"/>
    </row>
    <row r="981" spans="1:92" x14ac:dyDescent="0.3">
      <c r="A981" s="4">
        <v>979</v>
      </c>
      <c r="B981" s="11">
        <v>34</v>
      </c>
      <c r="C981" s="2" t="str">
        <f>_xlfn.XLOOKUP(Table1[[#This Row],[Age]],Table7[Start_Age],Table7[Age_Range],,-1)</f>
        <v>29-39</v>
      </c>
      <c r="D981" t="s">
        <v>130</v>
      </c>
      <c r="E981" s="2" t="s">
        <v>129</v>
      </c>
      <c r="F981" s="2" t="s">
        <v>133</v>
      </c>
      <c r="G981" s="3">
        <v>2</v>
      </c>
      <c r="H981" s="13" t="s">
        <v>152</v>
      </c>
      <c r="I981" s="2" t="str" cm="1">
        <f t="array" ref="I981">_xlfn.IFS(Table1[[#This Row],[Job_Type]] = "unskilled resident", "Resident",
Table1[[#This Row],[Job_Type]] = "unemp/unskilled non res", "Non-resident",
TRUE, "Unknown")</f>
        <v>Resident</v>
      </c>
      <c r="J981" s="2" t="s">
        <v>148</v>
      </c>
      <c r="K981" s="3">
        <v>2</v>
      </c>
      <c r="L981" s="2" t="s">
        <v>144</v>
      </c>
      <c r="M981" s="13" t="s">
        <v>151</v>
      </c>
      <c r="N981" t="s">
        <v>17</v>
      </c>
      <c r="O981" s="2" t="str">
        <f>_xlfn.XLOOKUP(Table1[[#This Row],[Checking_Acct_Status]],Table3[Checking_Acct_Original],Table3[Category])</f>
        <v>No Account</v>
      </c>
      <c r="P981" s="10" t="s">
        <v>47</v>
      </c>
      <c r="Q981" s="13" t="str">
        <f>_xlfn.XLOOKUP(Table1[[#This Row],[Saving_Acct_Status]],Table5[Saving_Acct_Original],Table5[Category])</f>
        <v>No Savings</v>
      </c>
      <c r="R981" t="s">
        <v>27</v>
      </c>
      <c r="S981" s="2" t="str">
        <f>IF(
      OR(Table1[[#This Row],[Job_Type]] = "high qualif/self emp/mgmt", Table1[[#This Row],[Job_Type]] = "skilled"),
      "Skilled", "Unskilled")</f>
        <v>Unskilled</v>
      </c>
      <c r="T981" t="str">
        <f>IF(Table1[[#This Row],[Job_Type]] = "unemp/unskilled non res", "Unemployed", "Employed")</f>
        <v>Employed</v>
      </c>
      <c r="U981" t="s">
        <v>21</v>
      </c>
      <c r="V981" s="14" t="str" cm="1">
        <f t="array" ref="V98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81" t="s">
        <v>103</v>
      </c>
      <c r="X981" s="2" t="str">
        <f>_xlfn.XLOOKUP(Table1[[#This Row],[Loan_Credit_History]],Table4[Credit History],Table4[[ Category]])</f>
        <v>Critical Credit History</v>
      </c>
      <c r="Y981" s="3">
        <v>1</v>
      </c>
      <c r="Z981" s="3">
        <v>2</v>
      </c>
      <c r="AA981" s="5">
        <v>1898</v>
      </c>
      <c r="AB981" t="s">
        <v>151</v>
      </c>
      <c r="AC981" s="2" t="str" cm="1">
        <f t="array" ref="AC981">_xlfn.IFS(Table1[[#This Row],[Others_Parties]] = "No", "None",
Table1[[#This Row],[Others_Parties]] = "co applicant", "Co-applicant",
Table1[[#This Row],[Others_Parties]] = "guarantor", "Guarantor")</f>
        <v>None</v>
      </c>
      <c r="AD981" s="13" t="s">
        <v>145</v>
      </c>
      <c r="AE981" s="2" t="s">
        <v>111</v>
      </c>
      <c r="AF981" s="28" t="str" cm="1">
        <f t="array" ref="AF98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81" s="21">
        <v>6</v>
      </c>
      <c r="AH981" s="2" t="s">
        <v>154</v>
      </c>
      <c r="AI981"/>
      <c r="AZ981"/>
      <c r="BC981"/>
      <c r="BE981"/>
      <c r="BL981"/>
      <c r="BZ981"/>
      <c r="CA981"/>
      <c r="CF981"/>
      <c r="CG981"/>
      <c r="CH981"/>
      <c r="CI981"/>
      <c r="CK981"/>
      <c r="CN981"/>
    </row>
    <row r="982" spans="1:92" x14ac:dyDescent="0.3">
      <c r="A982" s="4">
        <v>980</v>
      </c>
      <c r="B982" s="11">
        <v>31</v>
      </c>
      <c r="C982" s="2" t="str">
        <f>_xlfn.XLOOKUP(Table1[[#This Row],[Age]],Table7[Start_Age],Table7[Age_Range],,-1)</f>
        <v>29-39</v>
      </c>
      <c r="D982" t="s">
        <v>136</v>
      </c>
      <c r="E982" s="2" t="s">
        <v>131</v>
      </c>
      <c r="F982" s="2" t="s">
        <v>137</v>
      </c>
      <c r="G982" s="3">
        <v>1</v>
      </c>
      <c r="H982" s="13" t="s">
        <v>152</v>
      </c>
      <c r="I982" s="2" t="str" cm="1">
        <f t="array" ref="I982">_xlfn.IFS(Table1[[#This Row],[Job_Type]] = "unskilled resident", "Resident",
Table1[[#This Row],[Job_Type]] = "unemp/unskilled non res", "Non-resident",
TRUE, "Unknown")</f>
        <v>Unknown</v>
      </c>
      <c r="J982" s="2" t="s">
        <v>148</v>
      </c>
      <c r="K982" s="3">
        <v>4</v>
      </c>
      <c r="L982" s="2" t="s">
        <v>140</v>
      </c>
      <c r="M982" s="13" t="s">
        <v>151</v>
      </c>
      <c r="N982" t="s">
        <v>35</v>
      </c>
      <c r="O982" s="2" t="str">
        <f>_xlfn.XLOOKUP(Table1[[#This Row],[Checking_Acct_Status]],Table3[Checking_Acct_Original],Table3[Category])</f>
        <v>Negative Balance</v>
      </c>
      <c r="P982" s="10" t="s">
        <v>32</v>
      </c>
      <c r="Q982" s="13" t="str">
        <f>_xlfn.XLOOKUP(Table1[[#This Row],[Saving_Acct_Status]],Table5[Saving_Acct_Original],Table5[Category])</f>
        <v>Low Savings</v>
      </c>
      <c r="R982" t="s">
        <v>41</v>
      </c>
      <c r="S982" s="2" t="str">
        <f>IF(
      OR(Table1[[#This Row],[Job_Type]] = "high qualif/self emp/mgmt", Table1[[#This Row],[Job_Type]] = "skilled"),
      "Skilled", "Unskilled")</f>
        <v>Skilled</v>
      </c>
      <c r="T982" t="str">
        <f>IF(Table1[[#This Row],[Job_Type]] = "unemp/unskilled non res", "Unemployed", "Employed")</f>
        <v>Employed</v>
      </c>
      <c r="U982" t="s">
        <v>49</v>
      </c>
      <c r="V982" s="14" t="str" cm="1">
        <f t="array" ref="V98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82" t="s">
        <v>103</v>
      </c>
      <c r="X982" s="2" t="str">
        <f>_xlfn.XLOOKUP(Table1[[#This Row],[Loan_Credit_History]],Table4[Credit History],Table4[[ Category]])</f>
        <v>Critical Credit History</v>
      </c>
      <c r="Y982" s="3">
        <v>1</v>
      </c>
      <c r="Z982" s="3">
        <v>1</v>
      </c>
      <c r="AA982" s="5">
        <v>1957</v>
      </c>
      <c r="AB982" t="s">
        <v>151</v>
      </c>
      <c r="AC982" s="2" t="str" cm="1">
        <f t="array" ref="AC982">_xlfn.IFS(Table1[[#This Row],[Others_Parties]] = "No", "None",
Table1[[#This Row],[Others_Parties]] = "co applicant", "Co-applicant",
Table1[[#This Row],[Others_Parties]] = "guarantor", "Guarantor")</f>
        <v>None</v>
      </c>
      <c r="AD982" s="13" t="s">
        <v>145</v>
      </c>
      <c r="AE982" s="2" t="s">
        <v>111</v>
      </c>
      <c r="AF982" s="28" t="str" cm="1">
        <f t="array" ref="AF98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82" s="21">
        <v>6</v>
      </c>
      <c r="AH982" s="2" t="s">
        <v>154</v>
      </c>
      <c r="AI982"/>
      <c r="AZ982"/>
      <c r="BC982"/>
      <c r="BE982"/>
      <c r="BL982"/>
      <c r="BZ982"/>
      <c r="CA982"/>
      <c r="CF982"/>
      <c r="CG982"/>
      <c r="CH982"/>
      <c r="CI982"/>
      <c r="CK982"/>
      <c r="CN982"/>
    </row>
    <row r="983" spans="1:92" x14ac:dyDescent="0.3">
      <c r="A983" s="4">
        <v>981</v>
      </c>
      <c r="B983" s="11">
        <v>30</v>
      </c>
      <c r="C983" s="2" t="str">
        <f>_xlfn.XLOOKUP(Table1[[#This Row],[Age]],Table7[Start_Age],Table7[Age_Range],,-1)</f>
        <v>29-39</v>
      </c>
      <c r="D983" t="s">
        <v>134</v>
      </c>
      <c r="E983" s="2" t="s">
        <v>129</v>
      </c>
      <c r="F983" s="2" t="s">
        <v>135</v>
      </c>
      <c r="G983" s="3">
        <v>1</v>
      </c>
      <c r="H983" s="13" t="s">
        <v>152</v>
      </c>
      <c r="I983" s="2" t="str" cm="1">
        <f t="array" ref="I983">_xlfn.IFS(Table1[[#This Row],[Job_Type]] = "unskilled resident", "Resident",
Table1[[#This Row],[Job_Type]] = "unemp/unskilled non res", "Non-resident",
TRUE, "Unknown")</f>
        <v>Unknown</v>
      </c>
      <c r="J983" s="2" t="s">
        <v>149</v>
      </c>
      <c r="K983" s="3">
        <v>3</v>
      </c>
      <c r="L983" s="2" t="s">
        <v>140</v>
      </c>
      <c r="M983" s="13" t="s">
        <v>152</v>
      </c>
      <c r="N983" t="s">
        <v>30</v>
      </c>
      <c r="O983" s="2" t="str">
        <f>_xlfn.XLOOKUP(Table1[[#This Row],[Checking_Acct_Status]],Table3[Checking_Acct_Original],Table3[Category])</f>
        <v>Low Balance</v>
      </c>
      <c r="P983" s="10" t="s">
        <v>32</v>
      </c>
      <c r="Q983" s="13" t="str">
        <f>_xlfn.XLOOKUP(Table1[[#This Row],[Saving_Acct_Status]],Table5[Saving_Acct_Original],Table5[Category])</f>
        <v>Low Savings</v>
      </c>
      <c r="R983" t="s">
        <v>63</v>
      </c>
      <c r="S983" s="2" t="str">
        <f>IF(
      OR(Table1[[#This Row],[Job_Type]] = "high qualif/self emp/mgmt", Table1[[#This Row],[Job_Type]] = "skilled"),
      "Skilled", "Unskilled")</f>
        <v>Skilled</v>
      </c>
      <c r="T983" t="str">
        <f>IF(Table1[[#This Row],[Job_Type]] = "unemp/unskilled non res", "Unemployed", "Employed")</f>
        <v>Employed</v>
      </c>
      <c r="U983" t="s">
        <v>45</v>
      </c>
      <c r="V983" s="14" t="str" cm="1">
        <f t="array" ref="V98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83" t="s">
        <v>31</v>
      </c>
      <c r="X983" s="2" t="str">
        <f>_xlfn.XLOOKUP(Table1[[#This Row],[Loan_Credit_History]],Table4[Credit History],Table4[[ Category]])</f>
        <v>Existing Credits Paid</v>
      </c>
      <c r="Y983" s="3">
        <v>4</v>
      </c>
      <c r="Z983" s="3">
        <v>1</v>
      </c>
      <c r="AA983" s="5">
        <v>2063</v>
      </c>
      <c r="AB983" t="s">
        <v>151</v>
      </c>
      <c r="AC983" s="2" t="str" cm="1">
        <f t="array" ref="AC983">_xlfn.IFS(Table1[[#This Row],[Others_Parties]] = "No", "None",
Table1[[#This Row],[Others_Parties]] = "co applicant", "Co-applicant",
Table1[[#This Row],[Others_Parties]] = "guarantor", "Guarantor")</f>
        <v>None</v>
      </c>
      <c r="AD983" s="13" t="s">
        <v>145</v>
      </c>
      <c r="AE983" s="2" t="s">
        <v>111</v>
      </c>
      <c r="AF983" s="28" t="str" cm="1">
        <f t="array" ref="AF98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83" s="21">
        <v>6</v>
      </c>
      <c r="AH983" s="2" t="s">
        <v>154</v>
      </c>
      <c r="AI983"/>
      <c r="AZ983"/>
      <c r="BC983"/>
      <c r="BE983"/>
      <c r="BL983"/>
      <c r="BZ983"/>
      <c r="CA983"/>
      <c r="CF983"/>
      <c r="CG983"/>
      <c r="CH983"/>
      <c r="CI983"/>
      <c r="CK983"/>
      <c r="CN983"/>
    </row>
    <row r="984" spans="1:92" x14ac:dyDescent="0.3">
      <c r="A984" s="4">
        <v>982</v>
      </c>
      <c r="B984" s="11">
        <v>24</v>
      </c>
      <c r="C984" s="2" t="str">
        <f>_xlfn.XLOOKUP(Table1[[#This Row],[Age]],Table7[Start_Age],Table7[Age_Range],,-1)</f>
        <v>19-29</v>
      </c>
      <c r="D984" t="s">
        <v>134</v>
      </c>
      <c r="E984" s="2" t="s">
        <v>129</v>
      </c>
      <c r="F984" s="2" t="s">
        <v>135</v>
      </c>
      <c r="G984" s="3">
        <v>1</v>
      </c>
      <c r="H984" s="13" t="s">
        <v>152</v>
      </c>
      <c r="I984" s="2" t="str" cm="1">
        <f t="array" ref="I984">_xlfn.IFS(Table1[[#This Row],[Job_Type]] = "unskilled resident", "Resident",
Table1[[#This Row],[Job_Type]] = "unemp/unskilled non res", "Non-resident",
TRUE, "Unknown")</f>
        <v>Unknown</v>
      </c>
      <c r="J984" s="2" t="s">
        <v>148</v>
      </c>
      <c r="K984" s="3">
        <v>2</v>
      </c>
      <c r="L984" s="2" t="s">
        <v>140</v>
      </c>
      <c r="M984" s="13" t="s">
        <v>151</v>
      </c>
      <c r="N984" t="s">
        <v>17</v>
      </c>
      <c r="O984" s="2" t="str">
        <f>_xlfn.XLOOKUP(Table1[[#This Row],[Checking_Acct_Status]],Table3[Checking_Acct_Original],Table3[Category])</f>
        <v>No Account</v>
      </c>
      <c r="P984" s="10" t="s">
        <v>37</v>
      </c>
      <c r="Q984" s="13" t="str">
        <f>_xlfn.XLOOKUP(Table1[[#This Row],[Saving_Acct_Status]],Table5[Saving_Acct_Original],Table5[Category])</f>
        <v>High Savings</v>
      </c>
      <c r="R984" t="s">
        <v>41</v>
      </c>
      <c r="S984" s="2" t="str">
        <f>IF(
      OR(Table1[[#This Row],[Job_Type]] = "high qualif/self emp/mgmt", Table1[[#This Row],[Job_Type]] = "skilled"),
      "Skilled", "Unskilled")</f>
        <v>Skilled</v>
      </c>
      <c r="T984" t="str">
        <f>IF(Table1[[#This Row],[Job_Type]] = "unemp/unskilled non res", "Unemployed", "Employed")</f>
        <v>Employed</v>
      </c>
      <c r="U984" t="s">
        <v>21</v>
      </c>
      <c r="V984" s="14" t="str" cm="1">
        <f t="array" ref="V984">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84" t="s">
        <v>103</v>
      </c>
      <c r="X984" s="2" t="str">
        <f>_xlfn.XLOOKUP(Table1[[#This Row],[Loan_Credit_History]],Table4[Credit History],Table4[[ Category]])</f>
        <v>Critical Credit History</v>
      </c>
      <c r="Y984" s="3">
        <v>1</v>
      </c>
      <c r="Z984" s="3">
        <v>1</v>
      </c>
      <c r="AA984" s="5">
        <v>2080</v>
      </c>
      <c r="AB984" t="s">
        <v>151</v>
      </c>
      <c r="AC984" s="2" t="str" cm="1">
        <f t="array" ref="AC984">_xlfn.IFS(Table1[[#This Row],[Others_Parties]] = "No", "None",
Table1[[#This Row],[Others_Parties]] = "co applicant", "Co-applicant",
Table1[[#This Row],[Others_Parties]] = "guarantor", "Guarantor")</f>
        <v>None</v>
      </c>
      <c r="AD984" s="13" t="s">
        <v>145</v>
      </c>
      <c r="AE984" s="2" t="s">
        <v>141</v>
      </c>
      <c r="AF984" s="28" t="str" cm="1">
        <f t="array" ref="AF98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84" s="21">
        <v>6</v>
      </c>
      <c r="AH984" s="2" t="s">
        <v>154</v>
      </c>
      <c r="AI984"/>
      <c r="AZ984"/>
      <c r="BC984"/>
      <c r="BE984"/>
      <c r="BL984"/>
      <c r="BZ984"/>
      <c r="CA984"/>
      <c r="CF984"/>
      <c r="CG984"/>
      <c r="CH984"/>
      <c r="CI984"/>
      <c r="CK984"/>
      <c r="CN984"/>
    </row>
    <row r="985" spans="1:92" x14ac:dyDescent="0.3">
      <c r="A985" s="4">
        <v>983</v>
      </c>
      <c r="B985" s="11">
        <v>29</v>
      </c>
      <c r="C985" s="2" t="str">
        <f>_xlfn.XLOOKUP(Table1[[#This Row],[Age]],Table7[Start_Age],Table7[Age_Range],,-1)</f>
        <v>29-39</v>
      </c>
      <c r="D985" t="s">
        <v>134</v>
      </c>
      <c r="E985" s="2" t="s">
        <v>129</v>
      </c>
      <c r="F985" s="2" t="s">
        <v>135</v>
      </c>
      <c r="G985" s="3">
        <v>1</v>
      </c>
      <c r="H985" s="13" t="s">
        <v>152</v>
      </c>
      <c r="I985" s="2" t="str" cm="1">
        <f t="array" ref="I985">_xlfn.IFS(Table1[[#This Row],[Job_Type]] = "unskilled resident", "Resident",
Table1[[#This Row],[Job_Type]] = "unemp/unskilled non res", "Non-resident",
TRUE, "Unknown")</f>
        <v>Unknown</v>
      </c>
      <c r="J985" s="2" t="s">
        <v>149</v>
      </c>
      <c r="K985" s="3">
        <v>2</v>
      </c>
      <c r="L985" s="2" t="s">
        <v>144</v>
      </c>
      <c r="M985" s="13" t="s">
        <v>151</v>
      </c>
      <c r="N985" t="s">
        <v>17</v>
      </c>
      <c r="O985" s="2" t="str">
        <f>_xlfn.XLOOKUP(Table1[[#This Row],[Checking_Acct_Status]],Table3[Checking_Acct_Original],Table3[Category])</f>
        <v>No Account</v>
      </c>
      <c r="P985" s="10" t="s">
        <v>32</v>
      </c>
      <c r="Q985" s="13" t="str">
        <f>_xlfn.XLOOKUP(Table1[[#This Row],[Saving_Acct_Status]],Table5[Saving_Acct_Original],Table5[Category])</f>
        <v>Low Savings</v>
      </c>
      <c r="R985" t="s">
        <v>41</v>
      </c>
      <c r="S985" s="2" t="str">
        <f>IF(
      OR(Table1[[#This Row],[Job_Type]] = "high qualif/self emp/mgmt", Table1[[#This Row],[Job_Type]] = "skilled"),
      "Skilled", "Unskilled")</f>
        <v>Skilled</v>
      </c>
      <c r="T985" t="str">
        <f>IF(Table1[[#This Row],[Job_Type]] = "unemp/unskilled non res", "Unemployed", "Employed")</f>
        <v>Employed</v>
      </c>
      <c r="U985" t="s">
        <v>49</v>
      </c>
      <c r="V985" s="14" t="str" cm="1">
        <f t="array" ref="V985">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85" t="s">
        <v>31</v>
      </c>
      <c r="X985" s="2" t="str">
        <f>_xlfn.XLOOKUP(Table1[[#This Row],[Loan_Credit_History]],Table4[Credit History],Table4[[ Category]])</f>
        <v>Existing Credits Paid</v>
      </c>
      <c r="Y985" s="3">
        <v>2</v>
      </c>
      <c r="Z985" s="3">
        <v>1</v>
      </c>
      <c r="AA985" s="5">
        <v>2108</v>
      </c>
      <c r="AB985" t="s">
        <v>151</v>
      </c>
      <c r="AC985" s="2" t="str" cm="1">
        <f t="array" ref="AC985">_xlfn.IFS(Table1[[#This Row],[Others_Parties]] = "No", "None",
Table1[[#This Row],[Others_Parties]] = "co applicant", "Co-applicant",
Table1[[#This Row],[Others_Parties]] = "guarantor", "Guarantor")</f>
        <v>None</v>
      </c>
      <c r="AD985" s="13" t="s">
        <v>145</v>
      </c>
      <c r="AE985" s="2" t="s">
        <v>111</v>
      </c>
      <c r="AF985" s="28" t="str" cm="1">
        <f t="array" ref="AF98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85" s="21">
        <v>6</v>
      </c>
      <c r="AH985" s="2" t="s">
        <v>154</v>
      </c>
      <c r="AI985"/>
      <c r="AZ985"/>
      <c r="BC985"/>
      <c r="BE985"/>
      <c r="BL985"/>
      <c r="BZ985"/>
      <c r="CA985"/>
      <c r="CF985"/>
      <c r="CG985"/>
      <c r="CH985"/>
      <c r="CI985"/>
      <c r="CK985"/>
      <c r="CN985"/>
    </row>
    <row r="986" spans="1:92" x14ac:dyDescent="0.3">
      <c r="A986" s="4">
        <v>984</v>
      </c>
      <c r="B986" s="11">
        <v>41</v>
      </c>
      <c r="C986" s="2" t="str">
        <f>_xlfn.XLOOKUP(Table1[[#This Row],[Age]],Table7[Start_Age],Table7[Age_Range],,-1)</f>
        <v>39-49</v>
      </c>
      <c r="D986" t="s">
        <v>130</v>
      </c>
      <c r="E986" s="2" t="s">
        <v>129</v>
      </c>
      <c r="F986" s="2" t="s">
        <v>133</v>
      </c>
      <c r="G986" s="3">
        <v>1</v>
      </c>
      <c r="H986" s="13" t="s">
        <v>152</v>
      </c>
      <c r="I986" s="2" t="str" cm="1">
        <f t="array" ref="I986">_xlfn.IFS(Table1[[#This Row],[Job_Type]] = "unskilled resident", "Resident",
Table1[[#This Row],[Job_Type]] = "unemp/unskilled non res", "Non-resident",
TRUE, "Unknown")</f>
        <v>Unknown</v>
      </c>
      <c r="J986" s="2" t="s">
        <v>148</v>
      </c>
      <c r="K986" s="3">
        <v>2</v>
      </c>
      <c r="L986" s="2" t="s">
        <v>144</v>
      </c>
      <c r="M986" s="13" t="s">
        <v>152</v>
      </c>
      <c r="N986" t="s">
        <v>50</v>
      </c>
      <c r="O986" s="2" t="str">
        <f>_xlfn.XLOOKUP(Table1[[#This Row],[Checking_Acct_Status]],Table3[Checking_Acct_Original],Table3[Category])</f>
        <v>High Balance</v>
      </c>
      <c r="P986" s="10" t="s">
        <v>32</v>
      </c>
      <c r="Q986" s="13" t="str">
        <f>_xlfn.XLOOKUP(Table1[[#This Row],[Saving_Acct_Status]],Table5[Saving_Acct_Original],Table5[Category])</f>
        <v>Low Savings</v>
      </c>
      <c r="R986" t="s">
        <v>41</v>
      </c>
      <c r="S986" s="2" t="str">
        <f>IF(
      OR(Table1[[#This Row],[Job_Type]] = "high qualif/self emp/mgmt", Table1[[#This Row],[Job_Type]] = "skilled"),
      "Skilled", "Unskilled")</f>
        <v>Skilled</v>
      </c>
      <c r="T986" t="str">
        <f>IF(Table1[[#This Row],[Job_Type]] = "unemp/unskilled non res", "Unemployed", "Employed")</f>
        <v>Employed</v>
      </c>
      <c r="U986" t="s">
        <v>21</v>
      </c>
      <c r="V986" s="14" t="str" cm="1">
        <f t="array" ref="V986">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86" t="s">
        <v>31</v>
      </c>
      <c r="X986" s="2" t="str">
        <f>_xlfn.XLOOKUP(Table1[[#This Row],[Loan_Credit_History]],Table4[Credit History],Table4[[ Category]])</f>
        <v>Existing Credits Paid</v>
      </c>
      <c r="Y986" s="3">
        <v>2</v>
      </c>
      <c r="Z986" s="3">
        <v>1</v>
      </c>
      <c r="AA986" s="5">
        <v>2116</v>
      </c>
      <c r="AB986" t="s">
        <v>151</v>
      </c>
      <c r="AC986" s="2" t="str" cm="1">
        <f t="array" ref="AC986">_xlfn.IFS(Table1[[#This Row],[Others_Parties]] = "No", "None",
Table1[[#This Row],[Others_Parties]] = "co applicant", "Co-applicant",
Table1[[#This Row],[Others_Parties]] = "guarantor", "Guarantor")</f>
        <v>None</v>
      </c>
      <c r="AD986" s="13" t="s">
        <v>145</v>
      </c>
      <c r="AE986" s="2" t="s">
        <v>108</v>
      </c>
      <c r="AF986" s="28" t="str" cm="1">
        <f t="array" ref="AF98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86" s="21">
        <v>6</v>
      </c>
      <c r="AH986" s="2" t="s">
        <v>154</v>
      </c>
      <c r="AI986"/>
      <c r="AZ986"/>
      <c r="BC986"/>
      <c r="BE986"/>
      <c r="BL986"/>
      <c r="BZ986"/>
      <c r="CA986"/>
      <c r="CF986"/>
      <c r="CG986"/>
      <c r="CH986"/>
      <c r="CI986"/>
      <c r="CK986"/>
      <c r="CN986"/>
    </row>
    <row r="987" spans="1:92" x14ac:dyDescent="0.3">
      <c r="A987" s="4">
        <v>985</v>
      </c>
      <c r="B987" s="11">
        <v>44</v>
      </c>
      <c r="C987" s="2" t="str">
        <f>_xlfn.XLOOKUP(Table1[[#This Row],[Age]],Table7[Start_Age],Table7[Age_Range],,-1)</f>
        <v>39-49</v>
      </c>
      <c r="D987" t="s">
        <v>130</v>
      </c>
      <c r="E987" s="2" t="s">
        <v>129</v>
      </c>
      <c r="F987" s="2" t="s">
        <v>133</v>
      </c>
      <c r="G987" s="3">
        <v>2</v>
      </c>
      <c r="H987" s="13" t="s">
        <v>152</v>
      </c>
      <c r="I987" s="2" t="str" cm="1">
        <f t="array" ref="I987">_xlfn.IFS(Table1[[#This Row],[Job_Type]] = "unskilled resident", "Resident",
Table1[[#This Row],[Job_Type]] = "unemp/unskilled non res", "Non-resident",
TRUE, "Unknown")</f>
        <v>Unknown</v>
      </c>
      <c r="J987" s="2" t="s">
        <v>149</v>
      </c>
      <c r="K987" s="3">
        <v>3</v>
      </c>
      <c r="L987" s="2" t="s">
        <v>144</v>
      </c>
      <c r="M987" s="13" t="s">
        <v>151</v>
      </c>
      <c r="N987" t="s">
        <v>35</v>
      </c>
      <c r="O987" s="2" t="str">
        <f>_xlfn.XLOOKUP(Table1[[#This Row],[Checking_Acct_Status]],Table3[Checking_Acct_Original],Table3[Category])</f>
        <v>Negative Balance</v>
      </c>
      <c r="P987" s="10" t="s">
        <v>37</v>
      </c>
      <c r="Q987" s="13" t="str">
        <f>_xlfn.XLOOKUP(Table1[[#This Row],[Saving_Acct_Status]],Table5[Saving_Acct_Original],Table5[Category])</f>
        <v>High Savings</v>
      </c>
      <c r="R987" t="s">
        <v>41</v>
      </c>
      <c r="S987" s="2" t="str">
        <f>IF(
      OR(Table1[[#This Row],[Job_Type]] = "high qualif/self emp/mgmt", Table1[[#This Row],[Job_Type]] = "skilled"),
      "Skilled", "Unskilled")</f>
        <v>Skilled</v>
      </c>
      <c r="T987" t="str">
        <f>IF(Table1[[#This Row],[Job_Type]] = "unemp/unskilled non res", "Unemployed", "Employed")</f>
        <v>Employed</v>
      </c>
      <c r="U987" t="s">
        <v>21</v>
      </c>
      <c r="V987" s="14" t="str" cm="1">
        <f t="array" ref="V987">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87" t="s">
        <v>31</v>
      </c>
      <c r="X987" s="2" t="str">
        <f>_xlfn.XLOOKUP(Table1[[#This Row],[Loan_Credit_History]],Table4[Credit History],Table4[[ Category]])</f>
        <v>Existing Credits Paid</v>
      </c>
      <c r="Y987" s="3">
        <v>2</v>
      </c>
      <c r="Z987" s="3">
        <v>1</v>
      </c>
      <c r="AA987" s="5">
        <v>2647</v>
      </c>
      <c r="AB987" t="s">
        <v>151</v>
      </c>
      <c r="AC987" s="2" t="str" cm="1">
        <f t="array" ref="AC987">_xlfn.IFS(Table1[[#This Row],[Others_Parties]] = "No", "None",
Table1[[#This Row],[Others_Parties]] = "co applicant", "Co-applicant",
Table1[[#This Row],[Others_Parties]] = "guarantor", "Guarantor")</f>
        <v>None</v>
      </c>
      <c r="AD987" s="13" t="s">
        <v>145</v>
      </c>
      <c r="AE987" s="2" t="s">
        <v>111</v>
      </c>
      <c r="AF987" s="28" t="str" cm="1">
        <f t="array" ref="AF98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87" s="21">
        <v>6</v>
      </c>
      <c r="AH987" s="2" t="s">
        <v>154</v>
      </c>
      <c r="AI987"/>
      <c r="AZ987"/>
      <c r="BC987"/>
      <c r="BE987"/>
      <c r="BL987"/>
      <c r="BZ987"/>
      <c r="CA987"/>
      <c r="CF987"/>
      <c r="CG987"/>
      <c r="CH987"/>
      <c r="CI987"/>
      <c r="CK987"/>
      <c r="CN987"/>
    </row>
    <row r="988" spans="1:92" x14ac:dyDescent="0.3">
      <c r="A988" s="4">
        <v>986</v>
      </c>
      <c r="B988" s="11">
        <v>32</v>
      </c>
      <c r="C988" s="2" t="str">
        <f>_xlfn.XLOOKUP(Table1[[#This Row],[Age]],Table7[Start_Age],Table7[Age_Range],,-1)</f>
        <v>29-39</v>
      </c>
      <c r="D988" t="s">
        <v>130</v>
      </c>
      <c r="E988" s="2" t="s">
        <v>129</v>
      </c>
      <c r="F988" s="2" t="s">
        <v>133</v>
      </c>
      <c r="G988" s="3">
        <v>1</v>
      </c>
      <c r="H988" s="13" t="s">
        <v>152</v>
      </c>
      <c r="I988" s="2" t="str" cm="1">
        <f t="array" ref="I988">_xlfn.IFS(Table1[[#This Row],[Job_Type]] = "unskilled resident", "Resident",
Table1[[#This Row],[Job_Type]] = "unemp/unskilled non res", "Non-resident",
TRUE, "Unknown")</f>
        <v>Unknown</v>
      </c>
      <c r="J988" s="2" t="s">
        <v>148</v>
      </c>
      <c r="K988" s="3">
        <v>2</v>
      </c>
      <c r="L988" s="2" t="s">
        <v>140</v>
      </c>
      <c r="M988" s="13" t="s">
        <v>152</v>
      </c>
      <c r="N988" t="s">
        <v>17</v>
      </c>
      <c r="O988" s="2" t="str">
        <f>_xlfn.XLOOKUP(Table1[[#This Row],[Checking_Acct_Status]],Table3[Checking_Acct_Original],Table3[Category])</f>
        <v>No Account</v>
      </c>
      <c r="P988" s="10" t="s">
        <v>37</v>
      </c>
      <c r="Q988" s="13" t="str">
        <f>_xlfn.XLOOKUP(Table1[[#This Row],[Saving_Acct_Status]],Table5[Saving_Acct_Original],Table5[Category])</f>
        <v>High Savings</v>
      </c>
      <c r="R988" t="s">
        <v>41</v>
      </c>
      <c r="S988" s="2" t="str">
        <f>IF(
      OR(Table1[[#This Row],[Job_Type]] = "high qualif/self emp/mgmt", Table1[[#This Row],[Job_Type]] = "skilled"),
      "Skilled", "Unskilled")</f>
        <v>Skilled</v>
      </c>
      <c r="T988" t="str">
        <f>IF(Table1[[#This Row],[Job_Type]] = "unemp/unskilled non res", "Unemployed", "Employed")</f>
        <v>Employed</v>
      </c>
      <c r="U988" t="s">
        <v>21</v>
      </c>
      <c r="V988" s="14" t="str" cm="1">
        <f t="array" ref="V988">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88" t="s">
        <v>31</v>
      </c>
      <c r="X988" s="2" t="str">
        <f>_xlfn.XLOOKUP(Table1[[#This Row],[Loan_Credit_History]],Table4[Credit History],Table4[[ Category]])</f>
        <v>Existing Credits Paid</v>
      </c>
      <c r="Y988" s="3">
        <v>1</v>
      </c>
      <c r="Z988" s="3">
        <v>1</v>
      </c>
      <c r="AA988" s="5">
        <v>2978</v>
      </c>
      <c r="AB988" t="s">
        <v>151</v>
      </c>
      <c r="AC988" s="2" t="str" cm="1">
        <f t="array" ref="AC988">_xlfn.IFS(Table1[[#This Row],[Others_Parties]] = "No", "None",
Table1[[#This Row],[Others_Parties]] = "co applicant", "Co-applicant",
Table1[[#This Row],[Others_Parties]] = "guarantor", "Guarantor")</f>
        <v>None</v>
      </c>
      <c r="AD988" s="13" t="s">
        <v>145</v>
      </c>
      <c r="AE988" s="2" t="s">
        <v>108</v>
      </c>
      <c r="AF988" s="28" t="str" cm="1">
        <f t="array" ref="AF98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88" s="21">
        <v>6</v>
      </c>
      <c r="AH988" s="2" t="s">
        <v>154</v>
      </c>
      <c r="AI988"/>
      <c r="AZ988"/>
      <c r="BC988"/>
      <c r="BE988"/>
      <c r="BL988"/>
      <c r="BZ988"/>
      <c r="CA988"/>
      <c r="CF988"/>
      <c r="CG988"/>
      <c r="CH988"/>
      <c r="CI988"/>
      <c r="CK988"/>
      <c r="CN988"/>
    </row>
    <row r="989" spans="1:92" x14ac:dyDescent="0.3">
      <c r="A989" s="4">
        <v>987</v>
      </c>
      <c r="B989" s="11">
        <v>44</v>
      </c>
      <c r="C989" s="2" t="str">
        <f>_xlfn.XLOOKUP(Table1[[#This Row],[Age]],Table7[Start_Age],Table7[Age_Range],,-1)</f>
        <v>39-49</v>
      </c>
      <c r="D989" t="s">
        <v>138</v>
      </c>
      <c r="E989" s="2" t="s">
        <v>129</v>
      </c>
      <c r="F989" s="2" t="s">
        <v>178</v>
      </c>
      <c r="G989" s="3">
        <v>1</v>
      </c>
      <c r="H989" s="13" t="s">
        <v>152</v>
      </c>
      <c r="I989" s="2" t="str" cm="1">
        <f t="array" ref="I989">_xlfn.IFS(Table1[[#This Row],[Job_Type]] = "unskilled resident", "Resident",
Table1[[#This Row],[Job_Type]] = "unemp/unskilled non res", "Non-resident",
TRUE, "Unknown")</f>
        <v>Unknown</v>
      </c>
      <c r="J989" s="2" t="s">
        <v>149</v>
      </c>
      <c r="K989" s="3">
        <v>4</v>
      </c>
      <c r="L989" s="2" t="s">
        <v>144</v>
      </c>
      <c r="M989" s="13" t="s">
        <v>152</v>
      </c>
      <c r="N989" t="s">
        <v>35</v>
      </c>
      <c r="O989" s="2" t="str">
        <f>_xlfn.XLOOKUP(Table1[[#This Row],[Checking_Acct_Status]],Table3[Checking_Acct_Original],Table3[Category])</f>
        <v>Negative Balance</v>
      </c>
      <c r="P989" s="10" t="s">
        <v>32</v>
      </c>
      <c r="Q989" s="13" t="str">
        <f>_xlfn.XLOOKUP(Table1[[#This Row],[Saving_Acct_Status]],Table5[Saving_Acct_Original],Table5[Category])</f>
        <v>Low Savings</v>
      </c>
      <c r="R989" t="s">
        <v>63</v>
      </c>
      <c r="S989" s="2" t="str">
        <f>IF(
      OR(Table1[[#This Row],[Job_Type]] = "high qualif/self emp/mgmt", Table1[[#This Row],[Job_Type]] = "skilled"),
      "Skilled", "Unskilled")</f>
        <v>Skilled</v>
      </c>
      <c r="T989" t="str">
        <f>IF(Table1[[#This Row],[Job_Type]] = "unemp/unskilled non res", "Unemployed", "Employed")</f>
        <v>Employed</v>
      </c>
      <c r="U989" t="s">
        <v>21</v>
      </c>
      <c r="V989" s="14" t="str" cm="1">
        <f t="array" ref="V989">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89" t="s">
        <v>103</v>
      </c>
      <c r="X989" s="2" t="str">
        <f>_xlfn.XLOOKUP(Table1[[#This Row],[Loan_Credit_History]],Table4[Credit History],Table4[[ Category]])</f>
        <v>Critical Credit History</v>
      </c>
      <c r="Y989" s="3">
        <v>1</v>
      </c>
      <c r="Z989" s="3">
        <v>1</v>
      </c>
      <c r="AA989" s="5">
        <v>3384</v>
      </c>
      <c r="AB989" t="s">
        <v>151</v>
      </c>
      <c r="AC989" s="2" t="str" cm="1">
        <f t="array" ref="AC989">_xlfn.IFS(Table1[[#This Row],[Others_Parties]] = "No", "None",
Table1[[#This Row],[Others_Parties]] = "co applicant", "Co-applicant",
Table1[[#This Row],[Others_Parties]] = "guarantor", "Guarantor")</f>
        <v>None</v>
      </c>
      <c r="AD989" s="13" t="s">
        <v>145</v>
      </c>
      <c r="AE989" s="2" t="s">
        <v>108</v>
      </c>
      <c r="AF989" s="28" t="str" cm="1">
        <f t="array" ref="AF98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89" s="21">
        <v>6</v>
      </c>
      <c r="AH989" s="2" t="s">
        <v>153</v>
      </c>
      <c r="AI989"/>
      <c r="AZ989"/>
      <c r="BC989"/>
      <c r="BE989"/>
      <c r="BL989"/>
      <c r="BZ989"/>
      <c r="CA989"/>
      <c r="CF989"/>
      <c r="CG989"/>
      <c r="CH989"/>
      <c r="CI989"/>
      <c r="CK989"/>
      <c r="CN989"/>
    </row>
    <row r="990" spans="1:92" x14ac:dyDescent="0.3">
      <c r="A990" s="4">
        <v>988</v>
      </c>
      <c r="B990" s="11">
        <v>26</v>
      </c>
      <c r="C990" s="2" t="str">
        <f>_xlfn.XLOOKUP(Table1[[#This Row],[Age]],Table7[Start_Age],Table7[Age_Range],,-1)</f>
        <v>19-29</v>
      </c>
      <c r="D990" t="s">
        <v>130</v>
      </c>
      <c r="E990" s="2" t="s">
        <v>129</v>
      </c>
      <c r="F990" s="2" t="s">
        <v>133</v>
      </c>
      <c r="G990" s="3">
        <v>1</v>
      </c>
      <c r="H990" s="13" t="s">
        <v>152</v>
      </c>
      <c r="I990" s="2" t="str" cm="1">
        <f t="array" ref="I990">_xlfn.IFS(Table1[[#This Row],[Job_Type]] = "unskilled resident", "Resident",
Table1[[#This Row],[Job_Type]] = "unemp/unskilled non res", "Non-resident",
TRUE, "Unknown")</f>
        <v>Unknown</v>
      </c>
      <c r="J990" s="2" t="s">
        <v>149</v>
      </c>
      <c r="K990" s="3">
        <v>3</v>
      </c>
      <c r="L990" s="2" t="s">
        <v>143</v>
      </c>
      <c r="M990" s="13" t="s">
        <v>151</v>
      </c>
      <c r="N990" t="s">
        <v>17</v>
      </c>
      <c r="O990" s="2" t="str">
        <f>_xlfn.XLOOKUP(Table1[[#This Row],[Checking_Acct_Status]],Table3[Checking_Acct_Original],Table3[Category])</f>
        <v>No Account</v>
      </c>
      <c r="P990" s="10" t="s">
        <v>32</v>
      </c>
      <c r="Q990" s="13" t="str">
        <f>_xlfn.XLOOKUP(Table1[[#This Row],[Saving_Acct_Status]],Table5[Saving_Acct_Original],Table5[Category])</f>
        <v>Low Savings</v>
      </c>
      <c r="R990" t="s">
        <v>41</v>
      </c>
      <c r="S990" s="2" t="str">
        <f>IF(
      OR(Table1[[#This Row],[Job_Type]] = "high qualif/self emp/mgmt", Table1[[#This Row],[Job_Type]] = "skilled"),
      "Skilled", "Unskilled")</f>
        <v>Skilled</v>
      </c>
      <c r="T990" t="str">
        <f>IF(Table1[[#This Row],[Job_Type]] = "unemp/unskilled non res", "Unemployed", "Employed")</f>
        <v>Employed</v>
      </c>
      <c r="U990" t="s">
        <v>21</v>
      </c>
      <c r="V990" s="14" t="str" cm="1">
        <f t="array" ref="V990">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90" t="s">
        <v>31</v>
      </c>
      <c r="X990" s="2" t="str">
        <f>_xlfn.XLOOKUP(Table1[[#This Row],[Loan_Credit_History]],Table4[Credit History],Table4[[ Category]])</f>
        <v>Existing Credits Paid</v>
      </c>
      <c r="Y990" s="3">
        <v>2</v>
      </c>
      <c r="Z990" s="3">
        <v>1</v>
      </c>
      <c r="AA990" s="5">
        <v>3518</v>
      </c>
      <c r="AB990" t="s">
        <v>58</v>
      </c>
      <c r="AC990" s="2" t="str" cm="1">
        <f t="array" ref="AC990">_xlfn.IFS(Table1[[#This Row],[Others_Parties]] = "No", "None",
Table1[[#This Row],[Others_Parties]] = "co applicant", "Co-applicant",
Table1[[#This Row],[Others_Parties]] = "guarantor", "Guarantor")</f>
        <v>Guarantor</v>
      </c>
      <c r="AD990" s="13" t="s">
        <v>145</v>
      </c>
      <c r="AE990" s="2" t="s">
        <v>141</v>
      </c>
      <c r="AF990" s="28" t="str" cm="1">
        <f t="array" ref="AF99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90" s="21">
        <v>6</v>
      </c>
      <c r="AH990" s="2" t="s">
        <v>154</v>
      </c>
      <c r="AI990"/>
      <c r="AZ990"/>
      <c r="BC990"/>
      <c r="BE990"/>
      <c r="BL990"/>
      <c r="BZ990"/>
      <c r="CA990"/>
      <c r="CF990"/>
      <c r="CG990"/>
      <c r="CH990"/>
      <c r="CI990"/>
      <c r="CK990"/>
      <c r="CN990"/>
    </row>
    <row r="991" spans="1:92" x14ac:dyDescent="0.3">
      <c r="A991" s="4">
        <v>989</v>
      </c>
      <c r="B991" s="11">
        <v>37</v>
      </c>
      <c r="C991" s="2" t="str">
        <f>_xlfn.XLOOKUP(Table1[[#This Row],[Age]],Table7[Start_Age],Table7[Age_Range],,-1)</f>
        <v>29-39</v>
      </c>
      <c r="D991" t="s">
        <v>130</v>
      </c>
      <c r="E991" s="2" t="s">
        <v>129</v>
      </c>
      <c r="F991" s="2" t="s">
        <v>133</v>
      </c>
      <c r="G991" s="3">
        <v>2</v>
      </c>
      <c r="H991" s="13" t="s">
        <v>152</v>
      </c>
      <c r="I991" s="2" t="str" cm="1">
        <f t="array" ref="I991">_xlfn.IFS(Table1[[#This Row],[Job_Type]] = "unskilled resident", "Resident",
Table1[[#This Row],[Job_Type]] = "unemp/unskilled non res", "Non-resident",
TRUE, "Unknown")</f>
        <v>Unknown</v>
      </c>
      <c r="J991" s="2" t="s">
        <v>149</v>
      </c>
      <c r="K991" s="3">
        <v>3</v>
      </c>
      <c r="L991" s="2" t="s">
        <v>144</v>
      </c>
      <c r="M991" s="13" t="s">
        <v>151</v>
      </c>
      <c r="N991" t="s">
        <v>35</v>
      </c>
      <c r="O991" s="2" t="str">
        <f>_xlfn.XLOOKUP(Table1[[#This Row],[Checking_Acct_Status]],Table3[Checking_Acct_Original],Table3[Category])</f>
        <v>Negative Balance</v>
      </c>
      <c r="P991" s="10" t="s">
        <v>32</v>
      </c>
      <c r="Q991" s="13" t="str">
        <f>_xlfn.XLOOKUP(Table1[[#This Row],[Saving_Acct_Status]],Table5[Saving_Acct_Original],Table5[Category])</f>
        <v>Low Savings</v>
      </c>
      <c r="R991" t="s">
        <v>41</v>
      </c>
      <c r="S991" s="2" t="str">
        <f>IF(
      OR(Table1[[#This Row],[Job_Type]] = "high qualif/self emp/mgmt", Table1[[#This Row],[Job_Type]] = "skilled"),
      "Skilled", "Unskilled")</f>
        <v>Skilled</v>
      </c>
      <c r="T991" t="str">
        <f>IF(Table1[[#This Row],[Job_Type]] = "unemp/unskilled non res", "Unemployed", "Employed")</f>
        <v>Employed</v>
      </c>
      <c r="U991" t="s">
        <v>21</v>
      </c>
      <c r="V991" s="14" t="str" cm="1">
        <f t="array" ref="V991">_xlfn.IFS(Table1[[#This Row],[Employement_Duration]] = "1&lt;=X&lt;4","1-4",
Table1[[#This Row],[Employement_Duration]] = "4&lt;=X&lt;7", "4-7",
Table1[[#This Row],[Employement_Duration]] = "&lt;1", "Less than 1",
Table1[[#This Row],[Employement_Duration]] = "&gt;=7", "Greater than 7",
Table1[[#This Row],[Employement_Duration]] = "unemployed", "Unemployed"
)</f>
        <v>1-4</v>
      </c>
      <c r="W991" t="s">
        <v>103</v>
      </c>
      <c r="X991" s="2" t="str">
        <f>_xlfn.XLOOKUP(Table1[[#This Row],[Loan_Credit_History]],Table4[Credit History],Table4[[ Category]])</f>
        <v>Critical Credit History</v>
      </c>
      <c r="Y991" s="3">
        <v>1</v>
      </c>
      <c r="Z991" s="3">
        <v>3</v>
      </c>
      <c r="AA991" s="5">
        <v>3676</v>
      </c>
      <c r="AB991" t="s">
        <v>151</v>
      </c>
      <c r="AC991" s="2" t="str" cm="1">
        <f t="array" ref="AC991">_xlfn.IFS(Table1[[#This Row],[Others_Parties]] = "No", "None",
Table1[[#This Row],[Others_Parties]] = "co applicant", "Co-applicant",
Table1[[#This Row],[Others_Parties]] = "guarantor", "Guarantor")</f>
        <v>None</v>
      </c>
      <c r="AD991" s="13" t="s">
        <v>145</v>
      </c>
      <c r="AE991" s="2" t="s">
        <v>141</v>
      </c>
      <c r="AF991" s="28" t="str" cm="1">
        <f t="array" ref="AF99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91" s="21">
        <v>6</v>
      </c>
      <c r="AH991" s="2" t="s">
        <v>154</v>
      </c>
      <c r="AI991"/>
      <c r="AZ991"/>
      <c r="BC991"/>
      <c r="BE991"/>
      <c r="BL991"/>
      <c r="BZ991"/>
      <c r="CA991"/>
      <c r="CF991"/>
      <c r="CG991"/>
      <c r="CH991"/>
      <c r="CI991"/>
      <c r="CK991"/>
      <c r="CN991"/>
    </row>
    <row r="992" spans="1:92" x14ac:dyDescent="0.3">
      <c r="A992" s="4">
        <v>990</v>
      </c>
      <c r="B992" s="11">
        <v>32</v>
      </c>
      <c r="C992" s="2" t="str">
        <f>_xlfn.XLOOKUP(Table1[[#This Row],[Age]],Table7[Start_Age],Table7[Age_Range],,-1)</f>
        <v>29-39</v>
      </c>
      <c r="D992" t="s">
        <v>136</v>
      </c>
      <c r="E992" s="2" t="s">
        <v>131</v>
      </c>
      <c r="F992" s="2" t="s">
        <v>137</v>
      </c>
      <c r="G992" s="3">
        <v>1</v>
      </c>
      <c r="H992" s="13" t="s">
        <v>152</v>
      </c>
      <c r="I992" s="2" t="str" cm="1">
        <f t="array" ref="I992">_xlfn.IFS(Table1[[#This Row],[Job_Type]] = "unskilled resident", "Resident",
Table1[[#This Row],[Job_Type]] = "unemp/unskilled non res", "Non-resident",
TRUE, "Unknown")</f>
        <v>Unknown</v>
      </c>
      <c r="J992" s="2" t="s">
        <v>148</v>
      </c>
      <c r="K992" s="3">
        <v>4</v>
      </c>
      <c r="L992" s="2" t="s">
        <v>143</v>
      </c>
      <c r="M992" s="13" t="s">
        <v>151</v>
      </c>
      <c r="N992" t="s">
        <v>17</v>
      </c>
      <c r="O992" s="2" t="str">
        <f>_xlfn.XLOOKUP(Table1[[#This Row],[Checking_Acct_Status]],Table3[Checking_Acct_Original],Table3[Category])</f>
        <v>No Account</v>
      </c>
      <c r="P992" s="10" t="s">
        <v>32</v>
      </c>
      <c r="Q992" s="13" t="str">
        <f>_xlfn.XLOOKUP(Table1[[#This Row],[Saving_Acct_Status]],Table5[Saving_Acct_Original],Table5[Category])</f>
        <v>Low Savings</v>
      </c>
      <c r="R992" t="s">
        <v>41</v>
      </c>
      <c r="S992" s="2" t="str">
        <f>IF(
      OR(Table1[[#This Row],[Job_Type]] = "high qualif/self emp/mgmt", Table1[[#This Row],[Job_Type]] = "skilled"),
      "Skilled", "Unskilled")</f>
        <v>Skilled</v>
      </c>
      <c r="T992" t="str">
        <f>IF(Table1[[#This Row],[Job_Type]] = "unemp/unskilled non res", "Unemployed", "Employed")</f>
        <v>Employed</v>
      </c>
      <c r="U992" t="s">
        <v>45</v>
      </c>
      <c r="V992" s="14" t="str" cm="1">
        <f t="array" ref="V992">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92" t="s">
        <v>31</v>
      </c>
      <c r="X992" s="2" t="str">
        <f>_xlfn.XLOOKUP(Table1[[#This Row],[Loan_Credit_History]],Table4[Credit History],Table4[[ Category]])</f>
        <v>Existing Credits Paid</v>
      </c>
      <c r="Y992" s="3">
        <v>1</v>
      </c>
      <c r="Z992" s="3">
        <v>1</v>
      </c>
      <c r="AA992" s="5">
        <v>4611</v>
      </c>
      <c r="AB992" t="s">
        <v>151</v>
      </c>
      <c r="AC992" s="2" t="str" cm="1">
        <f t="array" ref="AC992">_xlfn.IFS(Table1[[#This Row],[Others_Parties]] = "No", "None",
Table1[[#This Row],[Others_Parties]] = "co applicant", "Co-applicant",
Table1[[#This Row],[Others_Parties]] = "guarantor", "Guarantor")</f>
        <v>None</v>
      </c>
      <c r="AD992" s="13" t="s">
        <v>145</v>
      </c>
      <c r="AE992" s="2" t="s">
        <v>108</v>
      </c>
      <c r="AF992" s="28" t="str" cm="1">
        <f t="array" ref="AF99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92" s="21">
        <v>6</v>
      </c>
      <c r="AH992" s="2" t="s">
        <v>153</v>
      </c>
      <c r="AI992"/>
      <c r="AZ992"/>
      <c r="BC992"/>
      <c r="BE992"/>
      <c r="BL992"/>
      <c r="BZ992"/>
      <c r="CA992"/>
      <c r="CF992"/>
      <c r="CG992"/>
      <c r="CH992"/>
      <c r="CI992"/>
      <c r="CK992"/>
      <c r="CN992"/>
    </row>
    <row r="993" spans="1:92" x14ac:dyDescent="0.3">
      <c r="A993" s="4">
        <v>991</v>
      </c>
      <c r="B993" s="11">
        <v>44</v>
      </c>
      <c r="C993" s="2" t="str">
        <f>_xlfn.XLOOKUP(Table1[[#This Row],[Age]],Table7[Start_Age],Table7[Age_Range],,-1)</f>
        <v>39-49</v>
      </c>
      <c r="D993" t="s">
        <v>130</v>
      </c>
      <c r="E993" s="2" t="s">
        <v>129</v>
      </c>
      <c r="F993" s="2" t="s">
        <v>133</v>
      </c>
      <c r="G993" s="3">
        <v>2</v>
      </c>
      <c r="H993" s="13" t="s">
        <v>152</v>
      </c>
      <c r="I993" s="2" t="str" cm="1">
        <f t="array" ref="I993">_xlfn.IFS(Table1[[#This Row],[Job_Type]] = "unskilled resident", "Resident",
Table1[[#This Row],[Job_Type]] = "unemp/unskilled non res", "Non-resident",
TRUE, "Unknown")</f>
        <v>Resident</v>
      </c>
      <c r="J993" s="2" t="s">
        <v>148</v>
      </c>
      <c r="K993" s="3">
        <v>3</v>
      </c>
      <c r="L993" s="2" t="s">
        <v>144</v>
      </c>
      <c r="M993" s="13" t="s">
        <v>151</v>
      </c>
      <c r="N993" t="s">
        <v>35</v>
      </c>
      <c r="O993" s="2" t="str">
        <f>_xlfn.XLOOKUP(Table1[[#This Row],[Checking_Acct_Status]],Table3[Checking_Acct_Original],Table3[Category])</f>
        <v>Negative Balance</v>
      </c>
      <c r="P993" s="10" t="s">
        <v>47</v>
      </c>
      <c r="Q993" s="13" t="str">
        <f>_xlfn.XLOOKUP(Table1[[#This Row],[Saving_Acct_Status]],Table5[Saving_Acct_Original],Table5[Category])</f>
        <v>No Savings</v>
      </c>
      <c r="R993" t="s">
        <v>27</v>
      </c>
      <c r="S993" s="2" t="str">
        <f>IF(
      OR(Table1[[#This Row],[Job_Type]] = "high qualif/self emp/mgmt", Table1[[#This Row],[Job_Type]] = "skilled"),
      "Skilled", "Unskilled")</f>
        <v>Unskilled</v>
      </c>
      <c r="T993" t="str">
        <f>IF(Table1[[#This Row],[Job_Type]] = "unemp/unskilled non res", "Unemployed", "Employed")</f>
        <v>Employed</v>
      </c>
      <c r="U993" t="s">
        <v>45</v>
      </c>
      <c r="V993" s="14" t="str" cm="1">
        <f t="array" ref="V993">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93" t="s">
        <v>103</v>
      </c>
      <c r="X993" s="2" t="str">
        <f>_xlfn.XLOOKUP(Table1[[#This Row],[Loan_Credit_History]],Table4[Credit History],Table4[[ Category]])</f>
        <v>Critical Credit History</v>
      </c>
      <c r="Y993" s="3">
        <v>1</v>
      </c>
      <c r="Z993" s="3">
        <v>2</v>
      </c>
      <c r="AA993" s="5">
        <v>4716</v>
      </c>
      <c r="AB993" t="s">
        <v>151</v>
      </c>
      <c r="AC993" s="2" t="str" cm="1">
        <f t="array" ref="AC993">_xlfn.IFS(Table1[[#This Row],[Others_Parties]] = "No", "None",
Table1[[#This Row],[Others_Parties]] = "co applicant", "Co-applicant",
Table1[[#This Row],[Others_Parties]] = "guarantor", "Guarantor")</f>
        <v>None</v>
      </c>
      <c r="AD993" s="13" t="s">
        <v>145</v>
      </c>
      <c r="AE993" s="2" t="s">
        <v>141</v>
      </c>
      <c r="AF993" s="28" t="str" cm="1">
        <f t="array" ref="AF993">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93" s="21">
        <v>6</v>
      </c>
      <c r="AH993" s="2" t="s">
        <v>154</v>
      </c>
      <c r="AI993"/>
      <c r="AZ993"/>
      <c r="BC993"/>
      <c r="BE993"/>
      <c r="BL993"/>
      <c r="BZ993"/>
      <c r="CA993"/>
      <c r="CF993"/>
      <c r="CG993"/>
      <c r="CH993"/>
      <c r="CI993"/>
      <c r="CK993"/>
      <c r="CN993"/>
    </row>
    <row r="994" spans="1:92" x14ac:dyDescent="0.3">
      <c r="A994" s="4">
        <v>992</v>
      </c>
      <c r="B994" s="11">
        <v>45</v>
      </c>
      <c r="C994" s="2" t="str">
        <f>_xlfn.XLOOKUP(Table1[[#This Row],[Age]],Table7[Start_Age],Table7[Age_Range],,-1)</f>
        <v>39-49</v>
      </c>
      <c r="D994" t="s">
        <v>130</v>
      </c>
      <c r="E994" s="2" t="s">
        <v>129</v>
      </c>
      <c r="F994" s="2" t="s">
        <v>133</v>
      </c>
      <c r="G994" s="3">
        <v>2</v>
      </c>
      <c r="H994" s="13" t="s">
        <v>152</v>
      </c>
      <c r="I994" s="2" t="str" cm="1">
        <f t="array" ref="I994">_xlfn.IFS(Table1[[#This Row],[Job_Type]] = "unskilled resident", "Resident",
Table1[[#This Row],[Job_Type]] = "unemp/unskilled non res", "Non-resident",
TRUE, "Unknown")</f>
        <v>Unknown</v>
      </c>
      <c r="J994" s="2" t="s">
        <v>148</v>
      </c>
      <c r="K994" s="3">
        <v>3</v>
      </c>
      <c r="L994" s="2" t="s">
        <v>142</v>
      </c>
      <c r="M994" s="13" t="s">
        <v>152</v>
      </c>
      <c r="N994" t="s">
        <v>17</v>
      </c>
      <c r="O994" s="2" t="str">
        <f>_xlfn.XLOOKUP(Table1[[#This Row],[Checking_Acct_Status]],Table3[Checking_Acct_Original],Table3[Category])</f>
        <v>No Account</v>
      </c>
      <c r="P994" s="10" t="s">
        <v>32</v>
      </c>
      <c r="Q994" s="13" t="str">
        <f>_xlfn.XLOOKUP(Table1[[#This Row],[Saving_Acct_Status]],Table5[Saving_Acct_Original],Table5[Category])</f>
        <v>Low Savings</v>
      </c>
      <c r="R994" t="s">
        <v>63</v>
      </c>
      <c r="S994" s="2" t="str">
        <f>IF(
      OR(Table1[[#This Row],[Job_Type]] = "high qualif/self emp/mgmt", Table1[[#This Row],[Job_Type]] = "skilled"),
      "Skilled", "Unskilled")</f>
        <v>Skilled</v>
      </c>
      <c r="T994" t="str">
        <f>IF(Table1[[#This Row],[Job_Type]] = "unemp/unskilled non res", "Unemployed", "Employed")</f>
        <v>Employed</v>
      </c>
      <c r="U994" t="s">
        <v>49</v>
      </c>
      <c r="V994" s="14" t="str" cm="1">
        <f t="array" ref="V994">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94" t="s">
        <v>103</v>
      </c>
      <c r="X994" s="2" t="str">
        <f>_xlfn.XLOOKUP(Table1[[#This Row],[Loan_Credit_History]],Table4[Credit History],Table4[[ Category]])</f>
        <v>Critical Credit History</v>
      </c>
      <c r="Y994" s="3">
        <v>1</v>
      </c>
      <c r="Z994" s="3">
        <v>2</v>
      </c>
      <c r="AA994" s="5">
        <v>6761</v>
      </c>
      <c r="AB994" t="s">
        <v>151</v>
      </c>
      <c r="AC994" s="2" t="str" cm="1">
        <f t="array" ref="AC994">_xlfn.IFS(Table1[[#This Row],[Others_Parties]] = "No", "None",
Table1[[#This Row],[Others_Parties]] = "co applicant", "Co-applicant",
Table1[[#This Row],[Others_Parties]] = "guarantor", "Guarantor")</f>
        <v>None</v>
      </c>
      <c r="AD994" s="13" t="s">
        <v>145</v>
      </c>
      <c r="AE994" s="2" t="s">
        <v>141</v>
      </c>
      <c r="AF994" s="28" t="str" cm="1">
        <f t="array" ref="AF994">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94" s="21">
        <v>6</v>
      </c>
      <c r="AH994" s="2" t="s">
        <v>154</v>
      </c>
      <c r="AI994"/>
      <c r="AZ994"/>
      <c r="BC994"/>
      <c r="BE994"/>
      <c r="BL994"/>
      <c r="BZ994"/>
      <c r="CA994"/>
      <c r="CF994"/>
      <c r="CG994"/>
      <c r="CH994"/>
      <c r="CI994"/>
      <c r="CK994"/>
      <c r="CN994"/>
    </row>
    <row r="995" spans="1:92" x14ac:dyDescent="0.3">
      <c r="A995" s="4">
        <v>993</v>
      </c>
      <c r="B995" s="11">
        <v>23</v>
      </c>
      <c r="C995" s="2" t="str">
        <f>_xlfn.XLOOKUP(Table1[[#This Row],[Age]],Table7[Start_Age],Table7[Age_Range],,-1)</f>
        <v>19-29</v>
      </c>
      <c r="D995" t="s">
        <v>130</v>
      </c>
      <c r="E995" s="2" t="s">
        <v>129</v>
      </c>
      <c r="F995" s="2" t="s">
        <v>133</v>
      </c>
      <c r="G995" s="3">
        <v>1</v>
      </c>
      <c r="H995" s="13" t="s">
        <v>152</v>
      </c>
      <c r="I995" s="2" t="str" cm="1">
        <f t="array" ref="I995">_xlfn.IFS(Table1[[#This Row],[Job_Type]] = "unskilled resident", "Resident",
Table1[[#This Row],[Job_Type]] = "unemp/unskilled non res", "Non-resident",
TRUE, "Unknown")</f>
        <v>Non-resident</v>
      </c>
      <c r="J995" s="2" t="s">
        <v>148</v>
      </c>
      <c r="K995" s="3">
        <v>2</v>
      </c>
      <c r="L995" s="2" t="s">
        <v>143</v>
      </c>
      <c r="M995" s="13" t="s">
        <v>152</v>
      </c>
      <c r="N995" t="s">
        <v>30</v>
      </c>
      <c r="O995" s="2" t="str">
        <f>_xlfn.XLOOKUP(Table1[[#This Row],[Checking_Acct_Status]],Table3[Checking_Acct_Original],Table3[Category])</f>
        <v>Low Balance</v>
      </c>
      <c r="P995" s="10" t="s">
        <v>47</v>
      </c>
      <c r="Q995" s="13" t="str">
        <f>_xlfn.XLOOKUP(Table1[[#This Row],[Saving_Acct_Status]],Table5[Saving_Acct_Original],Table5[Category])</f>
        <v>No Savings</v>
      </c>
      <c r="R995" t="s">
        <v>62</v>
      </c>
      <c r="S995" s="2" t="str">
        <f>IF(
      OR(Table1[[#This Row],[Job_Type]] = "high qualif/self emp/mgmt", Table1[[#This Row],[Job_Type]] = "skilled"),
      "Skilled", "Unskilled")</f>
        <v>Unskilled</v>
      </c>
      <c r="T995" t="str">
        <f>IF(Table1[[#This Row],[Job_Type]] = "unemp/unskilled non res", "Unemployed", "Employed")</f>
        <v>Unemployed</v>
      </c>
      <c r="U995" t="s">
        <v>54</v>
      </c>
      <c r="V995" s="14" t="str" cm="1">
        <f t="array" ref="V995">_xlfn.IFS(Table1[[#This Row],[Employement_Duration]] = "1&lt;=X&lt;4","1-4",
Table1[[#This Row],[Employement_Duration]] = "4&lt;=X&lt;7", "4-7",
Table1[[#This Row],[Employement_Duration]] = "&lt;1", "Less than 1",
Table1[[#This Row],[Employement_Duration]] = "&gt;=7", "Greater than 7",
Table1[[#This Row],[Employement_Duration]] = "unemployed", "Unemployed"
)</f>
        <v>Unemployed</v>
      </c>
      <c r="W995" t="s">
        <v>31</v>
      </c>
      <c r="X995" s="2" t="str">
        <f>_xlfn.XLOOKUP(Table1[[#This Row],[Loan_Credit_History]],Table4[Credit History],Table4[[ Category]])</f>
        <v>Existing Credits Paid</v>
      </c>
      <c r="Y995" s="3">
        <v>1</v>
      </c>
      <c r="Z995" s="3">
        <v>1</v>
      </c>
      <c r="AA995" s="5">
        <v>14555</v>
      </c>
      <c r="AB995" t="s">
        <v>151</v>
      </c>
      <c r="AC995" s="2" t="str" cm="1">
        <f t="array" ref="AC995">_xlfn.IFS(Table1[[#This Row],[Others_Parties]] = "No", "None",
Table1[[#This Row],[Others_Parties]] = "co applicant", "Co-applicant",
Table1[[#This Row],[Others_Parties]] = "guarantor", "Guarantor")</f>
        <v>None</v>
      </c>
      <c r="AD995" s="13" t="s">
        <v>145</v>
      </c>
      <c r="AE995" s="2" t="s">
        <v>141</v>
      </c>
      <c r="AF995" s="28" t="str" cm="1">
        <f t="array" ref="AF995">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95" s="21">
        <v>6</v>
      </c>
      <c r="AH995" s="2" t="s">
        <v>153</v>
      </c>
      <c r="AI995"/>
      <c r="AZ995"/>
      <c r="BC995"/>
      <c r="BE995"/>
      <c r="BL995"/>
      <c r="BZ995"/>
      <c r="CA995"/>
      <c r="CF995"/>
      <c r="CG995"/>
      <c r="CH995"/>
      <c r="CI995"/>
      <c r="CK995"/>
      <c r="CN995"/>
    </row>
    <row r="996" spans="1:92" x14ac:dyDescent="0.3">
      <c r="A996" s="4">
        <v>994</v>
      </c>
      <c r="B996" s="11">
        <v>68</v>
      </c>
      <c r="C996" s="2" t="str">
        <f>_xlfn.XLOOKUP(Table1[[#This Row],[Age]],Table7[Start_Age],Table7[Age_Range],,-1)</f>
        <v>59-69</v>
      </c>
      <c r="D996" t="s">
        <v>130</v>
      </c>
      <c r="E996" s="2" t="s">
        <v>129</v>
      </c>
      <c r="F996" s="2" t="s">
        <v>133</v>
      </c>
      <c r="G996" s="3">
        <v>1</v>
      </c>
      <c r="H996" s="13" t="s">
        <v>152</v>
      </c>
      <c r="I996" s="2" t="str" cm="1">
        <f t="array" ref="I996">_xlfn.IFS(Table1[[#This Row],[Job_Type]] = "unskilled resident", "Resident",
Table1[[#This Row],[Job_Type]] = "unemp/unskilled non res", "Non-resident",
TRUE, "Unknown")</f>
        <v>Unknown</v>
      </c>
      <c r="J996" s="2" t="s">
        <v>148</v>
      </c>
      <c r="K996" s="3">
        <v>4</v>
      </c>
      <c r="L996" s="2" t="s">
        <v>142</v>
      </c>
      <c r="M996" s="13" t="s">
        <v>152</v>
      </c>
      <c r="N996" t="s">
        <v>35</v>
      </c>
      <c r="O996" s="2" t="str">
        <f>_xlfn.XLOOKUP(Table1[[#This Row],[Checking_Acct_Status]],Table3[Checking_Acct_Original],Table3[Category])</f>
        <v>Negative Balance</v>
      </c>
      <c r="P996" s="10" t="s">
        <v>32</v>
      </c>
      <c r="Q996" s="13" t="str">
        <f>_xlfn.XLOOKUP(Table1[[#This Row],[Saving_Acct_Status]],Table5[Saving_Acct_Original],Table5[Category])</f>
        <v>Low Savings</v>
      </c>
      <c r="R996" t="s">
        <v>63</v>
      </c>
      <c r="S996" s="2" t="str">
        <f>IF(
      OR(Table1[[#This Row],[Job_Type]] = "high qualif/self emp/mgmt", Table1[[#This Row],[Job_Type]] = "skilled"),
      "Skilled", "Unskilled")</f>
        <v>Skilled</v>
      </c>
      <c r="T996" t="str">
        <f>IF(Table1[[#This Row],[Job_Type]] = "unemp/unskilled non res", "Unemployed", "Employed")</f>
        <v>Employed</v>
      </c>
      <c r="U996" t="s">
        <v>38</v>
      </c>
      <c r="V996" s="14" t="str" cm="1">
        <f t="array" ref="V996">_xlfn.IFS(Table1[[#This Row],[Employement_Duration]] = "1&lt;=X&lt;4","1-4",
Table1[[#This Row],[Employement_Duration]] = "4&lt;=X&lt;7", "4-7",
Table1[[#This Row],[Employement_Duration]] = "&lt;1", "Less than 1",
Table1[[#This Row],[Employement_Duration]] = "&gt;=7", "Greater than 7",
Table1[[#This Row],[Employement_Duration]] = "unemployed", "Unemployed"
)</f>
        <v>Greater than 7</v>
      </c>
      <c r="W996" t="s">
        <v>31</v>
      </c>
      <c r="X996" s="2" t="str">
        <f>_xlfn.XLOOKUP(Table1[[#This Row],[Loan_Credit_History]],Table4[Credit History],Table4[[ Category]])</f>
        <v>Existing Credits Paid</v>
      </c>
      <c r="Y996" s="3">
        <v>1</v>
      </c>
      <c r="Z996" s="3">
        <v>1</v>
      </c>
      <c r="AA996" s="5">
        <v>14896</v>
      </c>
      <c r="AB996" t="s">
        <v>151</v>
      </c>
      <c r="AC996" s="2" t="str" cm="1">
        <f t="array" ref="AC996">_xlfn.IFS(Table1[[#This Row],[Others_Parties]] = "No", "None",
Table1[[#This Row],[Others_Parties]] = "co applicant", "Co-applicant",
Table1[[#This Row],[Others_Parties]] = "guarantor", "Guarantor")</f>
        <v>None</v>
      </c>
      <c r="AD996" s="13" t="s">
        <v>146</v>
      </c>
      <c r="AE996" s="2" t="s">
        <v>141</v>
      </c>
      <c r="AF996" s="28" t="str" cm="1">
        <f t="array" ref="AF996">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96" s="21">
        <v>6</v>
      </c>
      <c r="AH996" s="2" t="s">
        <v>153</v>
      </c>
      <c r="AI996"/>
      <c r="AZ996"/>
      <c r="BC996"/>
      <c r="BE996"/>
      <c r="BL996"/>
      <c r="BZ996"/>
      <c r="CA996"/>
      <c r="CF996"/>
      <c r="CG996"/>
      <c r="CH996"/>
      <c r="CI996"/>
      <c r="CK996"/>
      <c r="CN996"/>
    </row>
    <row r="997" spans="1:92" x14ac:dyDescent="0.3">
      <c r="A997" s="4">
        <v>995</v>
      </c>
      <c r="B997" s="11">
        <v>74</v>
      </c>
      <c r="C997" s="2" t="str">
        <f>_xlfn.XLOOKUP(Table1[[#This Row],[Age]],Table7[Start_Age],Table7[Age_Range],,-1)</f>
        <v>69-76</v>
      </c>
      <c r="D997" t="s">
        <v>130</v>
      </c>
      <c r="E997" s="2" t="s">
        <v>129</v>
      </c>
      <c r="F997" s="2" t="s">
        <v>133</v>
      </c>
      <c r="G997" s="3">
        <v>1</v>
      </c>
      <c r="H997" s="13" t="s">
        <v>152</v>
      </c>
      <c r="I997" s="2" t="str" cm="1">
        <f t="array" ref="I997">_xlfn.IFS(Table1[[#This Row],[Job_Type]] = "unskilled resident", "Resident",
Table1[[#This Row],[Job_Type]] = "unemp/unskilled non res", "Non-resident",
TRUE, "Unknown")</f>
        <v>Resident</v>
      </c>
      <c r="J997" s="2" t="s">
        <v>148</v>
      </c>
      <c r="K997" s="3">
        <v>4</v>
      </c>
      <c r="L997" s="2" t="s">
        <v>144</v>
      </c>
      <c r="M997" s="13" t="s">
        <v>151</v>
      </c>
      <c r="N997" t="s">
        <v>17</v>
      </c>
      <c r="O997" s="2" t="str">
        <f>_xlfn.XLOOKUP(Table1[[#This Row],[Checking_Acct_Status]],Table3[Checking_Acct_Original],Table3[Category])</f>
        <v>No Account</v>
      </c>
      <c r="P997" s="10" t="s">
        <v>32</v>
      </c>
      <c r="Q997" s="13" t="str">
        <f>_xlfn.XLOOKUP(Table1[[#This Row],[Saving_Acct_Status]],Table5[Saving_Acct_Original],Table5[Category])</f>
        <v>Low Savings</v>
      </c>
      <c r="R997" t="s">
        <v>27</v>
      </c>
      <c r="S997" s="2" t="str">
        <f>IF(
      OR(Table1[[#This Row],[Job_Type]] = "high qualif/self emp/mgmt", Table1[[#This Row],[Job_Type]] = "skilled"),
      "Skilled", "Unskilled")</f>
        <v>Unskilled</v>
      </c>
      <c r="T997" t="str">
        <f>IF(Table1[[#This Row],[Job_Type]] = "unemp/unskilled non res", "Unemployed", "Employed")</f>
        <v>Employed</v>
      </c>
      <c r="U997" t="s">
        <v>49</v>
      </c>
      <c r="V997" s="14" t="str" cm="1">
        <f t="array" ref="V997">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97" t="s">
        <v>31</v>
      </c>
      <c r="X997" s="2" t="str">
        <f>_xlfn.XLOOKUP(Table1[[#This Row],[Loan_Credit_History]],Table4[Credit History],Table4[[ Category]])</f>
        <v>Existing Credits Paid</v>
      </c>
      <c r="Y997" s="3">
        <v>1</v>
      </c>
      <c r="Z997" s="3">
        <v>1</v>
      </c>
      <c r="AA997" s="5">
        <v>3448</v>
      </c>
      <c r="AB997" t="s">
        <v>151</v>
      </c>
      <c r="AC997" s="2" t="str" cm="1">
        <f t="array" ref="AC997">_xlfn.IFS(Table1[[#This Row],[Others_Parties]] = "No", "None",
Table1[[#This Row],[Others_Parties]] = "co applicant", "Co-applicant",
Table1[[#This Row],[Others_Parties]] = "guarantor", "Guarantor")</f>
        <v>None</v>
      </c>
      <c r="AD997" s="13" t="s">
        <v>145</v>
      </c>
      <c r="AE997" s="2" t="s">
        <v>105</v>
      </c>
      <c r="AF997" s="28" t="str" cm="1">
        <f t="array" ref="AF997">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97" s="21">
        <v>5</v>
      </c>
      <c r="AH997" s="2" t="s">
        <v>154</v>
      </c>
      <c r="AI997"/>
      <c r="AZ997"/>
      <c r="BC997"/>
      <c r="BE997"/>
      <c r="BL997"/>
      <c r="BZ997"/>
      <c r="CA997"/>
      <c r="CF997"/>
      <c r="CG997"/>
      <c r="CH997"/>
      <c r="CI997"/>
      <c r="CK997"/>
      <c r="CN997"/>
    </row>
    <row r="998" spans="1:92" x14ac:dyDescent="0.3">
      <c r="A998" s="4">
        <v>996</v>
      </c>
      <c r="B998" s="11">
        <v>23</v>
      </c>
      <c r="C998" s="2" t="str">
        <f>_xlfn.XLOOKUP(Table1[[#This Row],[Age]],Table7[Start_Age],Table7[Age_Range],,-1)</f>
        <v>19-29</v>
      </c>
      <c r="D998" t="s">
        <v>136</v>
      </c>
      <c r="E998" s="2" t="s">
        <v>131</v>
      </c>
      <c r="F998" s="2" t="s">
        <v>137</v>
      </c>
      <c r="G998" s="3">
        <v>2</v>
      </c>
      <c r="H998" s="13" t="s">
        <v>152</v>
      </c>
      <c r="I998" s="2" t="str" cm="1">
        <f t="array" ref="I998">_xlfn.IFS(Table1[[#This Row],[Job_Type]] = "unskilled resident", "Resident",
Table1[[#This Row],[Job_Type]] = "unemp/unskilled non res", "Non-resident",
TRUE, "Unknown")</f>
        <v>Resident</v>
      </c>
      <c r="J998" s="2" t="s">
        <v>149</v>
      </c>
      <c r="K998" s="3">
        <v>3</v>
      </c>
      <c r="L998" s="2" t="s">
        <v>144</v>
      </c>
      <c r="M998" s="13" t="s">
        <v>151</v>
      </c>
      <c r="N998" t="s">
        <v>17</v>
      </c>
      <c r="O998" s="2" t="str">
        <f>_xlfn.XLOOKUP(Table1[[#This Row],[Checking_Acct_Status]],Table3[Checking_Acct_Original],Table3[Category])</f>
        <v>No Account</v>
      </c>
      <c r="P998" s="10" t="s">
        <v>32</v>
      </c>
      <c r="Q998" s="13" t="str">
        <f>_xlfn.XLOOKUP(Table1[[#This Row],[Saving_Acct_Status]],Table5[Saving_Acct_Original],Table5[Category])</f>
        <v>Low Savings</v>
      </c>
      <c r="R998" t="s">
        <v>27</v>
      </c>
      <c r="S998" s="2" t="str">
        <f>IF(
      OR(Table1[[#This Row],[Job_Type]] = "high qualif/self emp/mgmt", Table1[[#This Row],[Job_Type]] = "skilled"),
      "Skilled", "Unskilled")</f>
        <v>Unskilled</v>
      </c>
      <c r="T998" t="str">
        <f>IF(Table1[[#This Row],[Job_Type]] = "unemp/unskilled non res", "Unemployed", "Employed")</f>
        <v>Employed</v>
      </c>
      <c r="U998" t="s">
        <v>45</v>
      </c>
      <c r="V998" s="14" t="str" cm="1">
        <f t="array" ref="V998">_xlfn.IFS(Table1[[#This Row],[Employement_Duration]] = "1&lt;=X&lt;4","1-4",
Table1[[#This Row],[Employement_Duration]] = "4&lt;=X&lt;7", "4-7",
Table1[[#This Row],[Employement_Duration]] = "&lt;1", "Less than 1",
Table1[[#This Row],[Employement_Duration]] = "&gt;=7", "Greater than 7",
Table1[[#This Row],[Employement_Duration]] = "unemployed", "Unemployed"
)</f>
        <v>Less than 1</v>
      </c>
      <c r="W998" t="s">
        <v>31</v>
      </c>
      <c r="X998" s="2" t="str">
        <f>_xlfn.XLOOKUP(Table1[[#This Row],[Loan_Credit_History]],Table4[Credit History],Table4[[ Category]])</f>
        <v>Existing Credits Paid</v>
      </c>
      <c r="Y998" s="3">
        <v>1</v>
      </c>
      <c r="Z998" s="3">
        <v>1</v>
      </c>
      <c r="AA998" s="5">
        <v>601</v>
      </c>
      <c r="AB998" t="s">
        <v>151</v>
      </c>
      <c r="AC998" s="2" t="str" cm="1">
        <f t="array" ref="AC998">_xlfn.IFS(Table1[[#This Row],[Others_Parties]] = "No", "None",
Table1[[#This Row],[Others_Parties]] = "co applicant", "Co-applicant",
Table1[[#This Row],[Others_Parties]] = "guarantor", "Guarantor")</f>
        <v>None</v>
      </c>
      <c r="AD998" s="13" t="s">
        <v>145</v>
      </c>
      <c r="AE998" s="2" t="s">
        <v>108</v>
      </c>
      <c r="AF998" s="28" t="str" cm="1">
        <f t="array" ref="AF998">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98" s="21">
        <v>4</v>
      </c>
      <c r="AH998" s="2" t="s">
        <v>154</v>
      </c>
      <c r="AI998"/>
      <c r="AZ998"/>
      <c r="BC998"/>
      <c r="BE998"/>
      <c r="BL998"/>
      <c r="BZ998"/>
      <c r="CA998"/>
      <c r="CF998"/>
      <c r="CG998"/>
      <c r="CH998"/>
      <c r="CI998"/>
      <c r="CK998"/>
      <c r="CN998"/>
    </row>
    <row r="999" spans="1:92" x14ac:dyDescent="0.3">
      <c r="A999" s="4">
        <v>997</v>
      </c>
      <c r="B999" s="11">
        <v>42</v>
      </c>
      <c r="C999" s="2" t="str">
        <f>_xlfn.XLOOKUP(Table1[[#This Row],[Age]],Table7[Start_Age],Table7[Age_Range],,-1)</f>
        <v>39-49</v>
      </c>
      <c r="D999" t="s">
        <v>130</v>
      </c>
      <c r="E999" s="2" t="s">
        <v>129</v>
      </c>
      <c r="F999" s="2" t="s">
        <v>133</v>
      </c>
      <c r="G999" s="3">
        <v>2</v>
      </c>
      <c r="H999" s="13" t="s">
        <v>152</v>
      </c>
      <c r="I999" s="2" t="str" cm="1">
        <f t="array" ref="I999">_xlfn.IFS(Table1[[#This Row],[Job_Type]] = "unskilled resident", "Resident",
Table1[[#This Row],[Job_Type]] = "unemp/unskilled non res", "Non-resident",
TRUE, "Unknown")</f>
        <v>Resident</v>
      </c>
      <c r="J999" s="2" t="s">
        <v>148</v>
      </c>
      <c r="K999" s="3">
        <v>1</v>
      </c>
      <c r="L999" s="2" t="s">
        <v>144</v>
      </c>
      <c r="M999" s="13" t="s">
        <v>151</v>
      </c>
      <c r="N999" t="s">
        <v>17</v>
      </c>
      <c r="O999" s="2" t="str">
        <f>_xlfn.XLOOKUP(Table1[[#This Row],[Checking_Acct_Status]],Table3[Checking_Acct_Original],Table3[Category])</f>
        <v>No Account</v>
      </c>
      <c r="P999" s="10" t="s">
        <v>32</v>
      </c>
      <c r="Q999" s="13" t="str">
        <f>_xlfn.XLOOKUP(Table1[[#This Row],[Saving_Acct_Status]],Table5[Saving_Acct_Original],Table5[Category])</f>
        <v>Low Savings</v>
      </c>
      <c r="R999" t="s">
        <v>27</v>
      </c>
      <c r="S999" s="2" t="str">
        <f>IF(
      OR(Table1[[#This Row],[Job_Type]] = "high qualif/self emp/mgmt", Table1[[#This Row],[Job_Type]] = "skilled"),
      "Skilled", "Unskilled")</f>
        <v>Unskilled</v>
      </c>
      <c r="T999" t="str">
        <f>IF(Table1[[#This Row],[Job_Type]] = "unemp/unskilled non res", "Unemployed", "Employed")</f>
        <v>Employed</v>
      </c>
      <c r="U999" t="s">
        <v>49</v>
      </c>
      <c r="V999" s="14" t="str" cm="1">
        <f t="array" ref="V999">_xlfn.IFS(Table1[[#This Row],[Employement_Duration]] = "1&lt;=X&lt;4","1-4",
Table1[[#This Row],[Employement_Duration]] = "4&lt;=X&lt;7", "4-7",
Table1[[#This Row],[Employement_Duration]] = "&lt;1", "Less than 1",
Table1[[#This Row],[Employement_Duration]] = "&gt;=7", "Greater than 7",
Table1[[#This Row],[Employement_Duration]] = "unemployed", "Unemployed"
)</f>
        <v>4-7</v>
      </c>
      <c r="W999" t="s">
        <v>103</v>
      </c>
      <c r="X999" s="2" t="str">
        <f>_xlfn.XLOOKUP(Table1[[#This Row],[Loan_Credit_History]],Table4[Credit History],Table4[[ Category]])</f>
        <v>Critical Credit History</v>
      </c>
      <c r="Y999" s="3">
        <v>2</v>
      </c>
      <c r="Z999" s="3">
        <v>3</v>
      </c>
      <c r="AA999" s="5">
        <v>1455</v>
      </c>
      <c r="AB999" t="s">
        <v>151</v>
      </c>
      <c r="AC999" s="2" t="str" cm="1">
        <f t="array" ref="AC999">_xlfn.IFS(Table1[[#This Row],[Others_Parties]] = "No", "None",
Table1[[#This Row],[Others_Parties]] = "co applicant", "Co-applicant",
Table1[[#This Row],[Others_Parties]] = "guarantor", "Guarantor")</f>
        <v>None</v>
      </c>
      <c r="AD999" s="13" t="s">
        <v>145</v>
      </c>
      <c r="AE999" s="2" t="s">
        <v>141</v>
      </c>
      <c r="AF999" s="28" t="str" cm="1">
        <f t="array" ref="AF999">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999" s="21">
        <v>4</v>
      </c>
      <c r="AH999" s="2" t="s">
        <v>154</v>
      </c>
      <c r="AI999"/>
      <c r="AZ999"/>
      <c r="BC999"/>
      <c r="BE999"/>
      <c r="BL999"/>
      <c r="BZ999"/>
      <c r="CA999"/>
      <c r="CF999"/>
      <c r="CG999"/>
      <c r="CH999"/>
      <c r="CI999"/>
      <c r="CK999"/>
      <c r="CN999"/>
    </row>
    <row r="1000" spans="1:92" x14ac:dyDescent="0.3">
      <c r="A1000" s="4">
        <v>998</v>
      </c>
      <c r="B1000" s="11">
        <v>42</v>
      </c>
      <c r="C1000" s="2" t="str">
        <f>_xlfn.XLOOKUP(Table1[[#This Row],[Age]],Table7[Start_Age],Table7[Age_Range],,-1)</f>
        <v>39-49</v>
      </c>
      <c r="D1000" t="s">
        <v>130</v>
      </c>
      <c r="E1000" s="2" t="s">
        <v>129</v>
      </c>
      <c r="F1000" s="2" t="s">
        <v>133</v>
      </c>
      <c r="G1000" s="3">
        <v>2</v>
      </c>
      <c r="H1000" s="13" t="s">
        <v>152</v>
      </c>
      <c r="I1000" s="2" t="str" cm="1">
        <f t="array" ref="I1000">_xlfn.IFS(Table1[[#This Row],[Job_Type]] = "unskilled resident", "Resident",
Table1[[#This Row],[Job_Type]] = "unemp/unskilled non res", "Non-resident",
TRUE, "Unknown")</f>
        <v>Resident</v>
      </c>
      <c r="J1000" s="2" t="s">
        <v>148</v>
      </c>
      <c r="K1000" s="3">
        <v>1</v>
      </c>
      <c r="L1000" s="2" t="s">
        <v>144</v>
      </c>
      <c r="M1000" s="13" t="s">
        <v>151</v>
      </c>
      <c r="N1000" t="s">
        <v>17</v>
      </c>
      <c r="O1000" s="2" t="str">
        <f>_xlfn.XLOOKUP(Table1[[#This Row],[Checking_Acct_Status]],Table3[Checking_Acct_Original],Table3[Category])</f>
        <v>No Account</v>
      </c>
      <c r="P1000" s="10" t="s">
        <v>32</v>
      </c>
      <c r="Q1000" s="13" t="str">
        <f>_xlfn.XLOOKUP(Table1[[#This Row],[Saving_Acct_Status]],Table5[Saving_Acct_Original],Table5[Category])</f>
        <v>Low Savings</v>
      </c>
      <c r="R1000" t="s">
        <v>27</v>
      </c>
      <c r="S1000" s="2" t="str">
        <f>IF(
      OR(Table1[[#This Row],[Job_Type]] = "high qualif/self emp/mgmt", Table1[[#This Row],[Job_Type]] = "skilled"),
      "Skilled", "Unskilled")</f>
        <v>Unskilled</v>
      </c>
      <c r="T1000" t="str">
        <f>IF(Table1[[#This Row],[Job_Type]] = "unemp/unskilled non res", "Unemployed", "Employed")</f>
        <v>Employed</v>
      </c>
      <c r="U1000" t="s">
        <v>49</v>
      </c>
      <c r="V1000" s="14" t="str" cm="1">
        <f t="array" ref="V1000">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000" t="s">
        <v>103</v>
      </c>
      <c r="X1000" s="2" t="str">
        <f>_xlfn.XLOOKUP(Table1[[#This Row],[Loan_Credit_History]],Table4[Credit History],Table4[[ Category]])</f>
        <v>Critical Credit History</v>
      </c>
      <c r="Y1000" s="3">
        <v>2</v>
      </c>
      <c r="Z1000" s="3">
        <v>2</v>
      </c>
      <c r="AA1000" s="5">
        <v>1503</v>
      </c>
      <c r="AB1000" t="s">
        <v>151</v>
      </c>
      <c r="AC1000" s="2" t="str" cm="1">
        <f t="array" ref="AC1000">_xlfn.IFS(Table1[[#This Row],[Others_Parties]] = "No", "None",
Table1[[#This Row],[Others_Parties]] = "co applicant", "Co-applicant",
Table1[[#This Row],[Others_Parties]] = "guarantor", "Guarantor")</f>
        <v>None</v>
      </c>
      <c r="AD1000" s="13" t="s">
        <v>145</v>
      </c>
      <c r="AE1000" s="2" t="s">
        <v>111</v>
      </c>
      <c r="AF1000" s="28" t="str" cm="1">
        <f t="array" ref="AF1000">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000" s="21">
        <v>4</v>
      </c>
      <c r="AH1000" s="2" t="s">
        <v>154</v>
      </c>
      <c r="AI1000"/>
      <c r="AZ1000"/>
      <c r="BC1000"/>
      <c r="BE1000"/>
      <c r="BL1000"/>
      <c r="BZ1000"/>
      <c r="CA1000"/>
      <c r="CF1000"/>
      <c r="CG1000"/>
      <c r="CH1000"/>
      <c r="CI1000"/>
      <c r="CK1000"/>
      <c r="CN1000"/>
    </row>
    <row r="1001" spans="1:92" x14ac:dyDescent="0.3">
      <c r="A1001" s="4">
        <v>999</v>
      </c>
      <c r="B1001" s="11">
        <v>42</v>
      </c>
      <c r="C1001" s="2" t="str">
        <f>_xlfn.XLOOKUP(Table1[[#This Row],[Age]],Table7[Start_Age],Table7[Age_Range],,-1)</f>
        <v>39-49</v>
      </c>
      <c r="D1001" t="s">
        <v>130</v>
      </c>
      <c r="E1001" s="2" t="s">
        <v>129</v>
      </c>
      <c r="F1001" s="2" t="s">
        <v>133</v>
      </c>
      <c r="G1001" s="3">
        <v>2</v>
      </c>
      <c r="H1001" s="13" t="s">
        <v>152</v>
      </c>
      <c r="I1001" s="2" t="str" cm="1">
        <f t="array" ref="I1001">_xlfn.IFS(Table1[[#This Row],[Job_Type]] = "unskilled resident", "Resident",
Table1[[#This Row],[Job_Type]] = "unemp/unskilled non res", "Non-resident",
TRUE, "Unknown")</f>
        <v>Resident</v>
      </c>
      <c r="J1001" s="2" t="s">
        <v>148</v>
      </c>
      <c r="K1001" s="3">
        <v>1</v>
      </c>
      <c r="L1001" s="2" t="s">
        <v>144</v>
      </c>
      <c r="M1001" s="13" t="s">
        <v>151</v>
      </c>
      <c r="N1001" t="s">
        <v>17</v>
      </c>
      <c r="O1001" s="2" t="str">
        <f>_xlfn.XLOOKUP(Table1[[#This Row],[Checking_Acct_Status]],Table3[Checking_Acct_Original],Table3[Category])</f>
        <v>No Account</v>
      </c>
      <c r="P1001" s="10" t="s">
        <v>32</v>
      </c>
      <c r="Q1001" s="13" t="str">
        <f>_xlfn.XLOOKUP(Table1[[#This Row],[Saving_Acct_Status]],Table5[Saving_Acct_Original],Table5[Category])</f>
        <v>Low Savings</v>
      </c>
      <c r="R1001" t="s">
        <v>27</v>
      </c>
      <c r="S1001" s="2" t="str">
        <f>IF(
      OR(Table1[[#This Row],[Job_Type]] = "high qualif/self emp/mgmt", Table1[[#This Row],[Job_Type]] = "skilled"),
      "Skilled", "Unskilled")</f>
        <v>Unskilled</v>
      </c>
      <c r="T1001" t="str">
        <f>IF(Table1[[#This Row],[Job_Type]] = "unemp/unskilled non res", "Unemployed", "Employed")</f>
        <v>Employed</v>
      </c>
      <c r="U1001" t="s">
        <v>49</v>
      </c>
      <c r="V1001" s="14" t="str" cm="1">
        <f t="array" ref="V1001">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001" t="s">
        <v>103</v>
      </c>
      <c r="X1001" s="2" t="str">
        <f>_xlfn.XLOOKUP(Table1[[#This Row],[Loan_Credit_History]],Table4[Credit History],Table4[[ Category]])</f>
        <v>Critical Credit History</v>
      </c>
      <c r="Y1001" s="3">
        <v>2</v>
      </c>
      <c r="Z1001" s="3">
        <v>3</v>
      </c>
      <c r="AA1001" s="5">
        <v>1544</v>
      </c>
      <c r="AB1001" t="s">
        <v>151</v>
      </c>
      <c r="AC1001" s="2" t="str" cm="1">
        <f t="array" ref="AC1001">_xlfn.IFS(Table1[[#This Row],[Others_Parties]] = "No", "None",
Table1[[#This Row],[Others_Parties]] = "co applicant", "Co-applicant",
Table1[[#This Row],[Others_Parties]] = "guarantor", "Guarantor")</f>
        <v>None</v>
      </c>
      <c r="AD1001" s="13" t="s">
        <v>145</v>
      </c>
      <c r="AE1001" s="2" t="s">
        <v>111</v>
      </c>
      <c r="AF1001" s="28" t="str" cm="1">
        <f t="array" ref="AF1001">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001" s="21">
        <v>4</v>
      </c>
      <c r="AH1001" s="2" t="s">
        <v>154</v>
      </c>
      <c r="AI1001"/>
      <c r="AZ1001"/>
      <c r="BC1001"/>
      <c r="BE1001"/>
      <c r="BL1001"/>
      <c r="BZ1001"/>
      <c r="CA1001"/>
      <c r="CF1001"/>
      <c r="CG1001"/>
      <c r="CH1001"/>
      <c r="CI1001"/>
      <c r="CK1001"/>
      <c r="CN1001"/>
    </row>
    <row r="1002" spans="1:92" x14ac:dyDescent="0.3">
      <c r="A1002" s="4">
        <v>1000</v>
      </c>
      <c r="B1002" s="11">
        <v>37</v>
      </c>
      <c r="C1002" s="2" t="str">
        <f>_xlfn.XLOOKUP(Table1[[#This Row],[Age]],Table7[Start_Age],Table7[Age_Range],,-1)</f>
        <v>29-39</v>
      </c>
      <c r="D1002" t="s">
        <v>136</v>
      </c>
      <c r="E1002" s="2" t="s">
        <v>131</v>
      </c>
      <c r="F1002" s="2" t="s">
        <v>137</v>
      </c>
      <c r="G1002" s="3">
        <v>2</v>
      </c>
      <c r="H1002" s="13" t="s">
        <v>152</v>
      </c>
      <c r="I1002" s="2" t="str" cm="1">
        <f t="array" ref="I1002">_xlfn.IFS(Table1[[#This Row],[Job_Type]] = "unskilled resident", "Resident",
Table1[[#This Row],[Job_Type]] = "unemp/unskilled non res", "Non-resident",
TRUE, "Unknown")</f>
        <v>Unknown</v>
      </c>
      <c r="J1002" s="2" t="s">
        <v>148</v>
      </c>
      <c r="K1002" s="3">
        <v>1</v>
      </c>
      <c r="L1002" s="2" t="s">
        <v>144</v>
      </c>
      <c r="M1002" s="13" t="s">
        <v>151</v>
      </c>
      <c r="N1002" t="s">
        <v>17</v>
      </c>
      <c r="O1002" s="2" t="str">
        <f>_xlfn.XLOOKUP(Table1[[#This Row],[Checking_Acct_Status]],Table3[Checking_Acct_Original],Table3[Category])</f>
        <v>No Account</v>
      </c>
      <c r="P1002" s="10" t="s">
        <v>32</v>
      </c>
      <c r="Q1002" s="13" t="str">
        <f>_xlfn.XLOOKUP(Table1[[#This Row],[Saving_Acct_Status]],Table5[Saving_Acct_Original],Table5[Category])</f>
        <v>Low Savings</v>
      </c>
      <c r="R1002" t="s">
        <v>41</v>
      </c>
      <c r="S1002" s="2" t="str">
        <f>IF(
      OR(Table1[[#This Row],[Job_Type]] = "high qualif/self emp/mgmt", Table1[[#This Row],[Job_Type]] = "skilled"),
      "Skilled", "Unskilled")</f>
        <v>Skilled</v>
      </c>
      <c r="T1002" t="str">
        <f>IF(Table1[[#This Row],[Job_Type]] = "unemp/unskilled non res", "Unemployed", "Employed")</f>
        <v>Employed</v>
      </c>
      <c r="U1002" t="s">
        <v>49</v>
      </c>
      <c r="V1002" s="14" t="str" cm="1">
        <f t="array" ref="V1002">_xlfn.IFS(Table1[[#This Row],[Employement_Duration]] = "1&lt;=X&lt;4","1-4",
Table1[[#This Row],[Employement_Duration]] = "4&lt;=X&lt;7", "4-7",
Table1[[#This Row],[Employement_Duration]] = "&lt;1", "Less than 1",
Table1[[#This Row],[Employement_Duration]] = "&gt;=7", "Greater than 7",
Table1[[#This Row],[Employement_Duration]] = "unemployed", "Unemployed"
)</f>
        <v>4-7</v>
      </c>
      <c r="W1002" t="s">
        <v>103</v>
      </c>
      <c r="X1002" s="2" t="str">
        <f>_xlfn.XLOOKUP(Table1[[#This Row],[Loan_Credit_History]],Table4[Credit History],Table4[[ Category]])</f>
        <v>Critical Credit History</v>
      </c>
      <c r="Y1002" s="3">
        <v>1</v>
      </c>
      <c r="Z1002" s="3">
        <v>1</v>
      </c>
      <c r="AA1002" s="5">
        <v>3380</v>
      </c>
      <c r="AB1002" t="s">
        <v>151</v>
      </c>
      <c r="AC1002" s="2" t="str" cm="1">
        <f t="array" ref="AC1002">_xlfn.IFS(Table1[[#This Row],[Others_Parties]] = "No", "None",
Table1[[#This Row],[Others_Parties]] = "co applicant", "Co-applicant",
Table1[[#This Row],[Others_Parties]] = "guarantor", "Guarantor")</f>
        <v>None</v>
      </c>
      <c r="AD1002" s="13" t="s">
        <v>145</v>
      </c>
      <c r="AE1002" s="2" t="s">
        <v>141</v>
      </c>
      <c r="AF1002" s="28" t="str" cm="1">
        <f t="array" ref="AF1002">_xlfn.IFS(Table1[[#This Row],[Loan_Duration_Months]]&lt;=12,"0-12",
AND(Table1[[#This Row],[Loan_Duration_Months]] &gt;=13, Table1[[#This Row],[Loan_Duration_Months]] &lt;=24), "13-24",
AND(Table1[[#This Row],[Loan_Duration_Months]] &gt;=25, Table1[[#This Row],[Loan_Duration_Months]] &lt;=36), "25-36",
AND(Table1[[#This Row],[Loan_Duration_Months]] &gt;=37, Table1[[#This Row],[Loan_Duration_Months]] &lt;=48), "37-48",
AND(Table1[[#This Row],[Loan_Duration_Months]] &gt;=49, Table1[[#This Row],[Loan_Duration_Months]] &lt;=56), "49-56",
AND(Table1[[#This Row],[Loan_Duration_Months]] &gt;=57, Table1[[#This Row],[Loan_Duration_Months]] &lt;=72), "57-72"
)</f>
        <v>0-12</v>
      </c>
      <c r="AG1002" s="21">
        <v>4</v>
      </c>
      <c r="AH1002" s="2" t="s">
        <v>154</v>
      </c>
      <c r="AI1002"/>
      <c r="AZ1002"/>
      <c r="BC1002"/>
      <c r="BE1002"/>
      <c r="BL1002"/>
      <c r="BZ1002"/>
      <c r="CA1002"/>
      <c r="CF1002"/>
      <c r="CG1002"/>
      <c r="CH1002"/>
      <c r="CI1002"/>
      <c r="CK1002"/>
      <c r="CN1002"/>
    </row>
  </sheetData>
  <mergeCells count="6">
    <mergeCell ref="B1:H1"/>
    <mergeCell ref="W1:AD1"/>
    <mergeCell ref="AE1:AG1"/>
    <mergeCell ref="I1:M1"/>
    <mergeCell ref="R1:V1"/>
    <mergeCell ref="N1:Q1"/>
  </mergeCells>
  <phoneticPr fontId="18"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O1:AB53"/>
  <sheetViews>
    <sheetView showGridLines="0" zoomScale="68" zoomScaleNormal="100" workbookViewId="0">
      <selection activeCell="O11" sqref="O11"/>
    </sheetView>
  </sheetViews>
  <sheetFormatPr defaultRowHeight="14.4" x14ac:dyDescent="0.3"/>
  <cols>
    <col min="14" max="14" width="13" customWidth="1"/>
    <col min="15" max="15" width="23.44140625" style="35" customWidth="1"/>
    <col min="16" max="16" width="33.109375" style="10" customWidth="1"/>
    <col min="17" max="19" width="23.44140625" customWidth="1"/>
    <col min="20" max="20" width="55.21875" bestFit="1" customWidth="1"/>
    <col min="21" max="21" width="19.77734375" bestFit="1" customWidth="1"/>
    <col min="22" max="22" width="8.44140625" bestFit="1" customWidth="1"/>
    <col min="23" max="24" width="23.44140625" customWidth="1"/>
    <col min="25" max="25" width="12" bestFit="1" customWidth="1"/>
    <col min="26" max="26" width="5.5546875" bestFit="1" customWidth="1"/>
    <col min="27" max="27" width="10.77734375" bestFit="1" customWidth="1"/>
    <col min="28" max="28" width="16.44140625" customWidth="1"/>
  </cols>
  <sheetData>
    <row r="1" spans="15:24" ht="18" x14ac:dyDescent="0.35">
      <c r="O1" s="50" t="s">
        <v>273</v>
      </c>
      <c r="P1" s="51"/>
      <c r="Q1" s="51"/>
      <c r="R1" s="51"/>
      <c r="S1" s="51"/>
      <c r="T1" s="51"/>
      <c r="U1" s="51"/>
      <c r="V1" s="51"/>
      <c r="W1" s="51"/>
      <c r="X1" s="51"/>
    </row>
    <row r="3" spans="15:24" x14ac:dyDescent="0.3">
      <c r="P3" s="9" t="s">
        <v>192</v>
      </c>
      <c r="Q3" s="9" t="s">
        <v>191</v>
      </c>
    </row>
    <row r="4" spans="15:24" x14ac:dyDescent="0.3">
      <c r="P4" s="9" t="s">
        <v>179</v>
      </c>
      <c r="Q4" s="9">
        <f>COUNT(Table1[ID])</f>
        <v>1000</v>
      </c>
    </row>
    <row r="5" spans="15:24" x14ac:dyDescent="0.3">
      <c r="P5" s="9" t="s">
        <v>195</v>
      </c>
      <c r="Q5" s="17">
        <f>GETPIVOTDATA("ID",$P$15,"Credit_Risk","Bad")</f>
        <v>0.3</v>
      </c>
    </row>
    <row r="6" spans="15:24" x14ac:dyDescent="0.3">
      <c r="P6" s="9" t="s">
        <v>196</v>
      </c>
      <c r="Q6" s="17">
        <f>GETPIVOTDATA("ID",$P$15,"Credit_Risk","Good")</f>
        <v>0.7</v>
      </c>
    </row>
    <row r="7" spans="15:24" x14ac:dyDescent="0.3">
      <c r="P7" s="9" t="s">
        <v>193</v>
      </c>
      <c r="Q7" s="39">
        <f>GETPIVOTDATA("% of Total",$P$27,"Gender","Female")</f>
        <v>0.33574225774225774</v>
      </c>
    </row>
    <row r="8" spans="15:24" x14ac:dyDescent="0.3">
      <c r="P8" s="9" t="s">
        <v>194</v>
      </c>
      <c r="Q8" s="39">
        <f>GETPIVOTDATA("% of Total",$P$27,"Gender","Male")</f>
        <v>0.66425774225774226</v>
      </c>
    </row>
    <row r="9" spans="15:24" x14ac:dyDescent="0.3">
      <c r="P9" s="9" t="s">
        <v>197</v>
      </c>
      <c r="Q9" s="9" t="str">
        <f>T16</f>
        <v>19-29</v>
      </c>
    </row>
    <row r="10" spans="15:24" x14ac:dyDescent="0.3">
      <c r="P10"/>
    </row>
    <row r="14" spans="15:24" x14ac:dyDescent="0.3">
      <c r="P14" s="10" t="s">
        <v>223</v>
      </c>
      <c r="T14" s="8" t="s">
        <v>272</v>
      </c>
      <c r="U14" s="8" t="s">
        <v>180</v>
      </c>
    </row>
    <row r="15" spans="15:24" x14ac:dyDescent="0.3">
      <c r="P15" s="8" t="s">
        <v>180</v>
      </c>
      <c r="Q15" s="29" t="s">
        <v>222</v>
      </c>
      <c r="T15" s="8" t="s">
        <v>181</v>
      </c>
      <c r="U15" t="s">
        <v>153</v>
      </c>
      <c r="V15" t="s">
        <v>154</v>
      </c>
    </row>
    <row r="16" spans="15:24" x14ac:dyDescent="0.3">
      <c r="P16" s="9" t="s">
        <v>153</v>
      </c>
      <c r="Q16" s="16">
        <v>0.3</v>
      </c>
      <c r="T16" s="9" t="s">
        <v>172</v>
      </c>
      <c r="U16" s="15">
        <v>0.3652694610778443</v>
      </c>
      <c r="V16" s="15">
        <v>0.6347305389221557</v>
      </c>
    </row>
    <row r="17" spans="16:28" x14ac:dyDescent="0.3">
      <c r="P17" s="9" t="s">
        <v>154</v>
      </c>
      <c r="Q17" s="16">
        <v>0.7</v>
      </c>
      <c r="T17" s="9" t="s">
        <v>173</v>
      </c>
      <c r="U17" s="15">
        <v>0.27167630057803466</v>
      </c>
      <c r="V17" s="15">
        <v>0.72832369942196529</v>
      </c>
    </row>
    <row r="18" spans="16:28" x14ac:dyDescent="0.3">
      <c r="P18"/>
      <c r="T18" s="9" t="s">
        <v>174</v>
      </c>
      <c r="U18" s="15">
        <v>0.27071823204419887</v>
      </c>
      <c r="V18" s="15">
        <v>0.72928176795580113</v>
      </c>
    </row>
    <row r="19" spans="16:28" x14ac:dyDescent="0.3">
      <c r="T19" s="9" t="s">
        <v>175</v>
      </c>
      <c r="U19" s="15">
        <v>0.24705882352941178</v>
      </c>
      <c r="V19" s="15">
        <v>0.75294117647058822</v>
      </c>
    </row>
    <row r="20" spans="16:28" x14ac:dyDescent="0.3">
      <c r="T20" s="9" t="s">
        <v>176</v>
      </c>
      <c r="U20" s="15">
        <v>0.27659574468085107</v>
      </c>
      <c r="V20" s="15">
        <v>0.72340425531914898</v>
      </c>
    </row>
    <row r="21" spans="16:28" x14ac:dyDescent="0.3">
      <c r="T21" s="9" t="s">
        <v>177</v>
      </c>
      <c r="U21" s="15">
        <v>0.14285714285714285</v>
      </c>
      <c r="V21" s="15">
        <v>0.8571428571428571</v>
      </c>
    </row>
    <row r="22" spans="16:28" x14ac:dyDescent="0.3">
      <c r="Q22" s="10"/>
    </row>
    <row r="26" spans="16:28" x14ac:dyDescent="0.3">
      <c r="P26" s="10" t="s">
        <v>185</v>
      </c>
      <c r="T26" s="8" t="s">
        <v>183</v>
      </c>
      <c r="U26" s="8" t="s">
        <v>180</v>
      </c>
    </row>
    <row r="27" spans="16:28" x14ac:dyDescent="0.3">
      <c r="P27" s="8" t="s">
        <v>128</v>
      </c>
      <c r="Q27" t="s">
        <v>184</v>
      </c>
      <c r="T27" s="8" t="s">
        <v>132</v>
      </c>
      <c r="U27" t="s">
        <v>153</v>
      </c>
      <c r="V27" t="s">
        <v>154</v>
      </c>
    </row>
    <row r="28" spans="16:28" x14ac:dyDescent="0.3">
      <c r="P28" s="9" t="s">
        <v>131</v>
      </c>
      <c r="Q28" s="16">
        <v>0.33574225774225774</v>
      </c>
      <c r="T28" s="9" t="s">
        <v>137</v>
      </c>
      <c r="U28" s="15">
        <v>0.35161290322580646</v>
      </c>
      <c r="V28" s="15">
        <v>0.64838709677419359</v>
      </c>
    </row>
    <row r="29" spans="16:28" x14ac:dyDescent="0.3">
      <c r="P29" s="9" t="s">
        <v>129</v>
      </c>
      <c r="Q29" s="16">
        <v>0.66425774225774226</v>
      </c>
      <c r="T29" s="9" t="s">
        <v>178</v>
      </c>
      <c r="U29" s="15">
        <v>0.4</v>
      </c>
      <c r="V29" s="15">
        <v>0.6</v>
      </c>
      <c r="AB29" s="15"/>
    </row>
    <row r="30" spans="16:28" x14ac:dyDescent="0.3">
      <c r="P30"/>
      <c r="T30" s="9" t="s">
        <v>135</v>
      </c>
      <c r="U30" s="15">
        <v>0.27173913043478259</v>
      </c>
      <c r="V30" s="15">
        <v>0.72826086956521741</v>
      </c>
      <c r="AB30" s="15"/>
    </row>
    <row r="31" spans="16:28" x14ac:dyDescent="0.3">
      <c r="P31"/>
      <c r="T31" s="9" t="s">
        <v>133</v>
      </c>
      <c r="U31" s="15">
        <v>0.26642335766423358</v>
      </c>
      <c r="V31" s="15">
        <v>0.73357664233576647</v>
      </c>
      <c r="AB31" s="15"/>
    </row>
    <row r="32" spans="16:28" x14ac:dyDescent="0.3">
      <c r="P32"/>
      <c r="AB32" s="15"/>
    </row>
    <row r="33" spans="16:22" x14ac:dyDescent="0.3">
      <c r="P33"/>
    </row>
    <row r="34" spans="16:22" x14ac:dyDescent="0.3">
      <c r="P34"/>
    </row>
    <row r="35" spans="16:22" x14ac:dyDescent="0.3">
      <c r="P35"/>
    </row>
    <row r="36" spans="16:22" x14ac:dyDescent="0.3">
      <c r="P36" s="8" t="s">
        <v>188</v>
      </c>
      <c r="Q36" s="8" t="s">
        <v>180</v>
      </c>
      <c r="T36" s="8" t="s">
        <v>189</v>
      </c>
      <c r="U36" s="8" t="s">
        <v>128</v>
      </c>
    </row>
    <row r="37" spans="16:22" x14ac:dyDescent="0.3">
      <c r="P37" s="8" t="s">
        <v>187</v>
      </c>
      <c r="Q37" t="s">
        <v>153</v>
      </c>
      <c r="R37" t="s">
        <v>154</v>
      </c>
      <c r="T37" s="8" t="s">
        <v>181</v>
      </c>
      <c r="U37" t="s">
        <v>131</v>
      </c>
      <c r="V37" t="s">
        <v>129</v>
      </c>
    </row>
    <row r="38" spans="16:22" x14ac:dyDescent="0.3">
      <c r="P38" s="9" t="s">
        <v>151</v>
      </c>
      <c r="Q38" s="1">
        <v>4</v>
      </c>
      <c r="R38" s="1">
        <v>33</v>
      </c>
      <c r="T38" s="9" t="s">
        <v>172</v>
      </c>
      <c r="U38" s="1">
        <v>154</v>
      </c>
      <c r="V38" s="1">
        <v>180</v>
      </c>
    </row>
    <row r="39" spans="16:22" x14ac:dyDescent="0.3">
      <c r="P39" s="9" t="s">
        <v>152</v>
      </c>
      <c r="Q39" s="1">
        <v>296</v>
      </c>
      <c r="R39" s="1">
        <v>667</v>
      </c>
      <c r="T39" s="9" t="s">
        <v>173</v>
      </c>
      <c r="U39" s="1">
        <v>83</v>
      </c>
      <c r="V39" s="1">
        <v>263</v>
      </c>
    </row>
    <row r="40" spans="16:22" x14ac:dyDescent="0.3">
      <c r="P40"/>
      <c r="T40" s="9" t="s">
        <v>174</v>
      </c>
      <c r="U40" s="1">
        <v>34</v>
      </c>
      <c r="V40" s="1">
        <v>147</v>
      </c>
    </row>
    <row r="41" spans="16:22" x14ac:dyDescent="0.3">
      <c r="P41"/>
      <c r="T41" s="9" t="s">
        <v>175</v>
      </c>
      <c r="U41" s="1">
        <v>25</v>
      </c>
      <c r="V41" s="1">
        <v>60</v>
      </c>
    </row>
    <row r="42" spans="16:22" x14ac:dyDescent="0.3">
      <c r="P42"/>
      <c r="T42" s="9" t="s">
        <v>176</v>
      </c>
      <c r="U42" s="1">
        <v>12</v>
      </c>
      <c r="V42" s="1">
        <v>35</v>
      </c>
    </row>
    <row r="43" spans="16:22" x14ac:dyDescent="0.3">
      <c r="P43"/>
      <c r="T43" s="9" t="s">
        <v>177</v>
      </c>
      <c r="U43" s="1">
        <v>2</v>
      </c>
      <c r="V43" s="1">
        <v>5</v>
      </c>
    </row>
    <row r="44" spans="16:22" x14ac:dyDescent="0.3">
      <c r="P44"/>
    </row>
    <row r="45" spans="16:22" x14ac:dyDescent="0.3">
      <c r="P45"/>
    </row>
    <row r="46" spans="16:22" x14ac:dyDescent="0.3">
      <c r="P46"/>
    </row>
    <row r="47" spans="16:22" x14ac:dyDescent="0.3">
      <c r="P47"/>
    </row>
    <row r="48" spans="16:22" x14ac:dyDescent="0.3">
      <c r="P48"/>
    </row>
    <row r="49" spans="16:16" x14ac:dyDescent="0.3">
      <c r="P49"/>
    </row>
    <row r="50" spans="16:16" x14ac:dyDescent="0.3">
      <c r="P50"/>
    </row>
    <row r="51" spans="16:16" x14ac:dyDescent="0.3">
      <c r="P51"/>
    </row>
    <row r="52" spans="16:16" x14ac:dyDescent="0.3">
      <c r="P52"/>
    </row>
    <row r="53" spans="16:16" x14ac:dyDescent="0.3">
      <c r="P53"/>
    </row>
  </sheetData>
  <mergeCells count="1">
    <mergeCell ref="O1:X1"/>
  </mergeCells>
  <conditionalFormatting pivot="1" sqref="V16:V21">
    <cfRule type="colorScale" priority="17">
      <colorScale>
        <cfvo type="min"/>
        <cfvo type="max"/>
        <color theme="8" tint="0.79998168889431442"/>
        <color theme="8" tint="-0.249977111117893"/>
      </colorScale>
    </cfRule>
  </conditionalFormatting>
  <conditionalFormatting pivot="1" sqref="V38:V43">
    <cfRule type="colorScale" priority="15">
      <colorScale>
        <cfvo type="min"/>
        <cfvo type="max"/>
        <color theme="8" tint="0.79998168889431442"/>
        <color theme="8" tint="-0.249977111117893"/>
      </colorScale>
    </cfRule>
  </conditionalFormatting>
  <conditionalFormatting pivot="1" sqref="Q16:Q17">
    <cfRule type="colorScale" priority="11">
      <colorScale>
        <cfvo type="min"/>
        <cfvo type="max"/>
        <color theme="4" tint="0.79998168889431442"/>
        <color theme="4" tint="0.39997558519241921"/>
      </colorScale>
    </cfRule>
  </conditionalFormatting>
  <conditionalFormatting pivot="1" sqref="Q28:Q29">
    <cfRule type="colorScale" priority="7">
      <colorScale>
        <cfvo type="min"/>
        <cfvo type="max"/>
        <color theme="4" tint="0.79998168889431442"/>
        <color theme="4" tint="0.39997558519241921"/>
      </colorScale>
    </cfRule>
  </conditionalFormatting>
  <conditionalFormatting pivot="1" sqref="Q38:Q39">
    <cfRule type="colorScale" priority="6">
      <colorScale>
        <cfvo type="min"/>
        <cfvo type="max"/>
        <color theme="4" tint="0.79998168889431442"/>
        <color theme="4" tint="0.39997558519241921"/>
      </colorScale>
    </cfRule>
  </conditionalFormatting>
  <conditionalFormatting pivot="1" sqref="R38:R39">
    <cfRule type="colorScale" priority="5">
      <colorScale>
        <cfvo type="min"/>
        <cfvo type="max"/>
        <color theme="4" tint="0.79998168889431442"/>
        <color theme="4" tint="0.39997558519241921"/>
      </colorScale>
    </cfRule>
  </conditionalFormatting>
  <conditionalFormatting pivot="1" sqref="U16:U21">
    <cfRule type="colorScale" priority="4">
      <colorScale>
        <cfvo type="min"/>
        <cfvo type="max"/>
        <color theme="8" tint="0.79998168889431442"/>
        <color theme="8" tint="-0.249977111117893"/>
      </colorScale>
    </cfRule>
  </conditionalFormatting>
  <conditionalFormatting pivot="1" sqref="U28:U31">
    <cfRule type="colorScale" priority="3">
      <colorScale>
        <cfvo type="min"/>
        <cfvo type="max"/>
        <color theme="8" tint="0.79998168889431442"/>
        <color theme="8" tint="-0.249977111117893"/>
      </colorScale>
    </cfRule>
  </conditionalFormatting>
  <conditionalFormatting pivot="1" sqref="V28:V31">
    <cfRule type="colorScale" priority="2">
      <colorScale>
        <cfvo type="min"/>
        <cfvo type="max"/>
        <color theme="8" tint="0.79998168889431442"/>
        <color theme="8" tint="-0.249977111117893"/>
      </colorScale>
    </cfRule>
  </conditionalFormatting>
  <conditionalFormatting pivot="1" sqref="U38:U43">
    <cfRule type="colorScale" priority="1">
      <colorScale>
        <cfvo type="min"/>
        <cfvo type="max"/>
        <color theme="8" tint="0.79998168889431442"/>
        <color theme="8" tint="-0.249977111117893"/>
      </colorScale>
    </cfRule>
  </conditionalFormatting>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F0306-BB12-45F4-B5E9-EBF2723E677A}">
  <dimension ref="N1:Z37"/>
  <sheetViews>
    <sheetView showGridLines="0" tabSelected="1" topLeftCell="G1" zoomScale="93" zoomScaleNormal="115" workbookViewId="0">
      <selection activeCell="P7" sqref="P7"/>
    </sheetView>
  </sheetViews>
  <sheetFormatPr defaultRowHeight="14.4" x14ac:dyDescent="0.3"/>
  <cols>
    <col min="7" max="7" width="8.88671875" customWidth="1"/>
    <col min="14" max="14" width="6.44140625" customWidth="1"/>
    <col min="15" max="15" width="23.44140625" style="35" customWidth="1"/>
    <col min="16" max="16" width="62" bestFit="1" customWidth="1"/>
    <col min="17" max="17" width="29.6640625" bestFit="1" customWidth="1"/>
    <col min="18" max="18" width="32.21875" bestFit="1" customWidth="1"/>
    <col min="19" max="19" width="20.6640625" bestFit="1" customWidth="1"/>
    <col min="20" max="20" width="14.33203125" bestFit="1" customWidth="1"/>
    <col min="21" max="21" width="42.5546875" bestFit="1" customWidth="1"/>
    <col min="22" max="22" width="32.5546875" bestFit="1" customWidth="1"/>
    <col min="23" max="23" width="7.44140625" bestFit="1" customWidth="1"/>
    <col min="24" max="24" width="19.33203125" bestFit="1" customWidth="1"/>
    <col min="25" max="25" width="18.33203125" bestFit="1" customWidth="1"/>
    <col min="26" max="26" width="19.33203125" bestFit="1" customWidth="1"/>
    <col min="27" max="27" width="31.77734375" bestFit="1" customWidth="1"/>
  </cols>
  <sheetData>
    <row r="1" spans="14:26" ht="18" x14ac:dyDescent="0.35">
      <c r="N1" s="36"/>
      <c r="O1" s="52" t="s">
        <v>273</v>
      </c>
      <c r="P1" s="51"/>
      <c r="Q1" s="51"/>
      <c r="R1" s="51"/>
      <c r="S1" s="51"/>
      <c r="T1" s="51"/>
      <c r="U1" s="51"/>
      <c r="V1" s="51"/>
      <c r="W1" s="51"/>
      <c r="X1" s="51"/>
      <c r="Y1" s="51"/>
      <c r="Z1" s="51"/>
    </row>
    <row r="2" spans="14:26" x14ac:dyDescent="0.3">
      <c r="N2" s="36"/>
    </row>
    <row r="3" spans="14:26" x14ac:dyDescent="0.3">
      <c r="N3" s="36"/>
      <c r="P3" t="s">
        <v>190</v>
      </c>
      <c r="Q3" t="s">
        <v>191</v>
      </c>
      <c r="R3" t="s">
        <v>92</v>
      </c>
    </row>
    <row r="4" spans="14:26" x14ac:dyDescent="0.3">
      <c r="N4" s="36"/>
      <c r="P4" t="s">
        <v>280</v>
      </c>
      <c r="Q4" s="15">
        <f>GETPIVOTDATA("ID",$P$12,"Check_Acct_Balance","Negative Balance","Credit_Risk","Bad")</f>
        <v>0.49270072992700731</v>
      </c>
      <c r="R4" s="4" t="str">
        <f>$P$16</f>
        <v>Negative Balance</v>
      </c>
    </row>
    <row r="5" spans="14:26" x14ac:dyDescent="0.3">
      <c r="N5" s="36"/>
      <c r="P5" t="s">
        <v>281</v>
      </c>
      <c r="Q5" s="15">
        <f>GETPIVOTDATA("Saving_Acct_Balance",$U$12,"Saving_Acct_Balance","Low Savings","Credit_Risk","Bad")</f>
        <v>0.35986733001658378</v>
      </c>
      <c r="R5" s="4" t="str">
        <f>U15</f>
        <v>Low Savings</v>
      </c>
    </row>
    <row r="6" spans="14:26" x14ac:dyDescent="0.3">
      <c r="N6" s="36"/>
      <c r="P6" t="s">
        <v>282</v>
      </c>
      <c r="Q6" s="1">
        <f>102</f>
        <v>102</v>
      </c>
      <c r="R6" s="18" t="str">
        <f>P24</f>
        <v>Car</v>
      </c>
    </row>
    <row r="7" spans="14:26" x14ac:dyDescent="0.3">
      <c r="P7" t="s">
        <v>283</v>
      </c>
      <c r="Q7" s="1">
        <f>GETPIVOTDATA("Credit_Risk",$U$22,"Housing_Status","Owned")</f>
        <v>186</v>
      </c>
      <c r="R7" s="18" t="s">
        <v>148</v>
      </c>
    </row>
    <row r="8" spans="14:26" x14ac:dyDescent="0.3">
      <c r="P8" t="s">
        <v>225</v>
      </c>
      <c r="Q8">
        <f>GETPIVOTDATA("ID",$P$32,"Check_Acct_Balance","Negative Balance","Saving_Acct_Balance","Low Savings")</f>
        <v>114</v>
      </c>
      <c r="R8" t="s">
        <v>203</v>
      </c>
    </row>
    <row r="12" spans="14:26" x14ac:dyDescent="0.3">
      <c r="P12" s="8" t="s">
        <v>198</v>
      </c>
      <c r="Q12" s="8" t="s">
        <v>180</v>
      </c>
      <c r="U12" s="8" t="s">
        <v>200</v>
      </c>
      <c r="V12" s="8" t="s">
        <v>180</v>
      </c>
    </row>
    <row r="13" spans="14:26" x14ac:dyDescent="0.3">
      <c r="P13" s="8" t="s">
        <v>199</v>
      </c>
      <c r="Q13" t="s">
        <v>153</v>
      </c>
      <c r="R13" t="s">
        <v>154</v>
      </c>
      <c r="U13" s="8" t="s">
        <v>199</v>
      </c>
      <c r="V13" t="s">
        <v>153</v>
      </c>
      <c r="W13" t="s">
        <v>154</v>
      </c>
    </row>
    <row r="14" spans="14:26" x14ac:dyDescent="0.3">
      <c r="P14" s="4" t="s">
        <v>117</v>
      </c>
      <c r="Q14" s="15">
        <v>0.22222222222222221</v>
      </c>
      <c r="R14" s="15">
        <v>0.77777777777777779</v>
      </c>
      <c r="U14" s="9" t="s">
        <v>120</v>
      </c>
      <c r="V14" s="15">
        <v>0.17460317460317459</v>
      </c>
      <c r="W14" s="15">
        <v>0.82539682539682535</v>
      </c>
    </row>
    <row r="15" spans="14:26" x14ac:dyDescent="0.3">
      <c r="P15" s="4" t="s">
        <v>116</v>
      </c>
      <c r="Q15" s="15">
        <v>0.3903345724907063</v>
      </c>
      <c r="R15" s="15">
        <v>0.60966542750929364</v>
      </c>
      <c r="U15" s="9" t="s">
        <v>118</v>
      </c>
      <c r="V15" s="15">
        <v>0.35986733001658378</v>
      </c>
      <c r="W15" s="15">
        <v>0.64013266998341622</v>
      </c>
    </row>
    <row r="16" spans="14:26" x14ac:dyDescent="0.3">
      <c r="P16" s="4" t="s">
        <v>115</v>
      </c>
      <c r="Q16" s="15">
        <v>0.49270072992700731</v>
      </c>
      <c r="R16" s="15">
        <v>0.50729927007299269</v>
      </c>
      <c r="U16" s="9" t="s">
        <v>119</v>
      </c>
      <c r="V16" s="15">
        <v>0.3300970873786408</v>
      </c>
      <c r="W16" s="15">
        <v>0.66990291262135926</v>
      </c>
    </row>
    <row r="17" spans="16:23" x14ac:dyDescent="0.3">
      <c r="P17" s="4" t="s">
        <v>93</v>
      </c>
      <c r="Q17" s="15">
        <v>0.116751269035533</v>
      </c>
      <c r="R17" s="15">
        <v>0.88324873096446699</v>
      </c>
      <c r="U17" s="9" t="s">
        <v>114</v>
      </c>
      <c r="V17" s="15">
        <v>0.17486338797814208</v>
      </c>
      <c r="W17" s="15">
        <v>0.82513661202185795</v>
      </c>
    </row>
    <row r="18" spans="16:23" x14ac:dyDescent="0.3">
      <c r="U18" s="9" t="s">
        <v>121</v>
      </c>
      <c r="V18" s="15">
        <v>0.125</v>
      </c>
      <c r="W18" s="15">
        <v>0.875</v>
      </c>
    </row>
    <row r="20" spans="16:23" x14ac:dyDescent="0.3">
      <c r="U20" s="8" t="s">
        <v>16</v>
      </c>
      <c r="V20" t="s">
        <v>153</v>
      </c>
    </row>
    <row r="22" spans="16:23" x14ac:dyDescent="0.3">
      <c r="P22" s="8" t="s">
        <v>224</v>
      </c>
      <c r="Q22" s="8" t="s">
        <v>180</v>
      </c>
      <c r="U22" s="8" t="s">
        <v>201</v>
      </c>
      <c r="V22" t="s">
        <v>271</v>
      </c>
    </row>
    <row r="23" spans="16:23" x14ac:dyDescent="0.3">
      <c r="P23" s="8" t="s">
        <v>8</v>
      </c>
      <c r="Q23" t="s">
        <v>153</v>
      </c>
      <c r="U23" s="9" t="s">
        <v>148</v>
      </c>
      <c r="V23" s="1">
        <v>186</v>
      </c>
    </row>
    <row r="24" spans="16:23" x14ac:dyDescent="0.3">
      <c r="P24" s="9" t="s">
        <v>140</v>
      </c>
      <c r="Q24" s="1">
        <v>102</v>
      </c>
      <c r="U24" s="9" t="s">
        <v>150</v>
      </c>
      <c r="V24" s="1">
        <v>44</v>
      </c>
    </row>
    <row r="25" spans="16:23" x14ac:dyDescent="0.3">
      <c r="P25" s="9" t="s">
        <v>143</v>
      </c>
      <c r="Q25" s="1">
        <v>71</v>
      </c>
      <c r="U25" s="9" t="s">
        <v>149</v>
      </c>
      <c r="V25" s="1">
        <v>70</v>
      </c>
    </row>
    <row r="26" spans="16:23" x14ac:dyDescent="0.3">
      <c r="P26" s="9" t="s">
        <v>142</v>
      </c>
      <c r="Q26" s="1">
        <v>67</v>
      </c>
    </row>
    <row r="28" spans="16:23" x14ac:dyDescent="0.3">
      <c r="P28" s="9"/>
      <c r="Q28" s="15"/>
      <c r="R28" s="15"/>
    </row>
    <row r="30" spans="16:23" x14ac:dyDescent="0.3">
      <c r="P30" s="8" t="s">
        <v>16</v>
      </c>
      <c r="Q30" t="s">
        <v>153</v>
      </c>
    </row>
    <row r="32" spans="16:23" x14ac:dyDescent="0.3">
      <c r="P32" s="8" t="s">
        <v>225</v>
      </c>
      <c r="Q32" s="8" t="s">
        <v>202</v>
      </c>
    </row>
    <row r="33" spans="16:21" x14ac:dyDescent="0.3">
      <c r="P33" s="8" t="s">
        <v>199</v>
      </c>
      <c r="Q33" t="s">
        <v>120</v>
      </c>
      <c r="R33" t="s">
        <v>118</v>
      </c>
      <c r="S33" t="s">
        <v>119</v>
      </c>
      <c r="T33" t="s">
        <v>114</v>
      </c>
      <c r="U33" t="s">
        <v>121</v>
      </c>
    </row>
    <row r="34" spans="16:21" x14ac:dyDescent="0.3">
      <c r="P34" s="9" t="s">
        <v>117</v>
      </c>
      <c r="Q34" s="1">
        <v>1</v>
      </c>
      <c r="R34" s="1">
        <v>10</v>
      </c>
      <c r="S34" s="1">
        <v>1</v>
      </c>
      <c r="T34" s="1">
        <v>2</v>
      </c>
      <c r="U34" s="1"/>
    </row>
    <row r="35" spans="16:21" x14ac:dyDescent="0.3">
      <c r="P35" s="9" t="s">
        <v>116</v>
      </c>
      <c r="Q35" s="1">
        <v>3</v>
      </c>
      <c r="R35" s="1">
        <v>67</v>
      </c>
      <c r="S35" s="1">
        <v>24</v>
      </c>
      <c r="T35" s="1">
        <v>7</v>
      </c>
      <c r="U35" s="1">
        <v>4</v>
      </c>
    </row>
    <row r="36" spans="16:21" x14ac:dyDescent="0.3">
      <c r="P36" s="9" t="s">
        <v>115</v>
      </c>
      <c r="Q36" s="1">
        <v>2</v>
      </c>
      <c r="R36" s="1">
        <v>114</v>
      </c>
      <c r="S36" s="1">
        <v>5</v>
      </c>
      <c r="T36" s="1">
        <v>14</v>
      </c>
      <c r="U36" s="1"/>
    </row>
    <row r="37" spans="16:21" x14ac:dyDescent="0.3">
      <c r="P37" s="9" t="s">
        <v>93</v>
      </c>
      <c r="Q37" s="1">
        <v>5</v>
      </c>
      <c r="R37" s="1">
        <v>26</v>
      </c>
      <c r="S37" s="1">
        <v>4</v>
      </c>
      <c r="T37" s="1">
        <v>9</v>
      </c>
      <c r="U37" s="1">
        <v>2</v>
      </c>
    </row>
  </sheetData>
  <mergeCells count="1">
    <mergeCell ref="O1:Z1"/>
  </mergeCells>
  <conditionalFormatting pivot="1" sqref="Q14:Q17">
    <cfRule type="colorScale" priority="24">
      <colorScale>
        <cfvo type="min"/>
        <cfvo type="max"/>
        <color theme="8" tint="0.79998168889431442"/>
        <color theme="8" tint="-0.249977111117893"/>
      </colorScale>
    </cfRule>
  </conditionalFormatting>
  <conditionalFormatting pivot="1" sqref="V14:V18">
    <cfRule type="colorScale" priority="20">
      <colorScale>
        <cfvo type="min"/>
        <cfvo type="max"/>
        <color theme="8" tint="0.79998168889431442"/>
        <color theme="8" tint="-0.249977111117893"/>
      </colorScale>
    </cfRule>
  </conditionalFormatting>
  <conditionalFormatting pivot="1" sqref="Q24:Q26">
    <cfRule type="colorScale" priority="18">
      <colorScale>
        <cfvo type="min"/>
        <cfvo type="max"/>
        <color theme="8" tint="0.79998168889431442"/>
        <color theme="8" tint="-0.249977111117893"/>
      </colorScale>
    </cfRule>
  </conditionalFormatting>
  <conditionalFormatting pivot="1">
    <cfRule type="colorScale" priority="17">
      <colorScale>
        <cfvo type="min"/>
        <cfvo type="max"/>
        <color theme="4" tint="0.79998168889431442"/>
        <color theme="4" tint="-0.249977111117893"/>
      </colorScale>
    </cfRule>
  </conditionalFormatting>
  <conditionalFormatting pivot="1">
    <cfRule type="colorScale" priority="16">
      <colorScale>
        <cfvo type="min"/>
        <cfvo type="max"/>
        <color theme="4" tint="0.79998168889431442"/>
        <color theme="4" tint="-0.249977111117893"/>
      </colorScale>
    </cfRule>
  </conditionalFormatting>
  <conditionalFormatting pivot="1">
    <cfRule type="colorScale" priority="15">
      <colorScale>
        <cfvo type="min"/>
        <cfvo type="max"/>
        <color theme="4" tint="0.79998168889431442"/>
        <color theme="4" tint="-0.249977111117893"/>
      </colorScale>
    </cfRule>
  </conditionalFormatting>
  <conditionalFormatting pivot="1" sqref="W14:W18">
    <cfRule type="colorScale" priority="14">
      <colorScale>
        <cfvo type="min"/>
        <cfvo type="max"/>
        <color theme="8" tint="0.79998168889431442"/>
        <color theme="8" tint="-0.249977111117893"/>
      </colorScale>
    </cfRule>
  </conditionalFormatting>
  <conditionalFormatting pivot="1" sqref="R14:R17">
    <cfRule type="colorScale" priority="13">
      <colorScale>
        <cfvo type="min"/>
        <cfvo type="max"/>
        <color theme="8" tint="0.79998168889431442"/>
        <color theme="8" tint="-0.249977111117893"/>
      </colorScale>
    </cfRule>
  </conditionalFormatting>
  <conditionalFormatting pivot="1" sqref="V23:V25">
    <cfRule type="colorScale" priority="6">
      <colorScale>
        <cfvo type="min"/>
        <cfvo type="max"/>
        <color theme="8" tint="0.79998168889431442"/>
        <color theme="8" tint="-0.249977111117893"/>
      </colorScale>
    </cfRule>
  </conditionalFormatting>
  <conditionalFormatting pivot="1" sqref="Q34:Q37">
    <cfRule type="colorScale" priority="5">
      <colorScale>
        <cfvo type="min"/>
        <cfvo type="max"/>
        <color theme="8" tint="0.79998168889431442"/>
        <color theme="8" tint="-0.249977111117893"/>
      </colorScale>
    </cfRule>
  </conditionalFormatting>
  <conditionalFormatting pivot="1" sqref="R34:R37">
    <cfRule type="colorScale" priority="4">
      <colorScale>
        <cfvo type="min"/>
        <cfvo type="max"/>
        <color theme="8" tint="0.79998168889431442"/>
        <color theme="8" tint="-0.249977111117893"/>
      </colorScale>
    </cfRule>
  </conditionalFormatting>
  <conditionalFormatting pivot="1" sqref="S34:S37">
    <cfRule type="colorScale" priority="3">
      <colorScale>
        <cfvo type="min"/>
        <cfvo type="max"/>
        <color theme="8" tint="0.79998168889431442"/>
        <color theme="8" tint="-0.249977111117893"/>
      </colorScale>
    </cfRule>
  </conditionalFormatting>
  <conditionalFormatting pivot="1" sqref="T34:T37">
    <cfRule type="colorScale" priority="2">
      <colorScale>
        <cfvo type="min"/>
        <cfvo type="max"/>
        <color theme="8" tint="0.79998168889431442"/>
        <color theme="8" tint="-0.249977111117893"/>
      </colorScale>
    </cfRule>
  </conditionalFormatting>
  <conditionalFormatting pivot="1" sqref="U34:U37">
    <cfRule type="colorScale" priority="1">
      <colorScale>
        <cfvo type="min"/>
        <cfvo type="max"/>
        <color theme="8" tint="0.79998168889431442"/>
        <color theme="8" tint="-0.249977111117893"/>
      </colorScale>
    </cfRule>
  </conditionalFormatting>
  <pageMargins left="0.7" right="0.7" top="0.75" bottom="0.75" header="0.3" footer="0.3"/>
  <ignoredErrors>
    <ignoredError sqref="R4:R8" calculatedColumn="1"/>
  </ignoredErrors>
  <drawing r:id="rId6"/>
  <tableParts count="1">
    <tablePart r:id="rId7"/>
  </tableParts>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E298A-E239-493C-80A8-AB00E4C231FA}">
  <dimension ref="O1:Z48"/>
  <sheetViews>
    <sheetView showGridLines="0" zoomScale="61" zoomScaleNormal="85" workbookViewId="0">
      <selection activeCell="R6" sqref="R6"/>
    </sheetView>
  </sheetViews>
  <sheetFormatPr defaultRowHeight="14.4" x14ac:dyDescent="0.3"/>
  <cols>
    <col min="14" max="14" width="9.5546875" customWidth="1"/>
    <col min="15" max="15" width="8.88671875" style="7"/>
    <col min="16" max="16" width="8.88671875" style="10"/>
    <col min="17" max="17" width="39.77734375" bestFit="1" customWidth="1"/>
    <col min="18" max="18" width="19.6640625" bestFit="1" customWidth="1"/>
    <col min="19" max="19" width="19.5546875" bestFit="1" customWidth="1"/>
    <col min="20" max="20" width="13.44140625" customWidth="1"/>
    <col min="21" max="21" width="10.77734375" customWidth="1"/>
    <col min="22" max="22" width="10.77734375" bestFit="1" customWidth="1"/>
    <col min="23" max="23" width="22.77734375" bestFit="1" customWidth="1"/>
    <col min="24" max="24" width="24.88671875" bestFit="1" customWidth="1"/>
    <col min="25" max="25" width="38.44140625" bestFit="1" customWidth="1"/>
    <col min="26" max="26" width="15.33203125" bestFit="1" customWidth="1"/>
    <col min="27" max="55" width="15.5546875" bestFit="1" customWidth="1"/>
    <col min="56" max="56" width="10.77734375" bestFit="1" customWidth="1"/>
  </cols>
  <sheetData>
    <row r="1" spans="15:26" ht="18" x14ac:dyDescent="0.35">
      <c r="O1" s="53" t="s">
        <v>273</v>
      </c>
      <c r="P1" s="51"/>
      <c r="Q1" s="51"/>
      <c r="R1" s="51"/>
      <c r="S1" s="51"/>
      <c r="T1" s="51"/>
      <c r="U1" s="51"/>
      <c r="V1" s="51"/>
      <c r="W1" s="51"/>
      <c r="X1" s="51"/>
      <c r="Y1" s="51"/>
      <c r="Z1" s="51"/>
    </row>
    <row r="3" spans="15:26" x14ac:dyDescent="0.3">
      <c r="Q3" t="s">
        <v>192</v>
      </c>
      <c r="R3" t="s">
        <v>191</v>
      </c>
      <c r="S3" t="s">
        <v>92</v>
      </c>
    </row>
    <row r="4" spans="15:26" x14ac:dyDescent="0.3">
      <c r="Q4" t="s">
        <v>275</v>
      </c>
      <c r="R4" s="16">
        <f>GETPIVOTDATA("ID",$Q$16,"Loan_Purpose ","New Car","Credit_Risk","Bad")</f>
        <v>0.38034188034188032</v>
      </c>
      <c r="S4" t="str">
        <f>Q20</f>
        <v>New Car</v>
      </c>
    </row>
    <row r="5" spans="15:26" x14ac:dyDescent="0.3">
      <c r="Q5" t="s">
        <v>276</v>
      </c>
      <c r="R5" s="26">
        <f>GETPIVOTDATA("Credit_Amount",$W$14,"Loan_Purpose ","Others")</f>
        <v>8209.3333333333339</v>
      </c>
      <c r="S5" t="str">
        <f>W20</f>
        <v>Others</v>
      </c>
    </row>
    <row r="6" spans="15:26" x14ac:dyDescent="0.3">
      <c r="Q6" t="s">
        <v>226</v>
      </c>
      <c r="R6" s="40">
        <f>MIN(Table1[Credit_Amount])</f>
        <v>250</v>
      </c>
      <c r="S6" t="s">
        <v>207</v>
      </c>
    </row>
    <row r="7" spans="15:26" x14ac:dyDescent="0.3">
      <c r="Q7" t="s">
        <v>227</v>
      </c>
      <c r="R7" s="40">
        <f>MAX(Table1[Credit_Amount])</f>
        <v>18424</v>
      </c>
      <c r="S7" t="s">
        <v>207</v>
      </c>
    </row>
    <row r="8" spans="15:26" x14ac:dyDescent="0.3">
      <c r="Q8" t="s">
        <v>228</v>
      </c>
      <c r="R8" s="26">
        <f>AVERAGE(Table1[Credit_Amount])</f>
        <v>3271.2579999999998</v>
      </c>
      <c r="S8" t="s">
        <v>207</v>
      </c>
    </row>
    <row r="9" spans="15:26" x14ac:dyDescent="0.3">
      <c r="Q9" t="s">
        <v>277</v>
      </c>
      <c r="R9" s="38">
        <f>GETPIVOTDATA("ID",$Q$31,"Credit_History_Updated","Existing Credits Paid")</f>
        <v>169</v>
      </c>
      <c r="S9" s="1" t="s">
        <v>98</v>
      </c>
    </row>
    <row r="10" spans="15:26" x14ac:dyDescent="0.3">
      <c r="Q10" t="s">
        <v>209</v>
      </c>
      <c r="R10" s="27">
        <f>AVERAGE(Table1[Loan_Duration_Months])</f>
        <v>20.902999999999999</v>
      </c>
      <c r="S10" s="1" t="s">
        <v>207</v>
      </c>
    </row>
    <row r="11" spans="15:26" x14ac:dyDescent="0.3">
      <c r="R11" s="26"/>
    </row>
    <row r="12" spans="15:26" x14ac:dyDescent="0.3">
      <c r="R12" s="26"/>
    </row>
    <row r="14" spans="15:26" x14ac:dyDescent="0.3">
      <c r="W14" s="8" t="s">
        <v>205</v>
      </c>
      <c r="X14" t="s">
        <v>206</v>
      </c>
    </row>
    <row r="15" spans="15:26" x14ac:dyDescent="0.3">
      <c r="W15" s="9" t="s">
        <v>105</v>
      </c>
      <c r="X15" s="25">
        <v>4158.0412371134016</v>
      </c>
    </row>
    <row r="16" spans="15:26" x14ac:dyDescent="0.3">
      <c r="Q16" s="8" t="s">
        <v>274</v>
      </c>
      <c r="R16" s="8" t="s">
        <v>186</v>
      </c>
      <c r="T16" s="24"/>
      <c r="U16" s="24"/>
      <c r="W16" s="9" t="s">
        <v>106</v>
      </c>
      <c r="X16" s="25">
        <v>1498</v>
      </c>
    </row>
    <row r="17" spans="17:24" x14ac:dyDescent="0.3">
      <c r="Q17" s="8" t="s">
        <v>205</v>
      </c>
      <c r="R17" t="s">
        <v>153</v>
      </c>
      <c r="S17" t="s">
        <v>154</v>
      </c>
      <c r="T17" s="24"/>
      <c r="U17" s="24"/>
      <c r="W17" s="9" t="s">
        <v>100</v>
      </c>
      <c r="X17" s="25">
        <v>3180.4</v>
      </c>
    </row>
    <row r="18" spans="17:24" x14ac:dyDescent="0.3">
      <c r="Q18" s="23" t="s">
        <v>105</v>
      </c>
      <c r="R18" s="24">
        <v>0.35051546391752575</v>
      </c>
      <c r="S18" s="24">
        <v>0.64948453608247425</v>
      </c>
      <c r="T18" s="24"/>
      <c r="U18" s="24"/>
      <c r="W18" s="9" t="s">
        <v>108</v>
      </c>
      <c r="X18" s="25">
        <v>3066.988950276243</v>
      </c>
    </row>
    <row r="19" spans="17:24" x14ac:dyDescent="0.3">
      <c r="Q19" s="9" t="s">
        <v>108</v>
      </c>
      <c r="R19" s="24">
        <v>0.32044198895027626</v>
      </c>
      <c r="S19" s="24">
        <v>0.6795580110497238</v>
      </c>
      <c r="T19" s="24"/>
      <c r="U19" s="24"/>
      <c r="W19" s="9" t="s">
        <v>141</v>
      </c>
      <c r="X19" s="25">
        <v>3063.0256410256411</v>
      </c>
    </row>
    <row r="20" spans="17:24" x14ac:dyDescent="0.3">
      <c r="Q20" s="9" t="s">
        <v>141</v>
      </c>
      <c r="R20" s="24">
        <v>0.38034188034188032</v>
      </c>
      <c r="S20" s="24">
        <v>0.61965811965811968</v>
      </c>
      <c r="T20" s="24"/>
      <c r="U20" s="24"/>
      <c r="W20" s="9" t="s">
        <v>104</v>
      </c>
      <c r="X20" s="25">
        <v>8209.3333333333339</v>
      </c>
    </row>
    <row r="21" spans="17:24" x14ac:dyDescent="0.3">
      <c r="Q21" s="9" t="s">
        <v>111</v>
      </c>
      <c r="R21" s="24">
        <v>0.22142857142857142</v>
      </c>
      <c r="S21" s="24">
        <v>0.77857142857142858</v>
      </c>
      <c r="T21" s="24"/>
      <c r="U21" s="24"/>
      <c r="W21" s="9" t="s">
        <v>111</v>
      </c>
      <c r="X21" s="25">
        <v>2487.6535714285715</v>
      </c>
    </row>
    <row r="22" spans="17:24" x14ac:dyDescent="0.3">
      <c r="Q22" s="9" t="s">
        <v>107</v>
      </c>
      <c r="R22" s="24">
        <v>0.1650485436893204</v>
      </c>
      <c r="S22" s="24">
        <v>0.83495145631067957</v>
      </c>
      <c r="T22" s="24"/>
      <c r="U22" s="24"/>
      <c r="W22" s="9" t="s">
        <v>109</v>
      </c>
      <c r="X22" s="25">
        <v>2728.090909090909</v>
      </c>
    </row>
    <row r="23" spans="17:24" x14ac:dyDescent="0.3">
      <c r="T23" s="24"/>
      <c r="U23" s="24"/>
      <c r="W23" s="9" t="s">
        <v>110</v>
      </c>
      <c r="X23" s="25">
        <v>1205.8888888888889</v>
      </c>
    </row>
    <row r="24" spans="17:24" x14ac:dyDescent="0.3">
      <c r="T24" s="24"/>
      <c r="U24" s="24"/>
      <c r="W24" s="9" t="s">
        <v>107</v>
      </c>
      <c r="X24" s="25">
        <v>5370.2233009708734</v>
      </c>
    </row>
    <row r="25" spans="17:24" x14ac:dyDescent="0.3">
      <c r="T25" s="24"/>
      <c r="U25" s="24"/>
    </row>
    <row r="29" spans="17:24" x14ac:dyDescent="0.3">
      <c r="Q29" s="8" t="s">
        <v>16</v>
      </c>
      <c r="R29" t="s">
        <v>153</v>
      </c>
      <c r="W29" s="8" t="s">
        <v>16</v>
      </c>
      <c r="X29" t="s">
        <v>153</v>
      </c>
    </row>
    <row r="31" spans="17:24" x14ac:dyDescent="0.3">
      <c r="Q31" s="8" t="s">
        <v>208</v>
      </c>
      <c r="R31" t="s">
        <v>230</v>
      </c>
      <c r="W31" s="8" t="s">
        <v>221</v>
      </c>
      <c r="X31" t="s">
        <v>231</v>
      </c>
    </row>
    <row r="32" spans="17:24" x14ac:dyDescent="0.3">
      <c r="Q32" s="9" t="s">
        <v>97</v>
      </c>
      <c r="R32" s="1">
        <v>50</v>
      </c>
      <c r="W32" s="9" t="s">
        <v>210</v>
      </c>
      <c r="X32" s="37">
        <v>293</v>
      </c>
    </row>
    <row r="33" spans="17:26" x14ac:dyDescent="0.3">
      <c r="Q33" s="9" t="s">
        <v>98</v>
      </c>
      <c r="R33" s="1">
        <v>169</v>
      </c>
      <c r="W33" s="9" t="s">
        <v>123</v>
      </c>
      <c r="X33" s="37">
        <v>7</v>
      </c>
    </row>
    <row r="39" spans="17:26" x14ac:dyDescent="0.3">
      <c r="Q39" s="8" t="s">
        <v>16</v>
      </c>
      <c r="R39" t="s">
        <v>229</v>
      </c>
    </row>
    <row r="41" spans="17:26" x14ac:dyDescent="0.3">
      <c r="Q41" s="8" t="s">
        <v>212</v>
      </c>
      <c r="R41" t="s">
        <v>231</v>
      </c>
      <c r="W41" s="8" t="s">
        <v>232</v>
      </c>
      <c r="X41" s="8" t="s">
        <v>186</v>
      </c>
    </row>
    <row r="42" spans="17:26" x14ac:dyDescent="0.3">
      <c r="Q42" s="9" t="s">
        <v>126</v>
      </c>
      <c r="R42" s="1">
        <v>339</v>
      </c>
      <c r="W42" s="8" t="s">
        <v>220</v>
      </c>
      <c r="X42" t="s">
        <v>153</v>
      </c>
      <c r="Y42" t="s">
        <v>154</v>
      </c>
      <c r="Z42" t="s">
        <v>204</v>
      </c>
    </row>
    <row r="43" spans="17:26" x14ac:dyDescent="0.3">
      <c r="Q43" s="9" t="s">
        <v>127</v>
      </c>
      <c r="R43" s="1">
        <v>174</v>
      </c>
      <c r="U43" s="1"/>
      <c r="W43" s="9" t="s">
        <v>214</v>
      </c>
      <c r="X43" s="1">
        <v>76</v>
      </c>
      <c r="Y43" s="1">
        <v>283</v>
      </c>
      <c r="Z43" s="1">
        <v>359</v>
      </c>
    </row>
    <row r="44" spans="17:26" x14ac:dyDescent="0.3">
      <c r="Q44" s="9" t="s">
        <v>124</v>
      </c>
      <c r="R44" s="1">
        <v>253</v>
      </c>
      <c r="U44" s="1"/>
      <c r="W44" s="9" t="s">
        <v>215</v>
      </c>
      <c r="X44" s="1">
        <v>122</v>
      </c>
      <c r="Y44" s="1">
        <v>289</v>
      </c>
      <c r="Z44" s="1">
        <v>411</v>
      </c>
    </row>
    <row r="45" spans="17:26" x14ac:dyDescent="0.3">
      <c r="Q45" s="9" t="s">
        <v>125</v>
      </c>
      <c r="R45" s="1">
        <v>172</v>
      </c>
      <c r="U45" s="1"/>
      <c r="W45" s="9" t="s">
        <v>216</v>
      </c>
      <c r="X45" s="1">
        <v>57</v>
      </c>
      <c r="Y45" s="1">
        <v>86</v>
      </c>
      <c r="Z45" s="1">
        <v>143</v>
      </c>
    </row>
    <row r="46" spans="17:26" x14ac:dyDescent="0.3">
      <c r="Q46" s="9" t="s">
        <v>123</v>
      </c>
      <c r="R46" s="1">
        <v>62</v>
      </c>
      <c r="U46" s="1"/>
      <c r="W46" s="9" t="s">
        <v>217</v>
      </c>
      <c r="X46" s="1">
        <v>37</v>
      </c>
      <c r="Y46" s="1">
        <v>34</v>
      </c>
      <c r="Z46" s="1">
        <v>71</v>
      </c>
    </row>
    <row r="47" spans="17:26" x14ac:dyDescent="0.3">
      <c r="R47" s="1"/>
      <c r="U47" s="1"/>
      <c r="W47" s="9" t="s">
        <v>218</v>
      </c>
      <c r="X47" s="1">
        <v>1</v>
      </c>
      <c r="Y47" s="1">
        <v>1</v>
      </c>
      <c r="Z47" s="1">
        <v>2</v>
      </c>
    </row>
    <row r="48" spans="17:26" x14ac:dyDescent="0.3">
      <c r="W48" s="9" t="s">
        <v>219</v>
      </c>
      <c r="X48" s="1">
        <v>7</v>
      </c>
      <c r="Y48" s="1">
        <v>7</v>
      </c>
      <c r="Z48" s="1">
        <v>14</v>
      </c>
    </row>
  </sheetData>
  <mergeCells count="1">
    <mergeCell ref="O1:Z1"/>
  </mergeCells>
  <conditionalFormatting pivot="1" sqref="R18:R22">
    <cfRule type="colorScale" priority="16">
      <colorScale>
        <cfvo type="min"/>
        <cfvo type="max"/>
        <color theme="8" tint="0.79998168889431442"/>
        <color theme="8" tint="-0.249977111117893"/>
      </colorScale>
    </cfRule>
  </conditionalFormatting>
  <conditionalFormatting pivot="1" sqref="S18:S22">
    <cfRule type="colorScale" priority="15">
      <colorScale>
        <cfvo type="min"/>
        <cfvo type="max"/>
        <color theme="8" tint="0.79998168889431442"/>
        <color theme="8" tint="-0.249977111117893"/>
      </colorScale>
    </cfRule>
  </conditionalFormatting>
  <conditionalFormatting sqref="Q18:Q27">
    <cfRule type="colorScale" priority="3">
      <colorScale>
        <cfvo type="min"/>
        <cfvo type="max"/>
        <color theme="8" tint="0.79998168889431442"/>
        <color theme="8" tint="-0.249977111117893"/>
      </colorScale>
    </cfRule>
    <cfRule type="colorScale" priority="14">
      <colorScale>
        <cfvo type="min"/>
        <cfvo type="max"/>
        <color theme="8" tint="0.79998168889431442"/>
        <color theme="8" tint="-0.249977111117893"/>
      </colorScale>
    </cfRule>
  </conditionalFormatting>
  <conditionalFormatting pivot="1" sqref="X15:X24">
    <cfRule type="colorScale" priority="13">
      <colorScale>
        <cfvo type="min"/>
        <cfvo type="max"/>
        <color theme="8" tint="0.79998168889431442"/>
        <color theme="8" tint="-0.249977111117893"/>
      </colorScale>
    </cfRule>
  </conditionalFormatting>
  <conditionalFormatting pivot="1" sqref="R32:R33">
    <cfRule type="colorScale" priority="11">
      <colorScale>
        <cfvo type="min"/>
        <cfvo type="max"/>
        <color theme="8" tint="0.79998168889431442"/>
        <color theme="8" tint="0.39997558519241921"/>
      </colorScale>
    </cfRule>
  </conditionalFormatting>
  <conditionalFormatting pivot="1">
    <cfRule type="colorScale" priority="10">
      <colorScale>
        <cfvo type="min"/>
        <cfvo type="max"/>
        <color theme="4" tint="0.79998168889431442"/>
        <color theme="4" tint="-0.249977111117893"/>
      </colorScale>
    </cfRule>
  </conditionalFormatting>
  <conditionalFormatting sqref="W31:Z31 W32:W34 Y32:Z32">
    <cfRule type="colorScale" priority="9">
      <colorScale>
        <cfvo type="min"/>
        <cfvo type="max"/>
        <color theme="8" tint="0.79998168889431442"/>
        <color theme="8" tint="-0.249977111117893"/>
      </colorScale>
    </cfRule>
  </conditionalFormatting>
  <conditionalFormatting sqref="Q41:U41 Q42:Q47 S42:U42">
    <cfRule type="colorScale" priority="8">
      <colorScale>
        <cfvo type="min"/>
        <cfvo type="max"/>
        <color theme="8" tint="0.79998168889431442"/>
        <color theme="8" tint="-0.249977111117893"/>
      </colorScale>
    </cfRule>
  </conditionalFormatting>
  <conditionalFormatting pivot="1" sqref="X43:X48">
    <cfRule type="colorScale" priority="7">
      <colorScale>
        <cfvo type="min"/>
        <cfvo type="max"/>
        <color theme="8" tint="0.79998168889431442"/>
        <color theme="8" tint="-0.249977111117893"/>
      </colorScale>
    </cfRule>
  </conditionalFormatting>
  <conditionalFormatting pivot="1" sqref="Y43:Y48">
    <cfRule type="colorScale" priority="6">
      <colorScale>
        <cfvo type="min"/>
        <cfvo type="max"/>
        <color theme="8" tint="0.79998168889431442"/>
        <color theme="8" tint="-0.249977111117893"/>
      </colorScale>
    </cfRule>
  </conditionalFormatting>
  <conditionalFormatting pivot="1">
    <cfRule type="colorScale" priority="5">
      <colorScale>
        <cfvo type="min"/>
        <cfvo type="max"/>
        <color theme="4" tint="0.79998168889431442"/>
        <color theme="4" tint="-0.249977111117893"/>
      </colorScale>
    </cfRule>
  </conditionalFormatting>
  <conditionalFormatting pivot="1">
    <cfRule type="colorScale" priority="4">
      <colorScale>
        <cfvo type="min"/>
        <cfvo type="max"/>
        <color theme="4" tint="0.79998168889431442"/>
        <color theme="4" tint="-0.249977111117893"/>
      </colorScale>
    </cfRule>
  </conditionalFormatting>
  <conditionalFormatting pivot="1" sqref="X32:X33">
    <cfRule type="colorScale" priority="2">
      <colorScale>
        <cfvo type="min"/>
        <cfvo type="max"/>
        <color theme="8" tint="0.79998168889431442"/>
        <color theme="8" tint="-0.249977111117893"/>
      </colorScale>
    </cfRule>
  </conditionalFormatting>
  <conditionalFormatting sqref="R42:R47">
    <cfRule type="colorScale" priority="1">
      <colorScale>
        <cfvo type="min"/>
        <cfvo type="max"/>
        <color theme="8" tint="0.79998168889431442"/>
        <color theme="8" tint="-0.249977111117893"/>
      </colorScale>
    </cfRule>
  </conditionalFormatting>
  <pageMargins left="0.7" right="0.7" top="0.75" bottom="0.75" header="0.3" footer="0.3"/>
  <ignoredErrors>
    <ignoredError sqref="S5 R6:R8 S6:S8 R9:R10 S9:S10 R4" calculatedColumn="1"/>
  </ignoredErrors>
  <drawing r:id="rId7"/>
  <tableParts count="1">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
  <sheetViews>
    <sheetView zoomScale="80" workbookViewId="0">
      <selection activeCell="E10" sqref="E10"/>
    </sheetView>
  </sheetViews>
  <sheetFormatPr defaultRowHeight="14.4" x14ac:dyDescent="0.3"/>
  <cols>
    <col min="1" max="1" width="22.21875" bestFit="1" customWidth="1"/>
    <col min="2" max="2" width="15.21875" bestFit="1" customWidth="1"/>
    <col min="5" max="5" width="23.6640625" bestFit="1" customWidth="1"/>
    <col min="6" max="6" width="18.77734375" bestFit="1" customWidth="1"/>
    <col min="9" max="9" width="16.44140625" customWidth="1"/>
    <col min="10" max="10" width="15.6640625" customWidth="1"/>
  </cols>
  <sheetData>
    <row r="1" spans="1:10" x14ac:dyDescent="0.3">
      <c r="A1" t="s">
        <v>112</v>
      </c>
      <c r="B1" t="s">
        <v>92</v>
      </c>
      <c r="E1" t="s">
        <v>208</v>
      </c>
      <c r="F1" t="s">
        <v>278</v>
      </c>
      <c r="I1" t="s">
        <v>171</v>
      </c>
      <c r="J1" t="s">
        <v>170</v>
      </c>
    </row>
    <row r="2" spans="1:10" x14ac:dyDescent="0.3">
      <c r="A2" t="s">
        <v>17</v>
      </c>
      <c r="B2" t="s">
        <v>93</v>
      </c>
      <c r="E2" t="s">
        <v>42</v>
      </c>
      <c r="F2" t="s">
        <v>94</v>
      </c>
      <c r="I2" s="3">
        <v>19</v>
      </c>
      <c r="J2" s="6" t="s">
        <v>172</v>
      </c>
    </row>
    <row r="3" spans="1:10" x14ac:dyDescent="0.3">
      <c r="A3" t="s">
        <v>35</v>
      </c>
      <c r="B3" t="s">
        <v>115</v>
      </c>
      <c r="E3" t="s">
        <v>52</v>
      </c>
      <c r="F3" t="s">
        <v>95</v>
      </c>
      <c r="I3" s="3">
        <v>29</v>
      </c>
      <c r="J3" t="s">
        <v>173</v>
      </c>
    </row>
    <row r="4" spans="1:10" x14ac:dyDescent="0.3">
      <c r="A4" t="s">
        <v>30</v>
      </c>
      <c r="B4" t="s">
        <v>116</v>
      </c>
      <c r="E4" t="s">
        <v>31</v>
      </c>
      <c r="F4" t="s">
        <v>98</v>
      </c>
      <c r="I4" s="3">
        <v>39</v>
      </c>
      <c r="J4" t="s">
        <v>174</v>
      </c>
    </row>
    <row r="5" spans="1:10" x14ac:dyDescent="0.3">
      <c r="A5" t="s">
        <v>50</v>
      </c>
      <c r="B5" t="s">
        <v>117</v>
      </c>
      <c r="E5" t="s">
        <v>122</v>
      </c>
      <c r="F5" t="s">
        <v>97</v>
      </c>
      <c r="I5" s="3">
        <v>49</v>
      </c>
      <c r="J5" t="s">
        <v>175</v>
      </c>
    </row>
    <row r="6" spans="1:10" x14ac:dyDescent="0.3">
      <c r="E6" t="s">
        <v>59</v>
      </c>
      <c r="F6" t="s">
        <v>96</v>
      </c>
      <c r="I6" s="3">
        <v>59</v>
      </c>
      <c r="J6" t="s">
        <v>176</v>
      </c>
    </row>
    <row r="7" spans="1:10" x14ac:dyDescent="0.3">
      <c r="I7" s="3">
        <v>69</v>
      </c>
      <c r="J7" t="s">
        <v>177</v>
      </c>
    </row>
    <row r="10" spans="1:10" x14ac:dyDescent="0.3">
      <c r="A10" t="s">
        <v>113</v>
      </c>
      <c r="B10" t="s">
        <v>92</v>
      </c>
      <c r="E10" t="s">
        <v>279</v>
      </c>
      <c r="F10" t="s">
        <v>92</v>
      </c>
    </row>
    <row r="11" spans="1:10" x14ac:dyDescent="0.3">
      <c r="A11" t="s">
        <v>47</v>
      </c>
      <c r="B11" t="s">
        <v>114</v>
      </c>
      <c r="E11" t="s">
        <v>45</v>
      </c>
      <c r="F11" t="s">
        <v>125</v>
      </c>
    </row>
    <row r="12" spans="1:10" x14ac:dyDescent="0.3">
      <c r="A12" t="s">
        <v>32</v>
      </c>
      <c r="B12" t="s">
        <v>118</v>
      </c>
      <c r="E12" t="s">
        <v>21</v>
      </c>
      <c r="F12" s="2" t="s">
        <v>126</v>
      </c>
    </row>
    <row r="13" spans="1:10" x14ac:dyDescent="0.3">
      <c r="A13" t="s">
        <v>46</v>
      </c>
      <c r="B13" t="s">
        <v>119</v>
      </c>
      <c r="E13" t="s">
        <v>49</v>
      </c>
      <c r="F13" s="2" t="s">
        <v>127</v>
      </c>
    </row>
    <row r="14" spans="1:10" x14ac:dyDescent="0.3">
      <c r="A14" t="s">
        <v>37</v>
      </c>
      <c r="B14" t="s">
        <v>120</v>
      </c>
      <c r="E14" t="s">
        <v>38</v>
      </c>
      <c r="F14" t="s">
        <v>124</v>
      </c>
    </row>
    <row r="15" spans="1:10" x14ac:dyDescent="0.3">
      <c r="A15" t="s">
        <v>20</v>
      </c>
      <c r="B15" t="s">
        <v>121</v>
      </c>
      <c r="E15" t="s">
        <v>54</v>
      </c>
      <c r="F15" t="s">
        <v>123</v>
      </c>
    </row>
  </sheetData>
  <pageMargins left="0.7" right="0.7" top="0.75" bottom="0.75" header="0.3" footer="0.3"/>
  <tableParts count="5">
    <tablePart r:id="rId1"/>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zoomScale="90" workbookViewId="0">
      <selection activeCell="F11" sqref="F11"/>
    </sheetView>
  </sheetViews>
  <sheetFormatPr defaultRowHeight="14.4" x14ac:dyDescent="0.3"/>
  <cols>
    <col min="2" max="2" width="20.88671875" bestFit="1" customWidth="1"/>
    <col min="3" max="3" width="21" customWidth="1"/>
    <col min="4" max="4" width="56.5546875" bestFit="1" customWidth="1"/>
    <col min="7" max="7" width="10" bestFit="1" customWidth="1"/>
  </cols>
  <sheetData>
    <row r="1" spans="1:7" x14ac:dyDescent="0.3">
      <c r="A1" s="31" t="s">
        <v>238</v>
      </c>
      <c r="B1" s="32" t="s">
        <v>160</v>
      </c>
      <c r="C1" s="32" t="s">
        <v>161</v>
      </c>
      <c r="D1" s="32" t="s">
        <v>162</v>
      </c>
      <c r="G1" s="32" t="s">
        <v>239</v>
      </c>
    </row>
    <row r="2" spans="1:7" x14ac:dyDescent="0.3">
      <c r="A2" s="30">
        <v>1</v>
      </c>
      <c r="B2" t="s">
        <v>182</v>
      </c>
      <c r="C2" t="s">
        <v>240</v>
      </c>
      <c r="D2" t="s">
        <v>260</v>
      </c>
      <c r="F2">
        <v>1</v>
      </c>
      <c r="G2" t="s">
        <v>240</v>
      </c>
    </row>
    <row r="3" spans="1:7" x14ac:dyDescent="0.3">
      <c r="A3" s="30">
        <v>2</v>
      </c>
      <c r="B3" t="s">
        <v>9</v>
      </c>
      <c r="C3" t="s">
        <v>241</v>
      </c>
      <c r="D3" t="s">
        <v>261</v>
      </c>
      <c r="F3">
        <v>2</v>
      </c>
      <c r="G3" t="s">
        <v>241</v>
      </c>
    </row>
    <row r="4" spans="1:7" x14ac:dyDescent="0.3">
      <c r="A4" s="30">
        <v>3</v>
      </c>
      <c r="B4" t="s">
        <v>170</v>
      </c>
      <c r="C4" t="s">
        <v>240</v>
      </c>
      <c r="D4" t="s">
        <v>262</v>
      </c>
      <c r="F4">
        <v>3</v>
      </c>
      <c r="G4" t="s">
        <v>242</v>
      </c>
    </row>
    <row r="5" spans="1:7" x14ac:dyDescent="0.3">
      <c r="A5" s="30">
        <v>4</v>
      </c>
      <c r="B5" t="s">
        <v>128</v>
      </c>
      <c r="C5" t="s">
        <v>240</v>
      </c>
      <c r="D5" t="s">
        <v>263</v>
      </c>
      <c r="F5">
        <v>4</v>
      </c>
      <c r="G5" t="s">
        <v>243</v>
      </c>
    </row>
    <row r="6" spans="1:7" x14ac:dyDescent="0.3">
      <c r="A6" s="30">
        <v>5</v>
      </c>
      <c r="B6" t="s">
        <v>233</v>
      </c>
      <c r="C6" t="s">
        <v>240</v>
      </c>
      <c r="D6" t="s">
        <v>264</v>
      </c>
    </row>
    <row r="7" spans="1:7" x14ac:dyDescent="0.3">
      <c r="A7" s="30">
        <v>6</v>
      </c>
      <c r="B7" t="s">
        <v>13</v>
      </c>
      <c r="C7" t="s">
        <v>241</v>
      </c>
      <c r="D7" t="s">
        <v>265</v>
      </c>
    </row>
    <row r="8" spans="1:7" x14ac:dyDescent="0.3">
      <c r="A8" s="30">
        <v>7</v>
      </c>
      <c r="B8" t="s">
        <v>15</v>
      </c>
      <c r="C8" t="s">
        <v>240</v>
      </c>
      <c r="D8" t="s">
        <v>266</v>
      </c>
    </row>
    <row r="9" spans="1:7" x14ac:dyDescent="0.3">
      <c r="A9" s="30">
        <v>8</v>
      </c>
      <c r="B9" t="s">
        <v>159</v>
      </c>
      <c r="C9" t="s">
        <v>240</v>
      </c>
      <c r="D9" t="s">
        <v>267</v>
      </c>
    </row>
    <row r="10" spans="1:7" x14ac:dyDescent="0.3">
      <c r="A10" s="30">
        <v>9</v>
      </c>
      <c r="B10" t="s">
        <v>10</v>
      </c>
      <c r="C10" t="s">
        <v>240</v>
      </c>
      <c r="D10" t="s">
        <v>268</v>
      </c>
    </row>
    <row r="11" spans="1:7" x14ac:dyDescent="0.3">
      <c r="A11" s="30">
        <v>10</v>
      </c>
      <c r="B11" t="s">
        <v>7</v>
      </c>
      <c r="C11" t="s">
        <v>240</v>
      </c>
      <c r="D11" t="s">
        <v>269</v>
      </c>
    </row>
    <row r="12" spans="1:7" x14ac:dyDescent="0.3">
      <c r="A12" s="30">
        <v>11</v>
      </c>
      <c r="B12" t="s">
        <v>234</v>
      </c>
      <c r="C12" t="s">
        <v>240</v>
      </c>
      <c r="D12" t="s">
        <v>270</v>
      </c>
    </row>
    <row r="13" spans="1:7" x14ac:dyDescent="0.3">
      <c r="A13" s="30">
        <v>12</v>
      </c>
      <c r="B13" t="s">
        <v>14</v>
      </c>
      <c r="C13" t="s">
        <v>240</v>
      </c>
      <c r="D13" t="s">
        <v>259</v>
      </c>
    </row>
    <row r="14" spans="1:7" x14ac:dyDescent="0.3">
      <c r="A14" s="30">
        <v>13</v>
      </c>
      <c r="B14" t="s">
        <v>155</v>
      </c>
      <c r="C14" t="s">
        <v>240</v>
      </c>
      <c r="D14" t="s">
        <v>258</v>
      </c>
    </row>
    <row r="15" spans="1:7" x14ac:dyDescent="0.3">
      <c r="A15" s="30">
        <v>14</v>
      </c>
      <c r="B15" t="s">
        <v>156</v>
      </c>
      <c r="C15" t="s">
        <v>240</v>
      </c>
      <c r="D15" t="s">
        <v>257</v>
      </c>
    </row>
    <row r="16" spans="1:7" x14ac:dyDescent="0.3">
      <c r="A16" s="30">
        <v>15</v>
      </c>
      <c r="B16" t="s">
        <v>235</v>
      </c>
      <c r="C16" t="s">
        <v>240</v>
      </c>
      <c r="D16" t="s">
        <v>256</v>
      </c>
    </row>
    <row r="17" spans="1:4" x14ac:dyDescent="0.3">
      <c r="A17" s="30">
        <v>16</v>
      </c>
      <c r="B17" t="s">
        <v>158</v>
      </c>
      <c r="C17" t="s">
        <v>240</v>
      </c>
      <c r="D17" t="s">
        <v>255</v>
      </c>
    </row>
    <row r="18" spans="1:4" x14ac:dyDescent="0.3">
      <c r="A18" s="30">
        <v>17</v>
      </c>
      <c r="B18" t="s">
        <v>236</v>
      </c>
      <c r="C18" t="s">
        <v>240</v>
      </c>
      <c r="D18" t="s">
        <v>254</v>
      </c>
    </row>
    <row r="19" spans="1:4" x14ac:dyDescent="0.3">
      <c r="A19" s="30">
        <v>18</v>
      </c>
      <c r="B19" t="s">
        <v>99</v>
      </c>
      <c r="C19" t="s">
        <v>240</v>
      </c>
      <c r="D19" t="s">
        <v>253</v>
      </c>
    </row>
    <row r="20" spans="1:4" x14ac:dyDescent="0.3">
      <c r="A20" s="30">
        <v>19</v>
      </c>
      <c r="B20" t="s">
        <v>250</v>
      </c>
      <c r="C20" t="s">
        <v>241</v>
      </c>
      <c r="D20" t="s">
        <v>251</v>
      </c>
    </row>
    <row r="21" spans="1:4" x14ac:dyDescent="0.3">
      <c r="A21" s="30">
        <v>20</v>
      </c>
      <c r="B21" t="s">
        <v>4</v>
      </c>
      <c r="C21" t="s">
        <v>242</v>
      </c>
      <c r="D21" t="s">
        <v>249</v>
      </c>
    </row>
    <row r="22" spans="1:4" x14ac:dyDescent="0.3">
      <c r="A22" s="30">
        <v>21</v>
      </c>
      <c r="B22" t="s">
        <v>139</v>
      </c>
      <c r="C22" t="s">
        <v>240</v>
      </c>
      <c r="D22" t="s">
        <v>247</v>
      </c>
    </row>
    <row r="23" spans="1:4" x14ac:dyDescent="0.3">
      <c r="A23" s="30">
        <v>22</v>
      </c>
      <c r="B23" t="s">
        <v>99</v>
      </c>
      <c r="C23" t="s">
        <v>240</v>
      </c>
      <c r="D23" t="s">
        <v>252</v>
      </c>
    </row>
    <row r="24" spans="1:4" x14ac:dyDescent="0.3">
      <c r="A24" s="30">
        <v>23</v>
      </c>
      <c r="B24" t="s">
        <v>237</v>
      </c>
      <c r="C24" t="s">
        <v>240</v>
      </c>
      <c r="D24" t="s">
        <v>248</v>
      </c>
    </row>
    <row r="25" spans="1:4" x14ac:dyDescent="0.3">
      <c r="A25" s="30">
        <v>24</v>
      </c>
      <c r="B25" t="s">
        <v>213</v>
      </c>
      <c r="C25" t="s">
        <v>240</v>
      </c>
      <c r="D25" t="s">
        <v>245</v>
      </c>
    </row>
    <row r="26" spans="1:4" x14ac:dyDescent="0.3">
      <c r="A26" s="30">
        <v>25</v>
      </c>
      <c r="B26" t="s">
        <v>1</v>
      </c>
      <c r="C26" t="s">
        <v>241</v>
      </c>
      <c r="D26" t="s">
        <v>246</v>
      </c>
    </row>
    <row r="27" spans="1:4" x14ac:dyDescent="0.3">
      <c r="A27" s="30">
        <v>26</v>
      </c>
      <c r="B27" t="s">
        <v>16</v>
      </c>
      <c r="C27" t="s">
        <v>240</v>
      </c>
      <c r="D27" t="s">
        <v>244</v>
      </c>
    </row>
  </sheetData>
  <dataValidations count="1">
    <dataValidation type="list" allowBlank="1" showInputMessage="1" showErrorMessage="1" sqref="C2:C27" xr:uid="{85269EAC-5DD5-4885-8E71-EEC959718EAB}">
      <formula1>$G$2:$G$5</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B1370F-9E7A-4B89-B7B3-62EB1FE588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Raw_Dataset</vt:lpstr>
      <vt:lpstr>2. Cleaned_Dataset</vt:lpstr>
      <vt:lpstr>3.1 Customer_Demographics</vt:lpstr>
      <vt:lpstr>3.2 Financial_Status</vt:lpstr>
      <vt:lpstr>3.3 Loan_&amp;_Employment</vt:lpstr>
      <vt:lpstr>Lookup_Tables</vt:lpstr>
      <vt:lpstr>Column_Dictionary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 Batool</dc:creator>
  <cp:lastModifiedBy>Ayesha Batool</cp:lastModifiedBy>
  <dcterms:created xsi:type="dcterms:W3CDTF">2026-03-12T10:39:58Z</dcterms:created>
  <dcterms:modified xsi:type="dcterms:W3CDTF">2026-04-02T08:04:19Z</dcterms:modified>
</cp:coreProperties>
</file>